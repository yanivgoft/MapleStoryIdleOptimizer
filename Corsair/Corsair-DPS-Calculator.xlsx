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10" customWidth="1" min="1" max="1"/>
  </cols>
  <sheetData>
    <row r="1">
      <c r="A1" s="1" t="inlineStr">
        <is>
          <t>Corsair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CRITICAL: Corsair has ZERO individual wiki pages AND no Mastery page at all — worse than any other class built in this project. Every scaling skill's (baseDamage, factorIndex) is a FLAGGED ASSUMPTION from its own level-1 value; every mastery bonus below is a FLAGGED ASSUMPTION mapped from Buccaneer's own real mastery table by skill-slot role, per direct user decision. This entire workbook's accuracy ceiling is lower than every sibling class — treat every number as a documented estimate, not verified data.</t>
        </is>
      </c>
    </row>
    <row r="11">
      <c r="A11" s="2" t="inlineStr">
        <is>
          <t>Shadow Heart, Quick Motion (AS component only), Agile Guns, Gun Mastery, Physical Training, Infinity Blast, Fullmetal Jacket, Cross Cut Blast, and Quickdraw's own flat +25% Basic Attack Damage component are always-on passives assumed to already be reflected in your own Inputs stat entries — only their Sensitivity marginal delta is modeled live, matching this project's established convention.</t>
        </is>
      </c>
    </row>
    <row r="12">
      <c r="A12" s="2" t="inlineStr">
        <is>
          <t>Eight-Legs Easton (basic attack) reuses the universal 4th-job-basic-attack constant (baseDamage 2900, factorIndex 21) confirmed identical across every class in this project. Its own Mastery chain is mapped from Buccaneer's own Hook Bomber chain (same universal pattern).</t>
        </is>
      </c>
    </row>
    <row r="13">
      <c r="A13" s="2" t="inlineStr">
        <is>
          <t>Nautilus Strike and Roll of the Dice are both CONFIRMED SHARED verbatim with Buccaneer (byte-identical wiki descriptions) — reuse Buccaneer's exact resolved tuples directly, not re-derived.</t>
        </is>
      </c>
    </row>
    <row r="14">
      <c r="A14" s="2" t="inlineStr">
        <is>
          <t>Scurvy Summons / All Aboard (crew summons) and Broadside's burst+sustained split use the standard generic ActiveWindow/ICD tick machinery already used for every summon/turret skill in this project (Bowmaster's Phoenix, FP-Mage's Ifrit) — no bespoke mechanics needed.</t>
        </is>
      </c>
    </row>
    <row r="15">
      <c r="A15" s="2" t="inlineStr">
        <is>
          <t>Majestic Presence procs off three independent sources (Basic Attack, Brain Scrambler, Rapid Fire) — modeled as its own combined-trigger-rate row summing the three sources' own hit rates directly, extending Marksman's own Bolt Surplus dual-trigger pattern to three sources.</t>
        </is>
      </c>
    </row>
    <row r="16">
      <c r="A16" s="2" t="inlineStr">
        <is>
          <t>Ahoy Mateys (+250%/+100% FD to Scurvy Summons/All Aboard) is its own helper row, same mechanism as Maple Hero — both feed the same two skills' K-column terms independently.</t>
        </is>
      </c>
    </row>
    <row r="17">
      <c r="A17" s="2" t="inlineStr">
        <is>
          <t>Recoil Shot is explicitly 'not used automatically' per its own wiki text — excluded entirely, no row. Outlaw's Code (Defense/Debuff Tolerance) is purely defensive, not modeled.</t>
        </is>
      </c>
    </row>
    <row r="18">
      <c r="A18" s="2" t="inlineStr">
        <is>
          <t>Jolly Roger (PATCHED FD 18%-&gt;15%, a nerf) has no stated cooldown — modeled always-active steady-state once unlocked, same tier as Buccaneer's own Crossbones/Time Leap.</t>
        </is>
      </c>
    </row>
    <row r="19">
      <c r="A19"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20">
      <c r="A20" s="2" t="inlineStr">
        <is>
          <t>Not modeled (out of scope): all forms of crowd control (Blackboot Bill's stun), Accuracy, Evasion, Defense, movement speed, and Companion Summoning Time.</t>
        </is>
      </c>
    </row>
    <row r="21">
      <c r="A21"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Corsair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Weapon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DEX</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DEX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STR</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8"/>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EIGHT_LEGS_EASTON</t>
        </is>
      </c>
      <c r="B2" t="inlineStr">
        <is>
          <t>Eight-Legs Easton</t>
        </is>
      </c>
      <c r="C2" t="n">
        <v>4</v>
      </c>
      <c r="D2" t="inlineStr"/>
      <c r="E2" t="b">
        <v>0</v>
      </c>
      <c r="F2" t="n">
        <v>1</v>
      </c>
      <c r="G2">
        <f>IF(Inputs!$B$3&gt;=136,6,5)</f>
        <v/>
      </c>
      <c r="H2" t="n">
        <v>0</v>
      </c>
      <c r="I2" t="n">
        <v>0</v>
      </c>
      <c r="J2" t="n">
        <v>100</v>
      </c>
      <c r="K2" t="n">
        <v>1</v>
      </c>
      <c r="L2" t="n">
        <v>2900</v>
      </c>
      <c r="M2" t="n">
        <v>21</v>
      </c>
      <c r="N2" t="b">
        <v>1</v>
      </c>
      <c r="O2">
        <f>SUMPRODUCT((Inputs!$B$3&gt;={102,106,116,120,128,132})*{10,1,1,1,1,1})</f>
        <v/>
      </c>
      <c r="P2">
        <f>SUMPRODUCT((Inputs!$B$3&gt;={111,124})*{10,10})</f>
        <v/>
      </c>
      <c r="Q2" t="n">
        <v>0</v>
      </c>
      <c r="R2">
        <f>6+Inputs!$B$33</f>
        <v/>
      </c>
      <c r="S2" t="inlineStr"/>
      <c r="T2" t="n">
        <v>0</v>
      </c>
      <c r="U2" t="inlineStr"/>
      <c r="V2" t="inlineStr"/>
      <c r="W2" t="inlineStr">
        <is>
          <t>4th-job basic-attack effect (supersedes Double Shot/Rapid Blast/Blunderbuster, confirmed identical wiki wording — 290% damage to 6 target(s) in front 5 time(s) — to every other class's own 4th-job basic attack). factorIndex 21, baseDamage 2900 tenths%. HitsPerCast=5, bumping to 6 once the ASSUMED Mastery Lv.136 tier unlocks (mapped from Buccaneer's own Hook Bomber - Strike slot — Corsair has no Mastery page at all to confirm this independently). Real Damage mastery chain (102/106/116/120/128/132, DELTAS) and Boss Monster Damage chain (111/124, +10% each) mapped directly from Buccaneer's own Hook Bomber chain — this is the same universal 4th-job-basic-attack mastery pattern confirmed across every class in this project, so this specific mapping is high-confidence despite the overall lack of Corsair mastery data.</t>
        </is>
      </c>
    </row>
    <row r="3">
      <c r="A3" t="inlineStr">
        <is>
          <t>SWIFT_FIRE</t>
        </is>
      </c>
      <c r="B3" t="inlineStr">
        <is>
          <t>Swift Fire</t>
        </is>
      </c>
      <c r="C3" t="n">
        <v>2</v>
      </c>
      <c r="D3" t="n">
        <v>17</v>
      </c>
      <c r="E3" t="b">
        <v>1</v>
      </c>
      <c r="F3" t="n">
        <v>1</v>
      </c>
      <c r="G3" t="n">
        <v>3</v>
      </c>
      <c r="H3" t="n">
        <v>0</v>
      </c>
      <c r="I3" t="n">
        <v>0</v>
      </c>
      <c r="J3" t="n">
        <v>100</v>
      </c>
      <c r="K3" t="n">
        <v>1</v>
      </c>
      <c r="L3" t="n">
        <v>1800</v>
      </c>
      <c r="M3" t="n">
        <v>12</v>
      </c>
      <c r="N3" t="b">
        <v>1</v>
      </c>
      <c r="O3">
        <f>SUMPRODUCT((Inputs!$B$3&gt;={39})*{50})</f>
        <v/>
      </c>
      <c r="P3" t="n">
        <v>0</v>
      </c>
      <c r="Q3" t="n">
        <v>0</v>
      </c>
      <c r="R3" t="n">
        <v>8</v>
      </c>
      <c r="S3" t="inlineStr"/>
      <c r="T3" t="n">
        <v>0</v>
      </c>
      <c r="U3" t="n">
        <v>200</v>
      </c>
      <c r="V3" t="n">
        <v>23</v>
      </c>
      <c r="W3" t="inlineStr">
        <is>
          <t>Confirmed via maplestoryidle.info cross-reference (a direct game capture, not a wiki page): 'Fires three bullets consecutively ahead to attack up to 8 target(s), dealing 180% damage each', real 17s cooldown (corrected from a previously-assumed 18s). factorIndex 12, baseDamage 1800 tenths%. Mastery mapped from Buccaneer's own Sea Serpent Burst - Damage @39 (+50%) slot — no exact 1:1 analog exists since Corsair has no mastery data at all, but both are the class's own 2nd-job attack-proc-shaped skill, so this role-mapping is a reasonable assumption. Mastery Lv.54 'Swift Fire - Weaken' (+3% target damage taken per strike, max 3 stacks/9%, confirmed via maplestoryidle.info) not modeled — same complexity tier as Paladin's own Weaken debuffs, judged out of scope for this pass. Maple Hero target — see MAPLE_HERO_RATIOS (biggest share, 4x Siege Bomber's own).</t>
        </is>
      </c>
    </row>
    <row r="4">
      <c r="A4" t="inlineStr">
        <is>
          <t>SCURVY_SUMMONS</t>
        </is>
      </c>
      <c r="B4" t="inlineStr">
        <is>
          <t>Scurvy Summons</t>
        </is>
      </c>
      <c r="C4" t="n">
        <v>2</v>
      </c>
      <c r="D4" t="n">
        <v>35</v>
      </c>
      <c r="E4" t="b">
        <v>1</v>
      </c>
      <c r="F4" t="n">
        <v>1</v>
      </c>
      <c r="G4" t="n">
        <v>2</v>
      </c>
      <c r="H4" t="n">
        <v>1.5</v>
      </c>
      <c r="I4" t="n">
        <v>20</v>
      </c>
      <c r="J4" t="n">
        <v>100</v>
      </c>
      <c r="K4" t="n">
        <v>1</v>
      </c>
      <c r="L4" t="n">
        <v>950</v>
      </c>
      <c r="M4" t="n">
        <v>12</v>
      </c>
      <c r="N4" t="b">
        <v>1</v>
      </c>
      <c r="O4" t="n">
        <v>0</v>
      </c>
      <c r="P4" t="n">
        <v>0</v>
      </c>
      <c r="Q4" t="n">
        <v>0</v>
      </c>
      <c r="R4" t="n">
        <v>3</v>
      </c>
      <c r="S4" t="inlineStr"/>
      <c r="T4" t="n">
        <v>0</v>
      </c>
      <c r="U4" t="inlineStr"/>
      <c r="V4" t="inlineStr"/>
      <c r="W4" t="inlineStr">
        <is>
          <t>Confirmed via maplestoryidle.info cross-reference (a direct game capture, not a wiki page): real 35s cooldown (corrected from a previously-wrong assumption that cooldown = the crew's own 20s active duration with immediate recast-on-expiry — the real mechanic has a genuine ~15s gap with no crew active between casts). 'Summons the Dual Pistol Crew of the Nautilus for 20 sec. The Dual Pistol Crew attacks up to 3 nearby target(s) for 95% damage 2 time(s) every 1.5 sec' (Aug 13 patch wording, ICD 3s-&gt;1.5s already reflected). factorIndex 12, baseDamage 950 tenths%. Standard ActiveWindow/ICD tick machinery (EffectiveHits = 2*(20/1.5) per cast) — no bespoke mechanics needed, unlike Buccaneer's own resource-economy skills. No clean Buccaneer mastery-slot analog exists for this specific crew-summon mechanic — left unmodeled (SkillMasteryBonus%=0) rather than forcing a poor mapping. Ahoy Mateys target — see AHOY_MATEYS_RATIOS (biggest share, ratio 1.0). Mastery Lv.122 'Ahoy Mateys - Final Damage' (+20% FD for 20s upon using Scurvy Summons, confirmed via maplestoryidle.info) is modeled separately as a duty-cycle FD term — see AHOY_MATEYS_PROC_FD in build_summary_sheet.</t>
        </is>
      </c>
    </row>
    <row r="5">
      <c r="A5" t="inlineStr">
        <is>
          <t>ALL_ABOARD</t>
        </is>
      </c>
      <c r="B5" t="inlineStr">
        <is>
          <t>All Aboard</t>
        </is>
      </c>
      <c r="C5" t="n">
        <v>2</v>
      </c>
      <c r="D5" t="n">
        <v>35</v>
      </c>
      <c r="E5" t="b">
        <v>0</v>
      </c>
      <c r="F5" t="n">
        <v>1</v>
      </c>
      <c r="G5" t="n">
        <v>3</v>
      </c>
      <c r="H5" t="n">
        <v>2</v>
      </c>
      <c r="I5" t="n">
        <v>20</v>
      </c>
      <c r="J5" t="n">
        <v>100</v>
      </c>
      <c r="K5" t="n">
        <v>1</v>
      </c>
      <c r="L5" t="n">
        <v>1100</v>
      </c>
      <c r="M5" t="n">
        <v>12</v>
      </c>
      <c r="N5" t="b">
        <v>1</v>
      </c>
      <c r="O5" t="n">
        <v>0</v>
      </c>
      <c r="P5" t="n">
        <v>0</v>
      </c>
      <c r="Q5" t="n">
        <v>0</v>
      </c>
      <c r="R5" t="n">
        <v>8</v>
      </c>
      <c r="S5" t="inlineStr"/>
      <c r="T5" t="n">
        <v>0</v>
      </c>
      <c r="U5" t="inlineStr"/>
      <c r="V5" t="inlineStr"/>
      <c r="W5" t="inlineStr">
        <is>
          <t>Confirmed via maplestoryidle.info cross-reference: 'Summons the Sharpshooter Crew upon using Scurvy Summons. The Sharpshooter Crew fires bullets every 2 sec to deal 110% damage to 8 target(s) near the main target 3 time(s)' (Aug 13 patch wording, all fields already matching). Triggered BY Scurvy Summons — shares its own Cooldown(s) value (now corrected to 35s, matching Scurvy Summons' own real cooldown fix — this row has no live formula reference to that cell, so both must be kept in manual lockstep) and duration/ActiveWindow (20s, CostsActionSlot=False so it doesn't double-count the action economy), same 'rides the parent skill's cast timing' pattern as Buccaneer's own Sea Serpent's Rage riding Octopunch. factorIndex 12, baseDamage 1100 tenths%. No clean Buccaneer mastery-slot analog — left unmodeled. Ahoy Mateys target — see AHOY_MATEYS_RATIOS (0.4x Scurvy Summons' own share).</t>
        </is>
      </c>
    </row>
    <row r="6">
      <c r="A6" t="inlineStr">
        <is>
          <t>BLACKBOOT_BILL</t>
        </is>
      </c>
      <c r="B6" t="inlineStr">
        <is>
          <t>Blackboot Bill</t>
        </is>
      </c>
      <c r="C6" t="n">
        <v>3</v>
      </c>
      <c r="D6" t="n">
        <v>23</v>
      </c>
      <c r="E6" t="b">
        <v>1</v>
      </c>
      <c r="F6" t="n">
        <v>1</v>
      </c>
      <c r="G6" t="n">
        <v>4</v>
      </c>
      <c r="H6" t="n">
        <v>0</v>
      </c>
      <c r="I6" t="n">
        <v>0</v>
      </c>
      <c r="J6" t="n">
        <v>100</v>
      </c>
      <c r="K6" t="n">
        <v>1</v>
      </c>
      <c r="L6" t="n">
        <v>1700</v>
      </c>
      <c r="M6" t="n">
        <v>12</v>
      </c>
      <c r="N6" t="b">
        <v>1</v>
      </c>
      <c r="O6">
        <f>SUMPRODUCT((Inputs!$B$3&gt;={73})*{80})</f>
        <v/>
      </c>
      <c r="P6" t="n">
        <v>0</v>
      </c>
      <c r="Q6" t="n">
        <v>0</v>
      </c>
      <c r="R6" t="n">
        <v>9</v>
      </c>
      <c r="S6" t="inlineStr"/>
      <c r="T6" t="n">
        <v>0</v>
      </c>
      <c r="U6" t="n">
        <v>400</v>
      </c>
      <c r="V6" t="n">
        <v>23</v>
      </c>
      <c r="W6" t="inlineStr">
        <is>
          <t>Confirmed via maplestoryidle.info cross-reference: real 23s cooldown (corrected from a previously-assumed 20s). 'Fires a giant bullet to deal 170% damage to 9 target(s) in front 4 time(s) and stun them for 2 sec' (stun not modeled, targets already matching the Aug 13 patch's 6-&gt;9). factorIndex 12, baseDamage 1700 tenths%. Mastery mapped from Buccaneer's own Corkscrew Blow - Damage @73 (+80%) slot — both are the class's own 3rd-job unique burst skill. Maple Hero target — see MAPLE_HERO_RATIOS (2x Siege Bomber's own share).</t>
        </is>
      </c>
    </row>
    <row r="7">
      <c r="A7" t="inlineStr">
        <is>
          <t>SIEGE_BOMBER</t>
        </is>
      </c>
      <c r="B7" t="inlineStr">
        <is>
          <t>Siege Bomber</t>
        </is>
      </c>
      <c r="C7" t="n">
        <v>3</v>
      </c>
      <c r="D7" t="n">
        <v>22</v>
      </c>
      <c r="E7" t="b">
        <v>1</v>
      </c>
      <c r="F7" t="n">
        <v>1</v>
      </c>
      <c r="G7" t="n">
        <v>1</v>
      </c>
      <c r="H7" t="n">
        <v>1.5</v>
      </c>
      <c r="I7" t="n">
        <v>22</v>
      </c>
      <c r="J7" t="n">
        <v>100</v>
      </c>
      <c r="K7" t="n">
        <v>1</v>
      </c>
      <c r="L7" t="n">
        <v>1900</v>
      </c>
      <c r="M7" t="n">
        <v>12</v>
      </c>
      <c r="N7" t="b">
        <v>1</v>
      </c>
      <c r="O7" t="n">
        <v>0</v>
      </c>
      <c r="P7" t="n">
        <v>0</v>
      </c>
      <c r="Q7" t="n">
        <v>0</v>
      </c>
      <c r="R7" t="n">
        <v>6</v>
      </c>
      <c r="S7" t="inlineStr"/>
      <c r="T7" t="n">
        <v>0</v>
      </c>
      <c r="U7" t="n">
        <v>100</v>
      </c>
      <c r="V7" t="n">
        <v>23</v>
      </c>
      <c r="W7" t="inlineStr">
        <is>
          <t>Confirmed via maplestoryidle.info cross-reference: real 22s cooldown (corrected from a previously-wrong assumption that cooldown = the cannon's own 30s active duration). Real mechanic confirmed EVEN MORE specifically by the Aug 13 patch text: 'it can immediately replace itself in auto mode' — since the real cooldown (22s) is SHORTER than the cannon's own natural 30s duration, recasting replaces the still-active cannon before it would naturally expire, so ActiveWindow(s) is capped to the cooldown (22, not 30) — otherwise the standard ActiveWindow/ICD tick formula would overcount ticks from a cannon instance that no longer exists past the recast point. 'Installs a fixed cannon for 30 sec to deal 190% damage to up to 6 target(s) near the main target every 1.5 sec' (Aug 13 patch wording, all fields already matching except cooldown/window). factorIndex 12, baseDamage 1900 tenths%. Mastery Lv.68 'Siege Bomber - Setup' (+1 max setup count, first setup after combat start gets -15s cooldown) not modeled — a multi-instance/stacking economy this project has no mechanism for. No clean Buccaneer mastery-slot analog for a base damage% mastery — left unmodeled. Maple Hero target — see MAPLE_HERO_RATIOS (smallest share, ratio 1.0).</t>
        </is>
      </c>
    </row>
    <row r="8">
      <c r="A8" t="inlineStr">
        <is>
          <t>BRAIN_SCRAMBLER</t>
        </is>
      </c>
      <c r="B8" t="inlineStr">
        <is>
          <t>Brain Scrambler</t>
        </is>
      </c>
      <c r="C8" t="n">
        <v>4</v>
      </c>
      <c r="D8" t="n">
        <v>18</v>
      </c>
      <c r="E8" t="b">
        <v>1</v>
      </c>
      <c r="F8" t="n">
        <v>1</v>
      </c>
      <c r="G8" t="n">
        <v>2</v>
      </c>
      <c r="H8" t="n">
        <v>0</v>
      </c>
      <c r="I8" t="n">
        <v>0</v>
      </c>
      <c r="J8" t="n">
        <v>100</v>
      </c>
      <c r="K8" t="n">
        <v>1</v>
      </c>
      <c r="L8" t="n">
        <v>29000</v>
      </c>
      <c r="M8" t="n">
        <v>12</v>
      </c>
      <c r="N8" t="b">
        <v>1</v>
      </c>
      <c r="O8">
        <f>SUMPRODUCT((Inputs!$B$3&gt;={108})*{100})</f>
        <v/>
      </c>
      <c r="P8" t="n">
        <v>0</v>
      </c>
      <c r="Q8" t="n">
        <v>0</v>
      </c>
      <c r="R8" t="n">
        <v>1</v>
      </c>
      <c r="S8" t="inlineStr"/>
      <c r="T8" t="n">
        <v>0</v>
      </c>
      <c r="U8" t="inlineStr"/>
      <c r="V8" t="inlineStr"/>
      <c r="W8" t="inlineStr">
        <is>
          <t>Confirmed via maplestoryidle.info cross-reference: real 18s cooldown (corrected from a previously-assumed 15s), and Mastery Lv.108 'Brain Scrambler - Damage' is a real +100% (corrected from a previously role-mapped +50%, taken from Buccaneer's own Octopunch — Corsair's own real mastery is double that). 'Hits the target's head to deal 2900% damage 2 time(s).' factorIndex 12, baseDamage 29000 tenths%, single target. Also feeds Majestic Presence's own combined trigger rate — see MAJESTIC_PRESENCE's own Note.</t>
        </is>
      </c>
    </row>
    <row r="9">
      <c r="A9" t="inlineStr">
        <is>
          <t>NAUTILUS_STRIKE</t>
        </is>
      </c>
      <c r="B9" t="inlineStr">
        <is>
          <t>Nautilus Strike</t>
        </is>
      </c>
      <c r="C9" t="n">
        <v>4</v>
      </c>
      <c r="D9" t="n">
        <v>33</v>
      </c>
      <c r="E9" t="b">
        <v>1</v>
      </c>
      <c r="F9" t="n">
        <v>1</v>
      </c>
      <c r="G9" t="n">
        <v>5</v>
      </c>
      <c r="H9" t="n">
        <v>0</v>
      </c>
      <c r="I9" t="n">
        <v>0</v>
      </c>
      <c r="J9" t="n">
        <v>100</v>
      </c>
      <c r="K9" t="n">
        <v>1</v>
      </c>
      <c r="L9" t="n">
        <v>19500</v>
      </c>
      <c r="M9" t="n">
        <v>12</v>
      </c>
      <c r="N9" t="b">
        <v>1</v>
      </c>
      <c r="O9">
        <f>SUMPRODUCT((Inputs!$B$3&gt;={126})*{50})</f>
        <v/>
      </c>
      <c r="P9" t="n">
        <v>0</v>
      </c>
      <c r="Q9" t="n">
        <v>0</v>
      </c>
      <c r="R9" t="n">
        <v>15</v>
      </c>
      <c r="S9" t="inlineStr"/>
      <c r="T9" t="n">
        <v>0</v>
      </c>
      <c r="U9" t="inlineStr"/>
      <c r="V9" t="inlineStr"/>
      <c r="W9" t="inlineStr">
        <is>
          <t>CONFIRMED SHARED VERBATIM WITH BUCCANEER (byte-identical description on both classes' overview pages, on both the wiki and maplestoryidle.info: 'Orders the Nautilus to attack to deal 1950% damage to 15 nearby target(s) 5 time(s).') — reuses Buccaneer's exact (19500, 12) tuple directly. Real 33s cooldown (corrected from a previously-assumed 45s, same fix as Buccaneer's own copy — confirmed via maplestoryidle.info, a ~36% faster cast rate). Mastery mapped from Buccaneer's own Nautilus Strike - Damage @126 (+50%) slot — since this is the SAME shared skill, this mapping is higher-confidence than most other role-mapped masteries in this workbook, and independently confirmed correct via maplestoryidle.info showing the identical mastery text on both classes.</t>
        </is>
      </c>
    </row>
    <row r="10">
      <c r="A10" t="inlineStr">
        <is>
          <t>NAUTILUS_FINAL_ATTACK</t>
        </is>
      </c>
      <c r="B10" t="inlineStr">
        <is>
          <t>Nautilus Strike - Final Attack</t>
        </is>
      </c>
      <c r="C10" t="n">
        <v>4</v>
      </c>
      <c r="D10" t="n">
        <v>1</v>
      </c>
      <c r="E10" t="b">
        <v>0</v>
      </c>
      <c r="F10" t="n">
        <v>1</v>
      </c>
      <c r="G10" t="n">
        <v>1</v>
      </c>
      <c r="H10" t="n">
        <v>0</v>
      </c>
      <c r="I10" t="n">
        <v>0</v>
      </c>
      <c r="J10" t="n">
        <v>30</v>
      </c>
      <c r="K10" t="n">
        <v>1</v>
      </c>
      <c r="L10" t="n">
        <v>8500</v>
      </c>
      <c r="M10" t="n">
        <v>21</v>
      </c>
      <c r="N10" t="b">
        <v>1</v>
      </c>
      <c r="O10" t="n">
        <v>0</v>
      </c>
      <c r="P10" t="n">
        <v>0</v>
      </c>
      <c r="Q10" t="n">
        <v>0</v>
      </c>
      <c r="R10" t="n">
        <v>1</v>
      </c>
      <c r="S10" t="inlineStr"/>
      <c r="T10" t="n">
        <v>0</v>
      </c>
      <c r="U10" t="inlineStr"/>
      <c r="V10" t="inlineStr"/>
      <c r="W10" t="inlineStr">
        <is>
          <t>CONFIRMED SHARED VERBATIM WITH BUCCANEER — same Mastery Lv.113 proc mechanic, same patch note applies identically to both classes: '[Nautilus Strike in Slot] When attacking, deals 850% additional damage' — PATCHED: trigger chance 15%-&gt;30%, 'cooldown set to 1s' (both baked in directly: ProcChance%=30, Cooldown(s)=1). Reuses Buccaneer's exact row shape/tuple directly. Triggers off basic attacks generically (CostsActionSlot=False), factorIndex 21, baseDamage 8500 tenths%.</t>
        </is>
      </c>
    </row>
    <row r="11">
      <c r="A11" t="inlineStr">
        <is>
          <t>RAPID_FIRE</t>
        </is>
      </c>
      <c r="B11" t="inlineStr">
        <is>
          <t>Rapid Fire</t>
        </is>
      </c>
      <c r="C11" t="n">
        <v>4</v>
      </c>
      <c r="D11" t="n">
        <v>17</v>
      </c>
      <c r="E11" t="b">
        <v>1</v>
      </c>
      <c r="F11" t="n">
        <v>1</v>
      </c>
      <c r="G11" t="n">
        <v>7</v>
      </c>
      <c r="H11" t="n">
        <v>0</v>
      </c>
      <c r="I11" t="n">
        <v>0</v>
      </c>
      <c r="J11" t="n">
        <v>100</v>
      </c>
      <c r="K11" t="n">
        <v>1</v>
      </c>
      <c r="L11" t="n">
        <v>18000</v>
      </c>
      <c r="M11" t="n">
        <v>12</v>
      </c>
      <c r="N11" t="b">
        <v>1</v>
      </c>
      <c r="O11" t="n">
        <v>0</v>
      </c>
      <c r="P11" t="n">
        <v>0</v>
      </c>
      <c r="Q11" t="n">
        <v>0</v>
      </c>
      <c r="R11" t="n">
        <v>9</v>
      </c>
      <c r="S11" t="inlineStr"/>
      <c r="T11" t="n">
        <v>0</v>
      </c>
      <c r="U11" t="inlineStr"/>
      <c r="V11" t="inlineStr"/>
      <c r="W11" t="inlineStr">
        <is>
          <t>CONFIRMED via maplestoryidle.info's own Aug 13 patch overlay (not just the base skill text, which shows the PRE-patch 21s/1350%/single-target values): 'Fires bullets at a very high speed 7 time(s) to deal 1800% damage each to up to 9 targets in front', cooldown '17 sec' — every field here (17s cooldown, 18000 tenths%=1800%, 9 targets) already exactly matches this project's own prior PATCHED assumption, now independently confirmed correct rather than inferred from patch notes alone. factorIndex 12, baseDamage 18000 tenths%. No clean Buccaneer mastery-slot analog — left unmodeled. Also feeds Majestic Presence's own combined trigger rate.</t>
        </is>
      </c>
    </row>
    <row r="12">
      <c r="A12" t="inlineStr">
        <is>
          <t>BROADSIDE_BURST</t>
        </is>
      </c>
      <c r="B12" t="inlineStr">
        <is>
          <t>Broadside (initial burst)</t>
        </is>
      </c>
      <c r="C12" t="n">
        <v>4</v>
      </c>
      <c r="D12" t="n">
        <v>20</v>
      </c>
      <c r="E12" t="b">
        <v>1</v>
      </c>
      <c r="F12" t="n">
        <v>1</v>
      </c>
      <c r="G12" t="n">
        <v>2</v>
      </c>
      <c r="H12" t="n">
        <v>0</v>
      </c>
      <c r="I12" t="n">
        <v>0</v>
      </c>
      <c r="J12" t="n">
        <v>100</v>
      </c>
      <c r="K12" t="n">
        <v>1</v>
      </c>
      <c r="L12" t="n">
        <v>50000</v>
      </c>
      <c r="M12" t="n">
        <v>12</v>
      </c>
      <c r="N12" t="b">
        <v>1</v>
      </c>
      <c r="O12" t="n">
        <v>0</v>
      </c>
      <c r="P12" t="n">
        <v>0</v>
      </c>
      <c r="Q12" t="n">
        <v>0</v>
      </c>
      <c r="R12" t="n">
        <v>10</v>
      </c>
      <c r="S12" t="inlineStr"/>
      <c r="T12" t="n">
        <v>0</v>
      </c>
      <c r="U12" t="inlineStr"/>
      <c r="V12" t="inlineStr"/>
      <c r="W12" t="inlineStr">
        <is>
          <t>Confirmed via maplestoryidle.info's own Aug 13 patch overlay: 'Summons the Nautilus's Battleship. The Battleship arrives behind 3 sec later and deals 5000% damage to 10 nearby target(s) 2 time(s)...During auto-combat, the Battleship immediately replaces itself even when already deployed' (the 3s arrival delay is not modeled — folded into a same-cast instant hit, same simplification tier as every other 'delayed burst' skill in this project). Real 20s cooldown (corrected from a previously-wrong assumption that cooldown = the sustained phase's own 30s duration). factorIndex 12, baseDamage 50000 tenths% (matches the patch's 5000%, already correct). The previously-assumed Mastery Lv.122 '+100% damage' (role-mapped from Buccaneer's own Sea Serpent's Rage) is REMOVED: Corsair's own real Broadside masteries (confirmed via maplestoryidle.info) are only Lv.118 'Bombardment' and Lv.138 'Setup' — neither is a flat damage% bonus, so the role-mapped Lv.122 entry was a phantom, not a real mastery. This row pays the real Cooldown(s)/action-slot cost; see BROADSIDE_SUSTAINED for the follow-up turret phase, which rides this row's own cast timing. Mastery Lv.118 'Broadside - Bombardment' (every attack becomes a bombardment dealing 1900% damage to 8 targets 3 times, replacing the normal sustained-turret tick) and Lv.138 'Broadside - Setup' (+1 max setup, first setup gets -15s cooldown) are both real but unmodeled — a mastery-gated attack-pattern swap and a multi-instance stacking economy, respectively, judged out of scope for this pass.</t>
        </is>
      </c>
    </row>
    <row r="13">
      <c r="A13" t="inlineStr">
        <is>
          <t>BROADSIDE_SUSTAINED</t>
        </is>
      </c>
      <c r="B13" t="inlineStr">
        <is>
          <t>Broadside (sustained turret)</t>
        </is>
      </c>
      <c r="C13" t="n">
        <v>4</v>
      </c>
      <c r="D13" t="n">
        <v>20</v>
      </c>
      <c r="E13" t="b">
        <v>0</v>
      </c>
      <c r="F13" t="n">
        <v>1</v>
      </c>
      <c r="G13" t="n">
        <v>1</v>
      </c>
      <c r="H13" t="n">
        <v>2</v>
      </c>
      <c r="I13" t="n">
        <v>20</v>
      </c>
      <c r="J13" t="n">
        <v>100</v>
      </c>
      <c r="K13" t="n">
        <v>1</v>
      </c>
      <c r="L13" t="n">
        <v>3300</v>
      </c>
      <c r="M13" t="n">
        <v>12</v>
      </c>
      <c r="N13" t="b">
        <v>1</v>
      </c>
      <c r="O13" t="n">
        <v>0</v>
      </c>
      <c r="P13" t="n">
        <v>0</v>
      </c>
      <c r="Q13" t="n">
        <v>0</v>
      </c>
      <c r="R13" t="n">
        <v>5</v>
      </c>
      <c r="S13" t="inlineStr"/>
      <c r="T13" t="n">
        <v>0</v>
      </c>
      <c r="U13" t="inlineStr"/>
      <c r="V13" t="inlineStr"/>
      <c r="W13" t="inlineStr">
        <is>
          <t>FIXED A REAL 10x MAGNITUDE BUG: the wiki's own text read '3300% damage...every 2 sec' (now confirmed a wiki content error, corrected baseDamage from 33000 to 3300 tenths%) — maplestoryidle.info (both its base skill text AND its Aug 13 patch overlay, matching consistently) confirms the real value is '330% damage to target(s) in front of the Battleship every 2 sec', a full order of magnitude smaller. Also corrected the shared Cooldown(s)/ActiveWindow(s) from 30 to 20 to match BROADSIDE_BURST's own real cooldown fix (this row has no live formula reference to that cell, so both must be kept in manual lockstep). Target count (5) matches the Aug 13 patch's own confirmed value (unchanged from the pre-patch baseline, unlike the burst phase's own 5-&gt;10 change) — the earlier 'genuinely unstated whether patched' flag is resolved. factorIndex 12, baseDamage 3300 tenths%. Shares BROADSIDE_BURST's own Cooldown(s) value (same cast timing, CostsActionSlot=False so it doesn't double-count the action economy) — same 'rides the parent's cast timing' pattern as ALL_ABOARD riding SCURVY_SUMMONS. Mastery Lv.118 'Bombardment' (see BROADSIDE_BURST's own Note) would replace this row's own tick pattern entirely once unlocked — not modeled, same as that row's own documented gap.</t>
        </is>
      </c>
    </row>
    <row r="14">
      <c r="A14" t="inlineStr">
        <is>
          <t>MAJESTIC_PRESENCE</t>
        </is>
      </c>
      <c r="B14" t="inlineStr">
        <is>
          <t>Majestic Presence</t>
        </is>
      </c>
      <c r="C14" t="n">
        <v>4</v>
      </c>
      <c r="D14" t="inlineStr"/>
      <c r="E14" t="b">
        <v>0</v>
      </c>
      <c r="F14" t="n">
        <v>1</v>
      </c>
      <c r="G14" t="n">
        <v>1</v>
      </c>
      <c r="H14" t="n">
        <v>0</v>
      </c>
      <c r="I14" t="n">
        <v>0</v>
      </c>
      <c r="J14" t="n">
        <v>25</v>
      </c>
      <c r="K14" t="n">
        <v>1</v>
      </c>
      <c r="L14" t="n">
        <v>18000</v>
      </c>
      <c r="M14" t="n">
        <v>12</v>
      </c>
      <c r="N14" t="b">
        <v>1</v>
      </c>
      <c r="O14">
        <f>SUMPRODUCT((Inputs!$B$3&gt;={134})*{50})</f>
        <v/>
      </c>
      <c r="P14" t="n">
        <v>0</v>
      </c>
      <c r="Q14" t="n">
        <v>0</v>
      </c>
      <c r="R14" t="n">
        <v>6</v>
      </c>
      <c r="S14" t="inlineStr"/>
      <c r="T14" t="n">
        <v>0</v>
      </c>
      <c r="U14" t="inlineStr"/>
      <c r="V14" t="inlineStr"/>
      <c r="W14" t="inlineStr">
        <is>
          <t>Confirmed via maplestoryidle.info's own Aug 13 patch overlay: 'deals 1800% additional damage to up to 6 nearby targets with a 25% chance' — every field here (18000 tenths%, 6 targets, 25% chance) already matched. Mastery Lv.134 'Majestic Presence - Damage' +50% (real SkillMasteryBonus%, confirmed via maplestoryidle.info — previously missing entirely). Procs off THREE independent sources (Basic Attack + Brain Scrambler + Rapid Fire) — has no Cooldown(s) of its own at all (CostsActionSlot=False); its own combined trigger rate is built directly in build_calc_sheet/build_stat_block as Summary!$B$R_BAPS (basic attack rate) + Brain Scrambler's own HitRate(perSec) + Rapid Fire's own HitRate(perSec), extending Marksman's own Bolt Surplus dual-trigger pattern to three sources instead of two. No clean Buccaneer mastery-slot analog — left unmodeled.</t>
        </is>
      </c>
    </row>
    <row r="15">
      <c r="A15" t="inlineStr">
        <is>
          <t>MAPLE_HERO_HELPER</t>
        </is>
      </c>
      <c r="B15" t="inlineStr">
        <is>
          <t>Maple Hero (helper)</t>
        </is>
      </c>
      <c r="C15" t="n">
        <v>4</v>
      </c>
      <c r="D15" t="inlineStr"/>
      <c r="E15" t="b">
        <v>0</v>
      </c>
      <c r="F15" t="n">
        <v>1</v>
      </c>
      <c r="G15" t="n">
        <v>1</v>
      </c>
      <c r="H15" t="n">
        <v>0</v>
      </c>
      <c r="I15" t="n">
        <v>0</v>
      </c>
      <c r="J15" t="n">
        <v>100</v>
      </c>
      <c r="K15" t="n">
        <v>1</v>
      </c>
      <c r="L15" t="n">
        <v>200</v>
      </c>
      <c r="M15" t="n">
        <v>23</v>
      </c>
      <c r="N15" t="b">
        <v>1</v>
      </c>
      <c r="O15" t="n">
        <v>0</v>
      </c>
      <c r="P15" t="n">
        <v>0</v>
      </c>
      <c r="Q15" t="n">
        <v>0</v>
      </c>
      <c r="R15" t="n">
        <v>0</v>
      </c>
      <c r="S15" t="inlineStr"/>
      <c r="T15" t="n">
        <v>0</v>
      </c>
      <c r="U15" t="inlineStr"/>
      <c r="V15" t="inlineStr"/>
      <c r="W15" t="inlineStr">
        <is>
          <t>Shared ratio-feeder row (see MAPLE_HERO_RATIOS) for Siege Bomber/Blackboot Bill/Swift Fire's own Final Damage chains — mirrors every other class's own Maple Hero mechanism. UNLIKE Buccaneer's own truncated entry, Corsair's level-1 anchor values ARE real/confirmed: 'Siege Bomber 20%, Blackboot Bill 40%, Swift Fire 80%.' FLAGGED ASSUMPTION: factorIndex 23 (the universal Maple Hero growth-curve convention confirmed on every other class), baseDamage 200 tenths% anchored to the confirmed level-1 value (20%). No individual Maple_Hero_(Corsair) page exists to verify the real growth curve. No independent DPS row of its own (Calc columns J-N blank/0, only D/E/F computed, read directly by each target row's own K-column formula).</t>
        </is>
      </c>
    </row>
    <row r="16">
      <c r="A16" t="inlineStr">
        <is>
          <t>AHOY_MATEYS_HELPER</t>
        </is>
      </c>
      <c r="B16" t="inlineStr">
        <is>
          <t>Ahoy Mateys (helper)</t>
        </is>
      </c>
      <c r="C16" t="n">
        <v>4</v>
      </c>
      <c r="D16" t="inlineStr"/>
      <c r="E16" t="b">
        <v>0</v>
      </c>
      <c r="F16" t="n">
        <v>1</v>
      </c>
      <c r="G16" t="n">
        <v>1</v>
      </c>
      <c r="H16" t="n">
        <v>0</v>
      </c>
      <c r="I16" t="n">
        <v>0</v>
      </c>
      <c r="J16" t="n">
        <v>100</v>
      </c>
      <c r="K16" t="n">
        <v>1</v>
      </c>
      <c r="L16" t="n">
        <v>2500</v>
      </c>
      <c r="M16" t="n">
        <v>22</v>
      </c>
      <c r="N16" t="b">
        <v>1</v>
      </c>
      <c r="O16" t="n">
        <v>0</v>
      </c>
      <c r="P16" t="n">
        <v>0</v>
      </c>
      <c r="Q16" t="n">
        <v>0</v>
      </c>
      <c r="R16" t="n">
        <v>0</v>
      </c>
      <c r="S16" t="inlineStr"/>
      <c r="T16" t="n">
        <v>0</v>
      </c>
      <c r="U16" t="inlineStr"/>
      <c r="V16" t="inlineStr"/>
      <c r="W16" t="inlineStr">
        <is>
          <t>Shared ratio-feeder row (see AHOY_MATEYS_RATIOS) for Scurvy Summons/All Aboard's own Final Damage chains — a SEPARATE, independent helper from Maple Hero (Ahoy Mateys is its own skill, not literally 'Maple Hero'), same 'no independent DPS row' mechanism. FLAGGED ASSUMPTION: factorIndex 22 (generic buff-growth convention, not tied to Maple Hero's own special factorIndex 23 since this is a genuinely different skill), baseDamage 2500 tenths% anchored to the confirmed level-1 value (250%, Scurvy Summons' own share). No individual wiki page exists for this skill at all — even its unlock level is a bare position-in-list assumption.</t>
        </is>
      </c>
    </row>
    <row r="17">
      <c r="A17" t="inlineStr">
        <is>
          <t>ROLL_OF_THE_DICE_DICE</t>
        </is>
      </c>
      <c r="B17" t="inlineStr">
        <is>
          <t>Roll of the Dice (dice component)</t>
        </is>
      </c>
      <c r="C17" t="n">
        <v>3</v>
      </c>
      <c r="D17" t="inlineStr"/>
      <c r="E17" t="b">
        <v>0</v>
      </c>
      <c r="F17" t="n">
        <v>1</v>
      </c>
      <c r="G17" t="n">
        <v>1</v>
      </c>
      <c r="H17" t="n">
        <v>0</v>
      </c>
      <c r="I17" t="n">
        <v>0</v>
      </c>
      <c r="J17" t="n">
        <v>100</v>
      </c>
      <c r="K17" t="n">
        <v>1</v>
      </c>
      <c r="L17" t="n">
        <v>25</v>
      </c>
      <c r="M17" t="n">
        <v>22</v>
      </c>
      <c r="N17" t="b">
        <v>1</v>
      </c>
      <c r="O17" t="n">
        <v>0</v>
      </c>
      <c r="P17" t="n">
        <v>0</v>
      </c>
      <c r="Q17" t="n">
        <v>0</v>
      </c>
      <c r="R17" t="n">
        <v>0</v>
      </c>
      <c r="S17" t="inlineStr">
        <is>
          <t>ATTACK</t>
        </is>
      </c>
      <c r="T17" t="n">
        <v>0</v>
      </c>
      <c r="U17" t="inlineStr"/>
      <c r="V17" t="inlineStr"/>
      <c r="W17" t="inlineStr">
        <is>
          <t>CONFIRMED SHARED VERBATIM WITH BUCCANEER (byte-identical wording on both wiki and maplestoryidle.info): 'Increases Attack by 20%. Rolls a six-sided die every 7 sec to increase Attack by 0-5% in proportion to the number on the die for 5 sec. A number that has appeared once does not appear again for 30 sec.' Reuses Buccaneer's exact treatment: this row models ONLY the random dice component. The 'no repeat within 30s' rule guarantees a uniform long-run frequency over the 6 faces regardless of draw order, so the time-averaged roll magnitude is exactly the simple mean of 0/1/2/3/4/5% = 2.5% (not an approximation) — baseDamage 25 tenths% is this mean. The 7s-roll/5s-duration timing IS now modeled as a real duty cycle: the buff is only up 5 of every 7 sec, applied as a 5/7 multiplier at this row's own use site (the Attack%% bucket multiplier), not always-active. The flat, unconditional +20% Attack base effect is Magic-Critical-pattern (assumed already reflected in your own Inputs!ATTACK_PCT, see PASSIVE_DELTA_SLOT). factorIndex 22 (matches every other Magic-Critical-pattern flat buff row, e.g. Crossbones/Jolly Roger) — same correction as Buccaneer's own copy, see that build script's Note for the full reasoning.</t>
        </is>
      </c>
    </row>
    <row r="18">
      <c r="A18" t="inlineStr">
        <is>
          <t>JOLLY_ROGER_FD</t>
        </is>
      </c>
      <c r="B18" t="inlineStr">
        <is>
          <t>Jolly Roger</t>
        </is>
      </c>
      <c r="C18" t="n">
        <v>4</v>
      </c>
      <c r="D18" t="n">
        <v>42</v>
      </c>
      <c r="E18" t="b">
        <v>1</v>
      </c>
      <c r="F18" t="n">
        <v>1</v>
      </c>
      <c r="G18" t="n">
        <v>1</v>
      </c>
      <c r="H18" t="n">
        <v>0</v>
      </c>
      <c r="I18" t="n">
        <v>0</v>
      </c>
      <c r="J18" t="n">
        <v>100</v>
      </c>
      <c r="K18" t="n">
        <v>1</v>
      </c>
      <c r="L18" t="n">
        <v>150</v>
      </c>
      <c r="M18" t="n">
        <v>22</v>
      </c>
      <c r="N18" t="b">
        <v>1</v>
      </c>
      <c r="O18" t="n">
        <v>0</v>
      </c>
      <c r="P18" t="n">
        <v>0</v>
      </c>
      <c r="Q18" t="n">
        <v>0</v>
      </c>
      <c r="R18" t="n">
        <v>0</v>
      </c>
      <c r="S18" t="inlineStr">
        <is>
          <t>FINAL_DAMAGE</t>
        </is>
      </c>
      <c r="T18" t="n">
        <v>18</v>
      </c>
      <c r="U18" t="inlineStr"/>
      <c r="V18" t="inlineStr"/>
      <c r="W18" t="inlineStr">
        <is>
          <t>Confirmed via maplestoryidle.info cross-reference: a real Type=Active cast (mpCost 110, 42s cooldown), not a passive — CostsActionSlot corrected from False to True and given its real 42s cooldown/18s duration (previously modeled as an always-active, no-cooldown-known passive, which both overstated its uptime to 100% AND wrongly gave it a free action-economy ride, same fix as Buccaneer's own Crossbones/Time Leap). Duty-cycle averaged now via the standard buff_uptime() helper. 'Increases Final Damage by 18% for 18 sec but decreases Evasion by 5' (Evasion not modeled). PATCHED: Final Damage 18%-&gt;15% (a nerf — baseDamage already reflects this). factorIndex 22, baseDamage 150 tenths%. Corsair's ONLY live (non-Magic-Critical) Final Damage source — feeds R_FD_BONUS directly.</t>
        </is>
      </c>
    </row>
    <row r="19">
      <c r="A19" t="inlineStr">
        <is>
          <t>SHADOW_HEART</t>
        </is>
      </c>
      <c r="B19" t="inlineStr">
        <is>
          <t>Shadow Heart</t>
        </is>
      </c>
      <c r="C19" t="n">
        <v>1</v>
      </c>
      <c r="D19" t="inlineStr"/>
      <c r="E19" t="b">
        <v>0</v>
      </c>
      <c r="F19" t="n">
        <v>1</v>
      </c>
      <c r="G19" t="n">
        <v>1</v>
      </c>
      <c r="H19" t="n">
        <v>0</v>
      </c>
      <c r="I19" t="n">
        <v>0</v>
      </c>
      <c r="J19" t="n">
        <v>100</v>
      </c>
      <c r="K19" t="n">
        <v>1</v>
      </c>
      <c r="L19" t="n">
        <v>54</v>
      </c>
      <c r="M19" t="n">
        <v>22</v>
      </c>
      <c r="N19" t="b">
        <v>1</v>
      </c>
      <c r="O19" t="n">
        <v>0</v>
      </c>
      <c r="P19" t="n">
        <v>0</v>
      </c>
      <c r="Q19" t="n">
        <v>0</v>
      </c>
      <c r="R19" t="n">
        <v>0</v>
      </c>
      <c r="S19" t="inlineStr">
        <is>
          <t>CRIT_RATE</t>
        </is>
      </c>
      <c r="T19" t="n">
        <v>0</v>
      </c>
      <c r="U19" t="inlineStr"/>
      <c r="V19" t="inlineStr"/>
      <c r="W19" t="inlineStr">
        <is>
          <t>Magic Critical pattern — already baked into Inputs!CRIT_RATE%; feeds the 1st-Job Skill Level Bonus delta. Confirmed via maplestoryidle.info cross-reference (a real, class-specific value, NOT identical to Buccaneer's own 5% as previously assumed): 'Increases Critical Rate by 5.4%.' factorIndex 22, baseDamage 54 tenths% (corrected from a previously-assumed 50).</t>
        </is>
      </c>
    </row>
    <row r="20">
      <c r="A20" t="inlineStr">
        <is>
          <t>QUICK_MOTION</t>
        </is>
      </c>
      <c r="B20" t="inlineStr">
        <is>
          <t>Quick Motion</t>
        </is>
      </c>
      <c r="C20" t="n">
        <v>1</v>
      </c>
      <c r="D20" t="inlineStr"/>
      <c r="E20" t="b">
        <v>0</v>
      </c>
      <c r="F20" t="n">
        <v>1</v>
      </c>
      <c r="G20" t="n">
        <v>1</v>
      </c>
      <c r="H20" t="n">
        <v>0</v>
      </c>
      <c r="I20" t="n">
        <v>0</v>
      </c>
      <c r="J20" t="n">
        <v>100</v>
      </c>
      <c r="K20" t="n">
        <v>1</v>
      </c>
      <c r="L20" t="n">
        <v>65</v>
      </c>
      <c r="M20" t="n">
        <v>22</v>
      </c>
      <c r="N20" t="b">
        <v>1</v>
      </c>
      <c r="O20">
        <f>SUMPRODUCT((Inputs!$B$3&gt;={24})*{5})</f>
        <v/>
      </c>
      <c r="P20" t="n">
        <v>0</v>
      </c>
      <c r="Q20" t="n">
        <v>0</v>
      </c>
      <c r="R20" t="n">
        <v>0</v>
      </c>
      <c r="S20" t="inlineStr">
        <is>
          <t>ATTACK_SPEED</t>
        </is>
      </c>
      <c r="T20" t="n">
        <v>0</v>
      </c>
      <c r="U20" t="inlineStr"/>
      <c r="V20" t="inlineStr"/>
      <c r="W20" t="inlineStr">
        <is>
          <t>Magic Critical pattern — already baked into Inputs!ATTACK_SPEED%; feeds the 1st-Job Skill Level Bonus delta. Confirmed via maplestoryidle.info cross-reference (a real, class-specific value, NOT identical to Buccaneer's own 6.1% as previously assumed): 'Increases Attack Speed by 6.5% and Speed by 8.7%' (Speed not modeled). Like Buccaneer, Corsair has NO Nimble-Feet-style live AS buff — Quick Motion is a flat passive. factorIndex 22, baseDamage 65 tenths% (corrected from a previously-assumed 60). Mastery Lv.24 'Quick Motion - Speed' +5%p Attack Speed (real SkillMasteryBonus%, confirmed via maplestoryidle.info — previously missing entirely).</t>
        </is>
      </c>
    </row>
    <row r="21">
      <c r="A21" t="inlineStr">
        <is>
          <t>AGILE_GUNS</t>
        </is>
      </c>
      <c r="B21" t="inlineStr">
        <is>
          <t>Agile Guns</t>
        </is>
      </c>
      <c r="C21" t="n">
        <v>2</v>
      </c>
      <c r="D21" t="inlineStr"/>
      <c r="E21" t="b">
        <v>0</v>
      </c>
      <c r="F21" t="n">
        <v>1</v>
      </c>
      <c r="G21" t="n">
        <v>1</v>
      </c>
      <c r="H21" t="n">
        <v>0</v>
      </c>
      <c r="I21" t="n">
        <v>0</v>
      </c>
      <c r="J21" t="n">
        <v>100</v>
      </c>
      <c r="K21" t="n">
        <v>1</v>
      </c>
      <c r="L21" t="n">
        <v>50</v>
      </c>
      <c r="M21" t="n">
        <v>22</v>
      </c>
      <c r="N21" t="b">
        <v>1</v>
      </c>
      <c r="O21">
        <f>SUMPRODUCT((Inputs!$B$3&gt;={44})*{7})</f>
        <v/>
      </c>
      <c r="P21" t="n">
        <v>0</v>
      </c>
      <c r="Q21" t="n">
        <v>0</v>
      </c>
      <c r="R21" t="n">
        <v>0</v>
      </c>
      <c r="S21" t="inlineStr">
        <is>
          <t>ATTACK_SPEED</t>
        </is>
      </c>
      <c r="T21" t="n">
        <v>0</v>
      </c>
      <c r="U21" t="inlineStr"/>
      <c r="V21" t="inlineStr"/>
      <c r="W21" t="inlineStr">
        <is>
          <t>Magic Critical pattern — already baked into Inputs!ATTACK_SPEED%; feeds the 2nd-Job Skill Level Bonus delta. FLAGGED ASSUMPTION (no individual wiki page exists): 'Increases Attack Speed by 5%.' factorIndex 22, baseDamage 50 tenths%. Mastery mapped from Buccaneer's own Agile Knuckles - Speed @44 (+7) slot — both are the class's own AS passive in the same kit-slot role.</t>
        </is>
      </c>
    </row>
    <row r="22">
      <c r="A22" t="inlineStr">
        <is>
          <t>GUN_MASTERY</t>
        </is>
      </c>
      <c r="B22" t="inlineStr">
        <is>
          <t>Gun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FLAGGED ASSUMPTION (no individual wiki page exists): 'Increases Min Damage Multiplier by 15%.' factorIndex 22, baseDamage 150 tenths% — matches Buccaneer's own Knuckle Mastery exactly (same kit-slot role, no mastery bonus in either class).</t>
        </is>
      </c>
    </row>
    <row r="23">
      <c r="A23" t="inlineStr">
        <is>
          <t>PHYSICAL_TRAINING</t>
        </is>
      </c>
      <c r="B23" t="inlineStr">
        <is>
          <t>Physical Training</t>
        </is>
      </c>
      <c r="C23" t="n">
        <v>2</v>
      </c>
      <c r="D23" t="inlineStr"/>
      <c r="E23" t="b">
        <v>0</v>
      </c>
      <c r="F23" t="n">
        <v>1</v>
      </c>
      <c r="G23" t="n">
        <v>1</v>
      </c>
      <c r="H23" t="n">
        <v>0</v>
      </c>
      <c r="I23" t="n">
        <v>0</v>
      </c>
      <c r="J23" t="n">
        <v>100</v>
      </c>
      <c r="K23" t="n">
        <v>1</v>
      </c>
      <c r="L23" t="n">
        <v>100</v>
      </c>
      <c r="M23" t="n">
        <v>22</v>
      </c>
      <c r="N23" t="b">
        <v>1</v>
      </c>
      <c r="O23" t="n">
        <v>0</v>
      </c>
      <c r="P23" t="n">
        <v>0</v>
      </c>
      <c r="Q23" t="n">
        <v>0</v>
      </c>
      <c r="R23" t="n">
        <v>0</v>
      </c>
      <c r="S23" t="inlineStr">
        <is>
          <t>BASIC_ATTACK_DAMAGE</t>
        </is>
      </c>
      <c r="T23" t="n">
        <v>0</v>
      </c>
      <c r="U23" t="inlineStr"/>
      <c r="V23" t="inlineStr"/>
      <c r="W23" t="inlineStr">
        <is>
          <t>Magic Critical pattern — already baked into Inputs!BASIC_ATTACK_DAMAGE%; feeds the 2nd-Job Skill Level Bonus delta. FLAGGED ASSUMPTION (no individual wiki page exists, though byte-identical wording to every other class's own Physical Training): 'Increases Basic Attack Damage by 10%.' factorIndex 22, baseDamage 100 tenths%.</t>
        </is>
      </c>
    </row>
    <row r="24">
      <c r="A24" t="inlineStr">
        <is>
          <t>INFINITY_BLAST_ATK</t>
        </is>
      </c>
      <c r="B24" t="inlineStr">
        <is>
          <t>Infinity Blast</t>
        </is>
      </c>
      <c r="C24" t="n">
        <v>2</v>
      </c>
      <c r="D24" t="inlineStr"/>
      <c r="E24" t="b">
        <v>0</v>
      </c>
      <c r="F24" t="n">
        <v>1</v>
      </c>
      <c r="G24" t="n">
        <v>1</v>
      </c>
      <c r="H24" t="n">
        <v>0</v>
      </c>
      <c r="I24" t="n">
        <v>0</v>
      </c>
      <c r="J24" t="n">
        <v>100</v>
      </c>
      <c r="K24" t="n">
        <v>1</v>
      </c>
      <c r="L24" t="n">
        <v>120</v>
      </c>
      <c r="M24" t="n">
        <v>22</v>
      </c>
      <c r="N24" t="b">
        <v>1</v>
      </c>
      <c r="O24" t="n">
        <v>0</v>
      </c>
      <c r="P24" t="n">
        <v>0</v>
      </c>
      <c r="Q24" t="n">
        <v>0</v>
      </c>
      <c r="R24" t="n">
        <v>0</v>
      </c>
      <c r="S24" t="inlineStr">
        <is>
          <t>ATTACK</t>
        </is>
      </c>
      <c r="T24" t="n">
        <v>0</v>
      </c>
      <c r="U24" t="inlineStr"/>
      <c r="V24" t="inlineStr"/>
      <c r="W24" t="inlineStr">
        <is>
          <t>Magic Critical pattern — already baked into Inputs!ATTACK_PCT (folds into the attack_mult delta bucket, same slot as Buccaneer's own Dark Clarity). FLAGGED ASSUMPTION (no individual wiki page exists): 'Increases Attack by 10%.' PATCHED: 10%-&gt;12% (baseDamage already reflects this). factorIndex 22, baseDamage 120 tenths%.</t>
        </is>
      </c>
    </row>
    <row r="25">
      <c r="A25" t="inlineStr">
        <is>
          <t>FULLMETAL_JACKET_CD</t>
        </is>
      </c>
      <c r="B25" t="inlineStr">
        <is>
          <t>Fullmetal Jacket</t>
        </is>
      </c>
      <c r="C25" t="n">
        <v>3</v>
      </c>
      <c r="D25" t="inlineStr"/>
      <c r="E25" t="b">
        <v>0</v>
      </c>
      <c r="F25" t="n">
        <v>1</v>
      </c>
      <c r="G25" t="n">
        <v>1</v>
      </c>
      <c r="H25" t="n">
        <v>0</v>
      </c>
      <c r="I25" t="n">
        <v>0</v>
      </c>
      <c r="J25" t="n">
        <v>100</v>
      </c>
      <c r="K25" t="n">
        <v>1</v>
      </c>
      <c r="L25" t="n">
        <v>100</v>
      </c>
      <c r="M25" t="n">
        <v>22</v>
      </c>
      <c r="N25" t="b">
        <v>1</v>
      </c>
      <c r="O25" t="n">
        <v>0</v>
      </c>
      <c r="P25" t="n">
        <v>0</v>
      </c>
      <c r="Q25" t="n">
        <v>0</v>
      </c>
      <c r="R25" t="n">
        <v>0</v>
      </c>
      <c r="S25" t="inlineStr">
        <is>
          <t>CRIT_DAMAGE</t>
        </is>
      </c>
      <c r="T25" t="n">
        <v>0</v>
      </c>
      <c r="U25" t="inlineStr"/>
      <c r="V25" t="inlineStr"/>
      <c r="W25" t="inlineStr">
        <is>
          <t>Magic Critical pattern — already baked into Inputs!CRIT_DAMAGE%; feeds the 3rd-Job Skill Level Bonus delta. FLAGGED ASSUMPTION (no individual wiki page exists): 'Increases Critical Damage by 10%.' factorIndex 22, baseDamage 100 tenths%.</t>
        </is>
      </c>
    </row>
    <row r="26">
      <c r="A26" t="inlineStr">
        <is>
          <t>CROSS_CUT_BLAST_FD</t>
        </is>
      </c>
      <c r="B26" t="inlineStr">
        <is>
          <t>Cross Cut Blast</t>
        </is>
      </c>
      <c r="C26" t="n">
        <v>3</v>
      </c>
      <c r="D26" t="inlineStr"/>
      <c r="E26" t="b">
        <v>0</v>
      </c>
      <c r="F26" t="n">
        <v>1</v>
      </c>
      <c r="G26" t="n">
        <v>1</v>
      </c>
      <c r="H26" t="n">
        <v>0</v>
      </c>
      <c r="I26" t="n">
        <v>0</v>
      </c>
      <c r="J26" t="n">
        <v>100</v>
      </c>
      <c r="K26" t="n">
        <v>1</v>
      </c>
      <c r="L26" t="n">
        <v>120</v>
      </c>
      <c r="M26" t="n">
        <v>22</v>
      </c>
      <c r="N26" t="b">
        <v>1</v>
      </c>
      <c r="O26" t="n">
        <v>0</v>
      </c>
      <c r="P26" t="n">
        <v>0</v>
      </c>
      <c r="Q26" t="n">
        <v>0</v>
      </c>
      <c r="R26" t="n">
        <v>0</v>
      </c>
      <c r="S26" t="inlineStr">
        <is>
          <t>FINAL_DAMAGE</t>
        </is>
      </c>
      <c r="T26" t="n">
        <v>0</v>
      </c>
      <c r="U26" t="inlineStr"/>
      <c r="V26" t="inlineStr"/>
      <c r="W26" t="inlineStr">
        <is>
          <t>Magic Critical pattern — already baked into Inputs!FINAL_DAMAGE%; feeds the 3rd-Job Skill Level Bonus delta. FLAGGED ASSUMPTION (no individual wiki page exists): 'Increases Final Damage by 10%.' PATCHED: 10%-&gt;12% (baseDamage already reflects this). factorIndex 22, baseDamage 120 tenths%.</t>
        </is>
      </c>
    </row>
    <row r="27">
      <c r="A27" t="inlineStr">
        <is>
          <t>QUICKDRAW_BAD</t>
        </is>
      </c>
      <c r="B27" t="inlineStr">
        <is>
          <t>Quickdraw</t>
        </is>
      </c>
      <c r="C27" t="n">
        <v>4</v>
      </c>
      <c r="D27" t="inlineStr"/>
      <c r="E27" t="b">
        <v>0</v>
      </c>
      <c r="F27" t="n">
        <v>1</v>
      </c>
      <c r="G27" t="n">
        <v>1</v>
      </c>
      <c r="H27" t="n">
        <v>0</v>
      </c>
      <c r="I27" t="n">
        <v>0</v>
      </c>
      <c r="J27" t="n">
        <v>100</v>
      </c>
      <c r="K27" t="n">
        <v>1</v>
      </c>
      <c r="L27" t="n">
        <v>250</v>
      </c>
      <c r="M27" t="n">
        <v>22</v>
      </c>
      <c r="N27" t="b">
        <v>1</v>
      </c>
      <c r="O27" t="n">
        <v>0</v>
      </c>
      <c r="P27" t="n">
        <v>0</v>
      </c>
      <c r="Q27" t="n">
        <v>0</v>
      </c>
      <c r="R27" t="n">
        <v>0</v>
      </c>
      <c r="S27" t="inlineStr">
        <is>
          <t>BASIC_ATTACK_DAMAGE</t>
        </is>
      </c>
      <c r="T27" t="n">
        <v>0</v>
      </c>
      <c r="U27" t="inlineStr"/>
      <c r="V27" t="inlineStr"/>
      <c r="W27" t="inlineStr">
        <is>
          <t>Magic Critical pattern — already baked into Inputs!BASIC_ATTACK_DAMAGE%; feeds the 4th-Job Skill Level Bonus delta. FLAGGED ASSUMPTION (no individual wiki page exists): only the flat, unconditional 'Increases Basic Attack Damage by 25%' component is modeled here. factorIndex 22, baseDamage 250 tenths%. NOT modeled (out of scope): its own 'every 3rd Eight-Legs Easton cast doubles the damage and reduces Brain Scrambler/Rapid Fire cooldown by 1.5s' proc — no mechanic exists in this project for one skill's cast count to modify another's cooldown, and stacking that on top of an already-assumed kit was judged out of scope for this session.</t>
        </is>
      </c>
    </row>
    <row r="28">
      <c r="A28" t="inlineStr">
        <is>
          <t>NIMBLE_FEET</t>
        </is>
      </c>
      <c r="B28" t="inlineStr">
        <is>
          <t>Nimble Feet</t>
        </is>
      </c>
      <c r="C28" t="n">
        <v>1</v>
      </c>
      <c r="D28" t="n">
        <v>60</v>
      </c>
      <c r="E28" t="b">
        <v>1</v>
      </c>
      <c r="F28" t="n">
        <v>1</v>
      </c>
      <c r="G28" t="n">
        <v>1</v>
      </c>
      <c r="H28" t="n">
        <v>0</v>
      </c>
      <c r="I28" t="n">
        <v>0</v>
      </c>
      <c r="J28" t="n">
        <v>100</v>
      </c>
      <c r="K28" t="n">
        <v>1</v>
      </c>
      <c r="L28" t="n">
        <v>150</v>
      </c>
      <c r="M28" t="n">
        <v>0</v>
      </c>
      <c r="N28" t="b">
        <v>0</v>
      </c>
      <c r="O28" t="n">
        <v>0</v>
      </c>
      <c r="P28" t="n">
        <v>0</v>
      </c>
      <c r="Q28" t="n">
        <v>0</v>
      </c>
      <c r="R28" t="n">
        <v>1</v>
      </c>
      <c r="S28" t="inlineStr">
        <is>
          <t>ATTACK_SPEED</t>
        </is>
      </c>
      <c r="T28" t="n">
        <v>15</v>
      </c>
      <c r="U28" t="inlineStr"/>
      <c r="V28" t="inlineStr"/>
      <c r="W28" t="inlineStr">
        <is>
          <t>Universal 1st-Job Explorer skill (identical wording on both idle.maplestorywiki.net and maplestoryidle.info — 'Increases Attack Speed by 15% and Speed by 10% for 15 sec', 60s cooldown, reqLevel 5) — was missing from this workbook entirely (a real gap found by cross-class comparison, not a class-design difference: Bowmaster/Dark Knight/FP-Mage/Hero/Marksman/Night Lord/Paladin/Shadower all already have it; Corsair's own Quick Motion is a separate, unrelated flat passive, same as Buccaneer). Flat +15% Attack Speed / +10% Speed for 15s, non-scaling. Speed component not modeled (no Speed stat anywhere in this project). FactorIndex unused placeholder.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Fire/Poison Arch Mage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$42*(1-Inputs!$B$19/100)))*(1+(Inputs!$B$24+Summary!$B$21)/100)*(1+Artifacts!$B$34/100)*(1+(IF(Skills!A2="EIGHT_LEGS_EASTON",Inputs!$B$17+Artifacts!$B$40,Inputs!$B$18+Artifacts!$B$39))/100)*(Summary!$B$13*(1+Artifacts!$B$38/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IFERROR(O2/N2,0)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Inputs!$B$3&gt;=35</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t="inlineStr">
        <is>
          <t>1</t>
        </is>
      </c>
      <c r="J3">
        <f>Summary!$B$6*(F3/100)</f>
        <v/>
      </c>
      <c r="K3">
        <f>J3*(1+Summary!$B$7/100)*(1+Inputs!$B$15/100)*(1+Inputs!$B$16/100)*(5000/(6000+Inputs!$B$42*(1-Inputs!$B$19/100)))*(1+(Inputs!$B$24+Summary!$B$21)/100)*(1+Artifacts!$B$34/100)*(1+4.0*IF(C15=TRUE,F15,0)/100)*(1+(IF(Skills!A3="EIGHT_LEGS_EASTON",Inputs!$B$17+Artifacts!$B$40,Inputs!$B$18+Artifacts!$B$39))/100)*(Summary!$B$13*(1+Artifacts!$B$38/100)*I3)</f>
        <v/>
      </c>
      <c r="L3">
        <f>K3*(MIN(Inputs!$B$22,Inputs!$B$23)/100+Inputs!$B$23/100)/2</f>
        <v/>
      </c>
      <c r="M3">
        <f>L3*(1+(Inputs!$B$10+Summary!$B$20+Artifacts!$B$33)/100)</f>
        <v/>
      </c>
      <c r="N3">
        <f>L3*(1-MIN((Inputs!$B$9+Summary!$B$14+Artifacts!$B$32),100)/100)+M3*(MIN((Inputs!$B$9+Summary!$B$14+Artifacts!$B$32),100)/100)</f>
        <v/>
      </c>
      <c r="O3">
        <f>(1-Summary!$B$11)*T3+Summary!$B$11*V3</f>
        <v/>
      </c>
      <c r="P3">
        <f>IF(Summary!$B$3=0,0,O3/Summary!$B$3)</f>
        <v/>
      </c>
      <c r="Q3">
        <f>IFERROR(1/(IF(Inputs!$B$38="pvp",15,MAX(0.1,Skills!D3-IF(Skills!E3=TRUE,Inputs!$B$32,0)))*(1-IF(AND(ArtifactsInput!$M$27,Inputs!$B$4="Chapter Hunt"),CHOOSE(ArtifactsInput!$N$27+1,20,24,28,32,36,40),0)/100)),0)</f>
        <v/>
      </c>
      <c r="R3">
        <f>IF(AND(Inputs!$B$38&lt;&gt;"pvp",Inputs!$B$43&gt;0),IF(MAX(0,Inputs!$B$43-Summary!$B$23)&lt;=0,0,(INT(MAX(0,Inputs!$B$43-Summary!$B$23)/(IF(Inputs!$B$38="pvp",15,MAX(0.1,Skills!D3-IF(Skills!E3=TRUE,Inputs!$B$32,0)))*(1-IF(AND(ArtifactsInput!$M$27,Inputs!$B$4="Chapter Hunt"),CHOOSE(ArtifactsInput!$N$27+1,20,24,28,32,36,40),0)/100)))+1)),0)</f>
        <v/>
      </c>
      <c r="S3">
        <f>IFERROR(O3/N3,0)</f>
        <v/>
      </c>
      <c r="T3">
        <f>IF(C3,(H3*N3*IF(AND(Inputs!$B$38&lt;&gt;"pvp",Inputs!$B$43&gt;0),((Skills!G3*((R3-1)*IF(Skills!H3&gt;0,Skills!I3/Skills!H3,1)+IF(Skills!H3&gt;0,MIN(Skills!I3,MAX(0,MAX(0,Inputs!$B$43-Summary!$B$23)-((R3-1)*(IF(Inputs!$B$38="pvp",15,MAX(0.1,Skills!D3-IF(Skills!E3=TRUE,Inputs!$B$32,0)))*(1-IF(AND(ArtifactsInput!$M$27,Inputs!$B$4="Chapter Hunt"),CHOOSE(ArtifactsInput!$N$27+1,20,24,28,32,36,40),0)/100)))))/Skills!H3,1)))/Inputs!$B$43),G3*Q3))*IF(Inputs!$B$38="pvp",1,1+(Inputs!$B$20+Skills!P3+Summary!$B$15+Artifacts!$B$35)/100)*((((5000/(6000+Inputs!$B$42*(1-(100*(1-(1-Inputs!$B$19/100)*(1-Artifacts!$B$51/100)^IF(Inputs!$B$38="pvp",1,2)))/100)))/(5000/(6000+Inputs!$B$42*(1-Inputs!$B$19/100))))*((L3*(1-MIN(100,(Inputs!$B$9+Summary!$B$14+Artifacts!$B$32)+Artifacts!$B$69)/100)+M3*(MIN(100,(Inputs!$B$9+Summary!$B$14+Artifacts!$B$32)+Artifacts!$B$69)/100))/(L3*(1-MIN(100,(Inputs!$B$9+Summary!$B$14+Artifacts!$B$32))/100)+M3*(MIN(100,(Inputs!$B$9+Summary!$B$14+Artifacts!$B$32))/100)))*(1+Artifacts!$B$81/100))),0)</f>
        <v/>
      </c>
      <c r="V3">
        <f>IF(C3,(H3*N3*IF(AND(Inputs!$B$38&lt;&gt;"pvp",Inputs!$B$43&gt;0),((Skills!G3*((R3-1)*IF(Skills!H3&gt;0,Skills!I3/Skills!H3,1)+IF(Skills!H3&gt;0,MIN(Skills!I3,MAX(0,MAX(0,Inputs!$B$43-Summary!$B$23)-((R3-1)*(IF(Inputs!$B$38="pvp",15,MAX(0.1,Skills!D3-IF(Skills!E3=TRUE,Inputs!$B$32,0)))*(1-IF(AND(ArtifactsInput!$M$27,Inputs!$B$4="Chapter Hunt"),CHOOSE(ArtifactsInput!$N$27+1,20,24,28,32,36,40),0)/100)))))/Skills!H3,1)))/Inputs!$B$43),G3*Q3))*IF(Inputs!$B$38="pvp",1,(1+(Inputs!$B$21+Skills!Q3+Summary!$B$15+Artifacts!$B$80)/100)*(MIN(Skills!R3,Inputs!$B$37)))*((1+Artifacts!$B$53/100)),0)</f>
        <v/>
      </c>
    </row>
    <row r="4">
      <c r="A4">
        <f>Skills!A4</f>
        <v/>
      </c>
      <c r="B4">
        <f>Skills!B4</f>
        <v/>
      </c>
      <c r="C4">
        <f>Inputs!$B$3&gt;=40</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Summary!$B$6*(F4/100)</f>
        <v/>
      </c>
      <c r="K4">
        <f>J4*(1+Summary!$B$7/100)*(1+Inputs!$B$15/100)*(1+Inputs!$B$16/100)*(5000/(6000+Inputs!$B$42*(1-Inputs!$B$19/100)))*(1+(Inputs!$B$24+Summary!$B$21)/100)*(1+Artifacts!$B$34/100)*(1+1.0*IF(C16=TRUE,F16,0)/100)*(1+(IF(Skills!A4="EIGHT_LEGS_EASTON",Inputs!$B$17+Artifacts!$B$40,Inputs!$B$18+Artifacts!$B$39))/100)*(Summary!$B$13*(1+Artifacts!$B$38/100)*I4)</f>
        <v/>
      </c>
      <c r="L4">
        <f>K4*(MIN(Inputs!$B$22,Inputs!$B$23)/100+Inputs!$B$23/100)/2</f>
        <v/>
      </c>
      <c r="M4">
        <f>L4*(1+(Inputs!$B$10+Summary!$B$20+Artifacts!$B$33)/100)</f>
        <v/>
      </c>
      <c r="N4">
        <f>L4*(1-MIN((Inputs!$B$9+Summary!$B$14+Artifacts!$B$32),100)/100)+M4*(MIN((Inputs!$B$9+Summary!$B$14+Artifacts!$B$32),100)/100)</f>
        <v/>
      </c>
      <c r="O4">
        <f>(1-Summary!$B$11)*T4+Summary!$B$11*V4</f>
        <v/>
      </c>
      <c r="P4">
        <f>IF(Summary!$B$3=0,0,O4/Summary!$B$3)</f>
        <v/>
      </c>
      <c r="Q4">
        <f>IFERROR(1/(IF(Inputs!$B$38="pvp",15,MAX(0.1,Skills!D4-IF(Skills!E4=TRUE,Inputs!$B$32,0)))*(1-IF(AND(ArtifactsInput!$M$27,Inputs!$B$4="Chapter Hunt"),CHOOSE(ArtifactsInput!$N$27+1,20,24,28,32,36,40),0)/100)),0)</f>
        <v/>
      </c>
      <c r="R4">
        <f>IF(AND(Inputs!$B$38&lt;&gt;"pvp",Inputs!$B$43&gt;0),IF(MAX(0,Inputs!$B$43-Summary!$B$23)&lt;=0,0,(INT(MAX(0,Inputs!$B$43-Summary!$B$23)/(IF(Inputs!$B$38="pvp",15,MAX(0.1,Skills!D4-IF(Skills!E4=TRUE,Inputs!$B$32,0)))*(1-IF(AND(ArtifactsInput!$M$27,Inputs!$B$4="Chapter Hunt"),CHOOSE(ArtifactsInput!$N$27+1,20,24,28,32,36,40),0)/100)))+1)),0)</f>
        <v/>
      </c>
      <c r="S4">
        <f>IFERROR(O4/N4,0)</f>
        <v/>
      </c>
      <c r="T4">
        <f>IF(C4,(H4*N4*IF(AND(Inputs!$B$38&lt;&gt;"pvp",Inputs!$B$43&gt;0),((Skills!G4*((R4-1)*IF(Skills!H4&gt;0,Skills!I4/Skills!H4,1)+IF(Skills!H4&gt;0,MIN(Skills!I4,MAX(0,MAX(0,Inputs!$B$43-Summary!$B$23)-((R4-1)*(IF(Inputs!$B$38="pvp",15,MAX(0.1,Skills!D4-IF(Skills!E4=TRUE,Inputs!$B$32,0)))*(1-IF(AND(ArtifactsInput!$M$27,Inputs!$B$4="Chapter Hunt"),CHOOSE(ArtifactsInput!$N$27+1,20,24,28,32,36,40),0)/100)))))/Skills!H4,1)))/Inputs!$B$43),G4*Q4))*IF(Inputs!$B$38="pvp",1,1+(Inputs!$B$20+Skills!P4+Summary!$B$15+Artifacts!$B$35)/100)*((((5000/(6000+Inputs!$B$42*(1-(100*(1-(1-Inputs!$B$19/100)*(1-Artifacts!$B$51/100)^IF(Inputs!$B$38="pvp",1,2)))/100)))/(5000/(6000+Inputs!$B$42*(1-Inputs!$B$19/100))))*((L4*(1-MIN(100,(Inputs!$B$9+Summary!$B$14+Artifacts!$B$32)+Artifacts!$B$69)/100)+M4*(MIN(100,(Inputs!$B$9+Summary!$B$14+Artifacts!$B$32)+Artifacts!$B$69)/100))/(L4*(1-MIN(100,(Inputs!$B$9+Summary!$B$14+Artifacts!$B$32))/100)+M4*(MIN(100,(Inputs!$B$9+Summary!$B$14+Artifacts!$B$32))/100)))*(1+Artifacts!$B$81/100))),0)</f>
        <v/>
      </c>
      <c r="V4">
        <f>IF(C4,(H4*N4*IF(AND(Inputs!$B$38&lt;&gt;"pvp",Inputs!$B$43&gt;0),((Skills!G4*((R4-1)*IF(Skills!H4&gt;0,Skills!I4/Skills!H4,1)+IF(Skills!H4&gt;0,MIN(Skills!I4,MAX(0,MAX(0,Inputs!$B$43-Summary!$B$23)-((R4-1)*(IF(Inputs!$B$38="pvp",15,MAX(0.1,Skills!D4-IF(Skills!E4=TRUE,Inputs!$B$32,0)))*(1-IF(AND(ArtifactsInput!$M$27,Inputs!$B$4="Chapter Hunt"),CHOOSE(ArtifactsInput!$N$27+1,20,24,28,32,36,40),0)/100)))))/Skills!H4,1)))/Inputs!$B$43),G4*Q4))*IF(Inputs!$B$38="pvp",1,(1+(Inputs!$B$21+Skills!Q4+Summary!$B$15+Artifacts!$B$80)/100)*(MIN(Skills!R4,Inputs!$B$37)))*((1+Artifacts!$B$53/100)),0)</f>
        <v/>
      </c>
    </row>
    <row r="5">
      <c r="A5">
        <f>Skills!A5</f>
        <v/>
      </c>
      <c r="B5">
        <f>Skills!B5</f>
        <v/>
      </c>
      <c r="C5">
        <f>Inputs!$B$3&gt;=45</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Summary!$B$6*(F5/100)</f>
        <v/>
      </c>
      <c r="K5">
        <f>J5*(1+Summary!$B$7/100)*(1+Inputs!$B$15/100)*(1+Inputs!$B$16/100)*(5000/(6000+Inputs!$B$42*(1-Inputs!$B$19/100)))*(1+(Inputs!$B$24+Summary!$B$21)/100)*(1+Artifacts!$B$34/100)*(1+0.4*IF(C16=TRUE,F16,0)/100)*(1+(IF(Skills!A5="EIGHT_LEGS_EASTON",Inputs!$B$17+Artifacts!$B$40,Inputs!$B$18+Artifacts!$B$39))/100)*(Summary!$B$13*(1+Artifacts!$B$38/100)*I5)</f>
        <v/>
      </c>
      <c r="L5">
        <f>K5*(MIN(Inputs!$B$22,Inputs!$B$23)/100+Inputs!$B$23/100)/2</f>
        <v/>
      </c>
      <c r="M5">
        <f>L5*(1+(Inputs!$B$10+Summary!$B$20+Artifacts!$B$33)/100)</f>
        <v/>
      </c>
      <c r="N5">
        <f>L5*(1-MIN((Inputs!$B$9+Summary!$B$14+Artifacts!$B$32),100)/100)+M5*(MIN((Inputs!$B$9+Summary!$B$14+Artifacts!$B$32),100)/100)</f>
        <v/>
      </c>
      <c r="O5">
        <f>(1-Summary!$B$11)*T5+Summary!$B$11*V5</f>
        <v/>
      </c>
      <c r="P5">
        <f>IF(Summary!$B$3=0,0,O5/Summary!$B$3)</f>
        <v/>
      </c>
      <c r="Q5">
        <f>IFERROR(1/(IF(Inputs!$B$38="pvp",15,MAX(0.1,Skills!D5-IF(Skills!E5=TRUE,Inputs!$B$32,0)))*(1-IF(AND(ArtifactsInput!$M$27,Inputs!$B$4="Chapter Hunt"),CHOOSE(ArtifactsInput!$N$27+1,20,24,28,32,36,40),0)/100)),0)</f>
        <v/>
      </c>
      <c r="R5">
        <f>IF(AND(Inputs!$B$38&lt;&gt;"pvp",Inputs!$B$43&gt;0),IF(MAX(0,Inputs!$B$43-Summary!$B$23)&lt;=0,0,(INT(MAX(0,Inputs!$B$43-Summary!$B$23)/(IF(Inputs!$B$38="pvp",15,MAX(0.1,Skills!D5-IF(Skills!E5=TRUE,Inputs!$B$32,0)))*(1-IF(AND(ArtifactsInput!$M$27,Inputs!$B$4="Chapter Hunt"),CHOOSE(ArtifactsInput!$N$27+1,20,24,28,32,36,40),0)/100)))+1)),0)</f>
        <v/>
      </c>
      <c r="S5">
        <f>IFERROR(O5/N5,0)</f>
        <v/>
      </c>
      <c r="T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$20+Skills!P5+Summary!$B$15+Artifacts!$B$35)/100)*((((5000/(6000+Inputs!$B$42*(1-(100*(1-(1-Inputs!$B$19/100)*(1-Artifacts!$B$51/100)^IF(Inputs!$B$38="pvp",1,2)))/100)))/(5000/(6000+Inputs!$B$42*(1-Inputs!$B$19/100))))*((L5*(1-MIN(100,(Inputs!$B$9+Summary!$B$14+Artifacts!$B$32)+Artifacts!$B$69)/100)+M5*(MIN(100,(Inputs!$B$9+Summary!$B$14+Artifacts!$B$32)+Artifacts!$B$69)/100))/(L5*(1-MIN(100,(Inputs!$B$9+Summary!$B$14+Artifacts!$B$32))/100)+M5*(MIN(100,(Inputs!$B$9+Summary!$B$14+Artifacts!$B$32))/100)))*(1+Artifacts!$B$81/100))),0)</f>
        <v/>
      </c>
      <c r="V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Hunt"),CHOOSE(ArtifactsInput!$N$27+1,20,24,28,32,36,40),0)/100)))))/Skills!H5,1)))/Inputs!$B$43),G5*Q5))*IF(Inputs!$B$38="pvp",1,(1+(Inputs!$B$21+Skills!Q5+Summary!$B$15+Artifacts!$B$80)/100)*(MIN(Skills!R5,Inputs!$B$37)))*((1+Artifacts!$B$53/100)),0)</f>
        <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$42*(1-Inputs!$B$19/100)))*(1+(Inputs!$B$24+Summary!$B$21)/100)*(1+Artifacts!$B$34/100)*(1+2.0*IF(C15=TRUE,F15,0)/100)*(1+(IF(Skills!A6="EIGHT_LEGS_EASTON",Inputs!$B$17+Artifacts!$B$40,Inputs!$B$18+Artifacts!$B$39))/100)*(Summary!$B$13*(1+Artifacts!$B$38/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IFERROR(1/(IF(Inputs!$B$38="pvp",15,MAX(0.1,Skills!D6-IF(Skills!E6=TRUE,Inputs!$B$32,0)))*(1-IF(AND(ArtifactsInput!$M$27,Inputs!$B$4="Chapter Hunt"),CHOOSE(ArtifactsInput!$N$27+1,20,24,28,32,36,40),0)/100)),0)</f>
        <v/>
      </c>
      <c r="R6">
        <f>IF(AND(Inputs!$B$38&lt;&gt;"pvp",Inputs!$B$43&gt;0),IF(MAX(0,Inputs!$B$43-Summary!$B$23)&lt;=0,0,(INT(MAX(0,Inputs!$B$43-Summary!$B$23)/(IF(Inputs!$B$38="pvp",15,MAX(0.1,Skills!D6-IF(Skills!E6=TRUE,Inputs!$B$32,0)))*(1-IF(AND(ArtifactsInput!$M$27,Inputs!$B$4="Chapter Hunt"),CHOOSE(ArtifactsInput!$N$27+1,20,24,28,32,36,40),0)/100)))+1)),0)</f>
        <v/>
      </c>
      <c r="S6">
        <f>IFERROR(O6/N6,0)</f>
        <v/>
      </c>
      <c r="T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Hunt"),CHOOSE(ArtifactsInput!$N$27+1,20,24,28,32,36,40),0)/100)))))/Skills!H6,1)))/Inputs!$B$43),G6*Q6))*IF(Inputs!$B$38="pvp",1,(1+(Inputs!$B$21+Skills!Q6+Summary!$B$15+Artifacts!$B$80)/100)*(MIN(Skills!R6,Inputs!$B$37)))*((1+Artifacts!$B$53/100)),0)</f>
        <v/>
      </c>
    </row>
    <row r="7">
      <c r="A7">
        <f>Skills!A7</f>
        <v/>
      </c>
      <c r="B7">
        <f>Skills!B7</f>
        <v/>
      </c>
      <c r="C7">
        <f>Inputs!$B$3&gt;=66</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Summary!$B$6*(F7/100)</f>
        <v/>
      </c>
      <c r="K7">
        <f>J7*(1+Summary!$B$7/100)*(1+Inputs!$B$15/100)*(1+Inputs!$B$16/100)*(5000/(6000+Inputs!$B$42*(1-Inputs!$B$19/100)))*(1+(Inputs!$B$24+Summary!$B$21)/100)*(1+Artifacts!$B$34/100)*(1+1.0*IF(C15=TRUE,F15,0)/100)*(1+(IF(Skills!A7="EIGHT_LEGS_EASTON",Inputs!$B$17+Artifacts!$B$40,Inputs!$B$18+Artifacts!$B$39))/100)*(Summary!$B$13*(1+Artifacts!$B$38/100)*I7)</f>
        <v/>
      </c>
      <c r="L7">
        <f>K7*(MIN(Inputs!$B$22,Inputs!$B$23)/100+Inputs!$B$23/100)/2</f>
        <v/>
      </c>
      <c r="M7">
        <f>L7*(1+(Inputs!$B$10+Summary!$B$20+Artifacts!$B$33)/100)</f>
        <v/>
      </c>
      <c r="N7">
        <f>L7*(1-MIN((Inputs!$B$9+Summary!$B$14+Artifacts!$B$32),100)/100)+M7*(MIN((Inputs!$B$9+Summary!$B$14+Artifacts!$B$32),100)/100)</f>
        <v/>
      </c>
      <c r="O7">
        <f>(1-Summary!$B$11)*T7+Summary!$B$11*V7</f>
        <v/>
      </c>
      <c r="P7">
        <f>IF(Summary!$B$3=0,0,O7/Summary!$B$3)</f>
        <v/>
      </c>
      <c r="Q7">
        <f>IFERROR(1/(IF(Inputs!$B$38="pvp",15,MAX(0.1,Skills!D7-IF(Skills!E7=TRUE,Inputs!$B$32,0)))*(1-IF(AND(ArtifactsInput!$M$27,Inputs!$B$4="Chapter Hunt"),CHOOSE(ArtifactsInput!$N$27+1,20,24,28,32,36,40),0)/100)),0)</f>
        <v/>
      </c>
      <c r="R7">
        <f>IF(AND(Inputs!$B$38&lt;&gt;"pvp",Inputs!$B$43&gt;0),IF(MAX(0,Inputs!$B$43-Summary!$B$23)&lt;=0,0,(INT(MAX(0,Inputs!$B$43-Summary!$B$23)/(IF(Inputs!$B$38="pvp",15,MAX(0.1,Skills!D7-IF(Skills!E7=TRUE,Inputs!$B$32,0)))*(1-IF(AND(ArtifactsInput!$M$27,Inputs!$B$4="Chapter Hunt"),CHOOSE(ArtifactsInput!$N$27+1,20,24,28,32,36,40),0)/100)))+1)),0)</f>
        <v/>
      </c>
      <c r="S7">
        <f>IFERROR(O7/N7,0)</f>
        <v/>
      </c>
      <c r="T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$20+Skills!P7+Summary!$B$15+Artifacts!$B$35)/100)*((((5000/(6000+Inputs!$B$42*(1-(100*(1-(1-Inputs!$B$19/100)*(1-Artifacts!$B$51/100)^IF(Inputs!$B$38="pvp",1,2)))/100)))/(5000/(6000+Inputs!$B$42*(1-Inputs!$B$19/100))))*((L7*(1-MIN(100,(Inputs!$B$9+Summary!$B$14+Artifacts!$B$32)+Artifacts!$B$69)/100)+M7*(MIN(100,(Inputs!$B$9+Summary!$B$14+Artifacts!$B$32)+Artifacts!$B$69)/100))/(L7*(1-MIN(100,(Inputs!$B$9+Summary!$B$14+Artifacts!$B$32))/100)+M7*(MIN(100,(Inputs!$B$9+Summary!$B$14+Artifacts!$B$32))/100)))*(1+Artifacts!$B$81/100))),0)</f>
        <v/>
      </c>
      <c r="V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Hunt"),CHOOSE(ArtifactsInput!$N$27+1,20,24,28,32,36,40),0)/100)))))/Skills!H7,1)))/Inputs!$B$43),G7*Q7))*IF(Inputs!$B$38="pvp",1,(1+(Inputs!$B$21+Skills!Q7+Summary!$B$15+Artifacts!$B$80)/100)*(MIN(Skills!R7,Inputs!$B$37)))*((1+Artifacts!$B$53/100)),0)</f>
        <v/>
      </c>
    </row>
    <row r="8">
      <c r="A8">
        <f>Skills!A8</f>
        <v/>
      </c>
      <c r="B8">
        <f>Skills!B8</f>
        <v/>
      </c>
      <c r="C8">
        <f>Inputs!$B$3&gt;=100</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Summary!$B$6*(F8/100)</f>
        <v/>
      </c>
      <c r="K8">
        <f>J8*(1+Summary!$B$7/100)*(1+Inputs!$B$15/100)*(1+Inputs!$B$16/100)*(5000/(6000+Inputs!$B$42*(1-Inputs!$B$19/100)))*(1+(Inputs!$B$24+Summary!$B$21)/100)*(1+Artifacts!$B$34/100)*(1+(IF(Skills!A8="EIGHT_LEGS_EASTON",Inputs!$B$17+Artifacts!$B$40,Inputs!$B$18+Artifacts!$B$39))/100)*(Summary!$B$13*(1+Artifacts!$B$38/100)*I8)</f>
        <v/>
      </c>
      <c r="L8">
        <f>K8*(MIN(Inputs!$B$22,Inputs!$B$23)/100+Inputs!$B$23/100)/2</f>
        <v/>
      </c>
      <c r="M8">
        <f>L8*(1+(Inputs!$B$10+Summary!$B$20+Artifacts!$B$33)/100)</f>
        <v/>
      </c>
      <c r="N8">
        <f>L8*(1-MIN((Inputs!$B$9+Summary!$B$14+Artifacts!$B$32),100)/100)+M8*(MIN((Inputs!$B$9+Summary!$B$14+Artifacts!$B$32),100)/100)</f>
        <v/>
      </c>
      <c r="O8">
        <f>(1-Summary!$B$11)*T8+Summary!$B$11*V8</f>
        <v/>
      </c>
      <c r="P8">
        <f>IF(Summary!$B$3=0,0,O8/Summary!$B$3)</f>
        <v/>
      </c>
      <c r="Q8">
        <f>IFERROR(1/(IF(Inputs!$B$38="pvp",15,MAX(0.1,Skills!D8-IF(Skills!E8=TRUE,Inputs!$B$32,0)))*(1-IF(AND(ArtifactsInput!$M$27,Inputs!$B$4="Chapter Hunt"),CHOOSE(ArtifactsInput!$N$27+1,20,24,28,32,36,40),0)/100)),0)</f>
        <v/>
      </c>
      <c r="R8">
        <f>IF(AND(Inputs!$B$38&lt;&gt;"pvp",Inputs!$B$43&gt;0),IF(MAX(0,Inputs!$B$43-Summary!$B$23)&lt;=0,0,(INT(MAX(0,Inputs!$B$43-Summary!$B$23)/(IF(Inputs!$B$38="pvp",15,MAX(0.1,Skills!D8-IF(Skills!E8=TRUE,Inputs!$B$32,0)))*(1-IF(AND(ArtifactsInput!$M$27,Inputs!$B$4="Chapter Hunt"),CHOOSE(ArtifactsInput!$N$27+1,20,24,28,32,36,40),0)/100)))+1)),0)</f>
        <v/>
      </c>
      <c r="S8">
        <f>IFERROR(O8/N8,0)</f>
        <v/>
      </c>
      <c r="T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$20+Skills!P8+Summary!$B$15+Artifacts!$B$35)/100)*((((5000/(6000+Inputs!$B$42*(1-(100*(1-(1-Inputs!$B$19/100)*(1-Artifacts!$B$51/100)^IF(Inputs!$B$38="pvp",1,2)))/100)))/(5000/(6000+Inputs!$B$42*(1-Inputs!$B$19/100))))*((L8*(1-MIN(100,(Inputs!$B$9+Summary!$B$14+Artifacts!$B$32)+Artifacts!$B$69)/100)+M8*(MIN(100,(Inputs!$B$9+Summary!$B$14+Artifacts!$B$32)+Artifacts!$B$69)/100))/(L8*(1-MIN(100,(Inputs!$B$9+Summary!$B$14+Artifacts!$B$32))/100)+M8*(MIN(100,(Inputs!$B$9+Summary!$B$14+Artifacts!$B$32))/100)))*(1+Artifacts!$B$81/100))),0)</f>
        <v/>
      </c>
      <c r="V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Hunt"),CHOOSE(ArtifactsInput!$N$27+1,20,24,28,32,36,40),0)/100)))))/Skills!H8,1)))/Inputs!$B$43),G8*Q8))*IF(Inputs!$B$38="pvp",1,(1+(Inputs!$B$21+Skills!Q8+Summary!$B$15+Artifacts!$B$80)/100)*(MIN(Skills!R8,Inputs!$B$37)))*((1+Artifacts!$B$53/100)),0)</f>
        <v/>
      </c>
    </row>
    <row r="9">
      <c r="A9">
        <f>Skills!A9</f>
        <v/>
      </c>
      <c r="B9">
        <f>Skills!B9</f>
        <v/>
      </c>
      <c r="C9">
        <f>Inputs!$B$3&gt;=103</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$42*(1-Inputs!$B$19/100)))*(1+(Inputs!$B$24+Summary!$B$21)/100)*(1+Artifacts!$B$34/100)*(1+(IF(Skills!A9="EIGHT_LEGS_EASTON",Inputs!$B$17+Artifacts!$B$40,Inputs!$B$18+Artifacts!$B$39))/100)*(Summary!$B$13*(1+Artifacts!$B$38/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IFERROR(1/(IF(Inputs!$B$38="pvp",15,MAX(0.1,Skills!D9-IF(Skills!E9=TRUE,Inputs!$B$32,0)))*(1-IF(AND(ArtifactsInput!$M$27,Inputs!$B$4="Chapter Hunt"),CHOOSE(ArtifactsInput!$N$27+1,20,24,28,32,36,40),0)/100)),0)</f>
        <v/>
      </c>
      <c r="R9">
        <f>IF(AND(Inputs!$B$38&lt;&gt;"pvp",Inputs!$B$43&gt;0),IF(MAX(0,Inputs!$B$43-Summary!$B$23)&lt;=0,0,(INT(MAX(0,Inputs!$B$43-Summary!$B$23)/(IF(Inputs!$B$38="pvp",15,MAX(0.1,Skills!D9-IF(Skills!E9=TRUE,Inputs!$B$32,0)))*(1-IF(AND(ArtifactsInput!$M$27,Inputs!$B$4="Chapter Hunt"),CHOOSE(ArtifactsInput!$N$27+1,20,24,28,32,36,40),0)/100)))+1)),0)</f>
        <v/>
      </c>
      <c r="S9">
        <f>IFERROR(O9/N9,0)</f>
        <v/>
      </c>
      <c r="T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Hunt"),CHOOSE(ArtifactsInput!$N$27+1,20,24,28,32,36,40),0)/100)))))/Skills!H9,1)))/Inputs!$B$43),G9*Q9))*IF(Inputs!$B$38="pvp",1,(1+(Inputs!$B$21+Skills!Q9+Summary!$B$15+Artifacts!$B$80)/100)*(MIN(Skills!R9,Inputs!$B$37)))*((1+Artifacts!$B$53/100)),0)</f>
        <v/>
      </c>
    </row>
    <row r="10">
      <c r="A10">
        <f>Skills!A10</f>
        <v/>
      </c>
      <c r="B10">
        <f>Skills!B10</f>
        <v/>
      </c>
      <c r="C10">
        <f>Inputs!$B$3&gt;=113</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$15/100)*(1+Inputs!$B$16/100)*(5000/(6000+Inputs!$B$42*(1-Inputs!$B$19/100)))*(1+(Inputs!$B$24+Summary!$B$21)/100)*(1+Artifacts!$B$34/100)*(1+(IF(Skills!A10="EIGHT_LEGS_EASTON",Inputs!$B$17+Artifacts!$B$40,Inputs!$B$18+Artifacts!$B$39))/100)*(Summary!$B$13*(1+Artifacts!$B$38/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f>IFERROR(1/(IF(Inputs!$B$38="pvp",15,MAX(0.1,Skills!D10-IF(Skills!E10=TRUE,Inputs!$B$32,0)))*(1-IF(AND(ArtifactsInput!$M$27,Inputs!$B$4="Chapter Hunt"),CHOOSE(ArtifactsInput!$N$27+1,20,24,28,32,36,40),0)/100)),0)</f>
        <v/>
      </c>
      <c r="R10">
        <f>IF(AND(Inputs!$B$38&lt;&gt;"pvp",Inputs!$B$43&gt;0),IF(MAX(0,Inputs!$B$43-Summary!$B$23)&lt;=0,0,(INT(MAX(0,Inputs!$B$43-Summary!$B$23)/(IF(Inputs!$B$38="pvp",15,MAX(0.1,Skills!D10-IF(Skills!E10=TRUE,Inputs!$B$32,0)))*(1-IF(AND(ArtifactsInput!$M$27,Inputs!$B$4="Chapter Hunt"),CHOOSE(ArtifactsInput!$N$27+1,20,24,28,32,36,40),0)/100)))+1)),0)</f>
        <v/>
      </c>
      <c r="S10">
        <f>IFERROR(O10/N10,0)</f>
        <v/>
      </c>
      <c r="T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Hunt"),CHOOSE(ArtifactsInput!$N$27+1,20,24,28,32,36,40),0)/100)))))/Skills!H10,1)))/Inputs!$B$43),G10*Q10))*IF(Inputs!$B$38="pvp",1,(1+(Inputs!$B$21+Skills!Q10+Summary!$B$15+Artifacts!$B$80)/100)*(MIN(Skills!R10,Inputs!$B$37)))*((1+Artifacts!$B$53/100)),0)</f>
        <v/>
      </c>
    </row>
    <row r="11">
      <c r="A11">
        <f>Skills!A11</f>
        <v/>
      </c>
      <c r="B11">
        <f>Skills!B11</f>
        <v/>
      </c>
      <c r="C11">
        <f>Inputs!$B$3&gt;=107</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Summary!$B$6*(F11/100)</f>
        <v/>
      </c>
      <c r="K11">
        <f>J11*(1+Summary!$B$7/100)*(1+Inputs!$B$15/100)*(1+Inputs!$B$16/100)*(5000/(6000+Inputs!$B$42*(1-Inputs!$B$19/100)))*(1+(Inputs!$B$24+Summary!$B$21)/100)*(1+Artifacts!$B$34/100)*(1+(IF(Skills!A11="EIGHT_LEGS_EASTON",Inputs!$B$17+Artifacts!$B$40,Inputs!$B$18+Artifacts!$B$39))/100)*(Summary!$B$13*(1+Artifacts!$B$38/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IFERROR(1/(IF(Inputs!$B$38="pvp",15,MAX(0.1,Skills!D11-IF(Skills!E11=TRUE,Inputs!$B$32,0)))*(1-IF(AND(ArtifactsInput!$M$27,Inputs!$B$4="Chapter Hunt"),CHOOSE(ArtifactsInput!$N$27+1,20,24,28,32,36,40),0)/100)),0)</f>
        <v/>
      </c>
      <c r="R11">
        <f>IF(AND(Inputs!$B$38&lt;&gt;"pvp",Inputs!$B$43&gt;0),IF(MAX(0,Inputs!$B$43-Summary!$B$23)&lt;=0,0,(INT(MAX(0,Inputs!$B$43-Summary!$B$23)/(IF(Inputs!$B$38="pvp",15,MAX(0.1,Skills!D11-IF(Skills!E11=TRUE,Inputs!$B$32,0)))*(1-IF(AND(ArtifactsInput!$M$27,Inputs!$B$4="Chapter Hunt"),CHOOSE(ArtifactsInput!$N$27+1,20,24,28,32,36,40),0)/100)))+1)),0)</f>
        <v/>
      </c>
      <c r="S11">
        <f>IFERROR(O11/N11,0)</f>
        <v/>
      </c>
      <c r="T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$20+Skills!P11+Summary!$B$15+Artifacts!$B$35)/100)*((((5000/(6000+Inputs!$B$42*(1-(100*(1-(1-Inputs!$B$19/100)*(1-Artifacts!$B$51/100)^IF(Inputs!$B$38="pvp",1,2)))/100)))/(5000/(6000+Inputs!$B$42*(1-Inputs!$B$19/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Hunt"),CHOOSE(ArtifactsInput!$N$27+1,20,24,28,32,36,40),0)/100)))))/Skills!H11,1)))/Inputs!$B$43),G11*Q11))*IF(Inputs!$B$38="pvp",1,(1+(Inputs!$B$21+Skills!Q11+Summary!$B$15+Artifacts!$B$80)/100)*(MIN(Skills!R11,Inputs!$B$37)))*((1+Artifacts!$B$53/100)),0)</f>
        <v/>
      </c>
    </row>
    <row r="12">
      <c r="A12">
        <f>Skills!A12</f>
        <v/>
      </c>
      <c r="B12">
        <f>Skills!B12</f>
        <v/>
      </c>
      <c r="C12">
        <f>Inputs!$B$3&gt;=110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f>Summary!$B$6*(F12/100)</f>
        <v/>
      </c>
      <c r="K12">
        <f>J12*(1+Summary!$B$7/100)*(1+Inputs!$B$15/100)*(1+Inputs!$B$16/100)*(5000/(6000+Inputs!$B$42*(1-Inputs!$B$19/100)))*(1+(Inputs!$B$24+Summary!$B$21)/100)*(1+Artifacts!$B$34/100)*(1+(IF(Skills!A12="EIGHT_LEGS_EASTON",Inputs!$B$17+Artifacts!$B$40,Inputs!$B$18+Artifacts!$B$39))/100)*(Summary!$B$13*(1+Artifacts!$B$38/100)*I12)</f>
        <v/>
      </c>
      <c r="L12">
        <f>K12*(MIN(Inputs!$B$22,Inputs!$B$23)/100+Inputs!$B$23/100)/2</f>
        <v/>
      </c>
      <c r="M12">
        <f>L12*(1+(Inputs!$B$10+Summary!$B$20+Artifacts!$B$33)/100)</f>
        <v/>
      </c>
      <c r="N12">
        <f>L12*(1-MIN((Inputs!$B$9+Summary!$B$14+Artifacts!$B$32),100)/100)+M12*(MIN((Inputs!$B$9+Summary!$B$14+Artifacts!$B$32),100)/100)</f>
        <v/>
      </c>
      <c r="O12">
        <f>(1-Summary!$B$11)*T12+Summary!$B$11*V12</f>
        <v/>
      </c>
      <c r="P12">
        <f>IF(Summary!$B$3=0,0,O12/Summary!$B$3)</f>
        <v/>
      </c>
      <c r="Q12">
        <f>IFERROR(1/(IF(Inputs!$B$38="pvp",15,MAX(0.1,Skills!D12-IF(Skills!E12=TRUE,Inputs!$B$32,0)))*(1-IF(AND(ArtifactsInput!$M$27,Inputs!$B$4="Chapter Hunt"),CHOOSE(ArtifactsInput!$N$27+1,20,24,28,32,36,40),0)/100)),0)</f>
        <v/>
      </c>
      <c r="R12">
        <f>IF(AND(Inputs!$B$38&lt;&gt;"pvp",Inputs!$B$43&gt;0),IF(MAX(0,Inputs!$B$43-Summary!$B$23)&lt;=0,0,(INT(MAX(0,Inputs!$B$43-Summary!$B$23)/(IF(Inputs!$B$38="pvp",15,MAX(0.1,Skills!D12-IF(Skills!E12=TRUE,Inputs!$B$32,0)))*(1-IF(AND(ArtifactsInput!$M$27,Inputs!$B$4="Chapter Hunt"),CHOOSE(ArtifactsInput!$N$27+1,20,24,28,32,36,40),0)/100)))+1)),0)</f>
        <v/>
      </c>
      <c r="S12">
        <f>IFERROR(O12/N12,0)</f>
        <v/>
      </c>
      <c r="T12">
        <f>IF(C12,(H12*N12*IF(AND(Inputs!$B$38&lt;&gt;"pvp",Inputs!$B$43&gt;0),((Skills!G12*((R12-1)*IF(Skills!H12&gt;0,Skills!I12/Skills!H12,1)+IF(Skills!H12&gt;0,MIN(Skills!I12,MAX(0,MAX(0,Inputs!$B$43-Summary!$B$23)-((R12-1)*(IF(Inputs!$B$38="pvp",15,MAX(0.1,Skills!D12-IF(Skills!E12=TRUE,Inputs!$B$32,0)))*(1-IF(AND(ArtifactsInput!$M$27,Inputs!$B$4="Chapter Hunt"),CHOOSE(ArtifactsInput!$N$27+1,20,24,28,32,36,40),0)/100)))))/Skills!H12,1)))/Inputs!$B$43),G12*Q12))*IF(Inputs!$B$38="pvp",1,1+(Inputs!$B$20+Skills!P12+Summary!$B$15+Artifacts!$B$35)/100)*((((5000/(6000+Inputs!$B$42*(1-(100*(1-(1-Inputs!$B$19/100)*(1-Artifacts!$B$51/100)^IF(Inputs!$B$38="pvp",1,2)))/100)))/(5000/(6000+Inputs!$B$42*(1-Inputs!$B$19/100))))*((L12*(1-MIN(100,(Inputs!$B$9+Summary!$B$14+Artifacts!$B$32)+Artifacts!$B$69)/100)+M12*(MIN(100,(Inputs!$B$9+Summary!$B$14+Artifacts!$B$32)+Artifacts!$B$69)/100))/(L12*(1-MIN(100,(Inputs!$B$9+Summary!$B$14+Artifacts!$B$32))/100)+M12*(MIN(100,(Inputs!$B$9+Summary!$B$14+Artifacts!$B$32))/100)))*(1+Artifacts!$B$81/100))),0)</f>
        <v/>
      </c>
      <c r="V12">
        <f>IF(C12,(H12*N12*IF(AND(Inputs!$B$38&lt;&gt;"pvp",Inputs!$B$43&gt;0),((Skills!G12*((R12-1)*IF(Skills!H12&gt;0,Skills!I12/Skills!H12,1)+IF(Skills!H12&gt;0,MIN(Skills!I12,MAX(0,MAX(0,Inputs!$B$43-Summary!$B$23)-((R12-1)*(IF(Inputs!$B$38="pvp",15,MAX(0.1,Skills!D12-IF(Skills!E12=TRUE,Inputs!$B$32,0)))*(1-IF(AND(ArtifactsInput!$M$27,Inputs!$B$4="Chapter Hunt"),CHOOSE(ArtifactsInput!$N$27+1,20,24,28,32,36,40),0)/100)))))/Skills!H12,1)))/Inputs!$B$43),G12*Q12))*IF(Inputs!$B$38="pvp",1,(1+(Inputs!$B$21+Skills!Q12+Summary!$B$15+Artifacts!$B$80)/100)*(MIN(Skills!R12,Inputs!$B$37)))*((1+Artifacts!$B$53/100)),0)</f>
        <v/>
      </c>
    </row>
    <row r="13">
      <c r="A13">
        <f>Skills!A13</f>
        <v/>
      </c>
      <c r="B13">
        <f>Skills!B13</f>
        <v/>
      </c>
      <c r="C13">
        <f>Inputs!$B$3&gt;=110</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f>Summary!$B$6*(F13/100)</f>
        <v/>
      </c>
      <c r="K13">
        <f>J13*(1+Summary!$B$7/100)*(1+Inputs!$B$15/100)*(1+Inputs!$B$16/100)*(5000/(6000+Inputs!$B$42*(1-Inputs!$B$19/100)))*(1+(Inputs!$B$24+Summary!$B$21)/100)*(1+Artifacts!$B$34/100)*(1+(IF(Skills!A13="EIGHT_LEGS_EASTON",Inputs!$B$17+Artifacts!$B$40,Inputs!$B$18+Artifacts!$B$39))/100)*(Summary!$B$13*(1+Artifacts!$B$38/100)*I13)</f>
        <v/>
      </c>
      <c r="L13">
        <f>K13*(MIN(Inputs!$B$22,Inputs!$B$23)/100+Inputs!$B$23/100)/2</f>
        <v/>
      </c>
      <c r="M13">
        <f>L13*(1+(Inputs!$B$10+Summary!$B$20+Artifacts!$B$33)/100)</f>
        <v/>
      </c>
      <c r="N13">
        <f>L13*(1-MIN((Inputs!$B$9+Summary!$B$14+Artifacts!$B$32),100)/100)+M13*(MIN((Inputs!$B$9+Summary!$B$14+Artifacts!$B$32),100)/100)</f>
        <v/>
      </c>
      <c r="O13">
        <f>(1-Summary!$B$11)*T13+Summary!$B$11*V13</f>
        <v/>
      </c>
      <c r="P13">
        <f>IF(Summary!$B$3=0,0,O13/Summary!$B$3)</f>
        <v/>
      </c>
      <c r="Q13">
        <f>IFERROR(1/(IF(Inputs!$B$38="pvp",15,MAX(0.1,Skills!D13-IF(Skills!E13=TRUE,Inputs!$B$32,0)))*(1-IF(AND(ArtifactsInput!$M$27,Inputs!$B$4="Chapter Hunt"),CHOOSE(ArtifactsInput!$N$27+1,20,24,28,32,36,40),0)/100)),0)</f>
        <v/>
      </c>
      <c r="R13">
        <f>IF(AND(Inputs!$B$38&lt;&gt;"pvp",Inputs!$B$43&gt;0),IF(MAX(0,Inputs!$B$43-Summary!$B$23)&lt;=0,0,(INT(MAX(0,Inputs!$B$43-Summary!$B$23)/(IF(Inputs!$B$38="pvp",15,MAX(0.1,Skills!D13-IF(Skills!E13=TRUE,Inputs!$B$32,0)))*(1-IF(AND(ArtifactsInput!$M$27,Inputs!$B$4="Chapter Hunt"),CHOOSE(ArtifactsInput!$N$27+1,20,24,28,32,36,40),0)/100)))+1)),0)</f>
        <v/>
      </c>
      <c r="S13">
        <f>IFERROR(O13/N13,0)</f>
        <v/>
      </c>
      <c r="T13">
        <f>IF(C13,(H13*N13*IF(AND(Inputs!$B$38&lt;&gt;"pvp",Inputs!$B$43&gt;0),((Skills!G13*((R13-1)*IF(Skills!H13&gt;0,Skills!I13/Skills!H13,1)+IF(Skills!H13&gt;0,MIN(Skills!I13,MAX(0,MAX(0,Inputs!$B$43-Summary!$B$23)-((R13-1)*(IF(Inputs!$B$38="pvp",15,MAX(0.1,Skills!D13-IF(Skills!E13=TRUE,Inputs!$B$32,0)))*(1-IF(AND(ArtifactsInput!$M$27,Inputs!$B$4="Chapter Hunt"),CHOOSE(ArtifactsInput!$N$27+1,20,24,28,32,36,40),0)/100)))))/Skills!H13,1)))/Inputs!$B$43),G13*Q13))*IF(Inputs!$B$38="pvp",1,1+(Inputs!$B$20+Skills!P13+Summary!$B$15+Artifacts!$B$35)/100)*((((5000/(6000+Inputs!$B$42*(1-(100*(1-(1-Inputs!$B$19/100)*(1-Artifacts!$B$51/100)^IF(Inputs!$B$38="pvp",1,2)))/100)))/(5000/(6000+Inputs!$B$42*(1-Inputs!$B$19/100))))*((L13*(1-MIN(100,(Inputs!$B$9+Summary!$B$14+Artifacts!$B$32)+Artifacts!$B$69)/100)+M13*(MIN(100,(Inputs!$B$9+Summary!$B$14+Artifacts!$B$32)+Artifacts!$B$69)/100))/(L13*(1-MIN(100,(Inputs!$B$9+Summary!$B$14+Artifacts!$B$32))/100)+M13*(MIN(100,(Inputs!$B$9+Summary!$B$14+Artifacts!$B$32))/100)))*(1+Artifacts!$B$81/100))),0)</f>
        <v/>
      </c>
      <c r="V13">
        <f>IF(C13,(H13*N13*IF(AND(Inputs!$B$38&lt;&gt;"pvp",Inputs!$B$43&gt;0),((Skills!G13*((R13-1)*IF(Skills!H13&gt;0,Skills!I13/Skills!H13,1)+IF(Skills!H13&gt;0,MIN(Skills!I13,MAX(0,MAX(0,Inputs!$B$43-Summary!$B$23)-((R13-1)*(IF(Inputs!$B$38="pvp",15,MAX(0.1,Skills!D13-IF(Skills!E13=TRUE,Inputs!$B$32,0)))*(1-IF(AND(ArtifactsInput!$M$27,Inputs!$B$4="Chapter Hunt"),CHOOSE(ArtifactsInput!$N$27+1,20,24,28,32,36,40),0)/100)))))/Skills!H13,1)))/Inputs!$B$43),G13*Q13))*IF(Inputs!$B$38="pvp",1,(1+(Inputs!$B$21+Skills!Q13+Summary!$B$15+Artifacts!$B$80)/100)*(MIN(Skills!R13,Inputs!$B$37)))*((1+Artifacts!$B$53/100)),0)</f>
        <v/>
      </c>
    </row>
    <row r="14">
      <c r="A14">
        <f>Skills!A14</f>
        <v/>
      </c>
      <c r="B14">
        <f>Skills!B14</f>
        <v/>
      </c>
      <c r="C14">
        <f>Inputs!$B$3&gt;=125</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f>Summary!$B$6*(F14/100)</f>
        <v/>
      </c>
      <c r="K14">
        <f>J14*(1+Summary!$B$7/100)*(1+Inputs!$B$15/100)*(1+Inputs!$B$16/100)*(5000/(6000+Inputs!$B$42*(1-Inputs!$B$19/100)))*(1+(Inputs!$B$24+Summary!$B$21)/100)*(1+Artifacts!$B$34/100)*(1+(IF(Skills!A14="EIGHT_LEGS_EASTON",Inputs!$B$17+Artifacts!$B$40,Inputs!$B$18+Artifacts!$B$39))/100)*(Summary!$B$13*(1+Artifacts!$B$38/100)*I14)</f>
        <v/>
      </c>
      <c r="L14">
        <f>K14*(MIN(Inputs!$B$22,Inputs!$B$23)/100+Inputs!$B$23/100)/2</f>
        <v/>
      </c>
      <c r="M14">
        <f>L14*(1+(Inputs!$B$10+Summary!$B$20+Artifacts!$B$33)/100)</f>
        <v/>
      </c>
      <c r="N14">
        <f>L14*(1-MIN((Inputs!$B$9+Summary!$B$14+Artifacts!$B$32),100)/100)+M14*(MIN((Inputs!$B$9+Summary!$B$14+Artifacts!$B$32),100)/100)</f>
        <v/>
      </c>
      <c r="O14">
        <f>(1-Summary!$B$11)*T14+Summary!$B$11*V14</f>
        <v/>
      </c>
      <c r="P14">
        <f>IF(Summary!$B$3=0,0,O14/Summary!$B$3)</f>
        <v/>
      </c>
      <c r="Q14" t="n">
        <v>0</v>
      </c>
      <c r="R14" t="n">
        <v>0</v>
      </c>
      <c r="S14">
        <f>IFERROR(O14/N14,0)</f>
        <v/>
      </c>
      <c r="T14">
        <f>IF(C14,(H14*N14*(Summary!$B$19+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$20+Skills!P14+Summary!$B$15+Artifacts!$B$35)/100)*((((5000/(6000+Inputs!$B$42*(1-(100*(1-(1-Inputs!$B$19/100)*(1-Artifacts!$B$51/100)^IF(Inputs!$B$38="pvp",1,2)))/100)))/(5000/(6000+Inputs!$B$42*(1-Inputs!$B$19/100))))*((L14*(1-MIN(100,(Inputs!$B$9+Summary!$B$14+Artifacts!$B$32)+Artifacts!$B$69)/100)+M14*(MIN(100,(Inputs!$B$9+Summary!$B$14+Artifacts!$B$32)+Artifacts!$B$69)/100))/(L14*(1-MIN(100,(Inputs!$B$9+Summary!$B$14+Artifacts!$B$32))/100)+M14*(MIN(100,(Inputs!$B$9+Summary!$B$14+Artifacts!$B$32))/100)))*(1+Artifacts!$B$81/100))),0)</f>
        <v/>
      </c>
      <c r="V14">
        <f>IF(C14,(H14*N14*(Summary!$B$19+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Hunt"),CHOOSE(ArtifactsInput!$N$27+1,20,24,28,32,36,40),0)/100)))))/Skills!H11,1)))/Inputs!$B$43),G11*Q11)))*IF(Inputs!$B$38="pvp",1,(1+(Inputs!$B$21+Skills!Q14+Summary!$B$15+Artifacts!$B$80)/100)*(MIN(Skills!R14,Inputs!$B$37)))*((1+Artifacts!$B$53/100)),0)</f>
        <v/>
      </c>
    </row>
    <row r="15">
      <c r="A15">
        <f>Skills!A15</f>
        <v/>
      </c>
      <c r="B15">
        <f>Skills!B15</f>
        <v/>
      </c>
      <c r="C15">
        <f>Inputs!$B$3&gt;=100</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t="inlineStr"/>
      <c r="H15" t="inlineStr"/>
      <c r="I15" t="inlineStr">
        <is>
          <t>1</t>
        </is>
      </c>
      <c r="J15" t="inlineStr"/>
      <c r="K15" t="inlineStr"/>
      <c r="L15" t="inlineStr"/>
      <c r="M15" t="inlineStr"/>
      <c r="N15" t="inlineStr"/>
      <c r="O15" t="inlineStr"/>
      <c r="P15" t="inlineStr"/>
      <c r="Q15" t="inlineStr"/>
      <c r="R15" t="inlineStr"/>
      <c r="S15" t="inlineStr"/>
    </row>
    <row r="16">
      <c r="A16">
        <f>Skills!A16</f>
        <v/>
      </c>
      <c r="B16">
        <f>Skills!B16</f>
        <v/>
      </c>
      <c r="C16">
        <f>Inputs!$B$3&gt;=120</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t="inlineStr"/>
      <c r="H16" t="inlineStr"/>
      <c r="I16" t="inlineStr">
        <is>
          <t>1</t>
        </is>
      </c>
      <c r="J16" t="inlineStr"/>
      <c r="K16" t="inlineStr"/>
      <c r="L16" t="inlineStr"/>
      <c r="M16" t="inlineStr"/>
      <c r="N16" t="inlineStr"/>
      <c r="O16" t="inlineStr"/>
      <c r="P16" t="inlineStr"/>
      <c r="Q16" t="inlineStr"/>
      <c r="R16" t="inlineStr"/>
      <c r="S16" t="inlineStr"/>
    </row>
    <row r="17">
      <c r="A17">
        <f>Skills!A17</f>
        <v/>
      </c>
      <c r="B17">
        <f>Skills!B17</f>
        <v/>
      </c>
      <c r="C17">
        <f>Inputs!$B$3&gt;=66</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t="n">
        <v>0</v>
      </c>
      <c r="R17" t="n">
        <v>0</v>
      </c>
      <c r="S17">
        <f>IFERROR(O17/N17,0)</f>
        <v/>
      </c>
      <c r="T17" t="n">
        <v>0</v>
      </c>
      <c r="V17" t="n">
        <v>0</v>
      </c>
    </row>
    <row r="18">
      <c r="A18">
        <f>Skills!A18</f>
        <v/>
      </c>
      <c r="B18">
        <f>Skills!B18</f>
        <v/>
      </c>
      <c r="C18">
        <f>Inputs!$B$3&gt;=115</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f>IFERROR(1/(IF(Inputs!$B$38="pvp",15,MAX(0.1,Skills!D18-IF(Skills!E18=TRUE,Inputs!$B$32,0)))*(1-IF(AND(ArtifactsInput!$M$27,Inputs!$B$4="Chapter Hunt"),CHOOSE(ArtifactsInput!$N$27+1,20,24,28,32,36,40),0)/100)),0)</f>
        <v/>
      </c>
      <c r="R18">
        <f>IF(AND(Inputs!$B$38&lt;&gt;"pvp",Inputs!$B$43&gt;0),IF(Inputs!$B$43&lt;=0,0,(INT(Inputs!$B$43/(IF(Inputs!$B$38="pvp",15,MAX(0.1,Skills!D18-IF(Skills!E18=TRUE,Inputs!$B$32,0)))*(1-IF(AND(ArtifactsInput!$M$27,Inputs!$B$4="Chapter Hunt"),CHOOSE(ArtifactsInput!$N$27+1,20,24,28,32,36,40),0)/100)))+1)),0)</f>
        <v/>
      </c>
      <c r="S18">
        <f>IFERROR(O18/N18,0)</f>
        <v/>
      </c>
      <c r="T18" t="n">
        <v>0</v>
      </c>
      <c r="V18" t="n">
        <v>0</v>
      </c>
    </row>
    <row r="19">
      <c r="A19">
        <f>Skills!A19</f>
        <v/>
      </c>
      <c r="B19">
        <f>Skills!B19</f>
        <v/>
      </c>
      <c r="C19">
        <f>Inputs!$B$3&gt;=15</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t="n">
        <v>0</v>
      </c>
      <c r="R19" t="n">
        <v>0</v>
      </c>
      <c r="S19">
        <f>IFERROR(O19/N19,0)</f>
        <v/>
      </c>
      <c r="T19" t="n">
        <v>0</v>
      </c>
      <c r="V19" t="n">
        <v>0</v>
      </c>
    </row>
    <row r="20">
      <c r="A20">
        <f>Skills!A20</f>
        <v/>
      </c>
      <c r="B20">
        <f>Skills!B20</f>
        <v/>
      </c>
      <c r="C20">
        <f>Inputs!$B$3&gt;=10</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f>IFERROR(O20/N20,0)</f>
        <v/>
      </c>
      <c r="T20" t="n">
        <v>0</v>
      </c>
      <c r="V20" t="n">
        <v>0</v>
      </c>
    </row>
    <row r="21">
      <c r="A21">
        <f>Skills!A21</f>
        <v/>
      </c>
      <c r="B21">
        <f>Skills!B21</f>
        <v/>
      </c>
      <c r="C21">
        <f>Inputs!$B$3&gt;=33</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f>IFERROR(O21/N21,0)</f>
        <v/>
      </c>
      <c r="T21" t="n">
        <v>0</v>
      </c>
      <c r="V21" t="n">
        <v>0</v>
      </c>
    </row>
    <row r="22">
      <c r="A22">
        <f>Skills!A22</f>
        <v/>
      </c>
      <c r="B22">
        <f>Skills!B22</f>
        <v/>
      </c>
      <c r="C22">
        <f>Inputs!$B$3&gt;=43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Inputs!$B$3&gt;=38</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Inputs!$B$3&gt;=40</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Inputs!$B$3&gt;=72</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Inputs!$B$3&gt;=75</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f>IFERROR(O26/N26,0)</f>
        <v/>
      </c>
      <c r="T26" t="n">
        <v>0</v>
      </c>
      <c r="V26" t="n">
        <v>0</v>
      </c>
    </row>
    <row r="27">
      <c r="A27">
        <f>Skills!A27</f>
        <v/>
      </c>
      <c r="B27">
        <f>Skills!B27</f>
        <v/>
      </c>
      <c r="C27">
        <f>Inputs!$B$3&gt;=117</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f>(1-Summary!$B$11)*T27+Summary!$B$11*V27</f>
        <v/>
      </c>
      <c r="P27">
        <f>IF(Summary!$B$3=0,0,O27/Summary!$B$3)</f>
        <v/>
      </c>
      <c r="Q27" t="n">
        <v>0</v>
      </c>
      <c r="R27" t="n">
        <v>0</v>
      </c>
      <c r="S27">
        <f>IFERROR(O27/N27,0)</f>
        <v/>
      </c>
      <c r="T27" t="n">
        <v>0</v>
      </c>
      <c r="V27" t="n">
        <v>0</v>
      </c>
    </row>
    <row r="28">
      <c r="A28">
        <f>Skills!A28</f>
        <v/>
      </c>
      <c r="B28">
        <f>Skills!B28</f>
        <v/>
      </c>
      <c r="C28">
        <f>TRUE</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t="inlineStr">
        <is>
          <t>1</t>
        </is>
      </c>
      <c r="J28" t="inlineStr"/>
      <c r="K28" t="inlineStr"/>
      <c r="L28" t="inlineStr"/>
      <c r="M28" t="inlineStr"/>
      <c r="N28" t="inlineStr"/>
      <c r="O28">
        <f>(1-Summary!$B$11)*T28+Summary!$B$11*V28</f>
        <v/>
      </c>
      <c r="P28">
        <f>IF(Summary!$B$3=0,0,O28/Summary!$B$3)</f>
        <v/>
      </c>
      <c r="Q28">
        <f>IFERROR(1/(IF(Inputs!$B$38="pvp",15,MAX(0.1,Skills!D28-IF(Skills!E28=TRUE,Inputs!$B$32,0)))*(1-IF(AND(ArtifactsInput!$M$27,Inputs!$B$4="Chapter Hunt"),CHOOSE(ArtifactsInput!$N$27+1,20,24,28,32,36,40),0)/100)),0)</f>
        <v/>
      </c>
      <c r="R28">
        <f>IF(AND(Inputs!$B$38&lt;&gt;"pvp",Inputs!$B$43&gt;0),IF(Inputs!$B$43&lt;=0,0,(INT(Inputs!$B$43/(IF(Inputs!$B$38="pvp",15,MAX(0.1,Skills!D28-IF(Skills!E28=TRUE,Inputs!$B$32,0)))*(1-IF(AND(ArtifactsInput!$M$27,Inputs!$B$4="Chapter Hunt"),CHOOSE(ArtifactsInput!$N$27+1,20,24,28,32,36,40),0)/100)))+1)),0)</f>
        <v/>
      </c>
      <c r="S28">
        <f>IFERROR(O28/N28,0)</f>
        <v/>
      </c>
      <c r="T28" t="n">
        <v>0</v>
      </c>
      <c r="V28"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9"/>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Corsair — DPS Summary</t>
        </is>
      </c>
    </row>
    <row r="3">
      <c r="A3" s="10" t="inlineStr">
        <is>
          <t>TOTAL DPS</t>
        </is>
      </c>
      <c r="B3" s="10">
        <f>SUM(Calc!O2:O28)</f>
        <v/>
      </c>
    </row>
    <row r="5">
      <c r="A5" s="9" t="inlineStr">
        <is>
          <t>Derived Values (read-only, computed from Inputs)</t>
        </is>
      </c>
    </row>
    <row r="6">
      <c r="A6" t="inlineStr">
        <is>
          <t>ATTACK (= Flat ATTACK x (1+ATTACK%/100))</t>
        </is>
      </c>
      <c r="B6">
        <f>Inputs!$B$6*(1+Inputs!$B$7/100)</f>
        <v/>
      </c>
    </row>
    <row r="7">
      <c r="A7" t="inlineStr">
        <is>
          <t>STAT_DAMAGE % (= 1% of total STR + 0.25% of DEX)</t>
        </is>
      </c>
      <c r="B7">
        <f>(Inputs!$B$12*(1+Inputs!$B$13/100))*0.01+Inputs!$B$14*0.0025</f>
        <v/>
      </c>
    </row>
    <row r="8">
      <c r="A8" t="inlineStr">
        <is>
          <t>Basic Attack (Eight-Legs Easton)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Eight-Legs Easton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(Roll of the Dice's dice component only)</t>
        </is>
      </c>
      <c r="B13">
        <f>1+(((Calc!C17=TRUE)*Calc!F17*5/7)+Artifacts!$B$52)/100</f>
        <v/>
      </c>
    </row>
    <row r="14">
      <c r="A14" t="inlineStr">
        <is>
          <t>Global Crit Rate Bonus % (unused — no live Crit-Rate-buff source exists)</t>
        </is>
      </c>
      <c r="B14" t="n">
        <v>0</v>
      </c>
    </row>
    <row r="15">
      <c r="A15" t="inlineStr">
        <is>
          <t>Global Monster Damage-Taken Bonus % (Peach/Silver artifact bonuses only — no other live source in this kit)</t>
        </is>
      </c>
      <c r="B15">
        <f>Artifacts!$B$36</f>
        <v/>
      </c>
    </row>
    <row r="16">
      <c r="A16" t="inlineStr">
        <is>
          <t>Attack Speed Buff Bonus % (Nimble Feet, duty-cycle averaged)</t>
        </is>
      </c>
      <c r="B16">
        <f>((Calc!C28=TRUE)*Calc!F28*IF(AND(Inputs!$B$38&lt;&gt;"pvp",Inputs!$B$43&gt;0),(((Calc!R28-1)*(Skills!T28*(1+Inputs!$B$34/100))+MIN((Skills!T28*(1+Inputs!$B$34/100)),MAX(0,Inputs!$B$43-((Calc!R28-1)*Skills!D28))))/Inputs!$B$43),IF(Inputs!$B$38="pvp",MIN((Skills!T28*(1+Inputs!$B$34/100)),15)/15,(Skills!T28*(1+Inputs!$B$34/100))/Skills!D28)))</f>
        <v/>
      </c>
    </row>
    <row r="17">
      <c r="A17" t="inlineStr">
        <is>
          <t>Actions Per Second</t>
        </is>
      </c>
      <c r="B17">
        <f>1+MIN(150,150*(1-(1-Inputs!$B$11/150)*(1-B16/150)))/100</f>
        <v/>
      </c>
    </row>
    <row r="18">
      <c r="A18" t="inlineStr">
        <is>
          <t>Skill + Buff Cast Rate (subtracted from Eight-Legs Easton, 1/s)</t>
        </is>
      </c>
      <c r="B18">
        <f>IF(AND(Inputs!$B$38&lt;&gt;"pvp",Inputs!$B$43&gt;0),SUMPRODUCT((Skills!E2:E28=TRUE)*(Calc!C2:C28=TRUE)*Calc!R2:R28*Skills!F2:F28)/Inputs!$B$43,SUMPRODUCT((Skills!E2:E28=TRUE)*(Calc!C2:C28=TRUE)*Calc!Q2:Q28*Skills!F2:F28))</f>
        <v/>
      </c>
    </row>
    <row r="19">
      <c r="A19" t="inlineStr">
        <is>
          <t>Eight-Legs Easton (Basic Attack) Casts Per Second</t>
        </is>
      </c>
      <c r="B19">
        <f>MAX(0,B17-B18)</f>
        <v/>
      </c>
    </row>
    <row r="20">
      <c r="A20" t="inlineStr">
        <is>
          <t>Global Critical Damage Bonus % (unused — no live Crit-Damage-buff source exists)</t>
        </is>
      </c>
      <c r="B20" t="n">
        <v>0</v>
      </c>
    </row>
    <row r="21">
      <c r="A21" t="inlineStr">
        <is>
          <t>Global Final Damage Bonus % (Jolly Roger + Ahoy Mateys - Final Damage proc)</t>
        </is>
      </c>
      <c r="B21">
        <f>((Calc!C18=TRUE)*Calc!F18*IF(AND(Inputs!$B$38&lt;&gt;"pvp",Inputs!$B$43&gt;0),(((Calc!R18-1)*(Skills!T18*(1+Inputs!$B$34/100))+MIN((Skills!T18*(1+Inputs!$B$34/100)),MAX(0,Inputs!$B$43-((Calc!R18-1)*Skills!D18))))/Inputs!$B$43),IF(Inputs!$B$38="pvp",MIN((Skills!T18*(1+Inputs!$B$34/100)),15)/15,(Skills!T18*(1+Inputs!$B$34/100))/Skills!D18)))+IF(Inputs!$B$3&gt;=122,20*IF(Inputs!$B$38="pvp",MIN((20*(1+Inputs!$B$34/100)),15)/15,(20*(1+Inputs!$B$34/100))/Skills!D4),0)</f>
        <v/>
      </c>
    </row>
    <row r="22">
      <c r="A22" t="inlineStr">
        <is>
          <t>Eight-Legs Easton (Basic Attack) DPS</t>
        </is>
      </c>
      <c r="B22">
        <f>Calc!O2</f>
        <v/>
      </c>
    </row>
    <row r="23">
      <c r="A23" t="inlineStr">
        <is>
          <t>Buff-Casting Startup Delay (s, before first damage-skill cast; fixed-duration only)</t>
        </is>
      </c>
      <c r="B23">
        <f>IF(AND(Inputs!$B$38&lt;&gt;"pvp",Inputs!$B$43&gt;0),SUMPRODUCT((Skills!T2:T28&gt;0)*(Skills!E2:E28=TRUE)*(Calc!C2:C28=TRUE))/B17,0)</f>
        <v/>
      </c>
    </row>
    <row r="24">
      <c r="A24" t="inlineStr">
        <is>
          <t>Boss-Only Total DPS (Sensitivity baseline)</t>
        </is>
      </c>
      <c r="B24">
        <f>SUM(Calc!T2:T28)</f>
        <v/>
      </c>
    </row>
    <row r="25">
      <c r="A25" t="inlineStr">
        <is>
          <t>Normal-Only Total DPS (Sensitivity baseline)</t>
        </is>
      </c>
      <c r="B25">
        <f>SUM(Calc!V2:V28)</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Calc!B3</f>
        <v/>
      </c>
      <c r="B30">
        <f>Calc!O3</f>
        <v/>
      </c>
      <c r="C30">
        <f>Calc!P3*100</f>
        <v/>
      </c>
    </row>
    <row r="31">
      <c r="A31">
        <f>Calc!B4</f>
        <v/>
      </c>
      <c r="B31">
        <f>Calc!O4</f>
        <v/>
      </c>
      <c r="C31">
        <f>Calc!P4*100</f>
        <v/>
      </c>
    </row>
    <row r="32">
      <c r="A32">
        <f>Calc!B5</f>
        <v/>
      </c>
      <c r="B32">
        <f>Calc!O5</f>
        <v/>
      </c>
      <c r="C32">
        <f>Calc!P5*100</f>
        <v/>
      </c>
    </row>
    <row r="33">
      <c r="A33">
        <f>Calc!B6</f>
        <v/>
      </c>
      <c r="B33">
        <f>Calc!O6</f>
        <v/>
      </c>
      <c r="C33">
        <f>Calc!P6*100</f>
        <v/>
      </c>
    </row>
    <row r="34">
      <c r="A34">
        <f>Calc!B7</f>
        <v/>
      </c>
      <c r="B34">
        <f>Calc!O7</f>
        <v/>
      </c>
      <c r="C34">
        <f>Calc!P7*100</f>
        <v/>
      </c>
    </row>
    <row r="35">
      <c r="A35">
        <f>Calc!B8</f>
        <v/>
      </c>
      <c r="B35">
        <f>Calc!O8</f>
        <v/>
      </c>
      <c r="C35">
        <f>Calc!P8*100</f>
        <v/>
      </c>
    </row>
    <row r="36">
      <c r="A36">
        <f>Calc!B9</f>
        <v/>
      </c>
      <c r="B36">
        <f>Calc!O9</f>
        <v/>
      </c>
      <c r="C36">
        <f>Calc!P9*100</f>
        <v/>
      </c>
    </row>
    <row r="37">
      <c r="A37">
        <f>Calc!B10</f>
        <v/>
      </c>
      <c r="B37">
        <f>Calc!O10</f>
        <v/>
      </c>
      <c r="C37">
        <f>Calc!P10*100</f>
        <v/>
      </c>
    </row>
    <row r="38">
      <c r="A38">
        <f>Calc!B11</f>
        <v/>
      </c>
      <c r="B38">
        <f>Calc!O11</f>
        <v/>
      </c>
      <c r="C38">
        <f>Calc!P11*100</f>
        <v/>
      </c>
    </row>
    <row r="39">
      <c r="A39">
        <f>Calc!B12</f>
        <v/>
      </c>
      <c r="B39">
        <f>Calc!O12</f>
        <v/>
      </c>
      <c r="C39">
        <f>Calc!P12*100</f>
        <v/>
      </c>
    </row>
    <row r="40">
      <c r="A40">
        <f>Calc!B13</f>
        <v/>
      </c>
      <c r="B40">
        <f>Calc!O13</f>
        <v/>
      </c>
      <c r="C40">
        <f>Calc!P13*100</f>
        <v/>
      </c>
    </row>
    <row r="41">
      <c r="A41">
        <f>Calc!B14</f>
        <v/>
      </c>
      <c r="B41">
        <f>Calc!O14</f>
        <v/>
      </c>
      <c r="C41">
        <f>Calc!P14*100</f>
        <v/>
      </c>
    </row>
    <row r="42">
      <c r="A42" s="9" t="inlineStr">
        <is>
          <t>Marginal DPS &amp; Stat Value (see Sensitivity for full detail)</t>
        </is>
      </c>
    </row>
    <row r="44">
      <c r="A44" s="5" t="inlineStr">
        <is>
          <t>Stat</t>
        </is>
      </c>
      <c r="B44" s="5" t="inlineStr">
        <is>
          <t>DPS per +1</t>
        </is>
      </c>
      <c r="C44" s="5" t="inlineStr">
        <is>
          <t>Units per +1% DPS</t>
        </is>
      </c>
    </row>
    <row r="45">
      <c r="A45">
        <f>Sensitivity!A5</f>
        <v/>
      </c>
      <c r="B45">
        <f>Sensitivity!H5</f>
        <v/>
      </c>
      <c r="C45">
        <f>Sensitivity!B5</f>
        <v/>
      </c>
    </row>
    <row r="46">
      <c r="A46">
        <f>Sensitivity!A6</f>
        <v/>
      </c>
      <c r="B46">
        <f>Sensitivity!H6</f>
        <v/>
      </c>
      <c r="C46">
        <f>Sensitivity!B6</f>
        <v/>
      </c>
    </row>
    <row r="47">
      <c r="A47">
        <f>Sensitivity!A7</f>
        <v/>
      </c>
      <c r="B47">
        <f>Sensitivity!H7</f>
        <v/>
      </c>
      <c r="C47">
        <f>Sensitivity!B7</f>
        <v/>
      </c>
    </row>
    <row r="48">
      <c r="A48">
        <f>Sensitivity!A8</f>
        <v/>
      </c>
      <c r="B48">
        <f>Sensitivity!H8</f>
        <v/>
      </c>
      <c r="C48">
        <f>Sensitivity!B8</f>
        <v/>
      </c>
    </row>
    <row r="49">
      <c r="A49">
        <f>Sensitivity!A9</f>
        <v/>
      </c>
      <c r="B49">
        <f>Sensitivity!H9</f>
        <v/>
      </c>
      <c r="C49">
        <f>Sensitivity!B9</f>
        <v/>
      </c>
    </row>
    <row r="50">
      <c r="A50">
        <f>Sensitivity!A10</f>
        <v/>
      </c>
      <c r="B50">
        <f>Sensitivity!H10</f>
        <v/>
      </c>
      <c r="C50">
        <f>Sensitivity!B10</f>
        <v/>
      </c>
    </row>
    <row r="51">
      <c r="A51">
        <f>Sensitivity!A11</f>
        <v/>
      </c>
      <c r="B51">
        <f>Sensitivity!H11</f>
        <v/>
      </c>
      <c r="C51">
        <f>Sensitivity!B11</f>
        <v/>
      </c>
    </row>
    <row r="52">
      <c r="A52">
        <f>Sensitivity!A12</f>
        <v/>
      </c>
      <c r="B52">
        <f>Sensitivity!H12</f>
        <v/>
      </c>
      <c r="C52">
        <f>Sensitivity!B12</f>
        <v/>
      </c>
    </row>
    <row r="53">
      <c r="A53">
        <f>Sensitivity!A13</f>
        <v/>
      </c>
      <c r="B53">
        <f>Sensitivity!H13</f>
        <v/>
      </c>
      <c r="C53">
        <f>Sensitivity!B13</f>
        <v/>
      </c>
    </row>
    <row r="54">
      <c r="A54">
        <f>Sensitivity!A14</f>
        <v/>
      </c>
      <c r="B54">
        <f>Sensitivity!H14</f>
        <v/>
      </c>
      <c r="C54">
        <f>Sensitivity!B14</f>
        <v/>
      </c>
    </row>
    <row r="55">
      <c r="A55">
        <f>Sensitivity!A15</f>
        <v/>
      </c>
      <c r="B55">
        <f>Sensitivity!H15</f>
        <v/>
      </c>
      <c r="C55">
        <f>Sensitivity!B15</f>
        <v/>
      </c>
    </row>
    <row r="56">
      <c r="A56">
        <f>Sensitivity!A16</f>
        <v/>
      </c>
      <c r="B56">
        <f>Sensitivity!H16</f>
        <v/>
      </c>
      <c r="C56">
        <f>Sensitivity!B16</f>
        <v/>
      </c>
    </row>
    <row r="57">
      <c r="A57">
        <f>Sensitivity!A17</f>
        <v/>
      </c>
      <c r="B57">
        <f>Sensitivity!H17</f>
        <v/>
      </c>
      <c r="C57">
        <f>Sensitivity!B17</f>
        <v/>
      </c>
    </row>
    <row r="58">
      <c r="A58">
        <f>Sensitivity!A18</f>
        <v/>
      </c>
      <c r="B58">
        <f>Sensitivity!H18</f>
        <v/>
      </c>
      <c r="C58">
        <f>Sensitivity!B18</f>
        <v/>
      </c>
    </row>
    <row r="59">
      <c r="A59">
        <f>Sensitivity!A19</f>
        <v/>
      </c>
      <c r="B59">
        <f>Sensitivity!H19</f>
        <v/>
      </c>
      <c r="C59">
        <f>Sensitivity!B19</f>
        <v/>
      </c>
    </row>
    <row r="60">
      <c r="A60">
        <f>Sensitivity!A20</f>
        <v/>
      </c>
      <c r="B60">
        <f>Sensitivity!H20</f>
        <v/>
      </c>
      <c r="C60">
        <f>Sensitivity!B20</f>
        <v/>
      </c>
    </row>
    <row r="61">
      <c r="A61">
        <f>Sensitivity!A21</f>
        <v/>
      </c>
      <c r="B61">
        <f>Sensitivity!H21</f>
        <v/>
      </c>
      <c r="C61">
        <f>Sensitivity!B21</f>
        <v/>
      </c>
    </row>
    <row r="62">
      <c r="A62">
        <f>Sensitivity!A22</f>
        <v/>
      </c>
      <c r="B62">
        <f>Sensitivity!H22</f>
        <v/>
      </c>
      <c r="C62">
        <f>Sensitivity!B22</f>
        <v/>
      </c>
    </row>
    <row r="63">
      <c r="A63">
        <f>Sensitivity!A23</f>
        <v/>
      </c>
      <c r="B63">
        <f>Sensitivity!H23</f>
        <v/>
      </c>
      <c r="C63">
        <f>Sensitivity!B23</f>
        <v/>
      </c>
    </row>
    <row r="64">
      <c r="A64">
        <f>Sensitivity!A24</f>
        <v/>
      </c>
      <c r="B64">
        <f>Sensitivity!H24</f>
        <v/>
      </c>
      <c r="C64">
        <f>Sensitivity!B24</f>
        <v/>
      </c>
    </row>
    <row r="65">
      <c r="A65">
        <f>Sensitivity!A25</f>
        <v/>
      </c>
      <c r="B65">
        <f>Sensitivity!H25</f>
        <v/>
      </c>
      <c r="C65">
        <f>Sensitivity!B25</f>
        <v/>
      </c>
    </row>
    <row r="66">
      <c r="A66">
        <f>Sensitivity!A26</f>
        <v/>
      </c>
      <c r="B66">
        <f>Sensitivity!H26</f>
        <v/>
      </c>
      <c r="C66">
        <f>Sensitivity!B26</f>
        <v/>
      </c>
    </row>
    <row r="67">
      <c r="A67">
        <f>Sensitivity!A27</f>
        <v/>
      </c>
      <c r="B67">
        <f>Sensitivity!H27</f>
        <v/>
      </c>
      <c r="C67">
        <f>Sensitivity!B27</f>
        <v/>
      </c>
    </row>
    <row r="68">
      <c r="A68">
        <f>Sensitivity!A28</f>
        <v/>
      </c>
      <c r="B68">
        <f>Sensitivity!H28</f>
        <v/>
      </c>
      <c r="C68">
        <f>Sensitivity!B28</f>
        <v/>
      </c>
    </row>
    <row r="69">
      <c r="A69">
        <f>Sensitivity!A29</f>
        <v/>
      </c>
      <c r="B69">
        <f>Sensitivity!H29</f>
        <v/>
      </c>
      <c r="C69">
        <f>Sensitivity!B29</f>
        <v/>
      </c>
    </row>
    <row r="70">
      <c r="A70">
        <f>Sensitivity!A30</f>
        <v/>
      </c>
      <c r="B70">
        <f>Sensitivity!H30</f>
        <v/>
      </c>
      <c r="C70">
        <f>Sensitivity!B30</f>
        <v/>
      </c>
    </row>
    <row r="71">
      <c r="A71" s="9" t="inlineStr">
        <is>
          <t>Artifact Equip-Toggle DPS Gain, best to worst (see Sensitivity for full detail)</t>
        </is>
      </c>
    </row>
    <row r="73">
      <c r="A73" s="5" t="inlineStr">
        <is>
          <t>Artifact</t>
        </is>
      </c>
      <c r="B73" s="5" t="inlineStr">
        <is>
          <t>DPS Gain</t>
        </is>
      </c>
      <c r="C73" s="5" t="inlineStr">
        <is>
          <t>% Gain</t>
        </is>
      </c>
    </row>
    <row r="74">
      <c r="A74">
        <f>Sensitivity!A33</f>
        <v/>
      </c>
      <c r="B74">
        <f>Sensitivity!B33</f>
        <v/>
      </c>
      <c r="C74">
        <f>Sensitivity!C33</f>
        <v/>
      </c>
    </row>
    <row r="75">
      <c r="A75">
        <f>Sensitivity!A34</f>
        <v/>
      </c>
      <c r="B75">
        <f>Sensitivity!B34</f>
        <v/>
      </c>
      <c r="C75">
        <f>Sensitivity!C34</f>
        <v/>
      </c>
    </row>
    <row r="76">
      <c r="A76">
        <f>Sensitivity!A35</f>
        <v/>
      </c>
      <c r="B76">
        <f>Sensitivity!B35</f>
        <v/>
      </c>
      <c r="C76">
        <f>Sensitivity!C35</f>
        <v/>
      </c>
    </row>
    <row r="77">
      <c r="A77">
        <f>Sensitivity!A36</f>
        <v/>
      </c>
      <c r="B77">
        <f>Sensitivity!B36</f>
        <v/>
      </c>
      <c r="C77">
        <f>Sensitivity!C36</f>
        <v/>
      </c>
    </row>
    <row r="78">
      <c r="A78">
        <f>Sensitivity!A37</f>
        <v/>
      </c>
      <c r="B78">
        <f>Sensitivity!B37</f>
        <v/>
      </c>
      <c r="C78">
        <f>Sensitivity!C37</f>
        <v/>
      </c>
    </row>
    <row r="79">
      <c r="A79">
        <f>Sensitivity!A38</f>
        <v/>
      </c>
      <c r="B79">
        <f>Sensitivity!B38</f>
        <v/>
      </c>
      <c r="C79">
        <f>Sensitivity!C38</f>
        <v/>
      </c>
    </row>
    <row r="80">
      <c r="A80">
        <f>Sensitivity!A39</f>
        <v/>
      </c>
      <c r="B80">
        <f>Sensitivity!B39</f>
        <v/>
      </c>
      <c r="C80">
        <f>Sensitivity!C39</f>
        <v/>
      </c>
    </row>
    <row r="81">
      <c r="A81">
        <f>Sensitivity!A40</f>
        <v/>
      </c>
      <c r="B81">
        <f>Sensitivity!B40</f>
        <v/>
      </c>
      <c r="C81">
        <f>Sensitivity!C40</f>
        <v/>
      </c>
    </row>
    <row r="82">
      <c r="A82">
        <f>Sensitivity!A41</f>
        <v/>
      </c>
      <c r="B82">
        <f>Sensitivity!B41</f>
        <v/>
      </c>
      <c r="C82">
        <f>Sensitivity!C41</f>
        <v/>
      </c>
    </row>
    <row r="83">
      <c r="A83">
        <f>Sensitivity!A42</f>
        <v/>
      </c>
      <c r="B83">
        <f>Sensitivity!B42</f>
        <v/>
      </c>
      <c r="C83">
        <f>Sensitivity!C42</f>
        <v/>
      </c>
    </row>
    <row r="84">
      <c r="A84">
        <f>Sensitivity!A43</f>
        <v/>
      </c>
      <c r="B84">
        <f>Sensitivity!B43</f>
        <v/>
      </c>
      <c r="C84">
        <f>Sensitivity!C43</f>
        <v/>
      </c>
    </row>
    <row r="85">
      <c r="A85">
        <f>Sensitivity!A44</f>
        <v/>
      </c>
      <c r="B85">
        <f>Sensitivity!B44</f>
        <v/>
      </c>
      <c r="C85">
        <f>Sensitivity!C44</f>
        <v/>
      </c>
    </row>
    <row r="86">
      <c r="A86">
        <f>Sensitivity!A45</f>
        <v/>
      </c>
      <c r="B86">
        <f>Sensitivity!B45</f>
        <v/>
      </c>
      <c r="C86">
        <f>Sensitivity!C45</f>
        <v/>
      </c>
    </row>
    <row r="87">
      <c r="A87">
        <f>Sensitivity!A46</f>
        <v/>
      </c>
      <c r="B87">
        <f>Sensitivity!B46</f>
        <v/>
      </c>
      <c r="C87">
        <f>Sensitivity!C46</f>
        <v/>
      </c>
    </row>
    <row r="88">
      <c r="A88">
        <f>Sensitivity!A47</f>
        <v/>
      </c>
      <c r="B88">
        <f>Sensitivity!B47</f>
        <v/>
      </c>
      <c r="C88">
        <f>Sensitivity!C47</f>
        <v/>
      </c>
    </row>
    <row r="89">
      <c r="A89">
        <f>Sensitivity!A48</f>
        <v/>
      </c>
      <c r="B89">
        <f>Sensitivity!B48</f>
        <v/>
      </c>
      <c r="C89">
        <f>Sensitivity!C48</f>
        <v/>
      </c>
    </row>
    <row r="90">
      <c r="A90">
        <f>Sensitivity!A49</f>
        <v/>
      </c>
      <c r="B90">
        <f>Sensitivity!B49</f>
        <v/>
      </c>
      <c r="C90">
        <f>Sensitivity!C49</f>
        <v/>
      </c>
    </row>
    <row r="91">
      <c r="A91">
        <f>Sensitivity!A50</f>
        <v/>
      </c>
      <c r="B91">
        <f>Sensitivity!B50</f>
        <v/>
      </c>
      <c r="C91">
        <f>Sensitivity!C50</f>
        <v/>
      </c>
    </row>
    <row r="92">
      <c r="A92">
        <f>Sensitivity!A51</f>
        <v/>
      </c>
      <c r="B92">
        <f>Sensitivity!B51</f>
        <v/>
      </c>
      <c r="C92">
        <f>Sensitivity!C51</f>
        <v/>
      </c>
    </row>
    <row r="93">
      <c r="A93">
        <f>Sensitivity!A52</f>
        <v/>
      </c>
      <c r="B93">
        <f>Sensitivity!B52</f>
        <v/>
      </c>
      <c r="C93">
        <f>Sensitivity!C52</f>
        <v/>
      </c>
    </row>
    <row r="94">
      <c r="A94">
        <f>Sensitivity!A53</f>
        <v/>
      </c>
      <c r="B94">
        <f>Sensitivity!B53</f>
        <v/>
      </c>
      <c r="C94">
        <f>Sensitivity!C53</f>
        <v/>
      </c>
    </row>
    <row r="95">
      <c r="A95">
        <f>Sensitivity!A54</f>
        <v/>
      </c>
      <c r="B95">
        <f>Sensitivity!B54</f>
        <v/>
      </c>
      <c r="C95">
        <f>Sensitivity!C54</f>
        <v/>
      </c>
    </row>
    <row r="96">
      <c r="A96">
        <f>Sensitivity!A55</f>
        <v/>
      </c>
      <c r="B96">
        <f>Sensitivity!B55</f>
        <v/>
      </c>
      <c r="C96">
        <f>Sensitivity!C55</f>
        <v/>
      </c>
    </row>
    <row r="97">
      <c r="A97">
        <f>Sensitivity!A56</f>
        <v/>
      </c>
      <c r="B97">
        <f>Sensitivity!B56</f>
        <v/>
      </c>
      <c r="C97">
        <f>Sensitivity!C56</f>
        <v/>
      </c>
    </row>
    <row r="98">
      <c r="A98">
        <f>Sensitivity!A57</f>
        <v/>
      </c>
      <c r="B98">
        <f>Sensitivity!B57</f>
        <v/>
      </c>
      <c r="C98">
        <f>Sensitivity!C57</f>
        <v/>
      </c>
    </row>
    <row r="99">
      <c r="A99">
        <f>Sensitivity!A58</f>
        <v/>
      </c>
      <c r="B99">
        <f>Sensitivity!B58</f>
        <v/>
      </c>
      <c r="C99">
        <f>Sensitivity!C58</f>
        <v/>
      </c>
    </row>
    <row r="100">
      <c r="A100">
        <f>Sensitivity!A59</f>
        <v/>
      </c>
      <c r="B100">
        <f>Sensitivity!B59</f>
        <v/>
      </c>
      <c r="C100">
        <f>Sensitivity!C59</f>
        <v/>
      </c>
    </row>
    <row r="101">
      <c r="A101">
        <f>Sensitivity!A60</f>
        <v/>
      </c>
      <c r="B101">
        <f>Sensitivity!B60</f>
        <v/>
      </c>
      <c r="C101">
        <f>Sensitivity!C60</f>
        <v/>
      </c>
    </row>
    <row r="102">
      <c r="A102">
        <f>Sensitivity!A61</f>
        <v/>
      </c>
      <c r="B102">
        <f>Sensitivity!B61</f>
        <v/>
      </c>
      <c r="C102">
        <f>Sensitivity!C61</f>
        <v/>
      </c>
    </row>
    <row r="103">
      <c r="A103">
        <f>Sensitivity!A62</f>
        <v/>
      </c>
      <c r="B103">
        <f>Sensitivity!B62</f>
        <v/>
      </c>
      <c r="C103">
        <f>Sensitivity!C62</f>
        <v/>
      </c>
    </row>
    <row r="104">
      <c r="A104">
        <f>Sensitivity!A63</f>
        <v/>
      </c>
      <c r="B104">
        <f>Sensitivity!B63</f>
        <v/>
      </c>
      <c r="C104">
        <f>Sensitivity!C63</f>
        <v/>
      </c>
    </row>
    <row r="105">
      <c r="A105">
        <f>Sensitivity!A64</f>
        <v/>
      </c>
      <c r="B105">
        <f>Sensitivity!B64</f>
        <v/>
      </c>
      <c r="C105">
        <f>Sensitivity!C64</f>
        <v/>
      </c>
    </row>
    <row r="106">
      <c r="A106">
        <f>Sensitivity!A65</f>
        <v/>
      </c>
      <c r="B106">
        <f>Sensitivity!B65</f>
        <v/>
      </c>
      <c r="C106">
        <f>Sensitivity!C65</f>
        <v/>
      </c>
    </row>
    <row r="107">
      <c r="A107">
        <f>Sensitivity!A66</f>
        <v/>
      </c>
      <c r="B107">
        <f>Sensitivity!B66</f>
        <v/>
      </c>
      <c r="C107">
        <f>Sensitivity!C66</f>
        <v/>
      </c>
    </row>
    <row r="108">
      <c r="A108">
        <f>Sensitivity!A67</f>
        <v/>
      </c>
      <c r="B108">
        <f>Sensitivity!B67</f>
        <v/>
      </c>
      <c r="C108">
        <f>Sensitivity!C67</f>
        <v/>
      </c>
    </row>
    <row r="109">
      <c r="A109">
        <f>Sensitivity!A68</f>
        <v/>
      </c>
      <c r="B109">
        <f>Sensitivity!B68</f>
        <v/>
      </c>
      <c r="C109">
        <f>Sensitivity!C68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250"/>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DEX</t>
        </is>
      </c>
      <c r="B5">
        <f>IFERROR(1/(I5-100),"n/a")</f>
        <v/>
      </c>
      <c r="C5" t="inlineStr">
        <is>
          <t>flat</t>
        </is>
      </c>
      <c r="D5">
        <f>Inputs!$B$12+0</f>
        <v/>
      </c>
      <c r="E5">
        <f>(Inputs!$B$12+1)+0</f>
        <v/>
      </c>
      <c r="F5">
        <f>Summary!$B$3</f>
        <v/>
      </c>
      <c r="G5">
        <f>B112</f>
        <v/>
      </c>
      <c r="H5">
        <f>Summary!$B$3*(((1-Summary!$B$11)*IFERROR(B110/Summary!$B$24,1)+Summary!$B$11*IFERROR(B111/Summary!$B$25,1))-1)</f>
        <v/>
      </c>
      <c r="I5">
        <f>((1-Summary!$B$11)*IFERROR(B110/Summary!$B$24,1)+Summary!$B$11*IFERROR(B111/Summary!$B$25,1))*100</f>
        <v/>
      </c>
    </row>
    <row r="6">
      <c r="A6" t="inlineStr">
        <is>
          <t>DEX %</t>
        </is>
      </c>
      <c r="B6">
        <f>IFERROR(1/(I6-100),"n/a")</f>
        <v/>
      </c>
      <c r="C6" t="inlineStr">
        <is>
          <t>pct</t>
        </is>
      </c>
      <c r="D6">
        <f>Inputs!$B$13+0</f>
        <v/>
      </c>
      <c r="E6">
        <f>(Inputs!$B$13+1)+0</f>
        <v/>
      </c>
      <c r="F6">
        <f>Summary!$B$3</f>
        <v/>
      </c>
      <c r="G6">
        <f>B156</f>
        <v/>
      </c>
      <c r="H6">
        <f>Summary!$B$3*(((1-Summary!$B$11)*IFERROR(B154/Summary!$B$24,1)+Summary!$B$11*IFERROR(B155/Summary!$B$25,1))-1)</f>
        <v/>
      </c>
      <c r="I6">
        <f>((1-Summary!$B$11)*IFERROR(B154/Summary!$B$24,1)+Summary!$B$11*IFERROR(B155/Summary!$B$25,1))*100</f>
        <v/>
      </c>
    </row>
    <row r="7">
      <c r="A7" t="inlineStr">
        <is>
          <t>STR</t>
        </is>
      </c>
      <c r="B7">
        <f>IFERROR(1/(I7-100),"n/a")</f>
        <v/>
      </c>
      <c r="C7" t="inlineStr">
        <is>
          <t>flat</t>
        </is>
      </c>
      <c r="D7">
        <f>Inputs!$B$14+0</f>
        <v/>
      </c>
      <c r="E7">
        <f>(Inputs!$B$14+1)+0</f>
        <v/>
      </c>
      <c r="F7">
        <f>Summary!$B$3</f>
        <v/>
      </c>
      <c r="G7">
        <f>B200</f>
        <v/>
      </c>
      <c r="H7">
        <f>Summary!$B$3*(((1-Summary!$B$11)*IFERROR(B198/Summary!$B$24,1)+Summary!$B$11*IFERROR(B199/Summary!$B$25,1))-1)</f>
        <v/>
      </c>
      <c r="I7">
        <f>((1-Summary!$B$11)*IFERROR(B198/Summary!$B$24,1)+Summary!$B$11*IFERROR(B199/Summary!$B$25,1))*100</f>
        <v/>
      </c>
    </row>
    <row r="8">
      <c r="A8" t="inlineStr">
        <is>
          <t>DAMAGE %</t>
        </is>
      </c>
      <c r="B8">
        <f>IFERROR(1/(I8-100),"n/a")</f>
        <v/>
      </c>
      <c r="C8" t="inlineStr">
        <is>
          <t>pct</t>
        </is>
      </c>
      <c r="D8">
        <f>Inputs!$B$15+0</f>
        <v/>
      </c>
      <c r="E8">
        <f>(Inputs!$B$15+1)+0</f>
        <v/>
      </c>
      <c r="F8">
        <f>Summary!$B$3</f>
        <v/>
      </c>
      <c r="G8">
        <f>B244</f>
        <v/>
      </c>
      <c r="H8">
        <f>Summary!$B$3*(((1-Summary!$B$11)*IFERROR(B242/Summary!$B$24,1)+Summary!$B$11*IFERROR(B243/Summary!$B$25,1))-1)</f>
        <v/>
      </c>
      <c r="I8">
        <f>((1-Summary!$B$11)*IFERROR(B242/Summary!$B$24,1)+Summary!$B$11*IFERROR(B243/Summary!$B$25,1))*100</f>
        <v/>
      </c>
    </row>
    <row r="9">
      <c r="A9" t="inlineStr">
        <is>
          <t>DAMAGE_AMP %</t>
        </is>
      </c>
      <c r="B9">
        <f>IFERROR(1/(I9-100),"n/a")</f>
        <v/>
      </c>
      <c r="C9" t="inlineStr">
        <is>
          <t>pct</t>
        </is>
      </c>
      <c r="D9">
        <f>Inputs!$B$16+0</f>
        <v/>
      </c>
      <c r="E9">
        <f>(Inputs!$B$16+1)+0</f>
        <v/>
      </c>
      <c r="F9">
        <f>Summary!$B$3</f>
        <v/>
      </c>
      <c r="G9">
        <f>B288</f>
        <v/>
      </c>
      <c r="H9">
        <f>Summary!$B$3*(((1-Summary!$B$11)*IFERROR(B286/Summary!$B$24,1)+Summary!$B$11*IFERROR(B287/Summary!$B$25,1))-1)</f>
        <v/>
      </c>
      <c r="I9">
        <f>((1-Summary!$B$11)*IFERROR(B286/Summary!$B$24,1)+Summary!$B$11*IFERROR(B287/Summary!$B$25,1))*100</f>
        <v/>
      </c>
    </row>
    <row r="10">
      <c r="A10" t="inlineStr">
        <is>
          <t>BOSS_DAMAGE %</t>
        </is>
      </c>
      <c r="B10">
        <f>IFERROR(1/(I10-100),"n/a")</f>
        <v/>
      </c>
      <c r="C10" t="inlineStr">
        <is>
          <t>pct</t>
        </is>
      </c>
      <c r="D10">
        <f>Inputs!$B$20+0</f>
        <v/>
      </c>
      <c r="E10">
        <f>(Inputs!$B$20+1)+0</f>
        <v/>
      </c>
      <c r="F10">
        <f>Summary!$B$3</f>
        <v/>
      </c>
      <c r="G10">
        <f>B332</f>
        <v/>
      </c>
      <c r="H10">
        <f>Summary!$B$3*(((1-Summary!$B$11)*IFERROR(B330/Summary!$B$24,1)+Summary!$B$11*IFERROR(B331/Summary!$B$25,1))-1)</f>
        <v/>
      </c>
      <c r="I10">
        <f>((1-Summary!$B$11)*IFERROR(B330/Summary!$B$24,1)+Summary!$B$11*IFERROR(B331/Summary!$B$25,1))*100</f>
        <v/>
      </c>
    </row>
    <row r="11">
      <c r="A11" t="inlineStr">
        <is>
          <t>NORMAL_DAMAGE %</t>
        </is>
      </c>
      <c r="B11">
        <f>IFERROR(1/(I11-100),"n/a")</f>
        <v/>
      </c>
      <c r="C11" t="inlineStr">
        <is>
          <t>pct</t>
        </is>
      </c>
      <c r="D11">
        <f>Inputs!$B$21+0</f>
        <v/>
      </c>
      <c r="E11">
        <f>(Inputs!$B$21+1)+0</f>
        <v/>
      </c>
      <c r="F11">
        <f>Summary!$B$3</f>
        <v/>
      </c>
      <c r="G11">
        <f>B376</f>
        <v/>
      </c>
      <c r="H11">
        <f>Summary!$B$3*(((1-Summary!$B$11)*IFERROR(B374/Summary!$B$24,1)+Summary!$B$11*IFERROR(B375/Summary!$B$25,1))-1)</f>
        <v/>
      </c>
      <c r="I11">
        <f>((1-Summary!$B$11)*IFERROR(B374/Summary!$B$24,1)+Summary!$B$11*IFERROR(B375/Summary!$B$25,1))*100</f>
        <v/>
      </c>
    </row>
    <row r="12">
      <c r="A12" t="inlineStr">
        <is>
          <t>FINAL_DAMAGE % (multiplicative source)</t>
        </is>
      </c>
      <c r="B12">
        <f>IFERROR(1/(I12-100),"n/a")</f>
        <v/>
      </c>
      <c r="C12" t="inlineStr">
        <is>
          <t>mult</t>
        </is>
      </c>
      <c r="D12">
        <f>Inputs!$B$24+Summary!$B$21</f>
        <v/>
      </c>
      <c r="E12">
        <f>((((1+(Inputs!$B$24+Summary!$B$21)/100)*(1.01))-1)*100-(Summary!$B$21))+Summary!$B$21</f>
        <v/>
      </c>
      <c r="F12">
        <f>Summary!$B$3</f>
        <v/>
      </c>
      <c r="G12">
        <f>B420</f>
        <v/>
      </c>
      <c r="H12">
        <f>Summary!$B$3*(((1-Summary!$B$11)*IFERROR(B418/Summary!$B$24,1)+Summary!$B$11*IFERROR(B419/Summary!$B$25,1))-1)</f>
        <v/>
      </c>
      <c r="I12">
        <f>((1-Summary!$B$11)*IFERROR(B418/Summary!$B$24,1)+Summary!$B$11*IFERROR(B419/Summary!$B$25,1))*100</f>
        <v/>
      </c>
    </row>
    <row r="13">
      <c r="A13" t="inlineStr">
        <is>
          <t>MIN_DAMAGE %</t>
        </is>
      </c>
      <c r="B13">
        <f>IFERROR(1/(I13-100),"n/a")</f>
        <v/>
      </c>
      <c r="C13" t="inlineStr">
        <is>
          <t>pct</t>
        </is>
      </c>
      <c r="D13">
        <f>Inputs!$B$22+0</f>
        <v/>
      </c>
      <c r="E13">
        <f>(Inputs!$B$22+1)+0</f>
        <v/>
      </c>
      <c r="F13">
        <f>Summary!$B$3</f>
        <v/>
      </c>
      <c r="G13">
        <f>B464</f>
        <v/>
      </c>
      <c r="H13">
        <f>Summary!$B$3*(((1-Summary!$B$11)*IFERROR(B462/Summary!$B$24,1)+Summary!$B$11*IFERROR(B463/Summary!$B$25,1))-1)</f>
        <v/>
      </c>
      <c r="I13">
        <f>((1-Summary!$B$11)*IFERROR(B462/Summary!$B$24,1)+Summary!$B$11*IFERROR(B463/Summary!$B$25,1))*100</f>
        <v/>
      </c>
    </row>
    <row r="14">
      <c r="A14" t="inlineStr">
        <is>
          <t>MAX_DAMAGE %</t>
        </is>
      </c>
      <c r="B14">
        <f>IFERROR(1/(I14-100),"n/a")</f>
        <v/>
      </c>
      <c r="C14" t="inlineStr">
        <is>
          <t>pct</t>
        </is>
      </c>
      <c r="D14">
        <f>Inputs!$B$23+0</f>
        <v/>
      </c>
      <c r="E14">
        <f>(Inputs!$B$23+1)+0</f>
        <v/>
      </c>
      <c r="F14">
        <f>Summary!$B$3</f>
        <v/>
      </c>
      <c r="G14">
        <f>B508</f>
        <v/>
      </c>
      <c r="H14">
        <f>Summary!$B$3*(((1-Summary!$B$11)*IFERROR(B506/Summary!$B$24,1)+Summary!$B$11*IFERROR(B507/Summary!$B$25,1))-1)</f>
        <v/>
      </c>
      <c r="I14">
        <f>((1-Summary!$B$11)*IFERROR(B506/Summary!$B$24,1)+Summary!$B$11*IFERROR(B507/Summary!$B$25,1))*100</f>
        <v/>
      </c>
    </row>
    <row r="15">
      <c r="A15" t="inlineStr">
        <is>
          <t>CRIT_RATE %</t>
        </is>
      </c>
      <c r="B15">
        <f>IFERROR(1/(I15-100),"n/a")</f>
        <v/>
      </c>
      <c r="C15" t="inlineStr">
        <is>
          <t>pct</t>
        </is>
      </c>
      <c r="D15">
        <f>Inputs!$B$9+0</f>
        <v/>
      </c>
      <c r="E15">
        <f>(Inputs!$B$9+1)+0</f>
        <v/>
      </c>
      <c r="F15">
        <f>Summary!$B$3</f>
        <v/>
      </c>
      <c r="G15">
        <f>B552</f>
        <v/>
      </c>
      <c r="H15">
        <f>Summary!$B$3*(((1-Summary!$B$11)*IFERROR(B550/Summary!$B$24,1)+Summary!$B$11*IFERROR(B551/Summary!$B$25,1))-1)</f>
        <v/>
      </c>
      <c r="I15">
        <f>((1-Summary!$B$11)*IFERROR(B550/Summary!$B$24,1)+Summary!$B$11*IFERROR(B551/Summary!$B$25,1))*100</f>
        <v/>
      </c>
    </row>
    <row r="16">
      <c r="A16" t="inlineStr">
        <is>
          <t>CRIT_DAMAGE %</t>
        </is>
      </c>
      <c r="B16">
        <f>IFERROR(1/(I16-100),"n/a")</f>
        <v/>
      </c>
      <c r="C16" t="inlineStr">
        <is>
          <t>pct</t>
        </is>
      </c>
      <c r="D16">
        <f>Inputs!$B$10+0</f>
        <v/>
      </c>
      <c r="E16">
        <f>(Inputs!$B$10+1)+0</f>
        <v/>
      </c>
      <c r="F16">
        <f>Summary!$B$3</f>
        <v/>
      </c>
      <c r="G16">
        <f>B596</f>
        <v/>
      </c>
      <c r="H16">
        <f>Summary!$B$3*(((1-Summary!$B$11)*IFERROR(B594/Summary!$B$24,1)+Summary!$B$11*IFERROR(B595/Summary!$B$25,1))-1)</f>
        <v/>
      </c>
      <c r="I16">
        <f>((1-Summary!$B$11)*IFERROR(B594/Summary!$B$24,1)+Summary!$B$11*IFERROR(B595/Summary!$B$25,1))*100</f>
        <v/>
      </c>
    </row>
    <row r="17">
      <c r="A17" t="inlineStr">
        <is>
          <t>ATTACK_SPEED % (diminishing returns, factor 150)</t>
        </is>
      </c>
      <c r="B17">
        <f>IFERROR(1/(I17-100),"n/a")</f>
        <v/>
      </c>
      <c r="C17" t="inlineStr">
        <is>
          <t>dr150</t>
        </is>
      </c>
      <c r="D17">
        <f>Inputs!$B$11+0</f>
        <v/>
      </c>
      <c r="E17">
        <f>((1-(1-Inputs!$B$11/150)*(1-1/150))*150)+0</f>
        <v/>
      </c>
      <c r="F17">
        <f>Summary!$B$3</f>
        <v/>
      </c>
      <c r="G17">
        <f>B640</f>
        <v/>
      </c>
      <c r="H17">
        <f>Summary!$B$3*(((1-Summary!$B$11)*IFERROR(B638/Summary!$B$24,1)+Summary!$B$11*IFERROR(B639/Summary!$B$25,1))-1)</f>
        <v/>
      </c>
      <c r="I17">
        <f>((1-Summary!$B$11)*IFERROR(B638/Summary!$B$24,1)+Summary!$B$11*IFERROR(B639/Summary!$B$25,1))*100</f>
        <v/>
      </c>
    </row>
    <row r="18">
      <c r="A18" t="inlineStr">
        <is>
          <t>DEF_PEN % (diminishing returns, factor 100)</t>
        </is>
      </c>
      <c r="B18">
        <f>IFERROR(1/(I18-100),"n/a")</f>
        <v/>
      </c>
      <c r="C18" t="inlineStr">
        <is>
          <t>dr100</t>
        </is>
      </c>
      <c r="D18">
        <f>Inputs!$B$19+0</f>
        <v/>
      </c>
      <c r="E18">
        <f>((1-(1-Inputs!$B$19/100)*(1-1/100))*100)+0</f>
        <v/>
      </c>
      <c r="F18">
        <f>Summary!$B$3</f>
        <v/>
      </c>
      <c r="G18">
        <f>B684</f>
        <v/>
      </c>
      <c r="H18">
        <f>Summary!$B$3*(((1-Summary!$B$11)*IFERROR(B682/Summary!$B$24,1)+Summary!$B$11*IFERROR(B683/Summary!$B$25,1))-1)</f>
        <v/>
      </c>
      <c r="I18">
        <f>((1-Summary!$B$11)*IFERROR(B682/Summary!$B$24,1)+Summary!$B$11*IFERROR(B683/Summary!$B$25,1))*100</f>
        <v/>
      </c>
    </row>
    <row r="19">
      <c r="A19" t="inlineStr">
        <is>
          <t>BASIC_ATTACK_DAMAGE %</t>
        </is>
      </c>
      <c r="B19">
        <f>IFERROR(1/(I19-100),"n/a")</f>
        <v/>
      </c>
      <c r="C19" t="inlineStr">
        <is>
          <t>pct</t>
        </is>
      </c>
      <c r="D19">
        <f>Inputs!$B$17+0</f>
        <v/>
      </c>
      <c r="E19">
        <f>(Inputs!$B$17+1)+0</f>
        <v/>
      </c>
      <c r="F19">
        <f>Summary!$B$3</f>
        <v/>
      </c>
      <c r="G19">
        <f>B728</f>
        <v/>
      </c>
      <c r="H19">
        <f>Summary!$B$3*(((1-Summary!$B$11)*IFERROR(B726/Summary!$B$24,1)+Summary!$B$11*IFERROR(B727/Summary!$B$25,1))-1)</f>
        <v/>
      </c>
      <c r="I19">
        <f>((1-Summary!$B$11)*IFERROR(B726/Summary!$B$24,1)+Summary!$B$11*IFERROR(B727/Summary!$B$25,1))*100</f>
        <v/>
      </c>
    </row>
    <row r="20">
      <c r="A20" t="inlineStr">
        <is>
          <t>SKILL_DAMAGE %</t>
        </is>
      </c>
      <c r="B20">
        <f>IFERROR(1/(I20-100),"n/a")</f>
        <v/>
      </c>
      <c r="C20" t="inlineStr">
        <is>
          <t>pct</t>
        </is>
      </c>
      <c r="D20">
        <f>Inputs!$B$18+0</f>
        <v/>
      </c>
      <c r="E20">
        <f>(Inputs!$B$18+1)+0</f>
        <v/>
      </c>
      <c r="F20">
        <f>Summary!$B$3</f>
        <v/>
      </c>
      <c r="G20">
        <f>B772</f>
        <v/>
      </c>
      <c r="H20">
        <f>Summary!$B$3*(((1-Summary!$B$11)*IFERROR(B770/Summary!$B$24,1)+Summary!$B$11*IFERROR(B771/Summary!$B$25,1))-1)</f>
        <v/>
      </c>
      <c r="I20">
        <f>((1-Summary!$B$11)*IFERROR(B770/Summary!$B$24,1)+Summary!$B$11*IFERROR(B771/Summary!$B$25,1))*100</f>
        <v/>
      </c>
    </row>
    <row r="21">
      <c r="A21" t="inlineStr">
        <is>
          <t>Skill Level Bonus — 1st Job</t>
        </is>
      </c>
      <c r="B21">
        <f>IFERROR(1/(I21-100),"n/a")</f>
        <v/>
      </c>
      <c r="C21" t="inlineStr">
        <is>
          <t>level</t>
        </is>
      </c>
      <c r="D21">
        <f>Inputs!$B$25+0</f>
        <v/>
      </c>
      <c r="E21">
        <f>(Inputs!$B$25+1)+0</f>
        <v/>
      </c>
      <c r="F21">
        <f>Summary!$B$3</f>
        <v/>
      </c>
      <c r="G21">
        <f>B816</f>
        <v/>
      </c>
      <c r="H21">
        <f>Summary!$B$3*(((1-Summary!$B$11)*IFERROR(B814/Summary!$B$24,1)+Summary!$B$11*IFERROR(B815/Summary!$B$25,1))-1)</f>
        <v/>
      </c>
      <c r="I21">
        <f>((1-Summary!$B$11)*IFERROR(B814/Summary!$B$24,1)+Summary!$B$11*IFERROR(B815/Summary!$B$25,1))*100</f>
        <v/>
      </c>
    </row>
    <row r="22">
      <c r="A22" t="inlineStr">
        <is>
          <t>Skill Level Bonus — 2nd Job</t>
        </is>
      </c>
      <c r="B22">
        <f>IFERROR(1/(I22-100),"n/a")</f>
        <v/>
      </c>
      <c r="C22" t="inlineStr">
        <is>
          <t>level</t>
        </is>
      </c>
      <c r="D22">
        <f>Inputs!$B$26+0</f>
        <v/>
      </c>
      <c r="E22">
        <f>(Inputs!$B$26+1)+0</f>
        <v/>
      </c>
      <c r="F22">
        <f>Summary!$B$3</f>
        <v/>
      </c>
      <c r="G22">
        <f>B860</f>
        <v/>
      </c>
      <c r="H22">
        <f>Summary!$B$3*(((1-Summary!$B$11)*IFERROR(B858/Summary!$B$24,1)+Summary!$B$11*IFERROR(B859/Summary!$B$25,1))-1)</f>
        <v/>
      </c>
      <c r="I22">
        <f>((1-Summary!$B$11)*IFERROR(B858/Summary!$B$24,1)+Summary!$B$11*IFERROR(B859/Summary!$B$25,1))*100</f>
        <v/>
      </c>
    </row>
    <row r="23">
      <c r="A23" t="inlineStr">
        <is>
          <t>Skill Level Bonus — 3rd Job</t>
        </is>
      </c>
      <c r="B23">
        <f>IFERROR(1/(I23-100),"n/a")</f>
        <v/>
      </c>
      <c r="C23" t="inlineStr">
        <is>
          <t>level</t>
        </is>
      </c>
      <c r="D23">
        <f>Inputs!$B$27+0</f>
        <v/>
      </c>
      <c r="E23">
        <f>(Inputs!$B$27+1)+0</f>
        <v/>
      </c>
      <c r="F23">
        <f>Summary!$B$3</f>
        <v/>
      </c>
      <c r="G23">
        <f>B904</f>
        <v/>
      </c>
      <c r="H23">
        <f>Summary!$B$3*(((1-Summary!$B$11)*IFERROR(B902/Summary!$B$24,1)+Summary!$B$11*IFERROR(B903/Summary!$B$25,1))-1)</f>
        <v/>
      </c>
      <c r="I23">
        <f>((1-Summary!$B$11)*IFERROR(B902/Summary!$B$24,1)+Summary!$B$11*IFERROR(B903/Summary!$B$25,1))*100</f>
        <v/>
      </c>
    </row>
    <row r="24">
      <c r="A24" t="inlineStr">
        <is>
          <t>Skill Level Bonus — 4th Job</t>
        </is>
      </c>
      <c r="B24">
        <f>IFERROR(1/(I24-100),"n/a")</f>
        <v/>
      </c>
      <c r="C24" t="inlineStr">
        <is>
          <t>level</t>
        </is>
      </c>
      <c r="D24">
        <f>Inputs!$B$28+0</f>
        <v/>
      </c>
      <c r="E24">
        <f>(Inputs!$B$28+1)+0</f>
        <v/>
      </c>
      <c r="F24">
        <f>Summary!$B$3</f>
        <v/>
      </c>
      <c r="G24">
        <f>B948</f>
        <v/>
      </c>
      <c r="H24">
        <f>Summary!$B$3*(((1-Summary!$B$11)*IFERROR(B946/Summary!$B$24,1)+Summary!$B$11*IFERROR(B947/Summary!$B$25,1))-1)</f>
        <v/>
      </c>
      <c r="I24">
        <f>((1-Summary!$B$11)*IFERROR(B946/Summary!$B$24,1)+Summary!$B$11*IFERROR(B947/Summary!$B$25,1))*100</f>
        <v/>
      </c>
    </row>
    <row r="25">
      <c r="A25" t="inlineStr">
        <is>
          <t>Skill Level Bonus — All Skills</t>
        </is>
      </c>
      <c r="B25">
        <f>IFERROR(1/(I25-100),"n/a")</f>
        <v/>
      </c>
      <c r="C25" t="inlineStr">
        <is>
          <t>level</t>
        </is>
      </c>
      <c r="D25">
        <f>Inputs!$B$29+0</f>
        <v/>
      </c>
      <c r="E25">
        <f>(Inputs!$B$29+1)+0</f>
        <v/>
      </c>
      <c r="F25">
        <f>Summary!$B$3</f>
        <v/>
      </c>
      <c r="G25">
        <f>B992</f>
        <v/>
      </c>
      <c r="H25">
        <f>Summary!$B$3*(((1-Summary!$B$11)*IFERROR(B990/Summary!$B$24,1)+Summary!$B$11*IFERROR(B991/Summary!$B$25,1))-1)</f>
        <v/>
      </c>
      <c r="I25">
        <f>((1-Summary!$B$11)*IFERROR(B990/Summary!$B$24,1)+Summary!$B$11*IFERROR(B991/Summary!$B$25,1))*100</f>
        <v/>
      </c>
    </row>
    <row r="26">
      <c r="A26" t="inlineStr">
        <is>
          <t>Flat ATTACK</t>
        </is>
      </c>
      <c r="B26">
        <f>IFERROR(1/(I26-100),"n/a")</f>
        <v/>
      </c>
      <c r="C26" t="inlineStr">
        <is>
          <t>flat</t>
        </is>
      </c>
      <c r="D26">
        <f>Inputs!$B$6+0</f>
        <v/>
      </c>
      <c r="E26">
        <f>(Inputs!$B$6+1)+0</f>
        <v/>
      </c>
      <c r="F26">
        <f>Summary!$B$3</f>
        <v/>
      </c>
      <c r="G26">
        <f>B1036</f>
        <v/>
      </c>
      <c r="H26">
        <f>Summary!$B$3*(((1-Summary!$B$11)*IFERROR(B1034/Summary!$B$24,1)+Summary!$B$11*IFERROR(B1035/Summary!$B$25,1))-1)</f>
        <v/>
      </c>
      <c r="I26">
        <f>((1-Summary!$B$11)*IFERROR(B1034/Summary!$B$24,1)+Summary!$B$11*IFERROR(B1035/Summary!$B$25,1))*100</f>
        <v/>
      </c>
    </row>
    <row r="27">
      <c r="A27" t="inlineStr">
        <is>
          <t>ATTACK %</t>
        </is>
      </c>
      <c r="B27">
        <f>IFERROR(1/(I27-100),"n/a")</f>
        <v/>
      </c>
      <c r="C27" t="inlineStr">
        <is>
          <t>pct</t>
        </is>
      </c>
      <c r="D27">
        <f>Inputs!$B$7+0</f>
        <v/>
      </c>
      <c r="E27">
        <f>(Inputs!$B$7+1)+0</f>
        <v/>
      </c>
      <c r="F27">
        <f>Summary!$B$3</f>
        <v/>
      </c>
      <c r="G27">
        <f>B1080</f>
        <v/>
      </c>
      <c r="H27">
        <f>Summary!$B$3*(((1-Summary!$B$11)*IFERROR(B1078/Summary!$B$24,1)+Summary!$B$11*IFERROR(B1079/Summary!$B$25,1))-1)</f>
        <v/>
      </c>
      <c r="I27">
        <f>((1-Summary!$B$11)*IFERROR(B1078/Summary!$B$24,1)+Summary!$B$11*IFERROR(B1079/Summary!$B$25,1))*100</f>
        <v/>
      </c>
    </row>
    <row r="28">
      <c r="A28" t="inlineStr">
        <is>
          <t>Skill Cooldown Decrease (seconds)</t>
        </is>
      </c>
      <c r="B28">
        <f>IFERROR(1/(I28-100),"n/a")</f>
        <v/>
      </c>
      <c r="C28" t="inlineStr">
        <is>
          <t>flat</t>
        </is>
      </c>
      <c r="D28">
        <f>Inputs!$B$32+0</f>
        <v/>
      </c>
      <c r="E28">
        <f>(Inputs!$B$32+1)+0</f>
        <v/>
      </c>
      <c r="F28">
        <f>Summary!$B$3</f>
        <v/>
      </c>
      <c r="G28">
        <f>B1124</f>
        <v/>
      </c>
      <c r="H28">
        <f>Summary!$B$3*(((1-Summary!$B$11)*IFERROR(B1122/Summary!$B$24,1)+Summary!$B$11*IFERROR(B1123/Summary!$B$25,1))-1)</f>
        <v/>
      </c>
      <c r="I28">
        <f>((1-Summary!$B$11)*IFERROR(B1122/Summary!$B$24,1)+Summary!$B$11*IFERROR(B1123/Summary!$B$25,1))*100</f>
        <v/>
      </c>
    </row>
    <row r="29">
      <c r="A29" t="inlineStr">
        <is>
          <t>Basic Attack Target Increase (flat)</t>
        </is>
      </c>
      <c r="B29">
        <f>IFERROR(1/(I29-100),"n/a")</f>
        <v/>
      </c>
      <c r="C29" t="inlineStr">
        <is>
          <t>flat</t>
        </is>
      </c>
      <c r="D29">
        <f>Inputs!$B$33+0</f>
        <v/>
      </c>
      <c r="E29">
        <f>(Inputs!$B$33+1)+0</f>
        <v/>
      </c>
      <c r="F29">
        <f>Summary!$B$3</f>
        <v/>
      </c>
      <c r="G29">
        <f>B1168</f>
        <v/>
      </c>
      <c r="H29">
        <f>Summary!$B$3*(((1-Summary!$B$11)*IFERROR(B1166/Summary!$B$24,1)+Summary!$B$11*IFERROR(B1167/Summary!$B$25,1))-1)</f>
        <v/>
      </c>
      <c r="I29">
        <f>((1-Summary!$B$11)*IFERROR(B1166/Summary!$B$24,1)+Summary!$B$11*IFERROR(B1167/Summary!$B$25,1))*100</f>
        <v/>
      </c>
    </row>
    <row r="30">
      <c r="A30" t="inlineStr">
        <is>
          <t>Buff Duration Increase %</t>
        </is>
      </c>
      <c r="B30">
        <f>IFERROR(1/(I30-100),"n/a")</f>
        <v/>
      </c>
      <c r="C30" t="inlineStr">
        <is>
          <t>pct</t>
        </is>
      </c>
      <c r="D30">
        <f>Inputs!$B$34+0</f>
        <v/>
      </c>
      <c r="E30">
        <f>(Inputs!$B$34+1)+0</f>
        <v/>
      </c>
      <c r="F30">
        <f>Summary!$B$3</f>
        <v/>
      </c>
      <c r="G30">
        <f>B1212</f>
        <v/>
      </c>
      <c r="H30">
        <f>Summary!$B$3*(((1-Summary!$B$11)*IFERROR(B1210/Summary!$B$24,1)+Summary!$B$11*IFERROR(B1211/Summary!$B$25,1))-1)</f>
        <v/>
      </c>
      <c r="I30">
        <f>((1-Summary!$B$11)*IFERROR(B1210/Summary!$B$24,1)+Summary!$B$11*IFERROR(B1211/Summary!$B$25,1))*100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(IF(ArtifactsInput!$M$5,-1,1)*Summary!$B$3*(((1-Summary!$B$11)*IFERROR(B1254/Summary!$B$24,1)+Summary!$B$11*IFERROR(B1255/Summary!$B$25,1))-1)+ArtifactsInput!$L$5)</f>
        <v/>
      </c>
      <c r="AC33">
        <f>(Summary!$B$3+(IF(ArtifactsInput!$M$5,-1,1)*Summary!$B$3*(((1-Summary!$B$11)*IFERROR(B1254/Summary!$B$24,1)+Summary!$B$11*IFERROR(B1255/Summary!$B$25,1))-1)+ArtifactsInput!$L$5))/Summary!$B$3*100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(IF(ArtifactsInput!$M$6,-1,1)*Summary!$B$3*(((1-Summary!$B$11)*IFERROR(B1298/Summary!$B$24,1)+Summary!$B$11*IFERROR(B1299/Summary!$B$25,1))-1)+ArtifactsInput!$L$6)</f>
        <v/>
      </c>
      <c r="AC34">
        <f>(Summary!$B$3+(IF(ArtifactsInput!$M$6,-1,1)*Summary!$B$3*(((1-Summary!$B$11)*IFERROR(B1298/Summary!$B$24,1)+Summary!$B$11*IFERROR(B1299/Summary!$B$25,1))-1)+ArtifactsInput!$L$6))/Summary!$B$3*100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(IF(ArtifactsInput!$M$7,-1,1)*Summary!$B$3*(((1-Summary!$B$11)*IFERROR(B1342/Summary!$B$24,1)+Summary!$B$11*IFERROR(B1343/Summary!$B$25,1))-1)+ArtifactsInput!$L$7)</f>
        <v/>
      </c>
      <c r="AC35">
        <f>(Summary!$B$3+(IF(ArtifactsInput!$M$7,-1,1)*Summary!$B$3*(((1-Summary!$B$11)*IFERROR(B1342/Summary!$B$24,1)+Summary!$B$11*IFERROR(B1343/Summary!$B$25,1))-1)+ArtifactsInput!$L$7))/Summary!$B$3*100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(IF(ArtifactsInput!$M$8,-1,1)*Summary!$B$3*(((1-Summary!$B$11)*IFERROR(B1386/Summary!$B$24,1)+Summary!$B$11*IFERROR(B1387/Summary!$B$25,1))-1)+ArtifactsInput!$L$8)</f>
        <v/>
      </c>
      <c r="AC36">
        <f>(Summary!$B$3+(IF(ArtifactsInput!$M$8,-1,1)*Summary!$B$3*(((1-Summary!$B$11)*IFERROR(B1386/Summary!$B$24,1)+Summary!$B$11*IFERROR(B1387/Summary!$B$25,1))-1)+ArtifactsInput!$L$8))/Summary!$B$3*100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(IF(ArtifactsInput!$M$10,-1,1)*Summary!$B$3*(((1-Summary!$B$11)*IFERROR(B1430/Summary!$B$24,1)+Summary!$B$11*IFERROR(B1431/Summary!$B$25,1))-1)+ArtifactsInput!$L$10)</f>
        <v/>
      </c>
      <c r="AC37">
        <f>(Summary!$B$3+(IF(ArtifactsInput!$M$10,-1,1)*Summary!$B$3*(((1-Summary!$B$11)*IFERROR(B1430/Summary!$B$24,1)+Summary!$B$11*IFERROR(B1431/Summary!$B$25,1))-1)+ArtifactsInput!$L$10))/Summary!$B$3*100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(IF(ArtifactsInput!$M$11,-1,1)*Summary!$B$3*(((1-Summary!$B$11)*IFERROR(B1474/Summary!$B$24,1)+Summary!$B$11*IFERROR(B1475/Summary!$B$25,1))-1)+ArtifactsInput!$L$11)</f>
        <v/>
      </c>
      <c r="AC38">
        <f>(Summary!$B$3+(IF(ArtifactsInput!$M$11,-1,1)*Summary!$B$3*(((1-Summary!$B$11)*IFERROR(B1474/Summary!$B$24,1)+Summary!$B$11*IFERROR(B1475/Summary!$B$25,1))-1)+ArtifactsInput!$L$11))/Summary!$B$3*100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(IF(ArtifactsInput!$M$12,-1,1)*Summary!$B$3*(((1-Summary!$B$11)*IFERROR(B1518/Summary!$B$24,1)+Summary!$B$11*IFERROR(B1519/Summary!$B$25,1))-1)+ArtifactsInput!$L$12)</f>
        <v/>
      </c>
      <c r="AC39">
        <f>(Summary!$B$3+(IF(ArtifactsInput!$M$12,-1,1)*Summary!$B$3*(((1-Summary!$B$11)*IFERROR(B1518/Summary!$B$24,1)+Summary!$B$11*IFERROR(B1519/Summary!$B$25,1))-1)+ArtifactsInput!$L$12))/Summary!$B$3*100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(IF(ArtifactsInput!$M$13,-1,1)*Summary!$B$3*(((1-Summary!$B$11)*IFERROR(B1562/Summary!$B$24,1)+Summary!$B$11*IFERROR(B1563/Summary!$B$25,1))-1)+ArtifactsInput!$L$13)</f>
        <v/>
      </c>
      <c r="AC40">
        <f>(Summary!$B$3+(IF(ArtifactsInput!$M$13,-1,1)*Summary!$B$3*(((1-Summary!$B$11)*IFERROR(B1562/Summary!$B$24,1)+Summary!$B$11*IFERROR(B1563/Summary!$B$25,1))-1)+ArtifactsInput!$L$13))/Summary!$B$3*100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(IF(ArtifactsInput!$M$14,-1,1)*Summary!$B$3*(((1-Summary!$B$11)*IFERROR(B1606/Summary!$B$24,1)+Summary!$B$11*IFERROR(B1607/Summary!$B$25,1))-1)+ArtifactsInput!$L$14)</f>
        <v/>
      </c>
      <c r="AC41">
        <f>(Summary!$B$3+(IF(ArtifactsInput!$M$14,-1,1)*Summary!$B$3*(((1-Summary!$B$11)*IFERROR(B1606/Summary!$B$24,1)+Summary!$B$11*IFERROR(B1607/Summary!$B$25,1))-1)+ArtifactsInput!$L$14))/Summary!$B$3*100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(IF(ArtifactsInput!$M$15,-1,1)*Summary!$B$3*(((1-Summary!$B$11)*IFERROR(B1650/Summary!$B$24,1)+Summary!$B$11*IFERROR(B1651/Summary!$B$25,1))-1)+ArtifactsInput!$L$15)</f>
        <v/>
      </c>
      <c r="AC42">
        <f>(Summary!$B$3+(IF(ArtifactsInput!$M$15,-1,1)*Summary!$B$3*(((1-Summary!$B$11)*IFERROR(B1650/Summary!$B$24,1)+Summary!$B$11*IFERROR(B1651/Summary!$B$25,1))-1)+ArtifactsInput!$L$15))/Summary!$B$3*100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(IF(ArtifactsInput!$M$16,-1,1)*Summary!$B$3*(((1-Summary!$B$11)*IFERROR(B1694/Summary!$B$24,1)+Summary!$B$11*IFERROR(B1695/Summary!$B$25,1))-1)+ArtifactsInput!$L$16)</f>
        <v/>
      </c>
      <c r="AC43">
        <f>(Summary!$B$3+(IF(ArtifactsInput!$M$16,-1,1)*Summary!$B$3*(((1-Summary!$B$11)*IFERROR(B1694/Summary!$B$24,1)+Summary!$B$11*IFERROR(B1695/Summary!$B$25,1))-1)+ArtifactsInput!$L$16))/Summary!$B$3*100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(IF(ArtifactsInput!$M$17,-1,1)*Summary!$B$3*(((1-Summary!$B$11)*IFERROR(B1738/Summary!$B$24,1)+Summary!$B$11*IFERROR(B1739/Summary!$B$25,1))-1)+ArtifactsInput!$L$17)</f>
        <v/>
      </c>
      <c r="AC44">
        <f>(Summary!$B$3+(IF(ArtifactsInput!$M$17,-1,1)*Summary!$B$3*(((1-Summary!$B$11)*IFERROR(B1738/Summary!$B$24,1)+Summary!$B$11*IFERROR(B1739/Summary!$B$25,1))-1)+ArtifactsInput!$L$17))/Summary!$B$3*100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(IF(ArtifactsInput!$M$18,-1,1)*Summary!$B$3*(((1-Summary!$B$11)*IFERROR(B1782/Summary!$B$24,1)+Summary!$B$11*IFERROR(B1783/Summary!$B$25,1))-1)+ArtifactsInput!$L$18)</f>
        <v/>
      </c>
      <c r="AC45">
        <f>(Summary!$B$3+(IF(ArtifactsInput!$M$18,-1,1)*Summary!$B$3*(((1-Summary!$B$11)*IFERROR(B1782/Summary!$B$24,1)+Summary!$B$11*IFERROR(B1783/Summary!$B$25,1))-1)+ArtifactsInput!$L$18))/Summary!$B$3*100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(IF(ArtifactsInput!$M$20,-1,1)*Summary!$B$3*(((1-Summary!$B$11)*IFERROR(B1826/Summary!$B$24,1)+Summary!$B$11*IFERROR(B1827/Summary!$B$25,1))-1)+ArtifactsInput!$L$20)</f>
        <v/>
      </c>
      <c r="AC46">
        <f>(Summary!$B$3+(IF(ArtifactsInput!$M$20,-1,1)*Summary!$B$3*(((1-Summary!$B$11)*IFERROR(B1826/Summary!$B$24,1)+Summary!$B$11*IFERROR(B1827/Summary!$B$25,1))-1)+ArtifactsInput!$L$20))/Summary!$B$3*100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(IF(ArtifactsInput!$M$21,-1,1)*Summary!$B$3*(((1-Summary!$B$11)*IFERROR(B1870/Summary!$B$24,1)+Summary!$B$11*IFERROR(B1871/Summary!$B$25,1))-1)+ArtifactsInput!$L$21)</f>
        <v/>
      </c>
      <c r="AC47">
        <f>(Summary!$B$3+(IF(ArtifactsInput!$M$21,-1,1)*Summary!$B$3*(((1-Summary!$B$11)*IFERROR(B1870/Summary!$B$24,1)+Summary!$B$11*IFERROR(B1871/Summary!$B$25,1))-1)+ArtifactsInput!$L$21))/Summary!$B$3*100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(IF(ArtifactsInput!$M$22,-1,1)*Summary!$B$3*(((1-Summary!$B$11)*IFERROR(B1914/Summary!$B$24,1)+Summary!$B$11*IFERROR(B1915/Summary!$B$25,1))-1)+ArtifactsInput!$L$22)</f>
        <v/>
      </c>
      <c r="AC48">
        <f>(Summary!$B$3+(IF(ArtifactsInput!$M$22,-1,1)*Summary!$B$3*(((1-Summary!$B$11)*IFERROR(B1914/Summary!$B$24,1)+Summary!$B$11*IFERROR(B1915/Summary!$B$25,1))-1)+ArtifactsInput!$L$22))/Summary!$B$3*100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(IF(ArtifactsInput!$M$23,-1,1)*Summary!$B$3*(((1-Summary!$B$11)*IFERROR(B1958/Summary!$B$24,1)+Summary!$B$11*IFERROR(B1959/Summary!$B$25,1))-1)+ArtifactsInput!$L$23)</f>
        <v/>
      </c>
      <c r="AC49">
        <f>(Summary!$B$3+(IF(ArtifactsInput!$M$23,-1,1)*Summary!$B$3*(((1-Summary!$B$11)*IFERROR(B1958/Summary!$B$24,1)+Summary!$B$11*IFERROR(B1959/Summary!$B$25,1))-1)+ArtifactsInput!$L$23))/Summary!$B$3*100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(IF(ArtifactsInput!$M$24,-1,1)*Summary!$B$3*(((1-Summary!$B$11)*IFERROR(B2002/Summary!$B$24,1)+Summary!$B$11*IFERROR(B2003/Summary!$B$25,1))-1)+ArtifactsInput!$L$24)</f>
        <v/>
      </c>
      <c r="AC50">
        <f>(Summary!$B$3+(IF(ArtifactsInput!$M$24,-1,1)*Summary!$B$3*(((1-Summary!$B$11)*IFERROR(B2002/Summary!$B$24,1)+Summary!$B$11*IFERROR(B2003/Summary!$B$25,1))-1)+ArtifactsInput!$L$24))/Summary!$B$3*100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(IF(ArtifactsInput!$M$25,-1,1)*Summary!$B$3*(((1-Summary!$B$11)*IFERROR(B2046/Summary!$B$24,1)+Summary!$B$11*IFERROR(B2047/Summary!$B$25,1))-1)+ArtifactsInput!$L$25)</f>
        <v/>
      </c>
      <c r="AC51">
        <f>(Summary!$B$3+(IF(ArtifactsInput!$M$25,-1,1)*Summary!$B$3*(((1-Summary!$B$11)*IFERROR(B2046/Summary!$B$24,1)+Summary!$B$11*IFERROR(B2047/Summary!$B$25,1))-1)+ArtifactsInput!$L$25))/Summary!$B$3*100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(IF(ArtifactsInput!$M$26,-1,1)*Summary!$B$3*(((1-Summary!$B$11)*IFERROR(B2090/Summary!$B$24,1)+Summary!$B$11*IFERROR(B2091/Summary!$B$25,1))-1)+ArtifactsInput!$L$26)</f>
        <v/>
      </c>
      <c r="AC52">
        <f>(Summary!$B$3+(IF(ArtifactsInput!$M$26,-1,1)*Summary!$B$3*(((1-Summary!$B$11)*IFERROR(B2090/Summary!$B$24,1)+Summary!$B$11*IFERROR(B2091/Summary!$B$25,1))-1)+ArtifactsInput!$L$26))/Summary!$B$3*100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(IF(ArtifactsInput!$M$27,-1,1)*Summary!$B$3*(((1-Summary!$B$11)*IFERROR(B2134/Summary!$B$24,1)+Summary!$B$11*IFERROR(B2135/Summary!$B$25,1))-1)+ArtifactsInput!$L$27)</f>
        <v/>
      </c>
      <c r="AC53">
        <f>(Summary!$B$3+(IF(ArtifactsInput!$M$27,-1,1)*Summary!$B$3*(((1-Summary!$B$11)*IFERROR(B2134/Summary!$B$24,1)+Summary!$B$11*IFERROR(B2135/Summary!$B$25,1))-1)+ArtifactsInput!$L$27))/Summary!$B$3*100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(IF(ArtifactsInput!$M$28,-1,1)*Summary!$B$3*(((1-Summary!$B$11)*IFERROR(B2178/Summary!$B$24,1)+Summary!$B$11*IFERROR(B2179/Summary!$B$25,1))-1)+ArtifactsInput!$L$28)</f>
        <v/>
      </c>
      <c r="AC54">
        <f>(Summary!$B$3+(IF(ArtifactsInput!$M$28,-1,1)*Summary!$B$3*(((1-Summary!$B$11)*IFERROR(B2178/Summary!$B$24,1)+Summary!$B$11*IFERROR(B2179/Summary!$B$25,1))-1)+ArtifactsInput!$L$28))/Summary!$B$3*100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(IF(ArtifactsInput!$M$29,-1,1)*Summary!$B$3*(((1-Summary!$B$11)*IFERROR(B2222/Summary!$B$24,1)+Summary!$B$11*IFERROR(B2223/Summary!$B$25,1))-1)+ArtifactsInput!$L$29)</f>
        <v/>
      </c>
      <c r="AC55">
        <f>(Summary!$B$3+(IF(ArtifactsInput!$M$29,-1,1)*Summary!$B$3*(((1-Summary!$B$11)*IFERROR(B2222/Summary!$B$24,1)+Summary!$B$11*IFERROR(B2223/Summary!$B$25,1))-1)+ArtifactsInput!$L$29))/Summary!$B$3*100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(IF(ArtifactsInput!$M$30,-1,1)*Summary!$B$3*(((1-Summary!$B$11)*IFERROR(B2266/Summary!$B$24,1)+Summary!$B$11*IFERROR(B2267/Summary!$B$25,1))-1)+ArtifactsInput!$L$30)</f>
        <v/>
      </c>
      <c r="AC56">
        <f>(Summary!$B$3+(IF(ArtifactsInput!$M$30,-1,1)*Summary!$B$3*(((1-Summary!$B$11)*IFERROR(B2266/Summary!$B$24,1)+Summary!$B$11*IFERROR(B2267/Summary!$B$25,1))-1)+ArtifactsInput!$L$30))/Summary!$B$3*100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(IF(ArtifactsInput!$M$31,-1,1)*Summary!$B$3*(((1-Summary!$B$11)*IFERROR(B2310/Summary!$B$24,1)+Summary!$B$11*IFERROR(B2311/Summary!$B$25,1))-1)+ArtifactsInput!$L$31)</f>
        <v/>
      </c>
      <c r="AC57">
        <f>(Summary!$B$3+(IF(ArtifactsInput!$M$31,-1,1)*Summary!$B$3*(((1-Summary!$B$11)*IFERROR(B2310/Summary!$B$24,1)+Summary!$B$11*IFERROR(B2311/Summary!$B$25,1))-1)+ArtifactsInput!$L$31))/Summary!$B$3*100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(IF(ArtifactsInput!$M$32,-1,1)*Summary!$B$3*(((1-Summary!$B$11)*IFERROR(B2354/Summary!$B$24,1)+Summary!$B$11*IFERROR(B2355/Summary!$B$25,1))-1)+ArtifactsInput!$L$32)</f>
        <v/>
      </c>
      <c r="AC58">
        <f>(Summary!$B$3+(IF(ArtifactsInput!$M$32,-1,1)*Summary!$B$3*(((1-Summary!$B$11)*IFERROR(B2354/Summary!$B$24,1)+Summary!$B$11*IFERROR(B2355/Summary!$B$25,1))-1)+ArtifactsInput!$L$32))/Summary!$B$3*100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(IF(ArtifactsInput!$M$33,-1,1)*Summary!$B$3*(((1-Summary!$B$11)*IFERROR(B2398/Summary!$B$24,1)+Summary!$B$11*IFERROR(B2399/Summary!$B$25,1))-1)+ArtifactsInput!$L$33)</f>
        <v/>
      </c>
      <c r="AC59">
        <f>(Summary!$B$3+(IF(ArtifactsInput!$M$33,-1,1)*Summary!$B$3*(((1-Summary!$B$11)*IFERROR(B2398/Summary!$B$24,1)+Summary!$B$11*IFERROR(B2399/Summary!$B$25,1))-1)+ArtifactsInput!$L$33))/Summary!$B$3*100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(IF(ArtifactsInput!$M$34,-1,1)*Summary!$B$3*(((1-Summary!$B$11)*IFERROR(B2442/Summary!$B$24,1)+Summary!$B$11*IFERROR(B2443/Summary!$B$25,1))-1)+ArtifactsInput!$L$34)</f>
        <v/>
      </c>
      <c r="AC60">
        <f>(Summary!$B$3+(IF(ArtifactsInput!$M$34,-1,1)*Summary!$B$3*(((1-Summary!$B$11)*IFERROR(B2442/Summary!$B$24,1)+Summary!$B$11*IFERROR(B2443/Summary!$B$25,1))-1)+ArtifactsInput!$L$34))/Summary!$B$3*100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(IF(ArtifactsInput!$M$35,-1,1)*Summary!$B$3*(((1-Summary!$B$11)*IFERROR(B2486/Summary!$B$24,1)+Summary!$B$11*IFERROR(B2487/Summary!$B$25,1))-1)+ArtifactsInput!$L$35)</f>
        <v/>
      </c>
      <c r="AC61">
        <f>(Summary!$B$3+(IF(ArtifactsInput!$M$35,-1,1)*Summary!$B$3*(((1-Summary!$B$11)*IFERROR(B2486/Summary!$B$24,1)+Summary!$B$11*IFERROR(B2487/Summary!$B$25,1))-1)+ArtifactsInput!$L$35))/Summary!$B$3*100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(IF(ArtifactsInput!$M$36,-1,1)*Summary!$B$3*(((1-Summary!$B$11)*IFERROR(B2530/Summary!$B$24,1)+Summary!$B$11*IFERROR(B2531/Summary!$B$25,1))-1)+ArtifactsInput!$L$36)</f>
        <v/>
      </c>
      <c r="AC62">
        <f>(Summary!$B$3+(IF(ArtifactsInput!$M$36,-1,1)*Summary!$B$3*(((1-Summary!$B$11)*IFERROR(B2530/Summary!$B$24,1)+Summary!$B$11*IFERROR(B2531/Summary!$B$25,1))-1)+ArtifactsInput!$L$36))/Summary!$B$3*100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(IF(ArtifactsInput!$M$37,-1,1)*Summary!$B$3*(((1-Summary!$B$11)*IFERROR(B2574/Summary!$B$24,1)+Summary!$B$11*IFERROR(B2575/Summary!$B$25,1))-1)+ArtifactsInput!$L$37)</f>
        <v/>
      </c>
      <c r="AC63">
        <f>(Summary!$B$3+(IF(ArtifactsInput!$M$37,-1,1)*Summary!$B$3*(((1-Summary!$B$11)*IFERROR(B2574/Summary!$B$24,1)+Summary!$B$11*IFERROR(B2575/Summary!$B$25,1))-1)+ArtifactsInput!$L$37))/Summary!$B$3*100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(IF(ArtifactsInput!$M$38,-1,1)*Summary!$B$3*(((1-Summary!$B$11)*IFERROR(B2618/Summary!$B$24,1)+Summary!$B$11*IFERROR(B2619/Summary!$B$25,1))-1)+ArtifactsInput!$L$38)</f>
        <v/>
      </c>
      <c r="AC64">
        <f>(Summary!$B$3+(IF(ArtifactsInput!$M$38,-1,1)*Summary!$B$3*(((1-Summary!$B$11)*IFERROR(B2618/Summary!$B$24,1)+Summary!$B$11*IFERROR(B2619/Summary!$B$25,1))-1)+ArtifactsInput!$L$38))/Summary!$B$3*100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(IF(ArtifactsInput!$M$39,-1,1)*Summary!$B$3*(((1-Summary!$B$11)*IFERROR(B2662/Summary!$B$24,1)+Summary!$B$11*IFERROR(B2663/Summary!$B$25,1))-1)+ArtifactsInput!$L$39)</f>
        <v/>
      </c>
      <c r="AC65">
        <f>(Summary!$B$3+(IF(ArtifactsInput!$M$39,-1,1)*Summary!$B$3*(((1-Summary!$B$11)*IFERROR(B2662/Summary!$B$24,1)+Summary!$B$11*IFERROR(B2663/Summary!$B$25,1))-1)+ArtifactsInput!$L$39))/Summary!$B$3*100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(IF(ArtifactsInput!$M$40,-1,1)*Summary!$B$3*(((1-Summary!$B$11)*IFERROR(B2706/Summary!$B$24,1)+Summary!$B$11*IFERROR(B2707/Summary!$B$25,1))-1)+ArtifactsInput!$L$40)</f>
        <v/>
      </c>
      <c r="AC66">
        <f>(Summary!$B$3+(IF(ArtifactsInput!$M$40,-1,1)*Summary!$B$3*(((1-Summary!$B$11)*IFERROR(B2706/Summary!$B$24,1)+Summary!$B$11*IFERROR(B2707/Summary!$B$25,1))-1)+ArtifactsInput!$L$40))/Summary!$B$3*100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(IF(ArtifactsInput!$M$41,-1,1)*Summary!$B$3*(((1-Summary!$B$11)*IFERROR(B2750/Summary!$B$24,1)+Summary!$B$11*IFERROR(B2751/Summary!$B$25,1))-1)+ArtifactsInput!$L$41)</f>
        <v/>
      </c>
      <c r="AC67">
        <f>(Summary!$B$3+(IF(ArtifactsInput!$M$41,-1,1)*Summary!$B$3*(((1-Summary!$B$11)*IFERROR(B2750/Summary!$B$24,1)+Summary!$B$11*IFERROR(B2751/Summary!$B$25,1))-1)+ArtifactsInput!$L$41))/Summary!$B$3*100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(IF(ArtifactsInput!$M$42,-1,1)*Summary!$B$3*(((1-Summary!$B$11)*IFERROR(B2794/Summary!$B$24,1)+Summary!$B$11*IFERROR(B2795/Summary!$B$25,1))-1)+ArtifactsInput!$L$42)</f>
        <v/>
      </c>
      <c r="AC68">
        <f>(Summary!$B$3+(IF(ArtifactsInput!$M$42,-1,1)*Summary!$B$3*(((1-Summary!$B$11)*IFERROR(B2794/Summary!$B$24,1)+Summary!$B$11*IFERROR(B2795/Summary!$B$25,1))-1)+ArtifactsInput!$L$42))/Summary!$B$3*100</f>
        <v/>
      </c>
      <c r="AD68">
        <f>ArtifactsInput!$B$42&lt;&gt;"Not Unlocked"</f>
        <v/>
      </c>
      <c r="AE68">
        <f>IF(AD68,SUMPRODUCT(($AD$33:$AD$68)*($AC$33:$AC$68&gt;AC68))+COUNTIFS($AD$33:AD68,TRUE,$AC$33:AC68,AC68),"")</f>
        <v/>
      </c>
    </row>
    <row r="71">
      <c r="A71" s="6" t="inlineStr">
        <is>
          <t>Stat: Flat DEX</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C93=TRUE)*(F93-Calc!F22)),(Inputs!$B$23+0+(IF(ArtifactsInput!$M$15,CHOOSE(ArtifactsInput!$N$15+1,25,30,35,40,45,50)/100*(Inputs!$B$11-Inputs!$B$11),0))))/100+(Inputs!$B$23+0+(IF(ArtifactsInput!$M$15,CHOOSE(ArtifactsInput!$N$15+1,25,30,35,40,45,50)/100*(Inputs!$B$11-Inputs!$B$11),0)))/100)/2</f>
        <v/>
      </c>
      <c r="M73">
        <f>L73*(1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IF(B112=0,0,O73/B112)</f>
        <v/>
      </c>
      <c r="Q73" t="n">
        <v>0</v>
      </c>
      <c r="R73" t="n">
        <v>0</v>
      </c>
      <c r="S73">
        <f>IFERROR(O73/N73,0)</f>
        <v/>
      </c>
      <c r="T73">
        <f>IF(C73,(Skills!G2*N73*B106)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IF(C73,(Skills!G2*N73*B106)*IF(Inputs!$B$38="pvp",1,(1+(Inputs!$B$21+Skills!Q2+(IF(ArtifactsInput!$M$33,CHOOSE(ArtifactsInput!$N$33+1,30,36,42,48,54,60),0))+(IF(AND(ArtifactsInput!$M$35,Inputs!$B$4&lt;&gt;"Chapter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Inputs!$B$3&gt;=35</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f>Skills!G3*IF(Skills!H3&gt;0,Skills!I3/Skills!H3,1)</f>
        <v/>
      </c>
      <c r="H74">
        <f>1-(1-Skills!J3/100)^Skills!K3</f>
        <v/>
      </c>
      <c r="I74" t="inlineStr">
        <is>
          <t>1</t>
        </is>
      </c>
      <c r="J74">
        <f>((Inputs!$B$6*(1+Inputs!$B$7/100))+((((Inputs!$B$12+1)*(1+Inputs!$B$13/100))-(Inputs!$B$12*(1+Inputs!$B$13/100)))+0.25*(Inputs!$B$14-Inputs!$B$14))*(1+Inputs!$B$7/100))*(F74/100)</f>
        <v/>
      </c>
      <c r="K74">
        <f>J74*(1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86=TRUE,F86,0)/100)*(1+(IF(Skills!A3="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f>
        <v/>
      </c>
      <c r="L74">
        <f>K74*(MIN(Inputs!$B$22+((C93=TRUE)*(F93-Calc!F22)),(Inputs!$B$23+0+(IF(ArtifactsInput!$M$15,CHOOSE(ArtifactsInput!$N$15+1,25,30,35,40,45,50)/100*(Inputs!$B$11-Inputs!$B$11),0))))/100+(Inputs!$B$23+0+(IF(ArtifactsInput!$M$15,CHOOSE(ArtifactsInput!$N$15+1,25,30,35,40,45,50)/100*(Inputs!$B$11-Inputs!$B$11),0)))/100)/2</f>
        <v/>
      </c>
      <c r="M74">
        <f>L74*(1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
        <f>L74*(1-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
        <f>(1-Summary!$B$11)*T74+Summary!$B$11*V74</f>
        <v/>
      </c>
      <c r="P74">
        <f>IF(B112=0,0,O74/B112)</f>
        <v/>
      </c>
      <c r="Q74">
        <f>IFERROR(1/(IF(Inputs!$B$38="pvp",15,MAX(0.1,Skills!D3-IF(Skills!E3=TRUE,Inputs!$B$32,0)))*(1-IF(AND(ArtifactsInput!$M$27,Inputs!$B$4="Chapter Hunt"),CHOOSE(ArtifactsInput!$N$27+1,20,24,28,32,36,40),0)/100)),0)</f>
        <v/>
      </c>
      <c r="R74">
        <f>IF(AND(Inputs!$B$38&lt;&gt;"pvp",Inputs!$B$43&gt;0),IF(MAX(0,Inputs!$B$43-B109)&lt;=0,0,(INT(MAX(0,Inputs!$B$43-B109)/(IF(Inputs!$B$38="pvp",15,MAX(0.1,Skills!D3-IF(Skills!E3=TRUE,Inputs!$B$32,0)))*(1-IF(AND(ArtifactsInput!$M$27,Inputs!$B$4="Chapter Hunt"),CHOOSE(ArtifactsInput!$N$27+1,20,24,28,32,36,40),0)/100)))+1)),0)</f>
        <v/>
      </c>
      <c r="S74">
        <f>IFERROR(O74/N74,0)</f>
        <v/>
      </c>
      <c r="T74">
        <f>IF(C74,(H74*N74*IF(AND(Inputs!$B$38&lt;&gt;"pvp",Inputs!$B$43&gt;0),((Skills!G3*((R74-1)*IF(Skills!H3&gt;0,Skills!I3/Skills!H3,1)+IF(Skills!H3&gt;0,MIN(Skills!I3,MAX(0,MAX(0,Inputs!$B$43-B109)-((R74-1)*(IF(Inputs!$B$38="pvp",15,MAX(0.1,Skills!D3-IF(Skills!E3=TRUE,Inputs!$B$32,0)))*(1-IF(AND(ArtifactsInput!$M$27,Inputs!$B$4="Chapter Hunt"),CHOOSE(ArtifactsInput!$N$27+1,20,24,28,32,36,40),0)/100)))))/Skills!H3,1)))/Inputs!$B$43),G74*Q74)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
        <f>INDEX(FactorTable!$B$2:$Y$301, MATCH(ROUND(MIN(300,MAX(1,U73)),0), FactorTable!$A$2:$A$301,0), 22)</f>
        <v/>
      </c>
      <c r="V74">
        <f>IF(C74,(H74*N74*IF(AND(Inputs!$B$38&lt;&gt;"pvp",Inputs!$B$43&gt;0),((Skills!G3*((R74-1)*IF(Skills!H3&gt;0,Skills!I3/Skills!H3,1)+IF(Skills!H3&gt;0,MIN(Skills!I3,MAX(0,MAX(0,Inputs!$B$43-B109)-((R74-1)*(IF(Inputs!$B$38="pvp",15,MAX(0.1,Skills!D3-IF(Skills!E3=TRUE,Inputs!$B$32,0)))*(1-IF(AND(ArtifactsInput!$M$27,Inputs!$B$4="Chapter Hunt"),CHOOSE(ArtifactsInput!$N$27+1,20,24,28,32,36,40),0)/100)))))/Skills!H3,1)))/Inputs!$B$43),G74*Q74))*IF(Inputs!$B$38="pvp",1,(1+(Inputs!$B$21+Skills!Q3+(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
      <c r="A75">
        <f>Skills!A4</f>
        <v/>
      </c>
      <c r="B75">
        <f>Skills!B4</f>
        <v/>
      </c>
      <c r="C75">
        <f>Inputs!$B$3&gt;=40</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f>Skills!G4*IF(Skills!H4&gt;0,Skills!I4/Skills!H4,1)</f>
        <v/>
      </c>
      <c r="H75">
        <f>1-(1-Skills!J4/100)^Skills!K4</f>
        <v/>
      </c>
      <c r="I75" t="inlineStr">
        <is>
          <t>1</t>
        </is>
      </c>
      <c r="J75">
        <f>((Inputs!$B$6*(1+Inputs!$B$7/100))+((((Inputs!$B$12+1)*(1+Inputs!$B$13/100))-(Inputs!$B$12*(1+Inputs!$B$13/100)))+0.25*(Inputs!$B$14-Inputs!$B$14))*(1+Inputs!$B$7/100))*(F75/100)</f>
        <v/>
      </c>
      <c r="K75">
        <f>J75*(1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87=TRUE,F87,0)/100)*(1+(IF(Skills!A4="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f>
        <v/>
      </c>
      <c r="L75">
        <f>K75*(MIN(Inputs!$B$22+((C93=TRUE)*(F93-Calc!F22)),(Inputs!$B$23+0+(IF(ArtifactsInput!$M$15,CHOOSE(ArtifactsInput!$N$15+1,25,30,35,40,45,50)/100*(Inputs!$B$11-Inputs!$B$11),0))))/100+(Inputs!$B$23+0+(IF(ArtifactsInput!$M$15,CHOOSE(ArtifactsInput!$N$15+1,25,30,35,40,45,50)/100*(Inputs!$B$11-Inputs!$B$11),0)))/100)/2</f>
        <v/>
      </c>
      <c r="M75">
        <f>L75*(1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
        <f>L75*(1-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
        <f>(1-Summary!$B$11)*T75+Summary!$B$11*V75</f>
        <v/>
      </c>
      <c r="P75">
        <f>IF(B112=0,0,O75/B112)</f>
        <v/>
      </c>
      <c r="Q75">
        <f>IFERROR(1/(IF(Inputs!$B$38="pvp",15,MAX(0.1,Skills!D4-IF(Skills!E4=TRUE,Inputs!$B$32,0)))*(1-IF(AND(ArtifactsInput!$M$27,Inputs!$B$4="Chapter Hunt"),CHOOSE(ArtifactsInput!$N$27+1,20,24,28,32,36,40),0)/100)),0)</f>
        <v/>
      </c>
      <c r="R75">
        <f>IF(AND(Inputs!$B$38&lt;&gt;"pvp",Inputs!$B$43&gt;0),IF(MAX(0,Inputs!$B$43-B109)&lt;=0,0,(INT(MAX(0,Inputs!$B$43-B109)/(IF(Inputs!$B$38="pvp",15,MAX(0.1,Skills!D4-IF(Skills!E4=TRUE,Inputs!$B$32,0)))*(1-IF(AND(ArtifactsInput!$M$27,Inputs!$B$4="Chapter Hunt"),CHOOSE(ArtifactsInput!$N$27+1,20,24,28,32,36,40),0)/100)))+1)),0)</f>
        <v/>
      </c>
      <c r="S75">
        <f>IFERROR(O75/N75,0)</f>
        <v/>
      </c>
      <c r="T75">
        <f>IF(C75,(H75*N75*IF(AND(Inputs!$B$38&lt;&gt;"pvp",Inputs!$B$43&gt;0),((Skills!G4*((R75-1)*IF(Skills!H4&gt;0,Skills!I4/Skills!H4,1)+IF(Skills!H4&gt;0,MIN(Skills!I4,MAX(0,MAX(0,Inputs!$B$43-B109)-((R75-1)*(IF(Inputs!$B$38="pvp",15,MAX(0.1,Skills!D4-IF(Skills!E4=TRUE,Inputs!$B$32,0)))*(1-IF(AND(ArtifactsInput!$M$27,Inputs!$B$4="Chapter Hunt"),CHOOSE(ArtifactsInput!$N$27+1,20,24,28,32,36,40),0)/100)))))/Skills!H4,1)))/Inputs!$B$43),G75*Q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
        <f>290*U74/1000</f>
        <v/>
      </c>
      <c r="V75">
        <f>IF(C75,(H75*N75*IF(AND(Inputs!$B$38&lt;&gt;"pvp",Inputs!$B$43&gt;0),((Skills!G4*((R75-1)*IF(Skills!H4&gt;0,Skills!I4/Skills!H4,1)+IF(Skills!H4&gt;0,MIN(Skills!I4,MAX(0,MAX(0,Inputs!$B$43-B109)-((R75-1)*(IF(Inputs!$B$38="pvp",15,MAX(0.1,Skills!D4-IF(Skills!E4=TRUE,Inputs!$B$32,0)))*(1-IF(AND(ArtifactsInput!$M$27,Inputs!$B$4="Chapter Hunt"),CHOOSE(ArtifactsInput!$N$27+1,20,24,28,32,36,40),0)/100)))))/Skills!H4,1)))/Inputs!$B$43),G75*Q75))*IF(Inputs!$B$38="pvp",1,(1+(Inputs!$B$21+Skills!Q4+(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
      <c r="A76">
        <f>Skills!A5</f>
        <v/>
      </c>
      <c r="B76">
        <f>Skills!B5</f>
        <v/>
      </c>
      <c r="C76">
        <f>Inputs!$B$3&gt;=45</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f>((Inputs!$B$6*(1+Inputs!$B$7/100))+((((Inputs!$B$12+1)*(1+Inputs!$B$13/100))-(Inputs!$B$12*(1+Inputs!$B$13/100)))+0.25*(Inputs!$B$14-Inputs!$B$14))*(1+Inputs!$B$7/100))*(F76/100)</f>
        <v/>
      </c>
      <c r="K76">
        <f>J76*(1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87=TRUE,F87,0)/100)*(1+(IF(Skills!A5="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f>
        <v/>
      </c>
      <c r="L76">
        <f>K76*(MIN(Inputs!$B$22+((C93=TRUE)*(F93-Calc!F22)),(Inputs!$B$23+0+(IF(ArtifactsInput!$M$15,CHOOSE(ArtifactsInput!$N$15+1,25,30,35,40,45,50)/100*(Inputs!$B$11-Inputs!$B$11),0))))/100+(Inputs!$B$23+0+(IF(ArtifactsInput!$M$15,CHOOSE(ArtifactsInput!$N$15+1,25,30,35,40,45,50)/100*(Inputs!$B$11-Inputs!$B$11),0)))/100)/2</f>
        <v/>
      </c>
      <c r="M76">
        <f>L76*(1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(1-Summary!$B$11)*T76+Summary!$B$11*V76</f>
        <v/>
      </c>
      <c r="P76">
        <f>IF(B112=0,0,O76/B112)</f>
        <v/>
      </c>
      <c r="Q76">
        <f>IFERROR(1/(IF(Inputs!$B$38="pvp",15,MAX(0.1,Skills!D5-IF(Skills!E5=TRUE,Inputs!$B$32,0)))*(1-IF(AND(ArtifactsInput!$M$27,Inputs!$B$4="Chapter Hunt"),CHOOSE(ArtifactsInput!$N$27+1,20,24,28,32,36,40),0)/100)),0)</f>
        <v/>
      </c>
      <c r="R76">
        <f>IF(AND(Inputs!$B$38&lt;&gt;"pvp",Inputs!$B$43&gt;0),IF(MAX(0,Inputs!$B$43-B109)&lt;=0,0,(INT(MAX(0,Inputs!$B$43-B109)/(IF(Inputs!$B$38="pvp",15,MAX(0.1,Skills!D5-IF(Skills!E5=TRUE,Inputs!$B$32,0)))*(1-IF(AND(ArtifactsInput!$M$27,Inputs!$B$4="Chapter Hunt"),CHOOSE(ArtifactsInput!$N$27+1,20,24,28,32,36,40),0)/100)))+1)),0)</f>
        <v/>
      </c>
      <c r="S76">
        <f>IFERROR(O76/N76,0)</f>
        <v/>
      </c>
      <c r="T76">
        <f>IF(C76,(H76*N76*IF(AND(Inputs!$B$38&lt;&gt;"pvp",Inputs!$B$43&gt;0),((Skills!G5*((R76-1)*IF(Skills!H5&gt;0,Skills!I5/Skills!H5,1)+IF(Skills!H5&gt;0,MIN(Skills!I5,MAX(0,MAX(0,Inputs!$B$43-B109)-((R76-1)*(IF(Inputs!$B$38="pvp",15,MAX(0.1,Skills!D5-IF(Skills!E5=TRUE,Inputs!$B$32,0)))*(1-IF(AND(ArtifactsInput!$M$27,Inputs!$B$4="Chapter Hunt"),CHOOSE(ArtifactsInput!$N$27+1,20,24,28,32,36,40),0)/100)))))/Skills!H5,1)))/Inputs!$B$43),G76*Q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
        <f>IF(C76,(H76*N76*IF(AND(Inputs!$B$38&lt;&gt;"pvp",Inputs!$B$43&gt;0),((Skills!G5*((R76-1)*IF(Skills!H5&gt;0,Skills!I5/Skills!H5,1)+IF(Skills!H5&gt;0,MIN(Skills!I5,MAX(0,MAX(0,Inputs!$B$43-B109)-((R76-1)*(IF(Inputs!$B$38="pvp",15,MAX(0.1,Skills!D5-IF(Skills!E5=TRUE,Inputs!$B$32,0)))*(1-IF(AND(ArtifactsInput!$M$27,Inputs!$B$4="Chapter Hunt"),CHOOSE(ArtifactsInput!$N$27+1,20,24,28,32,36,40),0)/100)))))/Skills!H5,1)))/Inputs!$B$43),G76*Q76))*IF(Inputs!$B$38="pvp",1,(1+(Inputs!$B$21+Skills!Q5+(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Skills!A6</f>
        <v/>
      </c>
      <c r="B77">
        <f>Skills!B6</f>
        <v/>
      </c>
      <c r="C77">
        <f>Inputs!$B$3&gt;=63</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86=TRUE,F86,0)/100)*(1+(IF(Skills!A6="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C93=TRUE)*(F93-Calc!F22)),(Inputs!$B$23+0+(IF(ArtifactsInput!$M$15,CHOOSE(ArtifactsInput!$N$15+1,25,30,35,40,45,50)/100*(Inputs!$B$11-Inputs!$B$11),0))))/100+(Inputs!$B$23+0+(IF(ArtifactsInput!$M$15,CHOOSE(ArtifactsInput!$N$15+1,25,30,35,40,45,50)/100*(Inputs!$B$11-Inputs!$B$11),0)))/100)/2</f>
        <v/>
      </c>
      <c r="M77">
        <f>L77*(1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IF(B112=0,0,O77/B112)</f>
        <v/>
      </c>
      <c r="Q77">
        <f>IFERROR(1/(IF(Inputs!$B$38="pvp",15,MAX(0.1,Skills!D6-IF(Skills!E6=TRUE,Inputs!$B$32,0)))*(1-IF(AND(ArtifactsInput!$M$27,Inputs!$B$4="Chapter Hunt"),CHOOSE(ArtifactsInput!$N$27+1,20,24,28,32,36,40),0)/100)),0)</f>
        <v/>
      </c>
      <c r="R77">
        <f>IF(AND(Inputs!$B$38&lt;&gt;"pvp",Inputs!$B$43&gt;0),IF(MAX(0,Inputs!$B$43-B109)&lt;=0,0,(INT(MAX(0,Inputs!$B$43-B109)/(IF(Inputs!$B$38="pvp",15,MAX(0.1,Skills!D6-IF(Skills!E6=TRUE,Inputs!$B$32,0)))*(1-IF(AND(ArtifactsInput!$M$27,Inputs!$B$4="Chapter Hunt"),CHOOSE(ArtifactsInput!$N$27+1,20,24,28,32,36,40),0)/100)))+1)),0)</f>
        <v/>
      </c>
      <c r="S77">
        <f>IFERROR(O77/N77,0)</f>
        <v/>
      </c>
      <c r="T77">
        <f>IF(C77,(H77*N77*IF(AND(Inputs!$B$38&lt;&gt;"pvp",Inputs!$B$43&gt;0),((Skills!G6*((R77-1)*IF(Skills!H6&gt;0,Skills!I6/Skills!H6,1)+IF(Skills!H6&gt;0,MIN(Skills!I6,MAX(0,MAX(0,Inputs!$B$43-B109)-((R77-1)*(IF(Inputs!$B$38="pvp",15,MAX(0.1,Skills!D6-IF(Skills!E6=TRUE,Inputs!$B$32,0)))*(1-IF(AND(ArtifactsInput!$M$27,Inputs!$B$4="Chapter Hunt"),CHOOSE(ArtifactsInput!$N$27+1,20,24,28,32,36,40),0)/100)))))/Skills!H6,1)))/Inputs!$B$43),G77*Q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109)-((R77-1)*(IF(Inputs!$B$38="pvp",15,MAX(0.1,Skills!D6-IF(Skills!E6=TRUE,Inputs!$B$32,0)))*(1-IF(AND(ArtifactsInput!$M$27,Inputs!$B$4="Chapter Hunt"),CHOOSE(ArtifactsInput!$N$27+1,20,24,28,32,36,40),0)/100)))))/Skills!H6,1)))/Inputs!$B$43),G77*Q77))*IF(Inputs!$B$38="pvp",1,(1+(Inputs!$B$21+Skills!Q6+(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Inputs!$B$3&gt;=66</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f>Skills!G7*IF(Skills!H7&gt;0,Skills!I7/Skills!H7,1)</f>
        <v/>
      </c>
      <c r="H78">
        <f>1-(1-Skills!J7/100)^Skills!K7</f>
        <v/>
      </c>
      <c r="I78" t="inlineStr">
        <is>
          <t>1</t>
        </is>
      </c>
      <c r="J78">
        <f>((Inputs!$B$6*(1+Inputs!$B$7/100))+((((Inputs!$B$12+1)*(1+Inputs!$B$13/100))-(Inputs!$B$12*(1+Inputs!$B$13/100)))+0.25*(Inputs!$B$14-Inputs!$B$14))*(1+Inputs!$B$7/100))*(F78/100)</f>
        <v/>
      </c>
      <c r="K78">
        <f>J78*(1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86=TRUE,F86,0)/100)*(1+(IF(Skills!A7="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C93=TRUE)*(F93-Calc!F22)),(Inputs!$B$23+0+(IF(ArtifactsInput!$M$15,CHOOSE(ArtifactsInput!$N$15+1,25,30,35,40,45,50)/100*(Inputs!$B$11-Inputs!$B$11),0))))/100+(Inputs!$B$23+0+(IF(ArtifactsInput!$M$15,CHOOSE(ArtifactsInput!$N$15+1,25,30,35,40,45,50)/100*(Inputs!$B$11-Inputs!$B$11),0)))/100)/2</f>
        <v/>
      </c>
      <c r="M78">
        <f>L78*(1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(1-Summary!$B$11)*T78+Summary!$B$11*V78</f>
        <v/>
      </c>
      <c r="P78">
        <f>IF(B112=0,0,O78/B112)</f>
        <v/>
      </c>
      <c r="Q78">
        <f>IFERROR(1/(IF(Inputs!$B$38="pvp",15,MAX(0.1,Skills!D7-IF(Skills!E7=TRUE,Inputs!$B$32,0)))*(1-IF(AND(ArtifactsInput!$M$27,Inputs!$B$4="Chapter Hunt"),CHOOSE(ArtifactsInput!$N$27+1,20,24,28,32,36,40),0)/100)),0)</f>
        <v/>
      </c>
      <c r="R78">
        <f>IF(AND(Inputs!$B$38&lt;&gt;"pvp",Inputs!$B$43&gt;0),IF(MAX(0,Inputs!$B$43-B109)&lt;=0,0,(INT(MAX(0,Inputs!$B$43-B109)/(IF(Inputs!$B$38="pvp",15,MAX(0.1,Skills!D7-IF(Skills!E7=TRUE,Inputs!$B$32,0)))*(1-IF(AND(ArtifactsInput!$M$27,Inputs!$B$4="Chapter Hunt"),CHOOSE(ArtifactsInput!$N$27+1,20,24,28,32,36,40),0)/100)))+1)),0)</f>
        <v/>
      </c>
      <c r="S78">
        <f>IFERROR(O78/N78,0)</f>
        <v/>
      </c>
      <c r="T78">
        <f>IF(C78,(H78*N78*IF(AND(Inputs!$B$38&lt;&gt;"pvp",Inputs!$B$43&gt;0),((Skills!G7*((R78-1)*IF(Skills!H7&gt;0,Skills!I7/Skills!H7,1)+IF(Skills!H7&gt;0,MIN(Skills!I7,MAX(0,MAX(0,Inputs!$B$43-B109)-((R78-1)*(IF(Inputs!$B$38="pvp",15,MAX(0.1,Skills!D7-IF(Skills!E7=TRUE,Inputs!$B$32,0)))*(1-IF(AND(ArtifactsInput!$M$27,Inputs!$B$4="Chapter Hunt"),CHOOSE(ArtifactsInput!$N$27+1,20,24,28,32,36,40),0)/100)))))/Skills!H7,1)))/Inputs!$B$43),G78*Q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
        <f>IF(C78,(H78*N78*IF(AND(Inputs!$B$38&lt;&gt;"pvp",Inputs!$B$43&gt;0),((Skills!G7*((R78-1)*IF(Skills!H7&gt;0,Skills!I7/Skills!H7,1)+IF(Skills!H7&gt;0,MIN(Skills!I7,MAX(0,MAX(0,Inputs!$B$43-B109)-((R78-1)*(IF(Inputs!$B$38="pvp",15,MAX(0.1,Skills!D7-IF(Skills!E7=TRUE,Inputs!$B$32,0)))*(1-IF(AND(ArtifactsInput!$M$27,Inputs!$B$4="Chapter Hunt"),CHOOSE(ArtifactsInput!$N$27+1,20,24,28,32,36,40),0)/100)))))/Skills!H7,1)))/Inputs!$B$43),G78*Q78))*IF(Inputs!$B$38="pvp",1,(1+(Inputs!$B$21+Skills!Q7+(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Skills!A8</f>
        <v/>
      </c>
      <c r="B79">
        <f>Skills!B8</f>
        <v/>
      </c>
      <c r="C79">
        <f>Inputs!$B$3&gt;=100</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f>Skills!G8*IF(Skills!H8&gt;0,Skills!I8/Skills!H8,1)</f>
        <v/>
      </c>
      <c r="H79">
        <f>1-(1-Skills!J8/100)^Skills!K8</f>
        <v/>
      </c>
      <c r="I79" t="inlineStr">
        <is>
          <t>1</t>
        </is>
      </c>
      <c r="J79">
        <f>((Inputs!$B$6*(1+Inputs!$B$7/100))+((((Inputs!$B$12+1)*(1+Inputs!$B$13/100))-(Inputs!$B$12*(1+Inputs!$B$13/100)))+0.25*(Inputs!$B$14-Inputs!$B$14))*(1+Inputs!$B$7/100))*(F79/100)</f>
        <v/>
      </c>
      <c r="K79">
        <f>J79*(1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C93=TRUE)*(F93-Calc!F22)),(Inputs!$B$23+0+(IF(ArtifactsInput!$M$15,CHOOSE(ArtifactsInput!$N$15+1,25,30,35,40,45,50)/100*(Inputs!$B$11-Inputs!$B$11),0))))/100+(Inputs!$B$23+0+(IF(ArtifactsInput!$M$15,CHOOSE(ArtifactsInput!$N$15+1,25,30,35,40,45,50)/100*(Inputs!$B$11-Inputs!$B$11),0)))/100)/2</f>
        <v/>
      </c>
      <c r="M79">
        <f>L79*(1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(1-Summary!$B$11)*T79+Summary!$B$11*V79</f>
        <v/>
      </c>
      <c r="P79">
        <f>IF(B112=0,0,O79/B112)</f>
        <v/>
      </c>
      <c r="Q79">
        <f>IFERROR(1/(IF(Inputs!$B$38="pvp",15,MAX(0.1,Skills!D8-IF(Skills!E8=TRUE,Inputs!$B$32,0)))*(1-IF(AND(ArtifactsInput!$M$27,Inputs!$B$4="Chapter Hunt"),CHOOSE(ArtifactsInput!$N$27+1,20,24,28,32,36,40),0)/100)),0)</f>
        <v/>
      </c>
      <c r="R79">
        <f>IF(AND(Inputs!$B$38&lt;&gt;"pvp",Inputs!$B$43&gt;0),IF(MAX(0,Inputs!$B$43-B109)&lt;=0,0,(INT(MAX(0,Inputs!$B$43-B109)/(IF(Inputs!$B$38="pvp",15,MAX(0.1,Skills!D8-IF(Skills!E8=TRUE,Inputs!$B$32,0)))*(1-IF(AND(ArtifactsInput!$M$27,Inputs!$B$4="Chapter Hunt"),CHOOSE(ArtifactsInput!$N$27+1,20,24,28,32,36,40),0)/100)))+1)),0)</f>
        <v/>
      </c>
      <c r="S79">
        <f>IFERROR(O79/N79,0)</f>
        <v/>
      </c>
      <c r="T79">
        <f>IF(C79,(H79*N79*IF(AND(Inputs!$B$38&lt;&gt;"pvp",Inputs!$B$43&gt;0),((Skills!G8*((R79-1)*IF(Skills!H8&gt;0,Skills!I8/Skills!H8,1)+IF(Skills!H8&gt;0,MIN(Skills!I8,MAX(0,MAX(0,Inputs!$B$43-B109)-((R79-1)*(IF(Inputs!$B$38="pvp",15,MAX(0.1,Skills!D8-IF(Skills!E8=TRUE,Inputs!$B$32,0)))*(1-IF(AND(ArtifactsInput!$M$27,Inputs!$B$4="Chapter Hunt"),CHOOSE(ArtifactsInput!$N$27+1,20,24,28,32,36,40),0)/100)))))/Skills!H8,1)))/Inputs!$B$43),G79*Q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
        <f>IF(C79,(H79*N79*IF(AND(Inputs!$B$38&lt;&gt;"pvp",Inputs!$B$43&gt;0),((Skills!G8*((R79-1)*IF(Skills!H8&gt;0,Skills!I8/Skills!H8,1)+IF(Skills!H8&gt;0,MIN(Skills!I8,MAX(0,MAX(0,Inputs!$B$43-B109)-((R79-1)*(IF(Inputs!$B$38="pvp",15,MAX(0.1,Skills!D8-IF(Skills!E8=TRUE,Inputs!$B$32,0)))*(1-IF(AND(ArtifactsInput!$M$27,Inputs!$B$4="Chapter Hunt"),CHOOSE(ArtifactsInput!$N$27+1,20,24,28,32,36,40),0)/100)))))/Skills!H8,1)))/Inputs!$B$43),G79*Q79))*IF(Inputs!$B$38="pvp",1,(1+(Inputs!$B$21+Skills!Q8+(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Skills!A9</f>
        <v/>
      </c>
      <c r="B80">
        <f>Skills!B9</f>
        <v/>
      </c>
      <c r="C80">
        <f>Inputs!$B$3&gt;=103</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C93=TRUE)*(F93-Calc!F22)),(Inputs!$B$23+0+(IF(ArtifactsInput!$M$15,CHOOSE(ArtifactsInput!$N$15+1,25,30,35,40,45,50)/100*(Inputs!$B$11-Inputs!$B$11),0))))/100+(Inputs!$B$23+0+(IF(ArtifactsInput!$M$15,CHOOSE(ArtifactsInput!$N$15+1,25,30,35,40,45,50)/100*(Inputs!$B$11-Inputs!$B$11),0)))/100)/2</f>
        <v/>
      </c>
      <c r="M80">
        <f>L80*(1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IF(B112=0,0,O80/B112)</f>
        <v/>
      </c>
      <c r="Q80">
        <f>IFERROR(1/(IF(Inputs!$B$38="pvp",15,MAX(0.1,Skills!D9-IF(Skills!E9=TRUE,Inputs!$B$32,0)))*(1-IF(AND(ArtifactsInput!$M$27,Inputs!$B$4="Chapter Hunt"),CHOOSE(ArtifactsInput!$N$27+1,20,24,28,32,36,40),0)/100)),0)</f>
        <v/>
      </c>
      <c r="R80">
        <f>IF(AND(Inputs!$B$38&lt;&gt;"pvp",Inputs!$B$43&gt;0),IF(MAX(0,Inputs!$B$43-B109)&lt;=0,0,(INT(MAX(0,Inputs!$B$43-B109)/(IF(Inputs!$B$38="pvp",15,MAX(0.1,Skills!D9-IF(Skills!E9=TRUE,Inputs!$B$32,0)))*(1-IF(AND(ArtifactsInput!$M$27,Inputs!$B$4="Chapter Hunt"),CHOOSE(ArtifactsInput!$N$27+1,20,24,28,32,36,40),0)/100)))+1)),0)</f>
        <v/>
      </c>
      <c r="S80">
        <f>IFERROR(O80/N80,0)</f>
        <v/>
      </c>
      <c r="T80">
        <f>IF(C80,(H80*N80*IF(AND(Inputs!$B$38&lt;&gt;"pvp",Inputs!$B$43&gt;0),((Skills!G9*((R80-1)*IF(Skills!H9&gt;0,Skills!I9/Skills!H9,1)+IF(Skills!H9&gt;0,MIN(Skills!I9,MAX(0,MAX(0,Inputs!$B$43-B109)-((R80-1)*(IF(Inputs!$B$38="pvp",15,MAX(0.1,Skills!D9-IF(Skills!E9=TRUE,Inputs!$B$32,0)))*(1-IF(AND(ArtifactsInput!$M$27,Inputs!$B$4="Chapter Hunt"),CHOOSE(ArtifactsInput!$N$27+1,20,24,28,32,36,40),0)/100)))))/Skills!H9,1)))/Inputs!$B$43),G80*Q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109)-((R80-1)*(IF(Inputs!$B$38="pvp",15,MAX(0.1,Skills!D9-IF(Skills!E9=TRUE,Inputs!$B$32,0)))*(1-IF(AND(ArtifactsInput!$M$27,Inputs!$B$4="Chapter Hunt"),CHOOSE(ArtifactsInput!$N$27+1,20,24,28,32,36,40),0)/100)))))/Skills!H9,1)))/Inputs!$B$43),G80*Q80))*IF(Inputs!$B$38="pvp",1,(1+(Inputs!$B$21+Skills!Q9+(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Inputs!$B$3&gt;=113</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Skills!G10*IF(Skills!H10&gt;0,Skills!I10/Skills!H10,1)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C93=TRUE)*(F93-Calc!F22)),(Inputs!$B$23+0+(IF(ArtifactsInput!$M$15,CHOOSE(ArtifactsInput!$N$15+1,25,30,35,40,45,50)/100*(Inputs!$B$11-Inputs!$B$11),0))))/100+(Inputs!$B$23+0+(IF(ArtifactsInput!$M$15,CHOOSE(ArtifactsInput!$N$15+1,25,30,35,40,45,50)/100*(Inputs!$B$11-Inputs!$B$11),0)))/100)/2</f>
        <v/>
      </c>
      <c r="M81">
        <f>L81*(1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IF(B112=0,0,O81/B112)</f>
        <v/>
      </c>
      <c r="Q81">
        <f>IFERROR(1/(IF(Inputs!$B$38="pvp",15,MAX(0.1,Skills!D10-IF(Skills!E10=TRUE,Inputs!$B$32,0)))*(1-IF(AND(ArtifactsInput!$M$27,Inputs!$B$4="Chapter Hunt"),CHOOSE(ArtifactsInput!$N$27+1,20,24,28,32,36,40),0)/100)),0)</f>
        <v/>
      </c>
      <c r="R81">
        <f>IF(AND(Inputs!$B$38&lt;&gt;"pvp",Inputs!$B$43&gt;0),IF(MAX(0,Inputs!$B$43-B109)&lt;=0,0,(INT(MAX(0,Inputs!$B$43-B109)/(IF(Inputs!$B$38="pvp",15,MAX(0.1,Skills!D10-IF(Skills!E10=TRUE,Inputs!$B$32,0)))*(1-IF(AND(ArtifactsInput!$M$27,Inputs!$B$4="Chapter Hunt"),CHOOSE(ArtifactsInput!$N$27+1,20,24,28,32,36,40),0)/100)))+1)),0)</f>
        <v/>
      </c>
      <c r="S81">
        <f>IFERROR(O81/N81,0)</f>
        <v/>
      </c>
      <c r="T81">
        <f>IF(C81,(H81*N81*IF(AND(Inputs!$B$38&lt;&gt;"pvp",Inputs!$B$43&gt;0),((Skills!G10*((R81-1)*IF(Skills!H10&gt;0,Skills!I10/Skills!H10,1)+IF(Skills!H10&gt;0,MIN(Skills!I10,MAX(0,MAX(0,Inputs!$B$43-B109)-((R81-1)*(IF(Inputs!$B$38="pvp",15,MAX(0.1,Skills!D10-IF(Skills!E10=TRUE,Inputs!$B$32,0)))*(1-IF(AND(ArtifactsInput!$M$27,Inputs!$B$4="Chapter Hunt"),CHOOSE(ArtifactsInput!$N$27+1,20,24,28,32,36,40),0)/100)))))/Skills!H10,1)))/Inputs!$B$43),G81*Q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H81*N81*IF(AND(Inputs!$B$38&lt;&gt;"pvp",Inputs!$B$43&gt;0),((Skills!G10*((R81-1)*IF(Skills!H10&gt;0,Skills!I10/Skills!H10,1)+IF(Skills!H10&gt;0,MIN(Skills!I10,MAX(0,MAX(0,Inputs!$B$43-B109)-((R81-1)*(IF(Inputs!$B$38="pvp",15,MAX(0.1,Skills!D10-IF(Skills!E10=TRUE,Inputs!$B$32,0)))*(1-IF(AND(ArtifactsInput!$M$27,Inputs!$B$4="Chapter Hunt"),CHOOSE(ArtifactsInput!$N$27+1,20,24,28,32,36,40),0)/100)))))/Skills!H10,1)))/Inputs!$B$43),G81*Q81))*IF(Inputs!$B$38="pvp",1,(1+(Inputs!$B$21+Skills!Q10+(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Inputs!$B$3&gt;=107</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Skills!G11*IF(Skills!H11&gt;0,Skills!I11/Skills!H11,1)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C93=TRUE)*(F93-Calc!F22)),(Inputs!$B$23+0+(IF(ArtifactsInput!$M$15,CHOOSE(ArtifactsInput!$N$15+1,25,30,35,40,45,50)/100*(Inputs!$B$11-Inputs!$B$11),0))))/100+(Inputs!$B$23+0+(IF(ArtifactsInput!$M$15,CHOOSE(ArtifactsInput!$N$15+1,25,30,35,40,45,50)/100*(Inputs!$B$11-Inputs!$B$11),0)))/100)/2</f>
        <v/>
      </c>
      <c r="M82">
        <f>L82*(1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IF(B112=0,0,O82/B112)</f>
        <v/>
      </c>
      <c r="Q82">
        <f>IFERROR(1/(IF(Inputs!$B$38="pvp",15,MAX(0.1,Skills!D11-IF(Skills!E11=TRUE,Inputs!$B$32,0)))*(1-IF(AND(ArtifactsInput!$M$27,Inputs!$B$4="Chapter Hunt"),CHOOSE(ArtifactsInput!$N$27+1,20,24,28,32,36,40),0)/100)),0)</f>
        <v/>
      </c>
      <c r="R82">
        <f>IF(AND(Inputs!$B$38&lt;&gt;"pvp",Inputs!$B$43&gt;0),IF(MAX(0,Inputs!$B$43-B109)&lt;=0,0,(INT(MAX(0,Inputs!$B$43-B109)/(IF(Inputs!$B$38="pvp",15,MAX(0.1,Skills!D11-IF(Skills!E11=TRUE,Inputs!$B$32,0)))*(1-IF(AND(ArtifactsInput!$M$27,Inputs!$B$4="Chapter Hunt"),CHOOSE(ArtifactsInput!$N$27+1,20,24,28,32,36,40),0)/100)))+1)),0)</f>
        <v/>
      </c>
      <c r="S82">
        <f>IFERROR(O82/N82,0)</f>
        <v/>
      </c>
      <c r="T82">
        <f>IF(C82,(H82*N82*IF(AND(Inputs!$B$38&lt;&gt;"pvp",Inputs!$B$43&gt;0),((Skills!G11*((R82-1)*IF(Skills!H11&gt;0,Skills!I11/Skills!H11,1)+IF(Skills!H11&gt;0,MIN(Skills!I11,MAX(0,MAX(0,Inputs!$B$43-B109)-((R82-1)*(IF(Inputs!$B$38="pvp",15,MAX(0.1,Skills!D11-IF(Skills!E11=TRUE,Inputs!$B$32,0)))*(1-IF(AND(ArtifactsInput!$M$27,Inputs!$B$4="Chapter Hunt"),CHOOSE(ArtifactsInput!$N$27+1,20,24,28,32,36,40),0)/100)))))/Skills!H11,1)))/Inputs!$B$43),G82*Q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Skills!I11/Skills!H11,1)+IF(Skills!H11&gt;0,MIN(Skills!I11,MAX(0,MAX(0,Inputs!$B$43-B109)-((R82-1)*(IF(Inputs!$B$38="pvp",15,MAX(0.1,Skills!D11-IF(Skills!E11=TRUE,Inputs!$B$32,0)))*(1-IF(AND(ArtifactsInput!$M$27,Inputs!$B$4="Chapter Hunt"),CHOOSE(ArtifactsInput!$N$27+1,20,24,28,32,36,40),0)/100)))))/Skills!H11,1)))/Inputs!$B$43),G82*Q82))*IF(Inputs!$B$38="pvp",1,(1+(Inputs!$B$21+Skills!Q11+(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Inputs!$B$3&gt;=110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f>Skills!G12*IF(Skills!H12&gt;0,Skills!I12/Skills!H12,1)</f>
        <v/>
      </c>
      <c r="H83">
        <f>1-(1-Skills!J12/100)^Skills!K12</f>
        <v/>
      </c>
      <c r="I83" t="inlineStr">
        <is>
          <t>1</t>
        </is>
      </c>
      <c r="J83">
        <f>((Inputs!$B$6*(1+Inputs!$B$7/100))+((((Inputs!$B$12+1)*(1+Inputs!$B$13/100))-(Inputs!$B$12*(1+Inputs!$B$13/100)))+0.25*(Inputs!$B$14-Inputs!$B$14))*(1+Inputs!$B$7/100))*(F83/100)</f>
        <v/>
      </c>
      <c r="K83">
        <f>J83*(1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f>
        <v/>
      </c>
      <c r="L83">
        <f>K83*(MIN(Inputs!$B$22+((C93=TRUE)*(F93-Calc!F22)),(Inputs!$B$23+0+(IF(ArtifactsInput!$M$15,CHOOSE(ArtifactsInput!$N$15+1,25,30,35,40,45,50)/100*(Inputs!$B$11-Inputs!$B$11),0))))/100+(Inputs!$B$23+0+(IF(ArtifactsInput!$M$15,CHOOSE(ArtifactsInput!$N$15+1,25,30,35,40,45,50)/100*(Inputs!$B$11-Inputs!$B$11),0)))/100)/2</f>
        <v/>
      </c>
      <c r="M83">
        <f>L83*(1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
        <f>L83*(1-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
        <f>(1-Summary!$B$11)*T83+Summary!$B$11*V83</f>
        <v/>
      </c>
      <c r="P83">
        <f>IF(B112=0,0,O83/B112)</f>
        <v/>
      </c>
      <c r="Q83">
        <f>IFERROR(1/(IF(Inputs!$B$38="pvp",15,MAX(0.1,Skills!D12-IF(Skills!E12=TRUE,Inputs!$B$32,0)))*(1-IF(AND(ArtifactsInput!$M$27,Inputs!$B$4="Chapter Hunt"),CHOOSE(ArtifactsInput!$N$27+1,20,24,28,32,36,40),0)/100)),0)</f>
        <v/>
      </c>
      <c r="R83">
        <f>IF(AND(Inputs!$B$38&lt;&gt;"pvp",Inputs!$B$43&gt;0),IF(MAX(0,Inputs!$B$43-B109)&lt;=0,0,(INT(MAX(0,Inputs!$B$43-B109)/(IF(Inputs!$B$38="pvp",15,MAX(0.1,Skills!D12-IF(Skills!E12=TRUE,Inputs!$B$32,0)))*(1-IF(AND(ArtifactsInput!$M$27,Inputs!$B$4="Chapter Hunt"),CHOOSE(ArtifactsInput!$N$27+1,20,24,28,32,36,40),0)/100)))+1)),0)</f>
        <v/>
      </c>
      <c r="S83">
        <f>IFERROR(O83/N83,0)</f>
        <v/>
      </c>
      <c r="T83">
        <f>IF(C83,(H83*N83*IF(AND(Inputs!$B$38&lt;&gt;"pvp",Inputs!$B$43&gt;0),((Skills!G12*((R83-1)*IF(Skills!H12&gt;0,Skills!I12/Skills!H12,1)+IF(Skills!H12&gt;0,MIN(Skills!I12,MAX(0,MAX(0,Inputs!$B$43-B109)-((R83-1)*(IF(Inputs!$B$38="pvp",15,MAX(0.1,Skills!D12-IF(Skills!E12=TRUE,Inputs!$B$32,0)))*(1-IF(AND(ArtifactsInput!$M$27,Inputs!$B$4="Chapter Hunt"),CHOOSE(ArtifactsInput!$N$27+1,20,24,28,32,36,40),0)/100)))))/Skills!H12,1)))/Inputs!$B$43),G83*Q83)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
        <f>IF(C83,(H83*N83*IF(AND(Inputs!$B$38&lt;&gt;"pvp",Inputs!$B$43&gt;0),((Skills!G12*((R83-1)*IF(Skills!H12&gt;0,Skills!I12/Skills!H12,1)+IF(Skills!H12&gt;0,MIN(Skills!I12,MAX(0,MAX(0,Inputs!$B$43-B109)-((R83-1)*(IF(Inputs!$B$38="pvp",15,MAX(0.1,Skills!D12-IF(Skills!E12=TRUE,Inputs!$B$32,0)))*(1-IF(AND(ArtifactsInput!$M$27,Inputs!$B$4="Chapter Hunt"),CHOOSE(ArtifactsInput!$N$27+1,20,24,28,32,36,40),0)/100)))))/Skills!H12,1)))/Inputs!$B$43),G83*Q83))*IF(Inputs!$B$38="pvp",1,(1+(Inputs!$B$21+Skills!Q12+(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
      <c r="A84">
        <f>Skills!A13</f>
        <v/>
      </c>
      <c r="B84">
        <f>Skills!B13</f>
        <v/>
      </c>
      <c r="C84">
        <f>Inputs!$B$3&gt;=110</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Skills!G13*IF(Skills!H13&gt;0,Skills!I13/Skills!H13,1)</f>
        <v/>
      </c>
      <c r="H84">
        <f>1-(1-Skills!J13/100)^Skills!K13</f>
        <v/>
      </c>
      <c r="I84" t="inlineStr">
        <is>
          <t>1</t>
        </is>
      </c>
      <c r="J84">
        <f>((Inputs!$B$6*(1+Inputs!$B$7/100))+((((Inputs!$B$12+1)*(1+Inputs!$B$13/100))-(Inputs!$B$12*(1+Inputs!$B$13/100)))+0.25*(Inputs!$B$14-Inputs!$B$14))*(1+Inputs!$B$7/100))*(F84/100)</f>
        <v/>
      </c>
      <c r="K84">
        <f>J84*(1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f>
        <v/>
      </c>
      <c r="L84">
        <f>K84*(MIN(Inputs!$B$22+((C93=TRUE)*(F93-Calc!F22)),(Inputs!$B$23+0+(IF(ArtifactsInput!$M$15,CHOOSE(ArtifactsInput!$N$15+1,25,30,35,40,45,50)/100*(Inputs!$B$11-Inputs!$B$11),0))))/100+(Inputs!$B$23+0+(IF(ArtifactsInput!$M$15,CHOOSE(ArtifactsInput!$N$15+1,25,30,35,40,45,50)/100*(Inputs!$B$11-Inputs!$B$11),0)))/100)/2</f>
        <v/>
      </c>
      <c r="M84">
        <f>L84*(1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
        <f>L84*(1-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
        <f>(1-Summary!$B$11)*T84+Summary!$B$11*V84</f>
        <v/>
      </c>
      <c r="P84">
        <f>IF(B112=0,0,O84/B112)</f>
        <v/>
      </c>
      <c r="Q84">
        <f>IFERROR(1/(IF(Inputs!$B$38="pvp",15,MAX(0.1,Skills!D13-IF(Skills!E13=TRUE,Inputs!$B$32,0)))*(1-IF(AND(ArtifactsInput!$M$27,Inputs!$B$4="Chapter Hunt"),CHOOSE(ArtifactsInput!$N$27+1,20,24,28,32,36,40),0)/100)),0)</f>
        <v/>
      </c>
      <c r="R84">
        <f>IF(AND(Inputs!$B$38&lt;&gt;"pvp",Inputs!$B$43&gt;0),IF(MAX(0,Inputs!$B$43-B109)&lt;=0,0,(INT(MAX(0,Inputs!$B$43-B109)/(IF(Inputs!$B$38="pvp",15,MAX(0.1,Skills!D13-IF(Skills!E13=TRUE,Inputs!$B$32,0)))*(1-IF(AND(ArtifactsInput!$M$27,Inputs!$B$4="Chapter Hunt"),CHOOSE(ArtifactsInput!$N$27+1,20,24,28,32,36,40),0)/100)))+1)),0)</f>
        <v/>
      </c>
      <c r="S84">
        <f>IFERROR(O84/N84,0)</f>
        <v/>
      </c>
      <c r="T84">
        <f>IF(C84,(H84*N84*IF(AND(Inputs!$B$38&lt;&gt;"pvp",Inputs!$B$43&gt;0),((Skills!G13*((R84-1)*IF(Skills!H13&gt;0,Skills!I13/Skills!H13,1)+IF(Skills!H13&gt;0,MIN(Skills!I13,MAX(0,MAX(0,Inputs!$B$43-B109)-((R84-1)*(IF(Inputs!$B$38="pvp",15,MAX(0.1,Skills!D13-IF(Skills!E13=TRUE,Inputs!$B$32,0)))*(1-IF(AND(ArtifactsInput!$M$27,Inputs!$B$4="Chapter Hunt"),CHOOSE(ArtifactsInput!$N$27+1,20,24,28,32,36,40),0)/100)))))/Skills!H13,1)))/Inputs!$B$43),G84*Q84)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
        <f>IF(C84,(H84*N84*IF(AND(Inputs!$B$38&lt;&gt;"pvp",Inputs!$B$43&gt;0),((Skills!G13*((R84-1)*IF(Skills!H13&gt;0,Skills!I13/Skills!H13,1)+IF(Skills!H13&gt;0,MIN(Skills!I13,MAX(0,MAX(0,Inputs!$B$43-B109)-((R84-1)*(IF(Inputs!$B$38="pvp",15,MAX(0.1,Skills!D13-IF(Skills!E13=TRUE,Inputs!$B$32,0)))*(1-IF(AND(ArtifactsInput!$M$27,Inputs!$B$4="Chapter Hunt"),CHOOSE(ArtifactsInput!$N$27+1,20,24,28,32,36,40),0)/100)))))/Skills!H13,1)))/Inputs!$B$43),G84*Q84))*IF(Inputs!$B$38="pvp",1,(1+(Inputs!$B$21+Skills!Q13+(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
      <c r="A85">
        <f>Skills!A14</f>
        <v/>
      </c>
      <c r="B85">
        <f>Skills!B14</f>
        <v/>
      </c>
      <c r="C85">
        <f>Inputs!$B$3&gt;=125</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f>((Inputs!$B$6*(1+Inputs!$B$7/100))+((((Inputs!$B$12+1)*(1+Inputs!$B$13/100))-(Inputs!$B$12*(1+Inputs!$B$13/100)))+0.25*(Inputs!$B$14-Inputs!$B$14))*(1+Inputs!$B$7/100))*(F85/100)</f>
        <v/>
      </c>
      <c r="K85">
        <f>J85*(1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f>
        <v/>
      </c>
      <c r="L85">
        <f>K85*(MIN(Inputs!$B$22+((C93=TRUE)*(F93-Calc!F22)),(Inputs!$B$23+0+(IF(ArtifactsInput!$M$15,CHOOSE(ArtifactsInput!$N$15+1,25,30,35,40,45,50)/100*(Inputs!$B$11-Inputs!$B$11),0))))/100+(Inputs!$B$23+0+(IF(ArtifactsInput!$M$15,CHOOSE(ArtifactsInput!$N$15+1,25,30,35,40,45,50)/100*(Inputs!$B$11-Inputs!$B$11),0)))/100)/2</f>
        <v/>
      </c>
      <c r="M85">
        <f>L85*(1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
        <f>L85*(1-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
        <f>(1-Summary!$B$11)*T85+Summary!$B$11*V85</f>
        <v/>
      </c>
      <c r="P85">
        <f>IF(B112=0,0,O85/B112)</f>
        <v/>
      </c>
      <c r="Q85" t="n">
        <v>0</v>
      </c>
      <c r="R85" t="n">
        <v>0</v>
      </c>
      <c r="S85">
        <f>IFERROR(O85/N85,0)</f>
        <v/>
      </c>
      <c r="T85">
        <f>IF(C85,(H85*N85*(B106+IF(AND(Inputs!$B$38&lt;&gt;"pvp",Inputs!$B$43&gt;0),((Skills!G8*((R79-1)*IF(Skills!H8&gt;0,Skills!I8/Skills!H8,1)+IF(Skills!H8&gt;0,MIN(Skills!I8,MAX(0,MAX(0,Inputs!$B$43-B109)-((R79-1)*(IF(Inputs!$B$38="pvp",15,MAX(0.1,Skills!D8-IF(Skills!E8=TRUE,Inputs!$B$32,0)))*(1-IF(AND(ArtifactsInput!$M$27,Inputs!$B$4="Chapter Hunt"),CHOOSE(ArtifactsInput!$N$27+1,20,24,28,32,36,40),0)/100)))))/Skills!H8,1)))/Inputs!$B$43),G79*Q79)+IF(AND(Inputs!$B$38&lt;&gt;"pvp",Inputs!$B$43&gt;0),((Skills!G11*((R82-1)*IF(Skills!H11&gt;0,Skills!I11/Skills!H11,1)+IF(Skills!H11&gt;0,MIN(Skills!I11,MAX(0,MAX(0,Inputs!$B$43-B109)-((R82-1)*(IF(Inputs!$B$38="pvp",15,MAX(0.1,Skills!D11-IF(Skills!E11=TRUE,Inputs!$B$32,0)))*(1-IF(AND(ArtifactsInput!$M$27,Inputs!$B$4="Chapter Hunt"),CHOOSE(ArtifactsInput!$N$27+1,20,24,28,32,36,40),0)/100)))))/Skills!H11,1)))/Inputs!$B$43),G82*Q82)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
        <f>IF(C85,(H85*N85*(B106+IF(AND(Inputs!$B$38&lt;&gt;"pvp",Inputs!$B$43&gt;0),((Skills!G8*((R79-1)*IF(Skills!H8&gt;0,Skills!I8/Skills!H8,1)+IF(Skills!H8&gt;0,MIN(Skills!I8,MAX(0,MAX(0,Inputs!$B$43-B109)-((R79-1)*(IF(Inputs!$B$38="pvp",15,MAX(0.1,Skills!D8-IF(Skills!E8=TRUE,Inputs!$B$32,0)))*(1-IF(AND(ArtifactsInput!$M$27,Inputs!$B$4="Chapter Hunt"),CHOOSE(ArtifactsInput!$N$27+1,20,24,28,32,36,40),0)/100)))))/Skills!H8,1)))/Inputs!$B$43),G79*Q79)+IF(AND(Inputs!$B$38&lt;&gt;"pvp",Inputs!$B$43&gt;0),((Skills!G11*((R82-1)*IF(Skills!H11&gt;0,Skills!I11/Skills!H11,1)+IF(Skills!H11&gt;0,MIN(Skills!I11,MAX(0,MAX(0,Inputs!$B$43-B109)-((R82-1)*(IF(Inputs!$B$38="pvp",15,MAX(0.1,Skills!D11-IF(Skills!E11=TRUE,Inputs!$B$32,0)))*(1-IF(AND(ArtifactsInput!$M$27,Inputs!$B$4="Chapter Hunt"),CHOOSE(ArtifactsInput!$N$27+1,20,24,28,32,36,40),0)/100)))))/Skills!H11,1)))/Inputs!$B$43),G82*Q82)))*IF(Inputs!$B$38="pvp",1,(1+(Inputs!$B$21+Skills!Q14+(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
      <c r="A86">
        <f>Skills!A15</f>
        <v/>
      </c>
      <c r="B86">
        <f>Skills!B15</f>
        <v/>
      </c>
      <c r="C86">
        <f>Inputs!$B$3&gt;=100</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t="inlineStr"/>
      <c r="H86" t="inlineStr"/>
      <c r="I86" t="inlineStr">
        <is>
          <t>1</t>
        </is>
      </c>
      <c r="J86" t="inlineStr"/>
      <c r="K86" t="inlineStr"/>
      <c r="L86" t="inlineStr"/>
      <c r="M86" t="inlineStr"/>
      <c r="N86" t="inlineStr"/>
      <c r="O86" t="inlineStr"/>
      <c r="P86" t="inlineStr"/>
      <c r="Q86" t="inlineStr"/>
      <c r="R86" t="inlineStr"/>
      <c r="S86" t="inlineStr"/>
    </row>
    <row r="87">
      <c r="A87">
        <f>Skills!A16</f>
        <v/>
      </c>
      <c r="B87">
        <f>Skills!B16</f>
        <v/>
      </c>
      <c r="C87">
        <f>Inputs!$B$3&gt;=120</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t="inlineStr"/>
      <c r="H87" t="inlineStr"/>
      <c r="I87" t="inlineStr">
        <is>
          <t>1</t>
        </is>
      </c>
      <c r="J87" t="inlineStr"/>
      <c r="K87" t="inlineStr"/>
      <c r="L87" t="inlineStr"/>
      <c r="M87" t="inlineStr"/>
      <c r="N87" t="inlineStr"/>
      <c r="O87" t="inlineStr"/>
      <c r="P87" t="inlineStr"/>
      <c r="Q87" t="inlineStr"/>
      <c r="R87" t="inlineStr"/>
      <c r="S87" t="inlineStr"/>
    </row>
    <row r="88">
      <c r="A88">
        <f>Skills!A17</f>
        <v/>
      </c>
      <c r="B88">
        <f>Skills!B17</f>
        <v/>
      </c>
      <c r="C88">
        <f>Inputs!$B$3&gt;=66</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f>(1-Summary!$B$11)*T88+Summary!$B$11*V88</f>
        <v/>
      </c>
      <c r="P88">
        <f>IF(B112=0,0,O88/B112)</f>
        <v/>
      </c>
      <c r="Q88" t="n">
        <v>0</v>
      </c>
      <c r="R88" t="n">
        <v>0</v>
      </c>
      <c r="S88">
        <f>IFERROR(O88/N88,0)</f>
        <v/>
      </c>
      <c r="T88" t="n">
        <v>0</v>
      </c>
      <c r="V88" t="n">
        <v>0</v>
      </c>
    </row>
    <row r="89">
      <c r="A89">
        <f>Skills!A18</f>
        <v/>
      </c>
      <c r="B89">
        <f>Skills!B18</f>
        <v/>
      </c>
      <c r="C89">
        <f>Inputs!$B$3&gt;=115</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f>(1-Summary!$B$11)*T89+Summary!$B$11*V89</f>
        <v/>
      </c>
      <c r="P89">
        <f>IF(B112=0,0,O89/B112)</f>
        <v/>
      </c>
      <c r="Q89">
        <f>IFERROR(1/(IF(Inputs!$B$38="pvp",15,MAX(0.1,Skills!D18-IF(Skills!E18=TRUE,Inputs!$B$32,0)))*(1-IF(AND(ArtifactsInput!$M$27,Inputs!$B$4="Chapter Hunt"),CHOOSE(ArtifactsInput!$N$27+1,20,24,28,32,36,40),0)/100)),0)</f>
        <v/>
      </c>
      <c r="R89">
        <f>IF(AND(Inputs!$B$38&lt;&gt;"pvp",Inputs!$B$43&gt;0),IF(Inputs!$B$43&lt;=0,0,(INT(Inputs!$B$43/(IF(Inputs!$B$38="pvp",15,MAX(0.1,Skills!D18-IF(Skills!E18=TRUE,Inputs!$B$32,0)))*(1-IF(AND(ArtifactsInput!$M$27,Inputs!$B$4="Chapter Hunt"),CHOOSE(ArtifactsInput!$N$27+1,20,24,28,32,36,40),0)/100)))+1)),0)</f>
        <v/>
      </c>
      <c r="S89">
        <f>IFERROR(O89/N89,0)</f>
        <v/>
      </c>
      <c r="T89" t="n">
        <v>0</v>
      </c>
      <c r="V89" t="n">
        <v>0</v>
      </c>
    </row>
    <row r="90">
      <c r="A90">
        <f>Skills!A19</f>
        <v/>
      </c>
      <c r="B90">
        <f>Skills!B19</f>
        <v/>
      </c>
      <c r="C90">
        <f>Inputs!$B$3&gt;=15</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f>(1-Summary!$B$11)*T90+Summary!$B$11*V90</f>
        <v/>
      </c>
      <c r="P90">
        <f>IF(B112=0,0,O90/B112)</f>
        <v/>
      </c>
      <c r="Q90" t="n">
        <v>0</v>
      </c>
      <c r="R90" t="n">
        <v>0</v>
      </c>
      <c r="S90">
        <f>IFERROR(O90/N90,0)</f>
        <v/>
      </c>
      <c r="T90" t="n">
        <v>0</v>
      </c>
      <c r="V90" t="n">
        <v>0</v>
      </c>
    </row>
    <row r="91">
      <c r="A91">
        <f>Skills!A20</f>
        <v/>
      </c>
      <c r="B91">
        <f>Skills!B20</f>
        <v/>
      </c>
      <c r="C91">
        <f>Inputs!$B$3&gt;=10</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f>(1-Summary!$B$11)*T91+Summary!$B$11*V91</f>
        <v/>
      </c>
      <c r="P91">
        <f>IF(B112=0,0,O91/B112)</f>
        <v/>
      </c>
      <c r="Q91" t="n">
        <v>0</v>
      </c>
      <c r="R91" t="n">
        <v>0</v>
      </c>
      <c r="S91">
        <f>IFERROR(O91/N91,0)</f>
        <v/>
      </c>
      <c r="T91" t="n">
        <v>0</v>
      </c>
      <c r="V91" t="n">
        <v>0</v>
      </c>
    </row>
    <row r="92">
      <c r="A92">
        <f>Skills!A21</f>
        <v/>
      </c>
      <c r="B92">
        <f>Skills!B21</f>
        <v/>
      </c>
      <c r="C92">
        <f>Inputs!$B$3&gt;=33</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f>(1-Summary!$B$11)*T92+Summary!$B$11*V92</f>
        <v/>
      </c>
      <c r="P92">
        <f>IF(B112=0,0,O92/B112)</f>
        <v/>
      </c>
      <c r="Q92" t="n">
        <v>0</v>
      </c>
      <c r="R92" t="n">
        <v>0</v>
      </c>
      <c r="S92">
        <f>IFERROR(O92/N92,0)</f>
        <v/>
      </c>
      <c r="T92" t="n">
        <v>0</v>
      </c>
      <c r="V92" t="n">
        <v>0</v>
      </c>
    </row>
    <row r="93">
      <c r="A93">
        <f>Skills!A22</f>
        <v/>
      </c>
      <c r="B93">
        <f>Skills!B22</f>
        <v/>
      </c>
      <c r="C93">
        <f>Inputs!$B$3&gt;=43</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f>(1-Summary!$B$11)*T93+Summary!$B$11*V93</f>
        <v/>
      </c>
      <c r="P93">
        <f>IF(B112=0,0,O93/B112)</f>
        <v/>
      </c>
      <c r="Q93" t="n">
        <v>0</v>
      </c>
      <c r="R93" t="n">
        <v>0</v>
      </c>
      <c r="S93">
        <f>IFERROR(O93/N93,0)</f>
        <v/>
      </c>
      <c r="T93" t="n">
        <v>0</v>
      </c>
      <c r="V93" t="n">
        <v>0</v>
      </c>
    </row>
    <row r="94">
      <c r="A94">
        <f>Skills!A23</f>
        <v/>
      </c>
      <c r="B94">
        <f>Skills!B23</f>
        <v/>
      </c>
      <c r="C94">
        <f>Inputs!$B$3&gt;=38</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Skills!G23*IF(Skills!H23&gt;0,Skills!I23/Skills!H23,1)</f>
        <v/>
      </c>
      <c r="H94">
        <f>1-(1-Skills!J23/100)^Skills!K23</f>
        <v/>
      </c>
      <c r="I94" t="inlineStr">
        <is>
          <t>1</t>
        </is>
      </c>
      <c r="J94" t="inlineStr"/>
      <c r="K94" t="inlineStr"/>
      <c r="L94" t="inlineStr"/>
      <c r="M94" t="inlineStr"/>
      <c r="N94" t="inlineStr"/>
      <c r="O94">
        <f>(1-Summary!$B$11)*T94+Summary!$B$11*V94</f>
        <v/>
      </c>
      <c r="P94">
        <f>IF(B112=0,0,O94/B112)</f>
        <v/>
      </c>
      <c r="Q94" t="n">
        <v>0</v>
      </c>
      <c r="R94" t="n">
        <v>0</v>
      </c>
      <c r="S94">
        <f>IFERROR(O94/N94,0)</f>
        <v/>
      </c>
      <c r="T94" t="n">
        <v>0</v>
      </c>
      <c r="V94" t="n">
        <v>0</v>
      </c>
    </row>
    <row r="95">
      <c r="A95">
        <f>Skills!A24</f>
        <v/>
      </c>
      <c r="B95">
        <f>Skills!B24</f>
        <v/>
      </c>
      <c r="C95">
        <f>Inputs!$B$3&gt;=40</f>
        <v/>
      </c>
      <c r="D95">
        <f>IF(Skills!C24=1,60+Inputs!$B$25+Inputs!$B$29,IF(Skills!C24=2,90+Inputs!$B$26+Inputs!$B$29,IF(Skills!C24=3,120+Inputs!$B$27+Inputs!$B$29,MAX(0,(Inputs!$B$3-100)*3)+Inputs!$B$28+Inputs!$B$29)))</f>
        <v/>
      </c>
      <c r="E95">
        <f>INDEX(FactorTable!$B$2:$Y$301, MATCH(ROUND(MIN(300,MAX(1,D95)),0), FactorTable!$A$2:$A$301,0), Skills!M24+1)</f>
        <v/>
      </c>
      <c r="F95">
        <f>IF(Skills!N24=TRUE,(Skills!L24/10)*(E95/1000),Skills!L24/10)+Skills!O24</f>
        <v/>
      </c>
      <c r="G95">
        <f>Skills!G24*IF(Skills!H24&gt;0,Skills!I24/Skills!H24,1)</f>
        <v/>
      </c>
      <c r="H95">
        <f>1-(1-Skills!J24/100)^Skills!K24</f>
        <v/>
      </c>
      <c r="I95" t="inlineStr">
        <is>
          <t>1</t>
        </is>
      </c>
      <c r="J95" t="inlineStr"/>
      <c r="K95" t="inlineStr"/>
      <c r="L95" t="inlineStr"/>
      <c r="M95" t="inlineStr"/>
      <c r="N95" t="inlineStr"/>
      <c r="O95">
        <f>(1-Summary!$B$11)*T95+Summary!$B$11*V95</f>
        <v/>
      </c>
      <c r="P95">
        <f>IF(B112=0,0,O95/B112)</f>
        <v/>
      </c>
      <c r="Q95" t="n">
        <v>0</v>
      </c>
      <c r="R95" t="n">
        <v>0</v>
      </c>
      <c r="S95">
        <f>IFERROR(O95/N95,0)</f>
        <v/>
      </c>
      <c r="T95" t="n">
        <v>0</v>
      </c>
      <c r="V95" t="n">
        <v>0</v>
      </c>
    </row>
    <row r="96">
      <c r="A96">
        <f>Skills!A25</f>
        <v/>
      </c>
      <c r="B96">
        <f>Skills!B25</f>
        <v/>
      </c>
      <c r="C96">
        <f>Inputs!$B$3&gt;=72</f>
        <v/>
      </c>
      <c r="D96">
        <f>IF(Skills!C25=1,60+Inputs!$B$25+Inputs!$B$29,IF(Skills!C25=2,90+Inputs!$B$26+Inputs!$B$29,IF(Skills!C25=3,120+Inputs!$B$27+Inputs!$B$29,MAX(0,(Inputs!$B$3-100)*3)+Inputs!$B$28+Inputs!$B$29)))</f>
        <v/>
      </c>
      <c r="E96">
        <f>INDEX(FactorTable!$B$2:$Y$301, MATCH(ROUND(MIN(300,MAX(1,D96)),0), FactorTable!$A$2:$A$301,0), Skills!M25+1)</f>
        <v/>
      </c>
      <c r="F96">
        <f>IF(Skills!N25=TRUE,(Skills!L25/10)*(E96/1000),Skills!L25/10)+Skills!O25</f>
        <v/>
      </c>
      <c r="G96">
        <f>Skills!G25*IF(Skills!H25&gt;0,Skills!I25/Skills!H25,1)</f>
        <v/>
      </c>
      <c r="H96">
        <f>1-(1-Skills!J25/100)^Skills!K25</f>
        <v/>
      </c>
      <c r="I96" t="inlineStr">
        <is>
          <t>1</t>
        </is>
      </c>
      <c r="J96" t="inlineStr"/>
      <c r="K96" t="inlineStr"/>
      <c r="L96" t="inlineStr"/>
      <c r="M96" t="inlineStr"/>
      <c r="N96" t="inlineStr"/>
      <c r="O96">
        <f>(1-Summary!$B$11)*T96+Summary!$B$11*V96</f>
        <v/>
      </c>
      <c r="P96">
        <f>IF(B112=0,0,O96/B112)</f>
        <v/>
      </c>
      <c r="Q96" t="n">
        <v>0</v>
      </c>
      <c r="R96" t="n">
        <v>0</v>
      </c>
      <c r="S96">
        <f>IFERROR(O96/N96,0)</f>
        <v/>
      </c>
      <c r="T96" t="n">
        <v>0</v>
      </c>
      <c r="V96" t="n">
        <v>0</v>
      </c>
    </row>
    <row r="97">
      <c r="A97">
        <f>Skills!A26</f>
        <v/>
      </c>
      <c r="B97">
        <f>Skills!B26</f>
        <v/>
      </c>
      <c r="C97">
        <f>Inputs!$B$3&gt;=75</f>
        <v/>
      </c>
      <c r="D97">
        <f>IF(Skills!C26=1,60+Inputs!$B$25+Inputs!$B$29,IF(Skills!C26=2,90+Inputs!$B$26+Inputs!$B$29,IF(Skills!C26=3,120+Inputs!$B$27+Inputs!$B$29,MAX(0,(Inputs!$B$3-100)*3)+Inputs!$B$28+Inputs!$B$29)))</f>
        <v/>
      </c>
      <c r="E97">
        <f>INDEX(FactorTable!$B$2:$Y$301, MATCH(ROUND(MIN(300,MAX(1,D97)),0), FactorTable!$A$2:$A$301,0), Skills!M26+1)</f>
        <v/>
      </c>
      <c r="F97">
        <f>IF(Skills!N26=TRUE,(Skills!L26/10)*(E97/1000),Skills!L26/10)+Skills!O26</f>
        <v/>
      </c>
      <c r="G97">
        <f>Skills!G26*IF(Skills!H26&gt;0,Skills!I26/Skills!H26,1)</f>
        <v/>
      </c>
      <c r="H97">
        <f>1-(1-Skills!J26/100)^Skills!K26</f>
        <v/>
      </c>
      <c r="I97" t="inlineStr">
        <is>
          <t>1</t>
        </is>
      </c>
      <c r="J97" t="inlineStr"/>
      <c r="K97" t="inlineStr"/>
      <c r="L97" t="inlineStr"/>
      <c r="M97" t="inlineStr"/>
      <c r="N97" t="inlineStr"/>
      <c r="O97">
        <f>(1-Summary!$B$11)*T97+Summary!$B$11*V97</f>
        <v/>
      </c>
      <c r="P97">
        <f>IF(B112=0,0,O97/B112)</f>
        <v/>
      </c>
      <c r="Q97" t="n">
        <v>0</v>
      </c>
      <c r="R97" t="n">
        <v>0</v>
      </c>
      <c r="S97">
        <f>IFERROR(O97/N97,0)</f>
        <v/>
      </c>
      <c r="T97" t="n">
        <v>0</v>
      </c>
      <c r="V97" t="n">
        <v>0</v>
      </c>
    </row>
    <row r="98">
      <c r="A98">
        <f>Skills!A27</f>
        <v/>
      </c>
      <c r="B98">
        <f>Skills!B27</f>
        <v/>
      </c>
      <c r="C98">
        <f>Inputs!$B$3&gt;=117</f>
        <v/>
      </c>
      <c r="D98">
        <f>IF(Skills!C27=1,60+Inputs!$B$25+Inputs!$B$29,IF(Skills!C27=2,90+Inputs!$B$26+Inputs!$B$29,IF(Skills!C27=3,120+Inputs!$B$27+Inputs!$B$29,MAX(0,(Inputs!$B$3-100)*3)+Inputs!$B$28+Inputs!$B$29)))</f>
        <v/>
      </c>
      <c r="E98">
        <f>INDEX(FactorTable!$B$2:$Y$301, MATCH(ROUND(MIN(300,MAX(1,D98)),0), FactorTable!$A$2:$A$301,0), Skills!M27+1)</f>
        <v/>
      </c>
      <c r="F98">
        <f>IF(Skills!N27=TRUE,(Skills!L27/10)*(E98/1000),Skills!L27/10)+Skills!O27</f>
        <v/>
      </c>
      <c r="G98">
        <f>Skills!G27*IF(Skills!H27&gt;0,Skills!I27/Skills!H27,1)</f>
        <v/>
      </c>
      <c r="H98">
        <f>1-(1-Skills!J27/100)^Skills!K27</f>
        <v/>
      </c>
      <c r="I98" t="inlineStr">
        <is>
          <t>1</t>
        </is>
      </c>
      <c r="J98" t="inlineStr"/>
      <c r="K98" t="inlineStr"/>
      <c r="L98" t="inlineStr"/>
      <c r="M98" t="inlineStr"/>
      <c r="N98" t="inlineStr"/>
      <c r="O98">
        <f>(1-Summary!$B$11)*T98+Summary!$B$11*V98</f>
        <v/>
      </c>
      <c r="P98">
        <f>IF(B112=0,0,O98/B112)</f>
        <v/>
      </c>
      <c r="Q98" t="n">
        <v>0</v>
      </c>
      <c r="R98" t="n">
        <v>0</v>
      </c>
      <c r="S98">
        <f>IFERROR(O98/N98,0)</f>
        <v/>
      </c>
      <c r="T98" t="n">
        <v>0</v>
      </c>
      <c r="V98" t="n">
        <v>0</v>
      </c>
    </row>
    <row r="99">
      <c r="A99">
        <f>Skills!A28</f>
        <v/>
      </c>
      <c r="B99">
        <f>Skills!B28</f>
        <v/>
      </c>
      <c r="C99">
        <f>TRUE</f>
        <v/>
      </c>
      <c r="D99">
        <f>IF(Skills!C28=1,60+Inputs!$B$25+Inputs!$B$29,IF(Skills!C28=2,90+Inputs!$B$26+Inputs!$B$29,IF(Skills!C28=3,120+Inputs!$B$27+Inputs!$B$29,MAX(0,(Inputs!$B$3-100)*3)+Inputs!$B$28+Inputs!$B$29)))</f>
        <v/>
      </c>
      <c r="E99">
        <f>INDEX(FactorTable!$B$2:$Y$301, MATCH(ROUND(MIN(300,MAX(1,D99)),0), FactorTable!$A$2:$A$301,0), Skills!M28+1)</f>
        <v/>
      </c>
      <c r="F99">
        <f>IF(Skills!N28=TRUE,(Skills!L28/10)*(E99/1000),Skills!L28/10)+Skills!O28</f>
        <v/>
      </c>
      <c r="G99">
        <f>Skills!G28*IF(Skills!H28&gt;0,Skills!I28/Skills!H28,1)</f>
        <v/>
      </c>
      <c r="H99">
        <f>1-(1-Skills!J28/100)^Skills!K28</f>
        <v/>
      </c>
      <c r="I99" t="inlineStr">
        <is>
          <t>1</t>
        </is>
      </c>
      <c r="J99" t="inlineStr"/>
      <c r="K99" t="inlineStr"/>
      <c r="L99" t="inlineStr"/>
      <c r="M99" t="inlineStr"/>
      <c r="N99" t="inlineStr"/>
      <c r="O99">
        <f>(1-Summary!$B$11)*T99+Summary!$B$11*V99</f>
        <v/>
      </c>
      <c r="P99">
        <f>IF(B112=0,0,O99/B112)</f>
        <v/>
      </c>
      <c r="Q99">
        <f>IFERROR(1/(IF(Inputs!$B$38="pvp",15,MAX(0.1,Skills!D28-IF(Skills!E28=TRUE,Inputs!$B$32,0)))*(1-IF(AND(ArtifactsInput!$M$27,Inputs!$B$4="Chapter Hunt"),CHOOSE(ArtifactsInput!$N$27+1,20,24,28,32,36,40),0)/100)),0)</f>
        <v/>
      </c>
      <c r="R99">
        <f>IF(AND(Inputs!$B$38&lt;&gt;"pvp",Inputs!$B$43&gt;0),IF(Inputs!$B$43&lt;=0,0,(INT(Inputs!$B$43/(IF(Inputs!$B$38="pvp",15,MAX(0.1,Skills!D28-IF(Skills!E28=TRUE,Inputs!$B$32,0)))*(1-IF(AND(ArtifactsInput!$M$27,Inputs!$B$4="Chapter Hunt"),CHOOSE(ArtifactsInput!$N$27+1,20,24,28,32,36,40),0)/100)))+1)),0)</f>
        <v/>
      </c>
      <c r="S99">
        <f>IFERROR(O99/N99,0)</f>
        <v/>
      </c>
      <c r="T99" t="n">
        <v>0</v>
      </c>
      <c r="V99" t="n">
        <v>0</v>
      </c>
    </row>
    <row r="101">
      <c r="A101" t="inlineStr">
        <is>
          <t>Attack% Bucket Multiplier</t>
        </is>
      </c>
      <c r="B101">
        <f>(1+(((C88=TRUE)*F88*5/7)+((C95=TRUE)*(F95-Calc!F24))+(IF(ArtifactsInput!$M$21,CHOOSE(ArtifactsInput!$N$21+1,25,30,35,40,45,50)*(IF(OR(Inputs!$B$4="Chapter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2">
      <c r="A102" t="inlineStr">
        <is>
          <t>Global Crit Rate Bonus %</t>
        </is>
      </c>
      <c r="B102" t="n">
        <v>0</v>
      </c>
    </row>
    <row r="103">
      <c r="A103" t="inlineStr">
        <is>
          <t>Attack Speed Buff Bonus % (Nimble Feet, duty-cycle averaged)</t>
        </is>
      </c>
      <c r="B103">
        <f>((C99=TRUE)*F99*IF(AND(Inputs!$B$38&lt;&gt;"pvp",Inputs!$B$43&gt;0),(((R99-1)*(Skills!T28*(1+Inputs!$B$34/100))+MIN((Skills!T28*(1+Inputs!$B$34/100)),MAX(0,Inputs!$B$43-((R99-1)*Skills!D28))))/Inputs!$B$43),IF(Inputs!$B$38="pvp",MIN((Skills!T28*(1+Inputs!$B$34/100)),15)/15,(Skills!T28*(1+Inputs!$B$34/100))/Skills!D28)))</f>
        <v/>
      </c>
    </row>
    <row r="104">
      <c r="A104" t="inlineStr">
        <is>
          <t>Actions Per Second</t>
        </is>
      </c>
      <c r="B104">
        <f>1+MIN(150,150*(1-(1-(Inputs!$B$11+((C91=TRUE)*(F91-Calc!F20))+((C92=TRUE)*(F92-Calc!F21)))/150)*(1-B103/150)))/100</f>
        <v/>
      </c>
    </row>
    <row r="105">
      <c r="A105" t="inlineStr">
        <is>
          <t>Skill + Buff Cast Rate</t>
        </is>
      </c>
      <c r="B105">
        <f>IF(AND(Inputs!$B$38&lt;&gt;"pvp",Inputs!$B$43&gt;0),SUMPRODUCT((Skills!E2:E28=TRUE)*(C73:C99=TRUE)*R73:R99*Skills!F2:F28)/Inputs!$B$43,SUMPRODUCT((Skills!E2:E28=TRUE)*(C73:C99=TRUE)*Q73:Q99*Skills!F2:F28))</f>
        <v/>
      </c>
    </row>
    <row r="106">
      <c r="A106" t="inlineStr">
        <is>
          <t>Eight-Legs Easton Casts Per Second</t>
        </is>
      </c>
      <c r="B106">
        <f>MAX(0,B104-B105)</f>
        <v/>
      </c>
    </row>
    <row r="107">
      <c r="A107" t="inlineStr">
        <is>
          <t>Global Critical Damage Bonus % (unused)</t>
        </is>
      </c>
      <c r="B107" t="n">
        <v>0</v>
      </c>
    </row>
    <row r="108">
      <c r="A108" t="inlineStr">
        <is>
          <t>Global Final Damage Bonus % (Jolly Roger + Ahoy Mateys - Final Damage proc)</t>
        </is>
      </c>
      <c r="B108">
        <f>((C89=TRUE)*F89*IF(AND(Inputs!$B$38&lt;&gt;"pvp",Inputs!$B$43&gt;0),(((R89-1)*(Skills!T18*(1+Inputs!$B$34/100))+MIN((Skills!T18*(1+Inputs!$B$34/100)),MAX(0,Inputs!$B$43-((R89-1)*Skills!D18))))/Inputs!$B$43),IF(Inputs!$B$38="pvp",MIN((Skills!T18*(1+Inputs!$B$34/100)),15)/15,(Skills!T18*(1+Inputs!$B$34/100))/Skills!D18)))+IF(Inputs!$B$3&gt;=122,20*IF(Inputs!$B$38="pvp",MIN((20*(1+Inputs!$B$34/100)),15)/15,(20*(1+Inputs!$B$34/100))/Skills!D4),0)</f>
        <v/>
      </c>
    </row>
    <row r="109">
      <c r="A109" t="inlineStr">
        <is>
          <t>Buff-Casting Startup Delay (s, fixed-duration only)</t>
        </is>
      </c>
      <c r="B109">
        <f>IF(AND(Inputs!$B$38&lt;&gt;"pvp",Inputs!$B$43&gt;0),SUMPRODUCT((Skills!T2:T28&gt;0)*(Skills!E2:E28=TRUE)*(C73:C99=TRUE))/B104,0)</f>
        <v/>
      </c>
    </row>
    <row r="110">
      <c r="A110" t="inlineStr">
        <is>
          <t>Boss-Only Total DPS (this block's swept value)</t>
        </is>
      </c>
      <c r="B110">
        <f>SUM(T73:T99)</f>
        <v/>
      </c>
    </row>
    <row r="111">
      <c r="A111" t="inlineStr">
        <is>
          <t>Normal-Only Total DPS (this block's swept value)</t>
        </is>
      </c>
      <c r="B111">
        <f>SUM(V73:V99)</f>
        <v/>
      </c>
    </row>
    <row r="112">
      <c r="A112" s="6" t="inlineStr">
        <is>
          <t>TOTAL DPS</t>
        </is>
      </c>
      <c r="B112" s="6">
        <f>SUM(O73:O99)</f>
        <v/>
      </c>
    </row>
    <row r="115">
      <c r="A115" s="6" t="inlineStr">
        <is>
          <t>Stat: DEX %</t>
        </is>
      </c>
    </row>
    <row r="116">
      <c r="A116" s="5" t="inlineStr">
        <is>
          <t>Key</t>
        </is>
      </c>
      <c r="B116" s="5" t="inlineStr">
        <is>
          <t>Name</t>
        </is>
      </c>
      <c r="C116" s="5" t="inlineStr">
        <is>
          <t>Unlocked</t>
        </is>
      </c>
      <c r="D116" s="5" t="inlineStr">
        <is>
          <t>InputLevel</t>
        </is>
      </c>
      <c r="E116" s="5" t="inlineStr">
        <is>
          <t>Factor</t>
        </is>
      </c>
      <c r="F116" s="5" t="inlineStr">
        <is>
          <t>CoefficientPercent</t>
        </is>
      </c>
      <c r="G116" s="5" t="inlineStr">
        <is>
          <t>EffectiveHits</t>
        </is>
      </c>
      <c r="H116" s="5" t="inlineStr">
        <is>
          <t>ProcProbability</t>
        </is>
      </c>
      <c r="I116" s="5" t="inlineStr">
        <is>
          <t>MapleHeroMultiplier</t>
        </is>
      </c>
      <c r="J116" s="5" t="inlineStr">
        <is>
          <t>BaseDamage</t>
        </is>
      </c>
      <c r="K116" s="5" t="inlineStr">
        <is>
          <t>BaseHitDamage</t>
        </is>
      </c>
      <c r="L116" s="5" t="inlineStr">
        <is>
          <t>NonCritAvg</t>
        </is>
      </c>
      <c r="M116" s="5" t="inlineStr">
        <is>
          <t>CritAvg</t>
        </is>
      </c>
      <c r="N116" s="5" t="inlineStr">
        <is>
          <t>ExpectedDamage(perHit)</t>
        </is>
      </c>
      <c r="O116" s="5" t="inlineStr">
        <is>
          <t>DPS</t>
        </is>
      </c>
      <c r="P116" s="5" t="inlineStr">
        <is>
          <t>% of Total</t>
        </is>
      </c>
      <c r="Q116" s="5" t="inlineStr">
        <is>
          <t>InvCooldown</t>
        </is>
      </c>
      <c r="R116" s="5" t="inlineStr">
        <is>
          <t>CastsInFight</t>
        </is>
      </c>
      <c r="S116" s="5" t="inlineStr">
        <is>
          <t>HitRate(perSec)</t>
        </is>
      </c>
      <c r="U116" t="inlineStr">
        <is>
          <t>helpers</t>
        </is>
      </c>
    </row>
    <row r="117">
      <c r="A117">
        <f>Skills!A2</f>
        <v/>
      </c>
      <c r="B117">
        <f>Skills!B2</f>
        <v/>
      </c>
      <c r="C117">
        <f>Inputs!$B$3&gt;=100</f>
        <v/>
      </c>
      <c r="D117" t="inlineStr"/>
      <c r="E117" t="inlineStr"/>
      <c r="F117">
        <f>U119+Skills!O2</f>
        <v/>
      </c>
      <c r="G117">
        <f>Skills!G2*IF(Skills!H2&gt;0,Skills!I2/Skills!H2,1)</f>
        <v/>
      </c>
      <c r="H117">
        <f>1-(1-Skills!J2/100)^Skills!K2</f>
        <v/>
      </c>
      <c r="I117" t="inlineStr">
        <is>
          <t>1</t>
        </is>
      </c>
      <c r="J117">
        <f>((Inputs!$B$6*(1+Inputs!$B$7/100))+(((Inputs!$B$12*(1+(Inputs!$B$13+1)/100))-(Inputs!$B$12*(1+Inputs!$B$13/100)))+0.25*(Inputs!$B$14-Inputs!$B$14))*(1+Inputs!$B$7/100))*(F117/100)</f>
        <v/>
      </c>
      <c r="K117">
        <f>J117*(1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f>
        <v/>
      </c>
      <c r="L117">
        <f>K117*(MIN(Inputs!$B$22+((C137=TRUE)*(F137-Calc!F22)),(Inputs!$B$23+0+(IF(ArtifactsInput!$M$15,CHOOSE(ArtifactsInput!$N$15+1,25,30,35,40,45,50)/100*(Inputs!$B$11-Inputs!$B$11),0))))/100+(Inputs!$B$23+0+(IF(ArtifactsInput!$M$15,CHOOSE(ArtifactsInput!$N$15+1,25,30,35,40,45,50)/100*(Inputs!$B$11-Inputs!$B$11),0)))/100)/2</f>
        <v/>
      </c>
      <c r="M117">
        <f>L117*(1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
        <f>L117*(1-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
        <f>(1-Summary!$B$11)*T117+Summary!$B$11*V117</f>
        <v/>
      </c>
      <c r="P117">
        <f>IF(B156=0,0,O117/B156)</f>
        <v/>
      </c>
      <c r="Q117" t="n">
        <v>0</v>
      </c>
      <c r="R117" t="n">
        <v>0</v>
      </c>
      <c r="S117">
        <f>IFERROR(O117/N117,0)</f>
        <v/>
      </c>
      <c r="T117">
        <f>IF(C117,(Skills!G2*N117*B150)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
        <f>MAX(0,(Inputs!$B$3-100)*3)+Inputs!$B$28+Inputs!$B$29</f>
        <v/>
      </c>
      <c r="V117">
        <f>IF(C117,(Skills!G2*N117*B150)*IF(Inputs!$B$38="pvp",1,(1+(Inputs!$B$21+Skills!Q2+(IF(ArtifactsInput!$M$33,CHOOSE(ArtifactsInput!$N$33+1,30,36,42,48,54,60),0))+(IF(AND(ArtifactsInput!$M$35,Inputs!$B$4&lt;&gt;"Chapter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
      <c r="A118">
        <f>Skills!A3</f>
        <v/>
      </c>
      <c r="B118">
        <f>Skills!B3</f>
        <v/>
      </c>
      <c r="C118">
        <f>Inputs!$B$3&gt;=35</f>
        <v/>
      </c>
      <c r="D118">
        <f>IF(Skills!C3=1,60+Inputs!$B$25+Inputs!$B$29,IF(Skills!C3=2,90+Inputs!$B$26+Inputs!$B$29,IF(Skills!C3=3,120+Inputs!$B$27+Inputs!$B$29,MAX(0,(Inputs!$B$3-100)*3)+Inputs!$B$28+Inputs!$B$29)))</f>
        <v/>
      </c>
      <c r="E118">
        <f>INDEX(FactorTable!$B$2:$Y$301, MATCH(ROUND(MIN(300,MAX(1,D118)),0), FactorTable!$A$2:$A$301,0), Skills!M3+1)</f>
        <v/>
      </c>
      <c r="F118">
        <f>IF(Skills!N3=TRUE,(Skills!L3/10)*(E118/1000),Skills!L3/10)+Skills!O3</f>
        <v/>
      </c>
      <c r="G118">
        <f>Skills!G3*IF(Skills!H3&gt;0,Skills!I3/Skills!H3,1)</f>
        <v/>
      </c>
      <c r="H118">
        <f>1-(1-Skills!J3/100)^Skills!K3</f>
        <v/>
      </c>
      <c r="I118" t="inlineStr">
        <is>
          <t>1</t>
        </is>
      </c>
      <c r="J118">
        <f>((Inputs!$B$6*(1+Inputs!$B$7/100))+(((Inputs!$B$12*(1+(Inputs!$B$13+1)/100))-(Inputs!$B$12*(1+Inputs!$B$13/100)))+0.25*(Inputs!$B$14-Inputs!$B$14))*(1+Inputs!$B$7/100))*(F118/100)</f>
        <v/>
      </c>
      <c r="K118">
        <f>J118*(1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130=TRUE,F130,0)/100)*(1+(IF(Skills!A3="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C137=TRUE)*(F137-Calc!F22)),(Inputs!$B$23+0+(IF(ArtifactsInput!$M$15,CHOOSE(ArtifactsInput!$N$15+1,25,30,35,40,45,50)/100*(Inputs!$B$11-Inputs!$B$11),0))))/100+(Inputs!$B$23+0+(IF(ArtifactsInput!$M$15,CHOOSE(ArtifactsInput!$N$15+1,25,30,35,40,45,50)/100*(Inputs!$B$11-Inputs!$B$11),0)))/100)/2</f>
        <v/>
      </c>
      <c r="M118">
        <f>L118*(1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(1-Summary!$B$11)*T118+Summary!$B$11*V118</f>
        <v/>
      </c>
      <c r="P118">
        <f>IF(B156=0,0,O118/B156)</f>
        <v/>
      </c>
      <c r="Q118">
        <f>IFERROR(1/(IF(Inputs!$B$38="pvp",15,MAX(0.1,Skills!D3-IF(Skills!E3=TRUE,Inputs!$B$32,0)))*(1-IF(AND(ArtifactsInput!$M$27,Inputs!$B$4="Chapter Hunt"),CHOOSE(ArtifactsInput!$N$27+1,20,24,28,32,36,40),0)/100)),0)</f>
        <v/>
      </c>
      <c r="R118">
        <f>IF(AND(Inputs!$B$38&lt;&gt;"pvp",Inputs!$B$43&gt;0),IF(MAX(0,Inputs!$B$43-B153)&lt;=0,0,(INT(MAX(0,Inputs!$B$43-B153)/(IF(Inputs!$B$38="pvp",15,MAX(0.1,Skills!D3-IF(Skills!E3=TRUE,Inputs!$B$32,0)))*(1-IF(AND(ArtifactsInput!$M$27,Inputs!$B$4="Chapter Hunt"),CHOOSE(ArtifactsInput!$N$27+1,20,24,28,32,36,40),0)/100)))+1)),0)</f>
        <v/>
      </c>
      <c r="S118">
        <f>IFERROR(O118/N118,0)</f>
        <v/>
      </c>
      <c r="T118">
        <f>IF(C118,(H118*N118*IF(AND(Inputs!$B$38&lt;&gt;"pvp",Inputs!$B$43&gt;0),((Skills!G3*((R118-1)*IF(Skills!H3&gt;0,Skills!I3/Skills!H3,1)+IF(Skills!H3&gt;0,MIN(Skills!I3,MAX(0,MAX(0,Inputs!$B$43-B153)-((R118-1)*(IF(Inputs!$B$38="pvp",15,MAX(0.1,Skills!D3-IF(Skills!E3=TRUE,Inputs!$B$32,0)))*(1-IF(AND(ArtifactsInput!$M$27,Inputs!$B$4="Chapter Hunt"),CHOOSE(ArtifactsInput!$N$27+1,20,24,28,32,36,40),0)/100)))))/Skills!H3,1)))/Inputs!$B$43),G118*Q118)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
        <f>INDEX(FactorTable!$B$2:$Y$301, MATCH(ROUND(MIN(300,MAX(1,U117)),0), FactorTable!$A$2:$A$301,0), 22)</f>
        <v/>
      </c>
      <c r="V118">
        <f>IF(C118,(H118*N118*IF(AND(Inputs!$B$38&lt;&gt;"pvp",Inputs!$B$43&gt;0),((Skills!G3*((R118-1)*IF(Skills!H3&gt;0,Skills!I3/Skills!H3,1)+IF(Skills!H3&gt;0,MIN(Skills!I3,MAX(0,MAX(0,Inputs!$B$43-B153)-((R118-1)*(IF(Inputs!$B$38="pvp",15,MAX(0.1,Skills!D3-IF(Skills!E3=TRUE,Inputs!$B$32,0)))*(1-IF(AND(ArtifactsInput!$M$27,Inputs!$B$4="Chapter Hunt"),CHOOSE(ArtifactsInput!$N$27+1,20,24,28,32,36,40),0)/100)))))/Skills!H3,1)))/Inputs!$B$43),G118*Q118))*IF(Inputs!$B$38="pvp",1,(1+(Inputs!$B$21+Skills!Q3+(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Skills!A4</f>
        <v/>
      </c>
      <c r="B119">
        <f>Skills!B4</f>
        <v/>
      </c>
      <c r="C119">
        <f>Inputs!$B$3&gt;=40</f>
        <v/>
      </c>
      <c r="D119">
        <f>IF(Skills!C4=1,60+Inputs!$B$25+Inputs!$B$29,IF(Skills!C4=2,90+Inputs!$B$26+Inputs!$B$29,IF(Skills!C4=3,120+Inputs!$B$27+Inputs!$B$29,MAX(0,(Inputs!$B$3-100)*3)+Inputs!$B$28+Inputs!$B$29)))</f>
        <v/>
      </c>
      <c r="E119">
        <f>INDEX(FactorTable!$B$2:$Y$301, MATCH(ROUND(MIN(300,MAX(1,D119)),0), FactorTable!$A$2:$A$301,0), Skills!M4+1)</f>
        <v/>
      </c>
      <c r="F119">
        <f>IF(Skills!N4=TRUE,(Skills!L4/10)*(E119/1000),Skills!L4/10)+Skills!O4</f>
        <v/>
      </c>
      <c r="G119">
        <f>Skills!G4*IF(Skills!H4&gt;0,Skills!I4/Skills!H4,1)</f>
        <v/>
      </c>
      <c r="H119">
        <f>1-(1-Skills!J4/100)^Skills!K4</f>
        <v/>
      </c>
      <c r="I119" t="inlineStr">
        <is>
          <t>1</t>
        </is>
      </c>
      <c r="J119">
        <f>((Inputs!$B$6*(1+Inputs!$B$7/100))+(((Inputs!$B$12*(1+(Inputs!$B$13+1)/100))-(Inputs!$B$12*(1+Inputs!$B$13/100)))+0.25*(Inputs!$B$14-Inputs!$B$14))*(1+Inputs!$B$7/100))*(F119/100)</f>
        <v/>
      </c>
      <c r="K119">
        <f>J119*(1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131=TRUE,F131,0)/100)*(1+(IF(Skills!A4="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
      </c>
      <c r="L119">
        <f>K119*(MIN(Inputs!$B$22+((C137=TRUE)*(F137-Calc!F22)),(Inputs!$B$23+0+(IF(ArtifactsInput!$M$15,CHOOSE(ArtifactsInput!$N$15+1,25,30,35,40,45,50)/100*(Inputs!$B$11-Inputs!$B$11),0))))/100+(Inputs!$B$23+0+(IF(ArtifactsInput!$M$15,CHOOSE(ArtifactsInput!$N$15+1,25,30,35,40,45,50)/100*(Inputs!$B$11-Inputs!$B$11),0)))/100)/2</f>
        <v/>
      </c>
      <c r="M119">
        <f>L119*(1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(1-Summary!$B$11)*T119+Summary!$B$11*V119</f>
        <v/>
      </c>
      <c r="P119">
        <f>IF(B156=0,0,O119/B156)</f>
        <v/>
      </c>
      <c r="Q119">
        <f>IFERROR(1/(IF(Inputs!$B$38="pvp",15,MAX(0.1,Skills!D4-IF(Skills!E4=TRUE,Inputs!$B$32,0)))*(1-IF(AND(ArtifactsInput!$M$27,Inputs!$B$4="Chapter Hunt"),CHOOSE(ArtifactsInput!$N$27+1,20,24,28,32,36,40),0)/100)),0)</f>
        <v/>
      </c>
      <c r="R119">
        <f>IF(AND(Inputs!$B$38&lt;&gt;"pvp",Inputs!$B$43&gt;0),IF(MAX(0,Inputs!$B$43-B153)&lt;=0,0,(INT(MAX(0,Inputs!$B$43-B153)/(IF(Inputs!$B$38="pvp",15,MAX(0.1,Skills!D4-IF(Skills!E4=TRUE,Inputs!$B$32,0)))*(1-IF(AND(ArtifactsInput!$M$27,Inputs!$B$4="Chapter Hunt"),CHOOSE(ArtifactsInput!$N$27+1,20,24,28,32,36,40),0)/100)))+1)),0)</f>
        <v/>
      </c>
      <c r="S119">
        <f>IFERROR(O119/N119,0)</f>
        <v/>
      </c>
      <c r="T119">
        <f>IF(C119,(H119*N119*IF(AND(Inputs!$B$38&lt;&gt;"pvp",Inputs!$B$43&gt;0),((Skills!G4*((R119-1)*IF(Skills!H4&gt;0,Skills!I4/Skills!H4,1)+IF(Skills!H4&gt;0,MIN(Skills!I4,MAX(0,MAX(0,Inputs!$B$43-B153)-((R119-1)*(IF(Inputs!$B$38="pvp",15,MAX(0.1,Skills!D4-IF(Skills!E4=TRUE,Inputs!$B$32,0)))*(1-IF(AND(ArtifactsInput!$M$27,Inputs!$B$4="Chapter Hunt"),CHOOSE(ArtifactsInput!$N$27+1,20,24,28,32,36,40),0)/100)))))/Skills!H4,1)))/Inputs!$B$43),G119*Q119)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
        <f>290*U118/1000</f>
        <v/>
      </c>
      <c r="V119">
        <f>IF(C119,(H119*N119*IF(AND(Inputs!$B$38&lt;&gt;"pvp",Inputs!$B$43&gt;0),((Skills!G4*((R119-1)*IF(Skills!H4&gt;0,Skills!I4/Skills!H4,1)+IF(Skills!H4&gt;0,MIN(Skills!I4,MAX(0,MAX(0,Inputs!$B$43-B153)-((R119-1)*(IF(Inputs!$B$38="pvp",15,MAX(0.1,Skills!D4-IF(Skills!E4=TRUE,Inputs!$B$32,0)))*(1-IF(AND(ArtifactsInput!$M$27,Inputs!$B$4="Chapter Hunt"),CHOOSE(ArtifactsInput!$N$27+1,20,24,28,32,36,40),0)/100)))))/Skills!H4,1)))/Inputs!$B$43),G119*Q119))*IF(Inputs!$B$38="pvp",1,(1+(Inputs!$B$21+Skills!Q4+(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Skills!A5</f>
        <v/>
      </c>
      <c r="B120">
        <f>Skills!B5</f>
        <v/>
      </c>
      <c r="C120">
        <f>Inputs!$B$3&gt;=45</f>
        <v/>
      </c>
      <c r="D120">
        <f>IF(Skills!C5=1,60+Inputs!$B$25+Inputs!$B$29,IF(Skills!C5=2,90+Inputs!$B$26+Inputs!$B$29,IF(Skills!C5=3,120+Inputs!$B$27+Inputs!$B$29,MAX(0,(Inputs!$B$3-100)*3)+Inputs!$B$28+Inputs!$B$29)))</f>
        <v/>
      </c>
      <c r="E120">
        <f>INDEX(FactorTable!$B$2:$Y$301, MATCH(ROUND(MIN(300,MAX(1,D120)),0), FactorTable!$A$2:$A$301,0), Skills!M5+1)</f>
        <v/>
      </c>
      <c r="F120">
        <f>IF(Skills!N5=TRUE,(Skills!L5/10)*(E120/1000),Skills!L5/10)+Skills!O5</f>
        <v/>
      </c>
      <c r="G120">
        <f>Skills!G5*IF(Skills!H5&gt;0,Skills!I5/Skills!H5,1)</f>
        <v/>
      </c>
      <c r="H120">
        <f>1-(1-Skills!J5/100)^Skills!K5</f>
        <v/>
      </c>
      <c r="I120" t="inlineStr">
        <is>
          <t>1</t>
        </is>
      </c>
      <c r="J120">
        <f>((Inputs!$B$6*(1+Inputs!$B$7/100))+(((Inputs!$B$12*(1+(Inputs!$B$13+1)/100))-(Inputs!$B$12*(1+Inputs!$B$13/100)))+0.25*(Inputs!$B$14-Inputs!$B$14))*(1+Inputs!$B$7/100))*(F120/100)</f>
        <v/>
      </c>
      <c r="K120">
        <f>J120*(1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131=TRUE,F131,0)/100)*(1+(IF(Skills!A5="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f>
        <v/>
      </c>
      <c r="L120">
        <f>K120*(MIN(Inputs!$B$22+((C137=TRUE)*(F137-Calc!F22)),(Inputs!$B$23+0+(IF(ArtifactsInput!$M$15,CHOOSE(ArtifactsInput!$N$15+1,25,30,35,40,45,50)/100*(Inputs!$B$11-Inputs!$B$11),0))))/100+(Inputs!$B$23+0+(IF(ArtifactsInput!$M$15,CHOOSE(ArtifactsInput!$N$15+1,25,30,35,40,45,50)/100*(Inputs!$B$11-Inputs!$B$11),0)))/100)/2</f>
        <v/>
      </c>
      <c r="M120">
        <f>L120*(1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(1-Summary!$B$11)*T120+Summary!$B$11*V120</f>
        <v/>
      </c>
      <c r="P120">
        <f>IF(B156=0,0,O120/B156)</f>
        <v/>
      </c>
      <c r="Q120">
        <f>IFERROR(1/(IF(Inputs!$B$38="pvp",15,MAX(0.1,Skills!D5-IF(Skills!E5=TRUE,Inputs!$B$32,0)))*(1-IF(AND(ArtifactsInput!$M$27,Inputs!$B$4="Chapter Hunt"),CHOOSE(ArtifactsInput!$N$27+1,20,24,28,32,36,40),0)/100)),0)</f>
        <v/>
      </c>
      <c r="R120">
        <f>IF(AND(Inputs!$B$38&lt;&gt;"pvp",Inputs!$B$43&gt;0),IF(MAX(0,Inputs!$B$43-B153)&lt;=0,0,(INT(MAX(0,Inputs!$B$43-B153)/(IF(Inputs!$B$38="pvp",15,MAX(0.1,Skills!D5-IF(Skills!E5=TRUE,Inputs!$B$32,0)))*(1-IF(AND(ArtifactsInput!$M$27,Inputs!$B$4="Chapter Hunt"),CHOOSE(ArtifactsInput!$N$27+1,20,24,28,32,36,40),0)/100)))+1)),0)</f>
        <v/>
      </c>
      <c r="S120">
        <f>IFERROR(O120/N120,0)</f>
        <v/>
      </c>
      <c r="T120">
        <f>IF(C120,(H120*N120*IF(AND(Inputs!$B$38&lt;&gt;"pvp",Inputs!$B$43&gt;0),((Skills!G5*((R120-1)*IF(Skills!H5&gt;0,Skills!I5/Skills!H5,1)+IF(Skills!H5&gt;0,MIN(Skills!I5,MAX(0,MAX(0,Inputs!$B$43-B153)-((R120-1)*(IF(Inputs!$B$38="pvp",15,MAX(0.1,Skills!D5-IF(Skills!E5=TRUE,Inputs!$B$32,0)))*(1-IF(AND(ArtifactsInput!$M$27,Inputs!$B$4="Chapter Hunt"),CHOOSE(ArtifactsInput!$N$27+1,20,24,28,32,36,40),0)/100)))))/Skills!H5,1)))/Inputs!$B$43),G120*Q120)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
        <f>IF(C120,(H120*N120*IF(AND(Inputs!$B$38&lt;&gt;"pvp",Inputs!$B$43&gt;0),((Skills!G5*((R120-1)*IF(Skills!H5&gt;0,Skills!I5/Skills!H5,1)+IF(Skills!H5&gt;0,MIN(Skills!I5,MAX(0,MAX(0,Inputs!$B$43-B153)-((R120-1)*(IF(Inputs!$B$38="pvp",15,MAX(0.1,Skills!D5-IF(Skills!E5=TRUE,Inputs!$B$32,0)))*(1-IF(AND(ArtifactsInput!$M$27,Inputs!$B$4="Chapter Hunt"),CHOOSE(ArtifactsInput!$N$27+1,20,24,28,32,36,40),0)/100)))))/Skills!H5,1)))/Inputs!$B$43),G120*Q120))*IF(Inputs!$B$38="pvp",1,(1+(Inputs!$B$21+Skills!Q5+(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Skills!A6</f>
        <v/>
      </c>
      <c r="B121">
        <f>Skills!B6</f>
        <v/>
      </c>
      <c r="C121">
        <f>Inputs!$B$3&gt;=63</f>
        <v/>
      </c>
      <c r="D121">
        <f>IF(Skills!C6=1,60+Inputs!$B$25+Inputs!$B$29,IF(Skills!C6=2,90+Inputs!$B$26+Inputs!$B$29,IF(Skills!C6=3,120+Inputs!$B$27+Inputs!$B$29,MAX(0,(Inputs!$B$3-100)*3)+Inputs!$B$28+Inputs!$B$29)))</f>
        <v/>
      </c>
      <c r="E121">
        <f>INDEX(FactorTable!$B$2:$Y$301, MATCH(ROUND(MIN(300,MAX(1,D121)),0), FactorTable!$A$2:$A$301,0), Skills!M6+1)</f>
        <v/>
      </c>
      <c r="F121">
        <f>IF(Skills!N6=TRUE,(Skills!L6/10)*(E121/1000),Skills!L6/10)+Skills!O6</f>
        <v/>
      </c>
      <c r="G121">
        <f>Skills!G6*IF(Skills!H6&gt;0,Skills!I6/Skills!H6,1)</f>
        <v/>
      </c>
      <c r="H121">
        <f>1-(1-Skills!J6/100)^Skills!K6</f>
        <v/>
      </c>
      <c r="I121" t="inlineStr">
        <is>
          <t>1</t>
        </is>
      </c>
      <c r="J121">
        <f>((Inputs!$B$6*(1+Inputs!$B$7/100))+(((Inputs!$B$12*(1+(Inputs!$B$13+1)/100))-(Inputs!$B$12*(1+Inputs!$B$13/100)))+0.25*(Inputs!$B$14-Inputs!$B$14))*(1+Inputs!$B$7/100))*(F121/100)</f>
        <v/>
      </c>
      <c r="K121">
        <f>J121*(1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130=TRUE,F130,0)/100)*(1+(IF(Skills!A6="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C137=TRUE)*(F137-Calc!F22)),(Inputs!$B$23+0+(IF(ArtifactsInput!$M$15,CHOOSE(ArtifactsInput!$N$15+1,25,30,35,40,45,50)/100*(Inputs!$B$11-Inputs!$B$11),0))))/100+(Inputs!$B$23+0+(IF(ArtifactsInput!$M$15,CHOOSE(ArtifactsInput!$N$15+1,25,30,35,40,45,50)/100*(Inputs!$B$11-Inputs!$B$11),0)))/100)/2</f>
        <v/>
      </c>
      <c r="M121">
        <f>L121*(1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(1-Summary!$B$11)*T121+Summary!$B$11*V121</f>
        <v/>
      </c>
      <c r="P121">
        <f>IF(B156=0,0,O121/B156)</f>
        <v/>
      </c>
      <c r="Q121">
        <f>IFERROR(1/(IF(Inputs!$B$38="pvp",15,MAX(0.1,Skills!D6-IF(Skills!E6=TRUE,Inputs!$B$32,0)))*(1-IF(AND(ArtifactsInput!$M$27,Inputs!$B$4="Chapter Hunt"),CHOOSE(ArtifactsInput!$N$27+1,20,24,28,32,36,40),0)/100)),0)</f>
        <v/>
      </c>
      <c r="R121">
        <f>IF(AND(Inputs!$B$38&lt;&gt;"pvp",Inputs!$B$43&gt;0),IF(MAX(0,Inputs!$B$43-B153)&lt;=0,0,(INT(MAX(0,Inputs!$B$43-B153)/(IF(Inputs!$B$38="pvp",15,MAX(0.1,Skills!D6-IF(Skills!E6=TRUE,Inputs!$B$32,0)))*(1-IF(AND(ArtifactsInput!$M$27,Inputs!$B$4="Chapter Hunt"),CHOOSE(ArtifactsInput!$N$27+1,20,24,28,32,36,40),0)/100)))+1)),0)</f>
        <v/>
      </c>
      <c r="S121">
        <f>IFERROR(O121/N121,0)</f>
        <v/>
      </c>
      <c r="T121">
        <f>IF(C121,(H121*N121*IF(AND(Inputs!$B$38&lt;&gt;"pvp",Inputs!$B$43&gt;0),((Skills!G6*((R121-1)*IF(Skills!H6&gt;0,Skills!I6/Skills!H6,1)+IF(Skills!H6&gt;0,MIN(Skills!I6,MAX(0,MAX(0,Inputs!$B$43-B153)-((R121-1)*(IF(Inputs!$B$38="pvp",15,MAX(0.1,Skills!D6-IF(Skills!E6=TRUE,Inputs!$B$32,0)))*(1-IF(AND(ArtifactsInput!$M$27,Inputs!$B$4="Chapter Hunt"),CHOOSE(ArtifactsInput!$N$27+1,20,24,28,32,36,40),0)/100)))))/Skills!H6,1)))/Inputs!$B$43),G121*Q121)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
        <f>IF(C121,(H121*N121*IF(AND(Inputs!$B$38&lt;&gt;"pvp",Inputs!$B$43&gt;0),((Skills!G6*((R121-1)*IF(Skills!H6&gt;0,Skills!I6/Skills!H6,1)+IF(Skills!H6&gt;0,MIN(Skills!I6,MAX(0,MAX(0,Inputs!$B$43-B153)-((R121-1)*(IF(Inputs!$B$38="pvp",15,MAX(0.1,Skills!D6-IF(Skills!E6=TRUE,Inputs!$B$32,0)))*(1-IF(AND(ArtifactsInput!$M$27,Inputs!$B$4="Chapter Hunt"),CHOOSE(ArtifactsInput!$N$27+1,20,24,28,32,36,40),0)/100)))))/Skills!H6,1)))/Inputs!$B$43),G121*Q121))*IF(Inputs!$B$38="pvp",1,(1+(Inputs!$B$21+Skills!Q6+(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Skills!A7</f>
        <v/>
      </c>
      <c r="B122">
        <f>Skills!B7</f>
        <v/>
      </c>
      <c r="C122">
        <f>Inputs!$B$3&gt;=66</f>
        <v/>
      </c>
      <c r="D122">
        <f>IF(Skills!C7=1,60+Inputs!$B$25+Inputs!$B$29,IF(Skills!C7=2,90+Inputs!$B$26+Inputs!$B$29,IF(Skills!C7=3,120+Inputs!$B$27+Inputs!$B$29,MAX(0,(Inputs!$B$3-100)*3)+Inputs!$B$28+Inputs!$B$29)))</f>
        <v/>
      </c>
      <c r="E122">
        <f>INDEX(FactorTable!$B$2:$Y$301, MATCH(ROUND(MIN(300,MAX(1,D122)),0), FactorTable!$A$2:$A$301,0), Skills!M7+1)</f>
        <v/>
      </c>
      <c r="F122">
        <f>IF(Skills!N7=TRUE,(Skills!L7/10)*(E122/1000),Skills!L7/10)+Skills!O7</f>
        <v/>
      </c>
      <c r="G122">
        <f>Skills!G7*IF(Skills!H7&gt;0,Skills!I7/Skills!H7,1)</f>
        <v/>
      </c>
      <c r="H122">
        <f>1-(1-Skills!J7/100)^Skills!K7</f>
        <v/>
      </c>
      <c r="I122" t="inlineStr">
        <is>
          <t>1</t>
        </is>
      </c>
      <c r="J122">
        <f>((Inputs!$B$6*(1+Inputs!$B$7/100))+(((Inputs!$B$12*(1+(Inputs!$B$13+1)/100))-(Inputs!$B$12*(1+Inputs!$B$13/100)))+0.25*(Inputs!$B$14-Inputs!$B$14))*(1+Inputs!$B$7/100))*(F122/100)</f>
        <v/>
      </c>
      <c r="K122">
        <f>J122*(1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130=TRUE,F130,0)/100)*(1+(IF(Skills!A7="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
      </c>
      <c r="L122">
        <f>K122*(MIN(Inputs!$B$22+((C137=TRUE)*(F137-Calc!F22)),(Inputs!$B$23+0+(IF(ArtifactsInput!$M$15,CHOOSE(ArtifactsInput!$N$15+1,25,30,35,40,45,50)/100*(Inputs!$B$11-Inputs!$B$11),0))))/100+(Inputs!$B$23+0+(IF(ArtifactsInput!$M$15,CHOOSE(ArtifactsInput!$N$15+1,25,30,35,40,45,50)/100*(Inputs!$B$11-Inputs!$B$11),0)))/100)/2</f>
        <v/>
      </c>
      <c r="M122">
        <f>L122*(1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(1-Summary!$B$11)*T122+Summary!$B$11*V122</f>
        <v/>
      </c>
      <c r="P122">
        <f>IF(B156=0,0,O122/B156)</f>
        <v/>
      </c>
      <c r="Q122">
        <f>IFERROR(1/(IF(Inputs!$B$38="pvp",15,MAX(0.1,Skills!D7-IF(Skills!E7=TRUE,Inputs!$B$32,0)))*(1-IF(AND(ArtifactsInput!$M$27,Inputs!$B$4="Chapter Hunt"),CHOOSE(ArtifactsInput!$N$27+1,20,24,28,32,36,40),0)/100)),0)</f>
        <v/>
      </c>
      <c r="R122">
        <f>IF(AND(Inputs!$B$38&lt;&gt;"pvp",Inputs!$B$43&gt;0),IF(MAX(0,Inputs!$B$43-B153)&lt;=0,0,(INT(MAX(0,Inputs!$B$43-B153)/(IF(Inputs!$B$38="pvp",15,MAX(0.1,Skills!D7-IF(Skills!E7=TRUE,Inputs!$B$32,0)))*(1-IF(AND(ArtifactsInput!$M$27,Inputs!$B$4="Chapter Hunt"),CHOOSE(ArtifactsInput!$N$27+1,20,24,28,32,36,40),0)/100)))+1)),0)</f>
        <v/>
      </c>
      <c r="S122">
        <f>IFERROR(O122/N122,0)</f>
        <v/>
      </c>
      <c r="T122">
        <f>IF(C122,(H122*N122*IF(AND(Inputs!$B$38&lt;&gt;"pvp",Inputs!$B$43&gt;0),((Skills!G7*((R122-1)*IF(Skills!H7&gt;0,Skills!I7/Skills!H7,1)+IF(Skills!H7&gt;0,MIN(Skills!I7,MAX(0,MAX(0,Inputs!$B$43-B153)-((R122-1)*(IF(Inputs!$B$38="pvp",15,MAX(0.1,Skills!D7-IF(Skills!E7=TRUE,Inputs!$B$32,0)))*(1-IF(AND(ArtifactsInput!$M$27,Inputs!$B$4="Chapter Hunt"),CHOOSE(ArtifactsInput!$N$27+1,20,24,28,32,36,40),0)/100)))))/Skills!H7,1)))/Inputs!$B$43),G122*Q122)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
        <f>IF(C122,(H122*N122*IF(AND(Inputs!$B$38&lt;&gt;"pvp",Inputs!$B$43&gt;0),((Skills!G7*((R122-1)*IF(Skills!H7&gt;0,Skills!I7/Skills!H7,1)+IF(Skills!H7&gt;0,MIN(Skills!I7,MAX(0,MAX(0,Inputs!$B$43-B153)-((R122-1)*(IF(Inputs!$B$38="pvp",15,MAX(0.1,Skills!D7-IF(Skills!E7=TRUE,Inputs!$B$32,0)))*(1-IF(AND(ArtifactsInput!$M$27,Inputs!$B$4="Chapter Hunt"),CHOOSE(ArtifactsInput!$N$27+1,20,24,28,32,36,40),0)/100)))))/Skills!H7,1)))/Inputs!$B$43),G122*Q122))*IF(Inputs!$B$38="pvp",1,(1+(Inputs!$B$21+Skills!Q7+(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Skills!A8</f>
        <v/>
      </c>
      <c r="B123">
        <f>Skills!B8</f>
        <v/>
      </c>
      <c r="C123">
        <f>Inputs!$B$3&gt;=100</f>
        <v/>
      </c>
      <c r="D123">
        <f>IF(Skills!C8=1,60+Inputs!$B$25+Inputs!$B$29,IF(Skills!C8=2,90+Inputs!$B$26+Inputs!$B$29,IF(Skills!C8=3,120+Inputs!$B$27+Inputs!$B$29,MAX(0,(Inputs!$B$3-100)*3)+Inputs!$B$28+Inputs!$B$29)))</f>
        <v/>
      </c>
      <c r="E123">
        <f>INDEX(FactorTable!$B$2:$Y$301, MATCH(ROUND(MIN(300,MAX(1,D123)),0), FactorTable!$A$2:$A$301,0), Skills!M8+1)</f>
        <v/>
      </c>
      <c r="F123">
        <f>IF(Skills!N8=TRUE,(Skills!L8/10)*(E123/1000),Skills!L8/10)+Skills!O8</f>
        <v/>
      </c>
      <c r="G123">
        <f>Skills!G8*IF(Skills!H8&gt;0,Skills!I8/Skills!H8,1)</f>
        <v/>
      </c>
      <c r="H123">
        <f>1-(1-Skills!J8/100)^Skills!K8</f>
        <v/>
      </c>
      <c r="I123" t="inlineStr">
        <is>
          <t>1</t>
        </is>
      </c>
      <c r="J123">
        <f>((Inputs!$B$6*(1+Inputs!$B$7/100))+(((Inputs!$B$12*(1+(Inputs!$B$13+1)/100))-(Inputs!$B$12*(1+Inputs!$B$13/100)))+0.25*(Inputs!$B$14-Inputs!$B$14))*(1+Inputs!$B$7/100))*(F123/100)</f>
        <v/>
      </c>
      <c r="K123">
        <f>J123*(1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f>
        <v/>
      </c>
      <c r="L123">
        <f>K123*(MIN(Inputs!$B$22+((C137=TRUE)*(F137-Calc!F22)),(Inputs!$B$23+0+(IF(ArtifactsInput!$M$15,CHOOSE(ArtifactsInput!$N$15+1,25,30,35,40,45,50)/100*(Inputs!$B$11-Inputs!$B$11),0))))/100+(Inputs!$B$23+0+(IF(ArtifactsInput!$M$15,CHOOSE(ArtifactsInput!$N$15+1,25,30,35,40,45,50)/100*(Inputs!$B$11-Inputs!$B$11),0)))/100)/2</f>
        <v/>
      </c>
      <c r="M123">
        <f>L123*(1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
        <f>L123*(1-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
        <f>(1-Summary!$B$11)*T123+Summary!$B$11*V123</f>
        <v/>
      </c>
      <c r="P123">
        <f>IF(B156=0,0,O123/B156)</f>
        <v/>
      </c>
      <c r="Q123">
        <f>IFERROR(1/(IF(Inputs!$B$38="pvp",15,MAX(0.1,Skills!D8-IF(Skills!E8=TRUE,Inputs!$B$32,0)))*(1-IF(AND(ArtifactsInput!$M$27,Inputs!$B$4="Chapter Hunt"),CHOOSE(ArtifactsInput!$N$27+1,20,24,28,32,36,40),0)/100)),0)</f>
        <v/>
      </c>
      <c r="R123">
        <f>IF(AND(Inputs!$B$38&lt;&gt;"pvp",Inputs!$B$43&gt;0),IF(MAX(0,Inputs!$B$43-B153)&lt;=0,0,(INT(MAX(0,Inputs!$B$43-B153)/(IF(Inputs!$B$38="pvp",15,MAX(0.1,Skills!D8-IF(Skills!E8=TRUE,Inputs!$B$32,0)))*(1-IF(AND(ArtifactsInput!$M$27,Inputs!$B$4="Chapter Hunt"),CHOOSE(ArtifactsInput!$N$27+1,20,24,28,32,36,40),0)/100)))+1)),0)</f>
        <v/>
      </c>
      <c r="S123">
        <f>IFERROR(O123/N123,0)</f>
        <v/>
      </c>
      <c r="T123">
        <f>IF(C123,(H123*N123*IF(AND(Inputs!$B$38&lt;&gt;"pvp",Inputs!$B$43&gt;0),((Skills!G8*((R123-1)*IF(Skills!H8&gt;0,Skills!I8/Skills!H8,1)+IF(Skills!H8&gt;0,MIN(Skills!I8,MAX(0,MAX(0,Inputs!$B$43-B153)-((R123-1)*(IF(Inputs!$B$38="pvp",15,MAX(0.1,Skills!D8-IF(Skills!E8=TRUE,Inputs!$B$32,0)))*(1-IF(AND(ArtifactsInput!$M$27,Inputs!$B$4="Chapter Hunt"),CHOOSE(ArtifactsInput!$N$27+1,20,24,28,32,36,40),0)/100)))))/Skills!H8,1)))/Inputs!$B$43),G123*Q123)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
        <f>IF(C123,(H123*N123*IF(AND(Inputs!$B$38&lt;&gt;"pvp",Inputs!$B$43&gt;0),((Skills!G8*((R123-1)*IF(Skills!H8&gt;0,Skills!I8/Skills!H8,1)+IF(Skills!H8&gt;0,MIN(Skills!I8,MAX(0,MAX(0,Inputs!$B$43-B153)-((R123-1)*(IF(Inputs!$B$38="pvp",15,MAX(0.1,Skills!D8-IF(Skills!E8=TRUE,Inputs!$B$32,0)))*(1-IF(AND(ArtifactsInput!$M$27,Inputs!$B$4="Chapter Hunt"),CHOOSE(ArtifactsInput!$N$27+1,20,24,28,32,36,40),0)/100)))))/Skills!H8,1)))/Inputs!$B$43),G123*Q123))*IF(Inputs!$B$38="pvp",1,(1+(Inputs!$B$21+Skills!Q8+(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
      <c r="A124">
        <f>Skills!A9</f>
        <v/>
      </c>
      <c r="B124">
        <f>Skills!B9</f>
        <v/>
      </c>
      <c r="C124">
        <f>Inputs!$B$3&gt;=103</f>
        <v/>
      </c>
      <c r="D124">
        <f>IF(Skills!C9=1,60+Inputs!$B$25+Inputs!$B$29,IF(Skills!C9=2,90+Inputs!$B$26+Inputs!$B$29,IF(Skills!C9=3,120+Inputs!$B$27+Inputs!$B$29,MAX(0,(Inputs!$B$3-100)*3)+Inputs!$B$28+Inputs!$B$29)))</f>
        <v/>
      </c>
      <c r="E124">
        <f>INDEX(FactorTable!$B$2:$Y$301, MATCH(ROUND(MIN(300,MAX(1,D124)),0), FactorTable!$A$2:$A$301,0), Skills!M9+1)</f>
        <v/>
      </c>
      <c r="F124">
        <f>IF(Skills!N9=TRUE,(Skills!L9/10)*(E124/1000),Skills!L9/10)+Skills!O9</f>
        <v/>
      </c>
      <c r="G124">
        <f>Skills!G9*IF(Skills!H9&gt;0,Skills!I9/Skills!H9,1)</f>
        <v/>
      </c>
      <c r="H124">
        <f>1-(1-Skills!J9/100)^Skills!K9</f>
        <v/>
      </c>
      <c r="I124" t="inlineStr">
        <is>
          <t>1</t>
        </is>
      </c>
      <c r="J124">
        <f>((Inputs!$B$6*(1+Inputs!$B$7/100))+(((Inputs!$B$12*(1+(Inputs!$B$13+1)/100))-(Inputs!$B$12*(1+Inputs!$B$13/100)))+0.25*(Inputs!$B$14-Inputs!$B$14))*(1+Inputs!$B$7/100))*(F124/100)</f>
        <v/>
      </c>
      <c r="K124">
        <f>J124*(1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f>
        <v/>
      </c>
      <c r="L124">
        <f>K124*(MIN(Inputs!$B$22+((C137=TRUE)*(F137-Calc!F22)),(Inputs!$B$23+0+(IF(ArtifactsInput!$M$15,CHOOSE(ArtifactsInput!$N$15+1,25,30,35,40,45,50)/100*(Inputs!$B$11-Inputs!$B$11),0))))/100+(Inputs!$B$23+0+(IF(ArtifactsInput!$M$15,CHOOSE(ArtifactsInput!$N$15+1,25,30,35,40,45,50)/100*(Inputs!$B$11-Inputs!$B$11),0)))/100)/2</f>
        <v/>
      </c>
      <c r="M124">
        <f>L124*(1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
        <f>L124*(1-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
        <f>(1-Summary!$B$11)*T124+Summary!$B$11*V124</f>
        <v/>
      </c>
      <c r="P124">
        <f>IF(B156=0,0,O124/B156)</f>
        <v/>
      </c>
      <c r="Q124">
        <f>IFERROR(1/(IF(Inputs!$B$38="pvp",15,MAX(0.1,Skills!D9-IF(Skills!E9=TRUE,Inputs!$B$32,0)))*(1-IF(AND(ArtifactsInput!$M$27,Inputs!$B$4="Chapter Hunt"),CHOOSE(ArtifactsInput!$N$27+1,20,24,28,32,36,40),0)/100)),0)</f>
        <v/>
      </c>
      <c r="R124">
        <f>IF(AND(Inputs!$B$38&lt;&gt;"pvp",Inputs!$B$43&gt;0),IF(MAX(0,Inputs!$B$43-B153)&lt;=0,0,(INT(MAX(0,Inputs!$B$43-B153)/(IF(Inputs!$B$38="pvp",15,MAX(0.1,Skills!D9-IF(Skills!E9=TRUE,Inputs!$B$32,0)))*(1-IF(AND(ArtifactsInput!$M$27,Inputs!$B$4="Chapter Hunt"),CHOOSE(ArtifactsInput!$N$27+1,20,24,28,32,36,40),0)/100)))+1)),0)</f>
        <v/>
      </c>
      <c r="S124">
        <f>IFERROR(O124/N124,0)</f>
        <v/>
      </c>
      <c r="T124">
        <f>IF(C124,(H124*N124*IF(AND(Inputs!$B$38&lt;&gt;"pvp",Inputs!$B$43&gt;0),((Skills!G9*((R124-1)*IF(Skills!H9&gt;0,Skills!I9/Skills!H9,1)+IF(Skills!H9&gt;0,MIN(Skills!I9,MAX(0,MAX(0,Inputs!$B$43-B153)-((R124-1)*(IF(Inputs!$B$38="pvp",15,MAX(0.1,Skills!D9-IF(Skills!E9=TRUE,Inputs!$B$32,0)))*(1-IF(AND(ArtifactsInput!$M$27,Inputs!$B$4="Chapter Hunt"),CHOOSE(ArtifactsInput!$N$27+1,20,24,28,32,36,40),0)/100)))))/Skills!H9,1)))/Inputs!$B$43),G124*Q124)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
        <f>IF(C124,(H124*N124*IF(AND(Inputs!$B$38&lt;&gt;"pvp",Inputs!$B$43&gt;0),((Skills!G9*((R124-1)*IF(Skills!H9&gt;0,Skills!I9/Skills!H9,1)+IF(Skills!H9&gt;0,MIN(Skills!I9,MAX(0,MAX(0,Inputs!$B$43-B153)-((R124-1)*(IF(Inputs!$B$38="pvp",15,MAX(0.1,Skills!D9-IF(Skills!E9=TRUE,Inputs!$B$32,0)))*(1-IF(AND(ArtifactsInput!$M$27,Inputs!$B$4="Chapter Hunt"),CHOOSE(ArtifactsInput!$N$27+1,20,24,28,32,36,40),0)/100)))))/Skills!H9,1)))/Inputs!$B$43),G124*Q124))*IF(Inputs!$B$38="pvp",1,(1+(Inputs!$B$21+Skills!Q9+(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
      <c r="A125">
        <f>Skills!A10</f>
        <v/>
      </c>
      <c r="B125">
        <f>Skills!B10</f>
        <v/>
      </c>
      <c r="C125">
        <f>Inputs!$B$3&gt;=113</f>
        <v/>
      </c>
      <c r="D125">
        <f>IF(Skills!C10=1,60+Inputs!$B$25+Inputs!$B$29,IF(Skills!C10=2,90+Inputs!$B$26+Inputs!$B$29,IF(Skills!C10=3,120+Inputs!$B$27+Inputs!$B$29,MAX(0,(Inputs!$B$3-100)*3)+Inputs!$B$28+Inputs!$B$29)))</f>
        <v/>
      </c>
      <c r="E125">
        <f>INDEX(FactorTable!$B$2:$Y$301, MATCH(ROUND(MIN(300,MAX(1,D125)),0), FactorTable!$A$2:$A$301,0), Skills!M10+1)</f>
        <v/>
      </c>
      <c r="F125">
        <f>IF(Skills!N10=TRUE,(Skills!L10/10)*(E125/1000),Skills!L10/10)+Skills!O10</f>
        <v/>
      </c>
      <c r="G125">
        <f>Skills!G10*IF(Skills!H10&gt;0,Skills!I10/Skills!H10,1)</f>
        <v/>
      </c>
      <c r="H125">
        <f>1-(1-Skills!J10/100)^Skills!K10</f>
        <v/>
      </c>
      <c r="I125" t="inlineStr">
        <is>
          <t>1</t>
        </is>
      </c>
      <c r="J125">
        <f>((Inputs!$B$6*(1+Inputs!$B$7/100))+(((Inputs!$B$12*(1+(Inputs!$B$13+1)/100))-(Inputs!$B$12*(1+Inputs!$B$13/100)))+0.25*(Inputs!$B$14-Inputs!$B$14))*(1+Inputs!$B$7/100))*(F125/100)</f>
        <v/>
      </c>
      <c r="K125">
        <f>J125*(1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f>
        <v/>
      </c>
      <c r="L125">
        <f>K125*(MIN(Inputs!$B$22+((C137=TRUE)*(F137-Calc!F22)),(Inputs!$B$23+0+(IF(ArtifactsInput!$M$15,CHOOSE(ArtifactsInput!$N$15+1,25,30,35,40,45,50)/100*(Inputs!$B$11-Inputs!$B$11),0))))/100+(Inputs!$B$23+0+(IF(ArtifactsInput!$M$15,CHOOSE(ArtifactsInput!$N$15+1,25,30,35,40,45,50)/100*(Inputs!$B$11-Inputs!$B$11),0)))/100)/2</f>
        <v/>
      </c>
      <c r="M125">
        <f>L125*(1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
        <f>L125*(1-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
        <f>(1-Summary!$B$11)*T125+Summary!$B$11*V125</f>
        <v/>
      </c>
      <c r="P125">
        <f>IF(B156=0,0,O125/B156)</f>
        <v/>
      </c>
      <c r="Q125">
        <f>IFERROR(1/(IF(Inputs!$B$38="pvp",15,MAX(0.1,Skills!D10-IF(Skills!E10=TRUE,Inputs!$B$32,0)))*(1-IF(AND(ArtifactsInput!$M$27,Inputs!$B$4="Chapter Hunt"),CHOOSE(ArtifactsInput!$N$27+1,20,24,28,32,36,40),0)/100)),0)</f>
        <v/>
      </c>
      <c r="R125">
        <f>IF(AND(Inputs!$B$38&lt;&gt;"pvp",Inputs!$B$43&gt;0),IF(MAX(0,Inputs!$B$43-B153)&lt;=0,0,(INT(MAX(0,Inputs!$B$43-B153)/(IF(Inputs!$B$38="pvp",15,MAX(0.1,Skills!D10-IF(Skills!E10=TRUE,Inputs!$B$32,0)))*(1-IF(AND(ArtifactsInput!$M$27,Inputs!$B$4="Chapter Hunt"),CHOOSE(ArtifactsInput!$N$27+1,20,24,28,32,36,40),0)/100)))+1)),0)</f>
        <v/>
      </c>
      <c r="S125">
        <f>IFERROR(O125/N125,0)</f>
        <v/>
      </c>
      <c r="T125">
        <f>IF(C125,(H125*N125*IF(AND(Inputs!$B$38&lt;&gt;"pvp",Inputs!$B$43&gt;0),((Skills!G10*((R125-1)*IF(Skills!H10&gt;0,Skills!I10/Skills!H10,1)+IF(Skills!H10&gt;0,MIN(Skills!I10,MAX(0,MAX(0,Inputs!$B$43-B153)-((R125-1)*(IF(Inputs!$B$38="pvp",15,MAX(0.1,Skills!D10-IF(Skills!E10=TRUE,Inputs!$B$32,0)))*(1-IF(AND(ArtifactsInput!$M$27,Inputs!$B$4="Chapter Hunt"),CHOOSE(ArtifactsInput!$N$27+1,20,24,28,32,36,40),0)/100)))))/Skills!H10,1)))/Inputs!$B$43),G125*Q125)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
        <f>IF(C125,(H125*N125*IF(AND(Inputs!$B$38&lt;&gt;"pvp",Inputs!$B$43&gt;0),((Skills!G10*((R125-1)*IF(Skills!H10&gt;0,Skills!I10/Skills!H10,1)+IF(Skills!H10&gt;0,MIN(Skills!I10,MAX(0,MAX(0,Inputs!$B$43-B153)-((R125-1)*(IF(Inputs!$B$38="pvp",15,MAX(0.1,Skills!D10-IF(Skills!E10=TRUE,Inputs!$B$32,0)))*(1-IF(AND(ArtifactsInput!$M$27,Inputs!$B$4="Chapter Hunt"),CHOOSE(ArtifactsInput!$N$27+1,20,24,28,32,36,40),0)/100)))))/Skills!H10,1)))/Inputs!$B$43),G125*Q125))*IF(Inputs!$B$38="pvp",1,(1+(Inputs!$B$21+Skills!Q10+(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
      <c r="A126">
        <f>Skills!A11</f>
        <v/>
      </c>
      <c r="B126">
        <f>Skills!B11</f>
        <v/>
      </c>
      <c r="C126">
        <f>Inputs!$B$3&gt;=107</f>
        <v/>
      </c>
      <c r="D126">
        <f>IF(Skills!C11=1,60+Inputs!$B$25+Inputs!$B$29,IF(Skills!C11=2,90+Inputs!$B$26+Inputs!$B$29,IF(Skills!C11=3,120+Inputs!$B$27+Inputs!$B$29,MAX(0,(Inputs!$B$3-100)*3)+Inputs!$B$28+Inputs!$B$29)))</f>
        <v/>
      </c>
      <c r="E126">
        <f>INDEX(FactorTable!$B$2:$Y$301, MATCH(ROUND(MIN(300,MAX(1,D126)),0), FactorTable!$A$2:$A$301,0), Skills!M11+1)</f>
        <v/>
      </c>
      <c r="F126">
        <f>IF(Skills!N11=TRUE,(Skills!L11/10)*(E126/1000),Skills!L11/10)+Skills!O11</f>
        <v/>
      </c>
      <c r="G126">
        <f>Skills!G11*IF(Skills!H11&gt;0,Skills!I11/Skills!H11,1)</f>
        <v/>
      </c>
      <c r="H126">
        <f>1-(1-Skills!J11/100)^Skills!K11</f>
        <v/>
      </c>
      <c r="I126" t="inlineStr">
        <is>
          <t>1</t>
        </is>
      </c>
      <c r="J126">
        <f>((Inputs!$B$6*(1+Inputs!$B$7/100))+(((Inputs!$B$12*(1+(Inputs!$B$13+1)/100))-(Inputs!$B$12*(1+Inputs!$B$13/100)))+0.25*(Inputs!$B$14-Inputs!$B$14))*(1+Inputs!$B$7/100))*(F126/100)</f>
        <v/>
      </c>
      <c r="K126">
        <f>J126*(1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f>
        <v/>
      </c>
      <c r="L126">
        <f>K126*(MIN(Inputs!$B$22+((C137=TRUE)*(F137-Calc!F22)),(Inputs!$B$23+0+(IF(ArtifactsInput!$M$15,CHOOSE(ArtifactsInput!$N$15+1,25,30,35,40,45,50)/100*(Inputs!$B$11-Inputs!$B$11),0))))/100+(Inputs!$B$23+0+(IF(ArtifactsInput!$M$15,CHOOSE(ArtifactsInput!$N$15+1,25,30,35,40,45,50)/100*(Inputs!$B$11-Inputs!$B$11),0)))/100)/2</f>
        <v/>
      </c>
      <c r="M126">
        <f>L126*(1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
        <f>L126*(1-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
        <f>(1-Summary!$B$11)*T126+Summary!$B$11*V126</f>
        <v/>
      </c>
      <c r="P126">
        <f>IF(B156=0,0,O126/B156)</f>
        <v/>
      </c>
      <c r="Q126">
        <f>IFERROR(1/(IF(Inputs!$B$38="pvp",15,MAX(0.1,Skills!D11-IF(Skills!E11=TRUE,Inputs!$B$32,0)))*(1-IF(AND(ArtifactsInput!$M$27,Inputs!$B$4="Chapter Hunt"),CHOOSE(ArtifactsInput!$N$27+1,20,24,28,32,36,40),0)/100)),0)</f>
        <v/>
      </c>
      <c r="R126">
        <f>IF(AND(Inputs!$B$38&lt;&gt;"pvp",Inputs!$B$43&gt;0),IF(MAX(0,Inputs!$B$43-B153)&lt;=0,0,(INT(MAX(0,Inputs!$B$43-B153)/(IF(Inputs!$B$38="pvp",15,MAX(0.1,Skills!D11-IF(Skills!E11=TRUE,Inputs!$B$32,0)))*(1-IF(AND(ArtifactsInput!$M$27,Inputs!$B$4="Chapter Hunt"),CHOOSE(ArtifactsInput!$N$27+1,20,24,28,32,36,40),0)/100)))+1)),0)</f>
        <v/>
      </c>
      <c r="S126">
        <f>IFERROR(O126/N126,0)</f>
        <v/>
      </c>
      <c r="T126">
        <f>IF(C126,(H126*N126*IF(AND(Inputs!$B$38&lt;&gt;"pvp",Inputs!$B$43&gt;0),((Skills!G11*((R126-1)*IF(Skills!H11&gt;0,Skills!I11/Skills!H11,1)+IF(Skills!H11&gt;0,MIN(Skills!I11,MAX(0,MAX(0,Inputs!$B$43-B153)-((R126-1)*(IF(Inputs!$B$38="pvp",15,MAX(0.1,Skills!D11-IF(Skills!E11=TRUE,Inputs!$B$32,0)))*(1-IF(AND(ArtifactsInput!$M$27,Inputs!$B$4="Chapter Hunt"),CHOOSE(ArtifactsInput!$N$27+1,20,24,28,32,36,40),0)/100)))))/Skills!H11,1)))/Inputs!$B$43),G126*Q126)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
        <f>IF(C126,(H126*N126*IF(AND(Inputs!$B$38&lt;&gt;"pvp",Inputs!$B$43&gt;0),((Skills!G11*((R126-1)*IF(Skills!H11&gt;0,Skills!I11/Skills!H11,1)+IF(Skills!H11&gt;0,MIN(Skills!I11,MAX(0,MAX(0,Inputs!$B$43-B153)-((R126-1)*(IF(Inputs!$B$38="pvp",15,MAX(0.1,Skills!D11-IF(Skills!E11=TRUE,Inputs!$B$32,0)))*(1-IF(AND(ArtifactsInput!$M$27,Inputs!$B$4="Chapter Hunt"),CHOOSE(ArtifactsInput!$N$27+1,20,24,28,32,36,40),0)/100)))))/Skills!H11,1)))/Inputs!$B$43),G126*Q126))*IF(Inputs!$B$38="pvp",1,(1+(Inputs!$B$21+Skills!Q11+(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
      <c r="A127">
        <f>Skills!A12</f>
        <v/>
      </c>
      <c r="B127">
        <f>Skills!B12</f>
        <v/>
      </c>
      <c r="C127">
        <f>Inputs!$B$3&gt;=110</f>
        <v/>
      </c>
      <c r="D127">
        <f>IF(Skills!C12=1,60+Inputs!$B$25+Inputs!$B$29,IF(Skills!C12=2,90+Inputs!$B$26+Inputs!$B$29,IF(Skills!C12=3,120+Inputs!$B$27+Inputs!$B$29,MAX(0,(Inputs!$B$3-100)*3)+Inputs!$B$28+Inputs!$B$29)))</f>
        <v/>
      </c>
      <c r="E127">
        <f>INDEX(FactorTable!$B$2:$Y$301, MATCH(ROUND(MIN(300,MAX(1,D127)),0), FactorTable!$A$2:$A$301,0), Skills!M12+1)</f>
        <v/>
      </c>
      <c r="F127">
        <f>IF(Skills!N12=TRUE,(Skills!L12/10)*(E127/1000),Skills!L12/10)+Skills!O12</f>
        <v/>
      </c>
      <c r="G127">
        <f>Skills!G12*IF(Skills!H12&gt;0,Skills!I12/Skills!H12,1)</f>
        <v/>
      </c>
      <c r="H127">
        <f>1-(1-Skills!J12/100)^Skills!K12</f>
        <v/>
      </c>
      <c r="I127" t="inlineStr">
        <is>
          <t>1</t>
        </is>
      </c>
      <c r="J127">
        <f>((Inputs!$B$6*(1+Inputs!$B$7/100))+(((Inputs!$B$12*(1+(Inputs!$B$13+1)/100))-(Inputs!$B$12*(1+Inputs!$B$13/100)))+0.25*(Inputs!$B$14-Inputs!$B$14))*(1+Inputs!$B$7/100))*(F127/100)</f>
        <v/>
      </c>
      <c r="K127">
        <f>J127*(1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f>
        <v/>
      </c>
      <c r="L127">
        <f>K127*(MIN(Inputs!$B$22+((C137=TRUE)*(F137-Calc!F22)),(Inputs!$B$23+0+(IF(ArtifactsInput!$M$15,CHOOSE(ArtifactsInput!$N$15+1,25,30,35,40,45,50)/100*(Inputs!$B$11-Inputs!$B$11),0))))/100+(Inputs!$B$23+0+(IF(ArtifactsInput!$M$15,CHOOSE(ArtifactsInput!$N$15+1,25,30,35,40,45,50)/100*(Inputs!$B$11-Inputs!$B$11),0)))/100)/2</f>
        <v/>
      </c>
      <c r="M127">
        <f>L127*(1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
        <f>L127*(1-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
        <f>(1-Summary!$B$11)*T127+Summary!$B$11*V127</f>
        <v/>
      </c>
      <c r="P127">
        <f>IF(B156=0,0,O127/B156)</f>
        <v/>
      </c>
      <c r="Q127">
        <f>IFERROR(1/(IF(Inputs!$B$38="pvp",15,MAX(0.1,Skills!D12-IF(Skills!E12=TRUE,Inputs!$B$32,0)))*(1-IF(AND(ArtifactsInput!$M$27,Inputs!$B$4="Chapter Hunt"),CHOOSE(ArtifactsInput!$N$27+1,20,24,28,32,36,40),0)/100)),0)</f>
        <v/>
      </c>
      <c r="R127">
        <f>IF(AND(Inputs!$B$38&lt;&gt;"pvp",Inputs!$B$43&gt;0),IF(MAX(0,Inputs!$B$43-B153)&lt;=0,0,(INT(MAX(0,Inputs!$B$43-B153)/(IF(Inputs!$B$38="pvp",15,MAX(0.1,Skills!D12-IF(Skills!E12=TRUE,Inputs!$B$32,0)))*(1-IF(AND(ArtifactsInput!$M$27,Inputs!$B$4="Chapter Hunt"),CHOOSE(ArtifactsInput!$N$27+1,20,24,28,32,36,40),0)/100)))+1)),0)</f>
        <v/>
      </c>
      <c r="S127">
        <f>IFERROR(O127/N127,0)</f>
        <v/>
      </c>
      <c r="T127">
        <f>IF(C127,(H127*N127*IF(AND(Inputs!$B$38&lt;&gt;"pvp",Inputs!$B$43&gt;0),((Skills!G12*((R127-1)*IF(Skills!H12&gt;0,Skills!I12/Skills!H12,1)+IF(Skills!H12&gt;0,MIN(Skills!I12,MAX(0,MAX(0,Inputs!$B$43-B153)-((R127-1)*(IF(Inputs!$B$38="pvp",15,MAX(0.1,Skills!D12-IF(Skills!E12=TRUE,Inputs!$B$32,0)))*(1-IF(AND(ArtifactsInput!$M$27,Inputs!$B$4="Chapter Hunt"),CHOOSE(ArtifactsInput!$N$27+1,20,24,28,32,36,40),0)/100)))))/Skills!H12,1)))/Inputs!$B$43),G127*Q127)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
        <f>IF(C127,(H127*N127*IF(AND(Inputs!$B$38&lt;&gt;"pvp",Inputs!$B$43&gt;0),((Skills!G12*((R127-1)*IF(Skills!H12&gt;0,Skills!I12/Skills!H12,1)+IF(Skills!H12&gt;0,MIN(Skills!I12,MAX(0,MAX(0,Inputs!$B$43-B153)-((R127-1)*(IF(Inputs!$B$38="pvp",15,MAX(0.1,Skills!D12-IF(Skills!E12=TRUE,Inputs!$B$32,0)))*(1-IF(AND(ArtifactsInput!$M$27,Inputs!$B$4="Chapter Hunt"),CHOOSE(ArtifactsInput!$N$27+1,20,24,28,32,36,40),0)/100)))))/Skills!H12,1)))/Inputs!$B$43),G127*Q127))*IF(Inputs!$B$38="pvp",1,(1+(Inputs!$B$21+Skills!Q12+(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
      <c r="A128">
        <f>Skills!A13</f>
        <v/>
      </c>
      <c r="B128">
        <f>Skills!B13</f>
        <v/>
      </c>
      <c r="C128">
        <f>Inputs!$B$3&gt;=110</f>
        <v/>
      </c>
      <c r="D128">
        <f>IF(Skills!C13=1,60+Inputs!$B$25+Inputs!$B$29,IF(Skills!C13=2,90+Inputs!$B$26+Inputs!$B$29,IF(Skills!C13=3,120+Inputs!$B$27+Inputs!$B$29,MAX(0,(Inputs!$B$3-100)*3)+Inputs!$B$28+Inputs!$B$29)))</f>
        <v/>
      </c>
      <c r="E128">
        <f>INDEX(FactorTable!$B$2:$Y$301, MATCH(ROUND(MIN(300,MAX(1,D128)),0), FactorTable!$A$2:$A$301,0), Skills!M13+1)</f>
        <v/>
      </c>
      <c r="F128">
        <f>IF(Skills!N13=TRUE,(Skills!L13/10)*(E128/1000),Skills!L13/10)+Skills!O13</f>
        <v/>
      </c>
      <c r="G128">
        <f>Skills!G13*IF(Skills!H13&gt;0,Skills!I13/Skills!H13,1)</f>
        <v/>
      </c>
      <c r="H128">
        <f>1-(1-Skills!J13/100)^Skills!K13</f>
        <v/>
      </c>
      <c r="I128" t="inlineStr">
        <is>
          <t>1</t>
        </is>
      </c>
      <c r="J128">
        <f>((Inputs!$B$6*(1+Inputs!$B$7/100))+(((Inputs!$B$12*(1+(Inputs!$B$13+1)/100))-(Inputs!$B$12*(1+Inputs!$B$13/100)))+0.25*(Inputs!$B$14-Inputs!$B$14))*(1+Inputs!$B$7/100))*(F128/100)</f>
        <v/>
      </c>
      <c r="K128">
        <f>J128*(1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f>
        <v/>
      </c>
      <c r="L128">
        <f>K128*(MIN(Inputs!$B$22+((C137=TRUE)*(F137-Calc!F22)),(Inputs!$B$23+0+(IF(ArtifactsInput!$M$15,CHOOSE(ArtifactsInput!$N$15+1,25,30,35,40,45,50)/100*(Inputs!$B$11-Inputs!$B$11),0))))/100+(Inputs!$B$23+0+(IF(ArtifactsInput!$M$15,CHOOSE(ArtifactsInput!$N$15+1,25,30,35,40,45,50)/100*(Inputs!$B$11-Inputs!$B$11),0)))/100)/2</f>
        <v/>
      </c>
      <c r="M128">
        <f>L128*(1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
        <f>L128*(1-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
        <f>(1-Summary!$B$11)*T128+Summary!$B$11*V128</f>
        <v/>
      </c>
      <c r="P128">
        <f>IF(B156=0,0,O128/B156)</f>
        <v/>
      </c>
      <c r="Q128">
        <f>IFERROR(1/(IF(Inputs!$B$38="pvp",15,MAX(0.1,Skills!D13-IF(Skills!E13=TRUE,Inputs!$B$32,0)))*(1-IF(AND(ArtifactsInput!$M$27,Inputs!$B$4="Chapter Hunt"),CHOOSE(ArtifactsInput!$N$27+1,20,24,28,32,36,40),0)/100)),0)</f>
        <v/>
      </c>
      <c r="R128">
        <f>IF(AND(Inputs!$B$38&lt;&gt;"pvp",Inputs!$B$43&gt;0),IF(MAX(0,Inputs!$B$43-B153)&lt;=0,0,(INT(MAX(0,Inputs!$B$43-B153)/(IF(Inputs!$B$38="pvp",15,MAX(0.1,Skills!D13-IF(Skills!E13=TRUE,Inputs!$B$32,0)))*(1-IF(AND(ArtifactsInput!$M$27,Inputs!$B$4="Chapter Hunt"),CHOOSE(ArtifactsInput!$N$27+1,20,24,28,32,36,40),0)/100)))+1)),0)</f>
        <v/>
      </c>
      <c r="S128">
        <f>IFERROR(O128/N128,0)</f>
        <v/>
      </c>
      <c r="T128">
        <f>IF(C128,(H128*N128*IF(AND(Inputs!$B$38&lt;&gt;"pvp",Inputs!$B$43&gt;0),((Skills!G13*((R128-1)*IF(Skills!H13&gt;0,Skills!I13/Skills!H13,1)+IF(Skills!H13&gt;0,MIN(Skills!I13,MAX(0,MAX(0,Inputs!$B$43-B153)-((R128-1)*(IF(Inputs!$B$38="pvp",15,MAX(0.1,Skills!D13-IF(Skills!E13=TRUE,Inputs!$B$32,0)))*(1-IF(AND(ArtifactsInput!$M$27,Inputs!$B$4="Chapter Hunt"),CHOOSE(ArtifactsInput!$N$27+1,20,24,28,32,36,40),0)/100)))))/Skills!H13,1)))/Inputs!$B$43),G128*Q128)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
        <f>IF(C128,(H128*N128*IF(AND(Inputs!$B$38&lt;&gt;"pvp",Inputs!$B$43&gt;0),((Skills!G13*((R128-1)*IF(Skills!H13&gt;0,Skills!I13/Skills!H13,1)+IF(Skills!H13&gt;0,MIN(Skills!I13,MAX(0,MAX(0,Inputs!$B$43-B153)-((R128-1)*(IF(Inputs!$B$38="pvp",15,MAX(0.1,Skills!D13-IF(Skills!E13=TRUE,Inputs!$B$32,0)))*(1-IF(AND(ArtifactsInput!$M$27,Inputs!$B$4="Chapter Hunt"),CHOOSE(ArtifactsInput!$N$27+1,20,24,28,32,36,40),0)/100)))))/Skills!H13,1)))/Inputs!$B$43),G128*Q128))*IF(Inputs!$B$38="pvp",1,(1+(Inputs!$B$21+Skills!Q13+(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
      <c r="A129">
        <f>Skills!A14</f>
        <v/>
      </c>
      <c r="B129">
        <f>Skills!B14</f>
        <v/>
      </c>
      <c r="C129">
        <f>Inputs!$B$3&gt;=125</f>
        <v/>
      </c>
      <c r="D129">
        <f>IF(Skills!C14=1,60+Inputs!$B$25+Inputs!$B$29,IF(Skills!C14=2,90+Inputs!$B$26+Inputs!$B$29,IF(Skills!C14=3,120+Inputs!$B$27+Inputs!$B$29,MAX(0,(Inputs!$B$3-100)*3)+Inputs!$B$28+Inputs!$B$29)))</f>
        <v/>
      </c>
      <c r="E129">
        <f>INDEX(FactorTable!$B$2:$Y$301, MATCH(ROUND(MIN(300,MAX(1,D129)),0), FactorTable!$A$2:$A$301,0), Skills!M14+1)</f>
        <v/>
      </c>
      <c r="F129">
        <f>IF(Skills!N14=TRUE,(Skills!L14/10)*(E129/1000),Skills!L14/10)+Skills!O14</f>
        <v/>
      </c>
      <c r="G129">
        <f>Skills!G14*IF(Skills!H14&gt;0,Skills!I14/Skills!H14,1)</f>
        <v/>
      </c>
      <c r="H129">
        <f>1-(1-Skills!J14/100)^Skills!K14</f>
        <v/>
      </c>
      <c r="I129" t="inlineStr">
        <is>
          <t>1</t>
        </is>
      </c>
      <c r="J129">
        <f>((Inputs!$B$6*(1+Inputs!$B$7/100))+(((Inputs!$B$12*(1+(Inputs!$B$13+1)/100))-(Inputs!$B$12*(1+Inputs!$B$13/100)))+0.25*(Inputs!$B$14-Inputs!$B$14))*(1+Inputs!$B$7/100))*(F129/100)</f>
        <v/>
      </c>
      <c r="K129">
        <f>J129*(1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f>
        <v/>
      </c>
      <c r="L129">
        <f>K129*(MIN(Inputs!$B$22+((C137=TRUE)*(F137-Calc!F22)),(Inputs!$B$23+0+(IF(ArtifactsInput!$M$15,CHOOSE(ArtifactsInput!$N$15+1,25,30,35,40,45,50)/100*(Inputs!$B$11-Inputs!$B$11),0))))/100+(Inputs!$B$23+0+(IF(ArtifactsInput!$M$15,CHOOSE(ArtifactsInput!$N$15+1,25,30,35,40,45,50)/100*(Inputs!$B$11-Inputs!$B$11),0)))/100)/2</f>
        <v/>
      </c>
      <c r="M129">
        <f>L129*(1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
        <f>L129*(1-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
        <f>(1-Summary!$B$11)*T129+Summary!$B$11*V129</f>
        <v/>
      </c>
      <c r="P129">
        <f>IF(B156=0,0,O129/B156)</f>
        <v/>
      </c>
      <c r="Q129" t="n">
        <v>0</v>
      </c>
      <c r="R129" t="n">
        <v>0</v>
      </c>
      <c r="S129">
        <f>IFERROR(O129/N129,0)</f>
        <v/>
      </c>
      <c r="T129">
        <f>IF(C129,(H129*N129*(B150+IF(AND(Inputs!$B$38&lt;&gt;"pvp",Inputs!$B$43&gt;0),((Skills!G8*((R123-1)*IF(Skills!H8&gt;0,Skills!I8/Skills!H8,1)+IF(Skills!H8&gt;0,MIN(Skills!I8,MAX(0,MAX(0,Inputs!$B$43-B153)-((R123-1)*(IF(Inputs!$B$38="pvp",15,MAX(0.1,Skills!D8-IF(Skills!E8=TRUE,Inputs!$B$32,0)))*(1-IF(AND(ArtifactsInput!$M$27,Inputs!$B$4="Chapter Hunt"),CHOOSE(ArtifactsInput!$N$27+1,20,24,28,32,36,40),0)/100)))))/Skills!H8,1)))/Inputs!$B$43),G123*Q123)+IF(AND(Inputs!$B$38&lt;&gt;"pvp",Inputs!$B$43&gt;0),((Skills!G11*((R126-1)*IF(Skills!H11&gt;0,Skills!I11/Skills!H11,1)+IF(Skills!H11&gt;0,MIN(Skills!I11,MAX(0,MAX(0,Inputs!$B$43-B153)-((R126-1)*(IF(Inputs!$B$38="pvp",15,MAX(0.1,Skills!D11-IF(Skills!E11=TRUE,Inputs!$B$32,0)))*(1-IF(AND(ArtifactsInput!$M$27,Inputs!$B$4="Chapter Hunt"),CHOOSE(ArtifactsInput!$N$27+1,20,24,28,32,36,40),0)/100)))))/Skills!H11,1)))/Inputs!$B$43),G126*Q126)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
        <f>IF(C129,(H129*N129*(B150+IF(AND(Inputs!$B$38&lt;&gt;"pvp",Inputs!$B$43&gt;0),((Skills!G8*((R123-1)*IF(Skills!H8&gt;0,Skills!I8/Skills!H8,1)+IF(Skills!H8&gt;0,MIN(Skills!I8,MAX(0,MAX(0,Inputs!$B$43-B153)-((R123-1)*(IF(Inputs!$B$38="pvp",15,MAX(0.1,Skills!D8-IF(Skills!E8=TRUE,Inputs!$B$32,0)))*(1-IF(AND(ArtifactsInput!$M$27,Inputs!$B$4="Chapter Hunt"),CHOOSE(ArtifactsInput!$N$27+1,20,24,28,32,36,40),0)/100)))))/Skills!H8,1)))/Inputs!$B$43),G123*Q123)+IF(AND(Inputs!$B$38&lt;&gt;"pvp",Inputs!$B$43&gt;0),((Skills!G11*((R126-1)*IF(Skills!H11&gt;0,Skills!I11/Skills!H11,1)+IF(Skills!H11&gt;0,MIN(Skills!I11,MAX(0,MAX(0,Inputs!$B$43-B153)-((R126-1)*(IF(Inputs!$B$38="pvp",15,MAX(0.1,Skills!D11-IF(Skills!E11=TRUE,Inputs!$B$32,0)))*(1-IF(AND(ArtifactsInput!$M$27,Inputs!$B$4="Chapter Hunt"),CHOOSE(ArtifactsInput!$N$27+1,20,24,28,32,36,40),0)/100)))))/Skills!H11,1)))/Inputs!$B$43),G126*Q126)))*IF(Inputs!$B$38="pvp",1,(1+(Inputs!$B$21+Skills!Q14+(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
      <c r="A130">
        <f>Skills!A15</f>
        <v/>
      </c>
      <c r="B130">
        <f>Skills!B15</f>
        <v/>
      </c>
      <c r="C130">
        <f>Inputs!$B$3&gt;=100</f>
        <v/>
      </c>
      <c r="D130">
        <f>IF(Skills!C15=1,60+Inputs!$B$25+Inputs!$B$29,IF(Skills!C15=2,90+Inputs!$B$26+Inputs!$B$29,IF(Skills!C15=3,120+Inputs!$B$27+Inputs!$B$29,MAX(0,(Inputs!$B$3-100)*3)+Inputs!$B$28+Inputs!$B$29)))</f>
        <v/>
      </c>
      <c r="E130">
        <f>INDEX(FactorTable!$B$2:$Y$301, MATCH(ROUND(MIN(300,MAX(1,D130)),0), FactorTable!$A$2:$A$301,0), Skills!M15+1)</f>
        <v/>
      </c>
      <c r="F130">
        <f>IF(Skills!N15=TRUE,(Skills!L15/10)*(E130/1000),Skills!L15/10)+Skills!O15</f>
        <v/>
      </c>
      <c r="G130" t="inlineStr"/>
      <c r="H130" t="inlineStr"/>
      <c r="I130" t="inlineStr">
        <is>
          <t>1</t>
        </is>
      </c>
      <c r="J130" t="inlineStr"/>
      <c r="K130" t="inlineStr"/>
      <c r="L130" t="inlineStr"/>
      <c r="M130" t="inlineStr"/>
      <c r="N130" t="inlineStr"/>
      <c r="O130" t="inlineStr"/>
      <c r="P130" t="inlineStr"/>
      <c r="Q130" t="inlineStr"/>
      <c r="R130" t="inlineStr"/>
      <c r="S130" t="inlineStr"/>
    </row>
    <row r="131">
      <c r="A131">
        <f>Skills!A16</f>
        <v/>
      </c>
      <c r="B131">
        <f>Skills!B16</f>
        <v/>
      </c>
      <c r="C131">
        <f>Inputs!$B$3&gt;=120</f>
        <v/>
      </c>
      <c r="D131">
        <f>IF(Skills!C16=1,60+Inputs!$B$25+Inputs!$B$29,IF(Skills!C16=2,90+Inputs!$B$26+Inputs!$B$29,IF(Skills!C16=3,120+Inputs!$B$27+Inputs!$B$29,MAX(0,(Inputs!$B$3-100)*3)+Inputs!$B$28+Inputs!$B$29)))</f>
        <v/>
      </c>
      <c r="E131">
        <f>INDEX(FactorTable!$B$2:$Y$301, MATCH(ROUND(MIN(300,MAX(1,D131)),0), FactorTable!$A$2:$A$301,0), Skills!M16+1)</f>
        <v/>
      </c>
      <c r="F131">
        <f>IF(Skills!N16=TRUE,(Skills!L16/10)*(E131/1000),Skills!L16/10)+Skills!O16</f>
        <v/>
      </c>
      <c r="G131" t="inlineStr"/>
      <c r="H131" t="inlineStr"/>
      <c r="I131" t="inlineStr">
        <is>
          <t>1</t>
        </is>
      </c>
      <c r="J131" t="inlineStr"/>
      <c r="K131" t="inlineStr"/>
      <c r="L131" t="inlineStr"/>
      <c r="M131" t="inlineStr"/>
      <c r="N131" t="inlineStr"/>
      <c r="O131" t="inlineStr"/>
      <c r="P131" t="inlineStr"/>
      <c r="Q131" t="inlineStr"/>
      <c r="R131" t="inlineStr"/>
      <c r="S131" t="inlineStr"/>
    </row>
    <row r="132">
      <c r="A132">
        <f>Skills!A17</f>
        <v/>
      </c>
      <c r="B132">
        <f>Skills!B17</f>
        <v/>
      </c>
      <c r="C132">
        <f>Inputs!$B$3&gt;=66</f>
        <v/>
      </c>
      <c r="D132">
        <f>IF(Skills!C17=1,60+Inputs!$B$25+Inputs!$B$29,IF(Skills!C17=2,90+Inputs!$B$26+Inputs!$B$29,IF(Skills!C17=3,120+Inputs!$B$27+Inputs!$B$29,MAX(0,(Inputs!$B$3-100)*3)+Inputs!$B$28+Inputs!$B$29)))</f>
        <v/>
      </c>
      <c r="E132">
        <f>INDEX(FactorTable!$B$2:$Y$301, MATCH(ROUND(MIN(300,MAX(1,D132)),0), FactorTable!$A$2:$A$301,0), Skills!M17+1)</f>
        <v/>
      </c>
      <c r="F132">
        <f>IF(Skills!N17=TRUE,(Skills!L17/10)*(E132/1000),Skills!L17/10)+Skills!O17</f>
        <v/>
      </c>
      <c r="G132">
        <f>Skills!G17*IF(Skills!H17&gt;0,Skills!I17/Skills!H17,1)</f>
        <v/>
      </c>
      <c r="H132">
        <f>1-(1-Skills!J17/100)^Skills!K17</f>
        <v/>
      </c>
      <c r="I132" t="inlineStr">
        <is>
          <t>1</t>
        </is>
      </c>
      <c r="J132" t="inlineStr"/>
      <c r="K132" t="inlineStr"/>
      <c r="L132" t="inlineStr"/>
      <c r="M132" t="inlineStr"/>
      <c r="N132" t="inlineStr"/>
      <c r="O132">
        <f>(1-Summary!$B$11)*T132+Summary!$B$11*V132</f>
        <v/>
      </c>
      <c r="P132">
        <f>IF(B156=0,0,O132/B156)</f>
        <v/>
      </c>
      <c r="Q132" t="n">
        <v>0</v>
      </c>
      <c r="R132" t="n">
        <v>0</v>
      </c>
      <c r="S132">
        <f>IFERROR(O132/N132,0)</f>
        <v/>
      </c>
      <c r="T132" t="n">
        <v>0</v>
      </c>
      <c r="V132" t="n">
        <v>0</v>
      </c>
    </row>
    <row r="133">
      <c r="A133">
        <f>Skills!A18</f>
        <v/>
      </c>
      <c r="B133">
        <f>Skills!B18</f>
        <v/>
      </c>
      <c r="C133">
        <f>Inputs!$B$3&gt;=115</f>
        <v/>
      </c>
      <c r="D133">
        <f>IF(Skills!C18=1,60+Inputs!$B$25+Inputs!$B$29,IF(Skills!C18=2,90+Inputs!$B$26+Inputs!$B$29,IF(Skills!C18=3,120+Inputs!$B$27+Inputs!$B$29,MAX(0,(Inputs!$B$3-100)*3)+Inputs!$B$28+Inputs!$B$29)))</f>
        <v/>
      </c>
      <c r="E133">
        <f>INDEX(FactorTable!$B$2:$Y$301, MATCH(ROUND(MIN(300,MAX(1,D133)),0), FactorTable!$A$2:$A$301,0), Skills!M18+1)</f>
        <v/>
      </c>
      <c r="F133">
        <f>IF(Skills!N18=TRUE,(Skills!L18/10)*(E133/1000),Skills!L18/10)+Skills!O18</f>
        <v/>
      </c>
      <c r="G133">
        <f>Skills!G18*IF(Skills!H18&gt;0,Skills!I18/Skills!H18,1)</f>
        <v/>
      </c>
      <c r="H133">
        <f>1-(1-Skills!J18/100)^Skills!K18</f>
        <v/>
      </c>
      <c r="I133" t="inlineStr">
        <is>
          <t>1</t>
        </is>
      </c>
      <c r="J133" t="inlineStr"/>
      <c r="K133" t="inlineStr"/>
      <c r="L133" t="inlineStr"/>
      <c r="M133" t="inlineStr"/>
      <c r="N133" t="inlineStr"/>
      <c r="O133">
        <f>(1-Summary!$B$11)*T133+Summary!$B$11*V133</f>
        <v/>
      </c>
      <c r="P133">
        <f>IF(B156=0,0,O133/B156)</f>
        <v/>
      </c>
      <c r="Q133">
        <f>IFERROR(1/(IF(Inputs!$B$38="pvp",15,MAX(0.1,Skills!D18-IF(Skills!E18=TRUE,Inputs!$B$32,0)))*(1-IF(AND(ArtifactsInput!$M$27,Inputs!$B$4="Chapter Hunt"),CHOOSE(ArtifactsInput!$N$27+1,20,24,28,32,36,40),0)/100)),0)</f>
        <v/>
      </c>
      <c r="R133">
        <f>IF(AND(Inputs!$B$38&lt;&gt;"pvp",Inputs!$B$43&gt;0),IF(Inputs!$B$43&lt;=0,0,(INT(Inputs!$B$43/(IF(Inputs!$B$38="pvp",15,MAX(0.1,Skills!D18-IF(Skills!E18=TRUE,Inputs!$B$32,0)))*(1-IF(AND(ArtifactsInput!$M$27,Inputs!$B$4="Chapter Hunt"),CHOOSE(ArtifactsInput!$N$27+1,20,24,28,32,36,40),0)/100)))+1)),0)</f>
        <v/>
      </c>
      <c r="S133">
        <f>IFERROR(O133/N133,0)</f>
        <v/>
      </c>
      <c r="T133" t="n">
        <v>0</v>
      </c>
      <c r="V133" t="n">
        <v>0</v>
      </c>
    </row>
    <row r="134">
      <c r="A134">
        <f>Skills!A19</f>
        <v/>
      </c>
      <c r="B134">
        <f>Skills!B19</f>
        <v/>
      </c>
      <c r="C134">
        <f>Inputs!$B$3&gt;=15</f>
        <v/>
      </c>
      <c r="D134">
        <f>IF(Skills!C19=1,60+Inputs!$B$25+Inputs!$B$29,IF(Skills!C19=2,90+Inputs!$B$26+Inputs!$B$29,IF(Skills!C19=3,120+Inputs!$B$27+Inputs!$B$29,MAX(0,(Inputs!$B$3-100)*3)+Inputs!$B$28+Inputs!$B$29)))</f>
        <v/>
      </c>
      <c r="E134">
        <f>INDEX(FactorTable!$B$2:$Y$301, MATCH(ROUND(MIN(300,MAX(1,D134)),0), FactorTable!$A$2:$A$301,0), Skills!M19+1)</f>
        <v/>
      </c>
      <c r="F134">
        <f>IF(Skills!N19=TRUE,(Skills!L19/10)*(E134/1000),Skills!L19/10)+Skills!O19</f>
        <v/>
      </c>
      <c r="G134">
        <f>Skills!G19*IF(Skills!H19&gt;0,Skills!I19/Skills!H19,1)</f>
        <v/>
      </c>
      <c r="H134">
        <f>1-(1-Skills!J19/100)^Skills!K19</f>
        <v/>
      </c>
      <c r="I134" t="inlineStr">
        <is>
          <t>1</t>
        </is>
      </c>
      <c r="J134" t="inlineStr"/>
      <c r="K134" t="inlineStr"/>
      <c r="L134" t="inlineStr"/>
      <c r="M134" t="inlineStr"/>
      <c r="N134" t="inlineStr"/>
      <c r="O134">
        <f>(1-Summary!$B$11)*T134+Summary!$B$11*V134</f>
        <v/>
      </c>
      <c r="P134">
        <f>IF(B156=0,0,O134/B156)</f>
        <v/>
      </c>
      <c r="Q134" t="n">
        <v>0</v>
      </c>
      <c r="R134" t="n">
        <v>0</v>
      </c>
      <c r="S134">
        <f>IFERROR(O134/N134,0)</f>
        <v/>
      </c>
      <c r="T134" t="n">
        <v>0</v>
      </c>
      <c r="V134" t="n">
        <v>0</v>
      </c>
    </row>
    <row r="135">
      <c r="A135">
        <f>Skills!A20</f>
        <v/>
      </c>
      <c r="B135">
        <f>Skills!B20</f>
        <v/>
      </c>
      <c r="C135">
        <f>Inputs!$B$3&gt;=10</f>
        <v/>
      </c>
      <c r="D135">
        <f>IF(Skills!C20=1,60+Inputs!$B$25+Inputs!$B$29,IF(Skills!C20=2,90+Inputs!$B$26+Inputs!$B$29,IF(Skills!C20=3,120+Inputs!$B$27+Inputs!$B$29,MAX(0,(Inputs!$B$3-100)*3)+Inputs!$B$28+Inputs!$B$29)))</f>
        <v/>
      </c>
      <c r="E135">
        <f>INDEX(FactorTable!$B$2:$Y$301, MATCH(ROUND(MIN(300,MAX(1,D135)),0), FactorTable!$A$2:$A$301,0), Skills!M20+1)</f>
        <v/>
      </c>
      <c r="F135">
        <f>IF(Skills!N20=TRUE,(Skills!L20/10)*(E135/1000),Skills!L20/10)+Skills!O20</f>
        <v/>
      </c>
      <c r="G135">
        <f>Skills!G20*IF(Skills!H20&gt;0,Skills!I20/Skills!H20,1)</f>
        <v/>
      </c>
      <c r="H135">
        <f>1-(1-Skills!J20/100)^Skills!K20</f>
        <v/>
      </c>
      <c r="I135" t="inlineStr">
        <is>
          <t>1</t>
        </is>
      </c>
      <c r="J135" t="inlineStr"/>
      <c r="K135" t="inlineStr"/>
      <c r="L135" t="inlineStr"/>
      <c r="M135" t="inlineStr"/>
      <c r="N135" t="inlineStr"/>
      <c r="O135">
        <f>(1-Summary!$B$11)*T135+Summary!$B$11*V135</f>
        <v/>
      </c>
      <c r="P135">
        <f>IF(B156=0,0,O135/B156)</f>
        <v/>
      </c>
      <c r="Q135" t="n">
        <v>0</v>
      </c>
      <c r="R135" t="n">
        <v>0</v>
      </c>
      <c r="S135">
        <f>IFERROR(O135/N135,0)</f>
        <v/>
      </c>
      <c r="T135" t="n">
        <v>0</v>
      </c>
      <c r="V135" t="n">
        <v>0</v>
      </c>
    </row>
    <row r="136">
      <c r="A136">
        <f>Skills!A21</f>
        <v/>
      </c>
      <c r="B136">
        <f>Skills!B21</f>
        <v/>
      </c>
      <c r="C136">
        <f>Inputs!$B$3&gt;=33</f>
        <v/>
      </c>
      <c r="D136">
        <f>IF(Skills!C21=1,60+Inputs!$B$25+Inputs!$B$29,IF(Skills!C21=2,90+Inputs!$B$26+Inputs!$B$29,IF(Skills!C21=3,120+Inputs!$B$27+Inputs!$B$29,MAX(0,(Inputs!$B$3-100)*3)+Inputs!$B$28+Inputs!$B$29)))</f>
        <v/>
      </c>
      <c r="E136">
        <f>INDEX(FactorTable!$B$2:$Y$301, MATCH(ROUND(MIN(300,MAX(1,D136)),0), FactorTable!$A$2:$A$301,0), Skills!M21+1)</f>
        <v/>
      </c>
      <c r="F136">
        <f>IF(Skills!N21=TRUE,(Skills!L21/10)*(E136/1000),Skills!L21/10)+Skills!O21</f>
        <v/>
      </c>
      <c r="G136">
        <f>Skills!G21*IF(Skills!H21&gt;0,Skills!I21/Skills!H21,1)</f>
        <v/>
      </c>
      <c r="H136">
        <f>1-(1-Skills!J21/100)^Skills!K21</f>
        <v/>
      </c>
      <c r="I136" t="inlineStr">
        <is>
          <t>1</t>
        </is>
      </c>
      <c r="J136" t="inlineStr"/>
      <c r="K136" t="inlineStr"/>
      <c r="L136" t="inlineStr"/>
      <c r="M136" t="inlineStr"/>
      <c r="N136" t="inlineStr"/>
      <c r="O136">
        <f>(1-Summary!$B$11)*T136+Summary!$B$11*V136</f>
        <v/>
      </c>
      <c r="P136">
        <f>IF(B156=0,0,O136/B156)</f>
        <v/>
      </c>
      <c r="Q136" t="n">
        <v>0</v>
      </c>
      <c r="R136" t="n">
        <v>0</v>
      </c>
      <c r="S136">
        <f>IFERROR(O136/N136,0)</f>
        <v/>
      </c>
      <c r="T136" t="n">
        <v>0</v>
      </c>
      <c r="V136" t="n">
        <v>0</v>
      </c>
    </row>
    <row r="137">
      <c r="A137">
        <f>Skills!A22</f>
        <v/>
      </c>
      <c r="B137">
        <f>Skills!B22</f>
        <v/>
      </c>
      <c r="C137">
        <f>Inputs!$B$3&gt;=43</f>
        <v/>
      </c>
      <c r="D137">
        <f>IF(Skills!C22=1,60+Inputs!$B$25+Inputs!$B$29,IF(Skills!C22=2,90+Inputs!$B$26+Inputs!$B$29,IF(Skills!C22=3,120+Inputs!$B$27+Inputs!$B$29,MAX(0,(Inputs!$B$3-100)*3)+Inputs!$B$28+Inputs!$B$29)))</f>
        <v/>
      </c>
      <c r="E137">
        <f>INDEX(FactorTable!$B$2:$Y$301, MATCH(ROUND(MIN(300,MAX(1,D137)),0), FactorTable!$A$2:$A$301,0), Skills!M22+1)</f>
        <v/>
      </c>
      <c r="F137">
        <f>IF(Skills!N22=TRUE,(Skills!L22/10)*(E137/1000),Skills!L22/10)+Skills!O22</f>
        <v/>
      </c>
      <c r="G137">
        <f>Skills!G22*IF(Skills!H22&gt;0,Skills!I22/Skills!H22,1)</f>
        <v/>
      </c>
      <c r="H137">
        <f>1-(1-Skills!J22/100)^Skills!K22</f>
        <v/>
      </c>
      <c r="I137" t="inlineStr">
        <is>
          <t>1</t>
        </is>
      </c>
      <c r="J137" t="inlineStr"/>
      <c r="K137" t="inlineStr"/>
      <c r="L137" t="inlineStr"/>
      <c r="M137" t="inlineStr"/>
      <c r="N137" t="inlineStr"/>
      <c r="O137">
        <f>(1-Summary!$B$11)*T137+Summary!$B$11*V137</f>
        <v/>
      </c>
      <c r="P137">
        <f>IF(B156=0,0,O137/B156)</f>
        <v/>
      </c>
      <c r="Q137" t="n">
        <v>0</v>
      </c>
      <c r="R137" t="n">
        <v>0</v>
      </c>
      <c r="S137">
        <f>IFERROR(O137/N137,0)</f>
        <v/>
      </c>
      <c r="T137" t="n">
        <v>0</v>
      </c>
      <c r="V137" t="n">
        <v>0</v>
      </c>
    </row>
    <row r="138">
      <c r="A138">
        <f>Skills!A23</f>
        <v/>
      </c>
      <c r="B138">
        <f>Skills!B23</f>
        <v/>
      </c>
      <c r="C138">
        <f>Inputs!$B$3&gt;=38</f>
        <v/>
      </c>
      <c r="D138">
        <f>IF(Skills!C23=1,60+Inputs!$B$25+Inputs!$B$29,IF(Skills!C23=2,90+Inputs!$B$26+Inputs!$B$29,IF(Skills!C23=3,120+Inputs!$B$27+Inputs!$B$29,MAX(0,(Inputs!$B$3-100)*3)+Inputs!$B$28+Inputs!$B$29)))</f>
        <v/>
      </c>
      <c r="E138">
        <f>INDEX(FactorTable!$B$2:$Y$301, MATCH(ROUND(MIN(300,MAX(1,D138)),0), FactorTable!$A$2:$A$301,0), Skills!M23+1)</f>
        <v/>
      </c>
      <c r="F138">
        <f>IF(Skills!N23=TRUE,(Skills!L23/10)*(E138/1000),Skills!L23/10)+Skills!O23</f>
        <v/>
      </c>
      <c r="G138">
        <f>Skills!G23*IF(Skills!H23&gt;0,Skills!I23/Skills!H23,1)</f>
        <v/>
      </c>
      <c r="H138">
        <f>1-(1-Skills!J23/100)^Skills!K23</f>
        <v/>
      </c>
      <c r="I138" t="inlineStr">
        <is>
          <t>1</t>
        </is>
      </c>
      <c r="J138" t="inlineStr"/>
      <c r="K138" t="inlineStr"/>
      <c r="L138" t="inlineStr"/>
      <c r="M138" t="inlineStr"/>
      <c r="N138" t="inlineStr"/>
      <c r="O138">
        <f>(1-Summary!$B$11)*T138+Summary!$B$11*V138</f>
        <v/>
      </c>
      <c r="P138">
        <f>IF(B156=0,0,O138/B156)</f>
        <v/>
      </c>
      <c r="Q138" t="n">
        <v>0</v>
      </c>
      <c r="R138" t="n">
        <v>0</v>
      </c>
      <c r="S138">
        <f>IFERROR(O138/N138,0)</f>
        <v/>
      </c>
      <c r="T138" t="n">
        <v>0</v>
      </c>
      <c r="V138" t="n">
        <v>0</v>
      </c>
    </row>
    <row r="139">
      <c r="A139">
        <f>Skills!A24</f>
        <v/>
      </c>
      <c r="B139">
        <f>Skills!B24</f>
        <v/>
      </c>
      <c r="C139">
        <f>Inputs!$B$3&gt;=40</f>
        <v/>
      </c>
      <c r="D139">
        <f>IF(Skills!C24=1,60+Inputs!$B$25+Inputs!$B$29,IF(Skills!C24=2,90+Inputs!$B$26+Inputs!$B$29,IF(Skills!C24=3,120+Inputs!$B$27+Inputs!$B$29,MAX(0,(Inputs!$B$3-100)*3)+Inputs!$B$28+Inputs!$B$29)))</f>
        <v/>
      </c>
      <c r="E139">
        <f>INDEX(FactorTable!$B$2:$Y$301, MATCH(ROUND(MIN(300,MAX(1,D139)),0), FactorTable!$A$2:$A$301,0), Skills!M24+1)</f>
        <v/>
      </c>
      <c r="F139">
        <f>IF(Skills!N24=TRUE,(Skills!L24/10)*(E139/1000),Skills!L24/10)+Skills!O24</f>
        <v/>
      </c>
      <c r="G139">
        <f>Skills!G24*IF(Skills!H24&gt;0,Skills!I24/Skills!H24,1)</f>
        <v/>
      </c>
      <c r="H139">
        <f>1-(1-Skills!J24/100)^Skills!K24</f>
        <v/>
      </c>
      <c r="I139" t="inlineStr">
        <is>
          <t>1</t>
        </is>
      </c>
      <c r="J139" t="inlineStr"/>
      <c r="K139" t="inlineStr"/>
      <c r="L139" t="inlineStr"/>
      <c r="M139" t="inlineStr"/>
      <c r="N139" t="inlineStr"/>
      <c r="O139">
        <f>(1-Summary!$B$11)*T139+Summary!$B$11*V139</f>
        <v/>
      </c>
      <c r="P139">
        <f>IF(B156=0,0,O139/B156)</f>
        <v/>
      </c>
      <c r="Q139" t="n">
        <v>0</v>
      </c>
      <c r="R139" t="n">
        <v>0</v>
      </c>
      <c r="S139">
        <f>IFERROR(O139/N139,0)</f>
        <v/>
      </c>
      <c r="T139" t="n">
        <v>0</v>
      </c>
      <c r="V139" t="n">
        <v>0</v>
      </c>
    </row>
    <row r="140">
      <c r="A140">
        <f>Skills!A25</f>
        <v/>
      </c>
      <c r="B140">
        <f>Skills!B25</f>
        <v/>
      </c>
      <c r="C140">
        <f>Inputs!$B$3&gt;=72</f>
        <v/>
      </c>
      <c r="D140">
        <f>IF(Skills!C25=1,60+Inputs!$B$25+Inputs!$B$29,IF(Skills!C25=2,90+Inputs!$B$26+Inputs!$B$29,IF(Skills!C25=3,120+Inputs!$B$27+Inputs!$B$29,MAX(0,(Inputs!$B$3-100)*3)+Inputs!$B$28+Inputs!$B$29)))</f>
        <v/>
      </c>
      <c r="E140">
        <f>INDEX(FactorTable!$B$2:$Y$301, MATCH(ROUND(MIN(300,MAX(1,D140)),0), FactorTable!$A$2:$A$301,0), Skills!M25+1)</f>
        <v/>
      </c>
      <c r="F140">
        <f>IF(Skills!N25=TRUE,(Skills!L25/10)*(E140/1000),Skills!L25/10)+Skills!O25</f>
        <v/>
      </c>
      <c r="G140">
        <f>Skills!G25*IF(Skills!H25&gt;0,Skills!I25/Skills!H25,1)</f>
        <v/>
      </c>
      <c r="H140">
        <f>1-(1-Skills!J25/100)^Skills!K25</f>
        <v/>
      </c>
      <c r="I140" t="inlineStr">
        <is>
          <t>1</t>
        </is>
      </c>
      <c r="J140" t="inlineStr"/>
      <c r="K140" t="inlineStr"/>
      <c r="L140" t="inlineStr"/>
      <c r="M140" t="inlineStr"/>
      <c r="N140" t="inlineStr"/>
      <c r="O140">
        <f>(1-Summary!$B$11)*T140+Summary!$B$11*V140</f>
        <v/>
      </c>
      <c r="P140">
        <f>IF(B156=0,0,O140/B156)</f>
        <v/>
      </c>
      <c r="Q140" t="n">
        <v>0</v>
      </c>
      <c r="R140" t="n">
        <v>0</v>
      </c>
      <c r="S140">
        <f>IFERROR(O140/N140,0)</f>
        <v/>
      </c>
      <c r="T140" t="n">
        <v>0</v>
      </c>
      <c r="V140" t="n">
        <v>0</v>
      </c>
    </row>
    <row r="141">
      <c r="A141">
        <f>Skills!A26</f>
        <v/>
      </c>
      <c r="B141">
        <f>Skills!B26</f>
        <v/>
      </c>
      <c r="C141">
        <f>Inputs!$B$3&gt;=75</f>
        <v/>
      </c>
      <c r="D141">
        <f>IF(Skills!C26=1,60+Inputs!$B$25+Inputs!$B$29,IF(Skills!C26=2,90+Inputs!$B$26+Inputs!$B$29,IF(Skills!C26=3,120+Inputs!$B$27+Inputs!$B$29,MAX(0,(Inputs!$B$3-100)*3)+Inputs!$B$28+Inputs!$B$29)))</f>
        <v/>
      </c>
      <c r="E141">
        <f>INDEX(FactorTable!$B$2:$Y$301, MATCH(ROUND(MIN(300,MAX(1,D141)),0), FactorTable!$A$2:$A$301,0), Skills!M26+1)</f>
        <v/>
      </c>
      <c r="F141">
        <f>IF(Skills!N26=TRUE,(Skills!L26/10)*(E141/1000),Skills!L26/10)+Skills!O26</f>
        <v/>
      </c>
      <c r="G141">
        <f>Skills!G26*IF(Skills!H26&gt;0,Skills!I26/Skills!H26,1)</f>
        <v/>
      </c>
      <c r="H141">
        <f>1-(1-Skills!J26/100)^Skills!K26</f>
        <v/>
      </c>
      <c r="I141" t="inlineStr">
        <is>
          <t>1</t>
        </is>
      </c>
      <c r="J141" t="inlineStr"/>
      <c r="K141" t="inlineStr"/>
      <c r="L141" t="inlineStr"/>
      <c r="M141" t="inlineStr"/>
      <c r="N141" t="inlineStr"/>
      <c r="O141">
        <f>(1-Summary!$B$11)*T141+Summary!$B$11*V141</f>
        <v/>
      </c>
      <c r="P141">
        <f>IF(B156=0,0,O141/B156)</f>
        <v/>
      </c>
      <c r="Q141" t="n">
        <v>0</v>
      </c>
      <c r="R141" t="n">
        <v>0</v>
      </c>
      <c r="S141">
        <f>IFERROR(O141/N141,0)</f>
        <v/>
      </c>
      <c r="T141" t="n">
        <v>0</v>
      </c>
      <c r="V141" t="n">
        <v>0</v>
      </c>
    </row>
    <row r="142">
      <c r="A142">
        <f>Skills!A27</f>
        <v/>
      </c>
      <c r="B142">
        <f>Skills!B27</f>
        <v/>
      </c>
      <c r="C142">
        <f>Inputs!$B$3&gt;=117</f>
        <v/>
      </c>
      <c r="D142">
        <f>IF(Skills!C27=1,60+Inputs!$B$25+Inputs!$B$29,IF(Skills!C27=2,90+Inputs!$B$26+Inputs!$B$29,IF(Skills!C27=3,120+Inputs!$B$27+Inputs!$B$29,MAX(0,(Inputs!$B$3-100)*3)+Inputs!$B$28+Inputs!$B$29)))</f>
        <v/>
      </c>
      <c r="E142">
        <f>INDEX(FactorTable!$B$2:$Y$301, MATCH(ROUND(MIN(300,MAX(1,D142)),0), FactorTable!$A$2:$A$301,0), Skills!M27+1)</f>
        <v/>
      </c>
      <c r="F142">
        <f>IF(Skills!N27=TRUE,(Skills!L27/10)*(E142/1000),Skills!L27/10)+Skills!O27</f>
        <v/>
      </c>
      <c r="G142">
        <f>Skills!G27*IF(Skills!H27&gt;0,Skills!I27/Skills!H27,1)</f>
        <v/>
      </c>
      <c r="H142">
        <f>1-(1-Skills!J27/100)^Skills!K27</f>
        <v/>
      </c>
      <c r="I142" t="inlineStr">
        <is>
          <t>1</t>
        </is>
      </c>
      <c r="J142" t="inlineStr"/>
      <c r="K142" t="inlineStr"/>
      <c r="L142" t="inlineStr"/>
      <c r="M142" t="inlineStr"/>
      <c r="N142" t="inlineStr"/>
      <c r="O142">
        <f>(1-Summary!$B$11)*T142+Summary!$B$11*V142</f>
        <v/>
      </c>
      <c r="P142">
        <f>IF(B156=0,0,O142/B156)</f>
        <v/>
      </c>
      <c r="Q142" t="n">
        <v>0</v>
      </c>
      <c r="R142" t="n">
        <v>0</v>
      </c>
      <c r="S142">
        <f>IFERROR(O142/N142,0)</f>
        <v/>
      </c>
      <c r="T142" t="n">
        <v>0</v>
      </c>
      <c r="V142" t="n">
        <v>0</v>
      </c>
    </row>
    <row r="143">
      <c r="A143">
        <f>Skills!A28</f>
        <v/>
      </c>
      <c r="B143">
        <f>Skills!B28</f>
        <v/>
      </c>
      <c r="C143">
        <f>TRUE</f>
        <v/>
      </c>
      <c r="D143">
        <f>IF(Skills!C28=1,60+Inputs!$B$25+Inputs!$B$29,IF(Skills!C28=2,90+Inputs!$B$26+Inputs!$B$29,IF(Skills!C28=3,120+Inputs!$B$27+Inputs!$B$29,MAX(0,(Inputs!$B$3-100)*3)+Inputs!$B$28+Inputs!$B$29)))</f>
        <v/>
      </c>
      <c r="E143">
        <f>INDEX(FactorTable!$B$2:$Y$301, MATCH(ROUND(MIN(300,MAX(1,D143)),0), FactorTable!$A$2:$A$301,0), Skills!M28+1)</f>
        <v/>
      </c>
      <c r="F143">
        <f>IF(Skills!N28=TRUE,(Skills!L28/10)*(E143/1000),Skills!L28/10)+Skills!O28</f>
        <v/>
      </c>
      <c r="G143">
        <f>Skills!G28*IF(Skills!H28&gt;0,Skills!I28/Skills!H28,1)</f>
        <v/>
      </c>
      <c r="H143">
        <f>1-(1-Skills!J28/100)^Skills!K28</f>
        <v/>
      </c>
      <c r="I143" t="inlineStr">
        <is>
          <t>1</t>
        </is>
      </c>
      <c r="J143" t="inlineStr"/>
      <c r="K143" t="inlineStr"/>
      <c r="L143" t="inlineStr"/>
      <c r="M143" t="inlineStr"/>
      <c r="N143" t="inlineStr"/>
      <c r="O143">
        <f>(1-Summary!$B$11)*T143+Summary!$B$11*V143</f>
        <v/>
      </c>
      <c r="P143">
        <f>IF(B156=0,0,O143/B156)</f>
        <v/>
      </c>
      <c r="Q143">
        <f>IFERROR(1/(IF(Inputs!$B$38="pvp",15,MAX(0.1,Skills!D28-IF(Skills!E28=TRUE,Inputs!$B$32,0)))*(1-IF(AND(ArtifactsInput!$M$27,Inputs!$B$4="Chapter Hunt"),CHOOSE(ArtifactsInput!$N$27+1,20,24,28,32,36,40),0)/100)),0)</f>
        <v/>
      </c>
      <c r="R143">
        <f>IF(AND(Inputs!$B$38&lt;&gt;"pvp",Inputs!$B$43&gt;0),IF(Inputs!$B$43&lt;=0,0,(INT(Inputs!$B$43/(IF(Inputs!$B$38="pvp",15,MAX(0.1,Skills!D28-IF(Skills!E28=TRUE,Inputs!$B$32,0)))*(1-IF(AND(ArtifactsInput!$M$27,Inputs!$B$4="Chapter Hunt"),CHOOSE(ArtifactsInput!$N$27+1,20,24,28,32,36,40),0)/100)))+1)),0)</f>
        <v/>
      </c>
      <c r="S143">
        <f>IFERROR(O143/N143,0)</f>
        <v/>
      </c>
      <c r="T143" t="n">
        <v>0</v>
      </c>
      <c r="V143" t="n">
        <v>0</v>
      </c>
    </row>
    <row r="145">
      <c r="A145" t="inlineStr">
        <is>
          <t>Attack% Bucket Multiplier</t>
        </is>
      </c>
      <c r="B145">
        <f>(1+(((C132=TRUE)*F132*5/7)+((C139=TRUE)*(F139-Calc!F24))+(IF(ArtifactsInput!$M$21,CHOOSE(ArtifactsInput!$N$21+1,25,30,35,40,45,50)*(IF(OR(Inputs!$B$4="Chapter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6">
      <c r="A146" t="inlineStr">
        <is>
          <t>Global Crit Rate Bonus %</t>
        </is>
      </c>
      <c r="B146" t="n">
        <v>0</v>
      </c>
    </row>
    <row r="147">
      <c r="A147" t="inlineStr">
        <is>
          <t>Attack Speed Buff Bonus % (Nimble Feet, duty-cycle averaged)</t>
        </is>
      </c>
      <c r="B147">
        <f>((C143=TRUE)*F143*IF(AND(Inputs!$B$38&lt;&gt;"pvp",Inputs!$B$43&gt;0),(((R143-1)*(Skills!T28*(1+Inputs!$B$34/100))+MIN((Skills!T28*(1+Inputs!$B$34/100)),MAX(0,Inputs!$B$43-((R143-1)*Skills!D28))))/Inputs!$B$43),IF(Inputs!$B$38="pvp",MIN((Skills!T28*(1+Inputs!$B$34/100)),15)/15,(Skills!T28*(1+Inputs!$B$34/100))/Skills!D28)))</f>
        <v/>
      </c>
    </row>
    <row r="148">
      <c r="A148" t="inlineStr">
        <is>
          <t>Actions Per Second</t>
        </is>
      </c>
      <c r="B148">
        <f>1+MIN(150,150*(1-(1-(Inputs!$B$11+((C135=TRUE)*(F135-Calc!F20))+((C136=TRUE)*(F136-Calc!F21)))/150)*(1-B147/150)))/100</f>
        <v/>
      </c>
    </row>
    <row r="149">
      <c r="A149" t="inlineStr">
        <is>
          <t>Skill + Buff Cast Rate</t>
        </is>
      </c>
      <c r="B149">
        <f>IF(AND(Inputs!$B$38&lt;&gt;"pvp",Inputs!$B$43&gt;0),SUMPRODUCT((Skills!E2:E28=TRUE)*(C117:C143=TRUE)*R117:R143*Skills!F2:F28)/Inputs!$B$43,SUMPRODUCT((Skills!E2:E28=TRUE)*(C117:C143=TRUE)*Q117:Q143*Skills!F2:F28))</f>
        <v/>
      </c>
    </row>
    <row r="150">
      <c r="A150" t="inlineStr">
        <is>
          <t>Eight-Legs Easton Casts Per Second</t>
        </is>
      </c>
      <c r="B150">
        <f>MAX(0,B148-B149)</f>
        <v/>
      </c>
    </row>
    <row r="151">
      <c r="A151" t="inlineStr">
        <is>
          <t>Global Critical Damage Bonus % (unused)</t>
        </is>
      </c>
      <c r="B151" t="n">
        <v>0</v>
      </c>
    </row>
    <row r="152">
      <c r="A152" t="inlineStr">
        <is>
          <t>Global Final Damage Bonus % (Jolly Roger + Ahoy Mateys - Final Damage proc)</t>
        </is>
      </c>
      <c r="B152">
        <f>((C133=TRUE)*F133*IF(AND(Inputs!$B$38&lt;&gt;"pvp",Inputs!$B$43&gt;0),(((R133-1)*(Skills!T18*(1+Inputs!$B$34/100))+MIN((Skills!T18*(1+Inputs!$B$34/100)),MAX(0,Inputs!$B$43-((R133-1)*Skills!D18))))/Inputs!$B$43),IF(Inputs!$B$38="pvp",MIN((Skills!T18*(1+Inputs!$B$34/100)),15)/15,(Skills!T18*(1+Inputs!$B$34/100))/Skills!D18)))+IF(Inputs!$B$3&gt;=122,20*IF(Inputs!$B$38="pvp",MIN((20*(1+Inputs!$B$34/100)),15)/15,(20*(1+Inputs!$B$34/100))/Skills!D4),0)</f>
        <v/>
      </c>
    </row>
    <row r="153">
      <c r="A153" t="inlineStr">
        <is>
          <t>Buff-Casting Startup Delay (s, fixed-duration only)</t>
        </is>
      </c>
      <c r="B153">
        <f>IF(AND(Inputs!$B$38&lt;&gt;"pvp",Inputs!$B$43&gt;0),SUMPRODUCT((Skills!T2:T28&gt;0)*(Skills!E2:E28=TRUE)*(C117:C143=TRUE))/B148,0)</f>
        <v/>
      </c>
    </row>
    <row r="154">
      <c r="A154" t="inlineStr">
        <is>
          <t>Boss-Only Total DPS (this block's swept value)</t>
        </is>
      </c>
      <c r="B154">
        <f>SUM(T117:T143)</f>
        <v/>
      </c>
    </row>
    <row r="155">
      <c r="A155" t="inlineStr">
        <is>
          <t>Normal-Only Total DPS (this block's swept value)</t>
        </is>
      </c>
      <c r="B155">
        <f>SUM(V117:V143)</f>
        <v/>
      </c>
    </row>
    <row r="156">
      <c r="A156" s="6" t="inlineStr">
        <is>
          <t>TOTAL DPS</t>
        </is>
      </c>
      <c r="B156" s="6">
        <f>SUM(O117:O143)</f>
        <v/>
      </c>
    </row>
    <row r="159">
      <c r="A159" s="6" t="inlineStr">
        <is>
          <t>Stat: STR</t>
        </is>
      </c>
    </row>
    <row r="160">
      <c r="A160" s="5" t="inlineStr">
        <is>
          <t>Key</t>
        </is>
      </c>
      <c r="B160" s="5" t="inlineStr">
        <is>
          <t>Name</t>
        </is>
      </c>
      <c r="C160" s="5" t="inlineStr">
        <is>
          <t>Unlocked</t>
        </is>
      </c>
      <c r="D160" s="5" t="inlineStr">
        <is>
          <t>InputLevel</t>
        </is>
      </c>
      <c r="E160" s="5" t="inlineStr">
        <is>
          <t>Factor</t>
        </is>
      </c>
      <c r="F160" s="5" t="inlineStr">
        <is>
          <t>CoefficientPercent</t>
        </is>
      </c>
      <c r="G160" s="5" t="inlineStr">
        <is>
          <t>EffectiveHits</t>
        </is>
      </c>
      <c r="H160" s="5" t="inlineStr">
        <is>
          <t>ProcProbability</t>
        </is>
      </c>
      <c r="I160" s="5" t="inlineStr">
        <is>
          <t>MapleHeroMultiplier</t>
        </is>
      </c>
      <c r="J160" s="5" t="inlineStr">
        <is>
          <t>BaseDamage</t>
        </is>
      </c>
      <c r="K160" s="5" t="inlineStr">
        <is>
          <t>BaseHitDamage</t>
        </is>
      </c>
      <c r="L160" s="5" t="inlineStr">
        <is>
          <t>NonCritAvg</t>
        </is>
      </c>
      <c r="M160" s="5" t="inlineStr">
        <is>
          <t>CritAvg</t>
        </is>
      </c>
      <c r="N160" s="5" t="inlineStr">
        <is>
          <t>ExpectedDamage(perHit)</t>
        </is>
      </c>
      <c r="O160" s="5" t="inlineStr">
        <is>
          <t>DPS</t>
        </is>
      </c>
      <c r="P160" s="5" t="inlineStr">
        <is>
          <t>% of Total</t>
        </is>
      </c>
      <c r="Q160" s="5" t="inlineStr">
        <is>
          <t>InvCooldown</t>
        </is>
      </c>
      <c r="R160" s="5" t="inlineStr">
        <is>
          <t>CastsInFight</t>
        </is>
      </c>
      <c r="S160" s="5" t="inlineStr">
        <is>
          <t>HitRate(perSec)</t>
        </is>
      </c>
      <c r="U160" t="inlineStr">
        <is>
          <t>helpers</t>
        </is>
      </c>
    </row>
    <row r="161">
      <c r="A161">
        <f>Skills!A2</f>
        <v/>
      </c>
      <c r="B161">
        <f>Skills!B2</f>
        <v/>
      </c>
      <c r="C161">
        <f>Inputs!$B$3&gt;=100</f>
        <v/>
      </c>
      <c r="D161" t="inlineStr"/>
      <c r="E161" t="inlineStr"/>
      <c r="F161">
        <f>U163+Skills!O2</f>
        <v/>
      </c>
      <c r="G161">
        <f>Skills!G2*IF(Skills!H2&gt;0,Skills!I2/Skills!H2,1)</f>
        <v/>
      </c>
      <c r="H161">
        <f>1-(1-Skills!J2/100)^Skills!K2</f>
        <v/>
      </c>
      <c r="I161" t="inlineStr">
        <is>
          <t>1</t>
        </is>
      </c>
      <c r="J161">
        <f>((Inputs!$B$6*(1+Inputs!$B$7/100))+(((Inputs!$B$12*(1+Inputs!$B$13/100))-(Inputs!$B$12*(1+Inputs!$B$13/100)))+0.25*((Inputs!$B$14+1)-Inputs!$B$14))*(1+Inputs!$B$7/100))*(F161/100)</f>
        <v/>
      </c>
      <c r="K161">
        <f>J161*(1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f>
        <v/>
      </c>
      <c r="L161">
        <f>K161*(MIN(Inputs!$B$22+((C181=TRUE)*(F181-Calc!F22)),(Inputs!$B$23+0+(IF(ArtifactsInput!$M$15,CHOOSE(ArtifactsInput!$N$15+1,25,30,35,40,45,50)/100*(Inputs!$B$11-Inputs!$B$11),0))))/100+(Inputs!$B$23+0+(IF(ArtifactsInput!$M$15,CHOOSE(ArtifactsInput!$N$15+1,25,30,35,40,45,50)/100*(Inputs!$B$11-Inputs!$B$11),0)))/100)/2</f>
        <v/>
      </c>
      <c r="M161">
        <f>L161*(1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
        <f>L161*(1-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
        <f>(1-Summary!$B$11)*T161+Summary!$B$11*V161</f>
        <v/>
      </c>
      <c r="P161">
        <f>IF(B200=0,0,O161/B200)</f>
        <v/>
      </c>
      <c r="Q161" t="n">
        <v>0</v>
      </c>
      <c r="R161" t="n">
        <v>0</v>
      </c>
      <c r="S161">
        <f>IFERROR(O161/N161,0)</f>
        <v/>
      </c>
      <c r="T161">
        <f>IF(C161,(Skills!G2*N161*B194)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
        <f>MAX(0,(Inputs!$B$3-100)*3)+Inputs!$B$28+Inputs!$B$29</f>
        <v/>
      </c>
      <c r="V161">
        <f>IF(C161,(Skills!G2*N161*B194)*IF(Inputs!$B$38="pvp",1,(1+(Inputs!$B$21+Skills!Q2+(IF(ArtifactsInput!$M$33,CHOOSE(ArtifactsInput!$N$33+1,30,36,42,48,54,60),0))+(IF(AND(ArtifactsInput!$M$35,Inputs!$B$4&lt;&gt;"Chapter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
      <c r="A162">
        <f>Skills!A3</f>
        <v/>
      </c>
      <c r="B162">
        <f>Skills!B3</f>
        <v/>
      </c>
      <c r="C162">
        <f>Inputs!$B$3&gt;=35</f>
        <v/>
      </c>
      <c r="D162">
        <f>IF(Skills!C3=1,60+Inputs!$B$25+Inputs!$B$29,IF(Skills!C3=2,90+Inputs!$B$26+Inputs!$B$29,IF(Skills!C3=3,120+Inputs!$B$27+Inputs!$B$29,MAX(0,(Inputs!$B$3-100)*3)+Inputs!$B$28+Inputs!$B$29)))</f>
        <v/>
      </c>
      <c r="E162">
        <f>INDEX(FactorTable!$B$2:$Y$301, MATCH(ROUND(MIN(300,MAX(1,D162)),0), FactorTable!$A$2:$A$301,0), Skills!M3+1)</f>
        <v/>
      </c>
      <c r="F162">
        <f>IF(Skills!N3=TRUE,(Skills!L3/10)*(E162/1000),Skills!L3/10)+Skills!O3</f>
        <v/>
      </c>
      <c r="G162">
        <f>Skills!G3*IF(Skills!H3&gt;0,Skills!I3/Skills!H3,1)</f>
        <v/>
      </c>
      <c r="H162">
        <f>1-(1-Skills!J3/100)^Skills!K3</f>
        <v/>
      </c>
      <c r="I162" t="inlineStr">
        <is>
          <t>1</t>
        </is>
      </c>
      <c r="J162">
        <f>((Inputs!$B$6*(1+Inputs!$B$7/100))+(((Inputs!$B$12*(1+Inputs!$B$13/100))-(Inputs!$B$12*(1+Inputs!$B$13/100)))+0.25*((Inputs!$B$14+1)-Inputs!$B$14))*(1+Inputs!$B$7/100))*(F162/100)</f>
        <v/>
      </c>
      <c r="K162">
        <f>J162*(1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174=TRUE,F174,0)/100)*(1+(IF(Skills!A3="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f>
        <v/>
      </c>
      <c r="L162">
        <f>K162*(MIN(Inputs!$B$22+((C181=TRUE)*(F181-Calc!F22)),(Inputs!$B$23+0+(IF(ArtifactsInput!$M$15,CHOOSE(ArtifactsInput!$N$15+1,25,30,35,40,45,50)/100*(Inputs!$B$11-Inputs!$B$11),0))))/100+(Inputs!$B$23+0+(IF(ArtifactsInput!$M$15,CHOOSE(ArtifactsInput!$N$15+1,25,30,35,40,45,50)/100*(Inputs!$B$11-Inputs!$B$11),0)))/100)/2</f>
        <v/>
      </c>
      <c r="M162">
        <f>L162*(1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
        <f>L162*(1-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
        <f>(1-Summary!$B$11)*T162+Summary!$B$11*V162</f>
        <v/>
      </c>
      <c r="P162">
        <f>IF(B200=0,0,O162/B200)</f>
        <v/>
      </c>
      <c r="Q162">
        <f>IFERROR(1/(IF(Inputs!$B$38="pvp",15,MAX(0.1,Skills!D3-IF(Skills!E3=TRUE,Inputs!$B$32,0)))*(1-IF(AND(ArtifactsInput!$M$27,Inputs!$B$4="Chapter Hunt"),CHOOSE(ArtifactsInput!$N$27+1,20,24,28,32,36,40),0)/100)),0)</f>
        <v/>
      </c>
      <c r="R162">
        <f>IF(AND(Inputs!$B$38&lt;&gt;"pvp",Inputs!$B$43&gt;0),IF(MAX(0,Inputs!$B$43-B197)&lt;=0,0,(INT(MAX(0,Inputs!$B$43-B197)/(IF(Inputs!$B$38="pvp",15,MAX(0.1,Skills!D3-IF(Skills!E3=TRUE,Inputs!$B$32,0)))*(1-IF(AND(ArtifactsInput!$M$27,Inputs!$B$4="Chapter Hunt"),CHOOSE(ArtifactsInput!$N$27+1,20,24,28,32,36,40),0)/100)))+1)),0)</f>
        <v/>
      </c>
      <c r="S162">
        <f>IFERROR(O162/N162,0)</f>
        <v/>
      </c>
      <c r="T162">
        <f>IF(C162,(H162*N162*IF(AND(Inputs!$B$38&lt;&gt;"pvp",Inputs!$B$43&gt;0),((Skills!G3*((R162-1)*IF(Skills!H3&gt;0,Skills!I3/Skills!H3,1)+IF(Skills!H3&gt;0,MIN(Skills!I3,MAX(0,MAX(0,Inputs!$B$43-B197)-((R162-1)*(IF(Inputs!$B$38="pvp",15,MAX(0.1,Skills!D3-IF(Skills!E3=TRUE,Inputs!$B$32,0)))*(1-IF(AND(ArtifactsInput!$M$27,Inputs!$B$4="Chapter Hunt"),CHOOSE(ArtifactsInput!$N$27+1,20,24,28,32,36,40),0)/100)))))/Skills!H3,1)))/Inputs!$B$43),G162*Q162)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
        <f>INDEX(FactorTable!$B$2:$Y$301, MATCH(ROUND(MIN(300,MAX(1,U161)),0), FactorTable!$A$2:$A$301,0), 22)</f>
        <v/>
      </c>
      <c r="V162">
        <f>IF(C162,(H162*N162*IF(AND(Inputs!$B$38&lt;&gt;"pvp",Inputs!$B$43&gt;0),((Skills!G3*((R162-1)*IF(Skills!H3&gt;0,Skills!I3/Skills!H3,1)+IF(Skills!H3&gt;0,MIN(Skills!I3,MAX(0,MAX(0,Inputs!$B$43-B197)-((R162-1)*(IF(Inputs!$B$38="pvp",15,MAX(0.1,Skills!D3-IF(Skills!E3=TRUE,Inputs!$B$32,0)))*(1-IF(AND(ArtifactsInput!$M$27,Inputs!$B$4="Chapter Hunt"),CHOOSE(ArtifactsInput!$N$27+1,20,24,28,32,36,40),0)/100)))))/Skills!H3,1)))/Inputs!$B$43),G162*Q162))*IF(Inputs!$B$38="pvp",1,(1+(Inputs!$B$21+Skills!Q3+(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
      <c r="A163">
        <f>Skills!A4</f>
        <v/>
      </c>
      <c r="B163">
        <f>Skills!B4</f>
        <v/>
      </c>
      <c r="C163">
        <f>Inputs!$B$3&gt;=40</f>
        <v/>
      </c>
      <c r="D163">
        <f>IF(Skills!C4=1,60+Inputs!$B$25+Inputs!$B$29,IF(Skills!C4=2,90+Inputs!$B$26+Inputs!$B$29,IF(Skills!C4=3,120+Inputs!$B$27+Inputs!$B$29,MAX(0,(Inputs!$B$3-100)*3)+Inputs!$B$28+Inputs!$B$29)))</f>
        <v/>
      </c>
      <c r="E163">
        <f>INDEX(FactorTable!$B$2:$Y$301, MATCH(ROUND(MIN(300,MAX(1,D163)),0), FactorTable!$A$2:$A$301,0), Skills!M4+1)</f>
        <v/>
      </c>
      <c r="F163">
        <f>IF(Skills!N4=TRUE,(Skills!L4/10)*(E163/1000),Skills!L4/10)+Skills!O4</f>
        <v/>
      </c>
      <c r="G163">
        <f>Skills!G4*IF(Skills!H4&gt;0,Skills!I4/Skills!H4,1)</f>
        <v/>
      </c>
      <c r="H163">
        <f>1-(1-Skills!J4/100)^Skills!K4</f>
        <v/>
      </c>
      <c r="I163" t="inlineStr">
        <is>
          <t>1</t>
        </is>
      </c>
      <c r="J163">
        <f>((Inputs!$B$6*(1+Inputs!$B$7/100))+(((Inputs!$B$12*(1+Inputs!$B$13/100))-(Inputs!$B$12*(1+Inputs!$B$13/100)))+0.25*((Inputs!$B$14+1)-Inputs!$B$14))*(1+Inputs!$B$7/100))*(F163/100)</f>
        <v/>
      </c>
      <c r="K163">
        <f>J163*(1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175=TRUE,F175,0)/100)*(1+(IF(Skills!A4="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f>
        <v/>
      </c>
      <c r="L163">
        <f>K163*(MIN(Inputs!$B$22+((C181=TRUE)*(F181-Calc!F22)),(Inputs!$B$23+0+(IF(ArtifactsInput!$M$15,CHOOSE(ArtifactsInput!$N$15+1,25,30,35,40,45,50)/100*(Inputs!$B$11-Inputs!$B$11),0))))/100+(Inputs!$B$23+0+(IF(ArtifactsInput!$M$15,CHOOSE(ArtifactsInput!$N$15+1,25,30,35,40,45,50)/100*(Inputs!$B$11-Inputs!$B$11),0)))/100)/2</f>
        <v/>
      </c>
      <c r="M163">
        <f>L163*(1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
        <f>L163*(1-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
        <f>(1-Summary!$B$11)*T163+Summary!$B$11*V163</f>
        <v/>
      </c>
      <c r="P163">
        <f>IF(B200=0,0,O163/B200)</f>
        <v/>
      </c>
      <c r="Q163">
        <f>IFERROR(1/(IF(Inputs!$B$38="pvp",15,MAX(0.1,Skills!D4-IF(Skills!E4=TRUE,Inputs!$B$32,0)))*(1-IF(AND(ArtifactsInput!$M$27,Inputs!$B$4="Chapter Hunt"),CHOOSE(ArtifactsInput!$N$27+1,20,24,28,32,36,40),0)/100)),0)</f>
        <v/>
      </c>
      <c r="R163">
        <f>IF(AND(Inputs!$B$38&lt;&gt;"pvp",Inputs!$B$43&gt;0),IF(MAX(0,Inputs!$B$43-B197)&lt;=0,0,(INT(MAX(0,Inputs!$B$43-B197)/(IF(Inputs!$B$38="pvp",15,MAX(0.1,Skills!D4-IF(Skills!E4=TRUE,Inputs!$B$32,0)))*(1-IF(AND(ArtifactsInput!$M$27,Inputs!$B$4="Chapter Hunt"),CHOOSE(ArtifactsInput!$N$27+1,20,24,28,32,36,40),0)/100)))+1)),0)</f>
        <v/>
      </c>
      <c r="S163">
        <f>IFERROR(O163/N163,0)</f>
        <v/>
      </c>
      <c r="T163">
        <f>IF(C163,(H163*N163*IF(AND(Inputs!$B$38&lt;&gt;"pvp",Inputs!$B$43&gt;0),((Skills!G4*((R163-1)*IF(Skills!H4&gt;0,Skills!I4/Skills!H4,1)+IF(Skills!H4&gt;0,MIN(Skills!I4,MAX(0,MAX(0,Inputs!$B$43-B197)-((R163-1)*(IF(Inputs!$B$38="pvp",15,MAX(0.1,Skills!D4-IF(Skills!E4=TRUE,Inputs!$B$32,0)))*(1-IF(AND(ArtifactsInput!$M$27,Inputs!$B$4="Chapter Hunt"),CHOOSE(ArtifactsInput!$N$27+1,20,24,28,32,36,40),0)/100)))))/Skills!H4,1)))/Inputs!$B$43),G163*Q163)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
        <f>290*U162/1000</f>
        <v/>
      </c>
      <c r="V163">
        <f>IF(C163,(H163*N163*IF(AND(Inputs!$B$38&lt;&gt;"pvp",Inputs!$B$43&gt;0),((Skills!G4*((R163-1)*IF(Skills!H4&gt;0,Skills!I4/Skills!H4,1)+IF(Skills!H4&gt;0,MIN(Skills!I4,MAX(0,MAX(0,Inputs!$B$43-B197)-((R163-1)*(IF(Inputs!$B$38="pvp",15,MAX(0.1,Skills!D4-IF(Skills!E4=TRUE,Inputs!$B$32,0)))*(1-IF(AND(ArtifactsInput!$M$27,Inputs!$B$4="Chapter Hunt"),CHOOSE(ArtifactsInput!$N$27+1,20,24,28,32,36,40),0)/100)))))/Skills!H4,1)))/Inputs!$B$43),G163*Q163))*IF(Inputs!$B$38="pvp",1,(1+(Inputs!$B$21+Skills!Q4+(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
      <c r="A164">
        <f>Skills!A5</f>
        <v/>
      </c>
      <c r="B164">
        <f>Skills!B5</f>
        <v/>
      </c>
      <c r="C164">
        <f>Inputs!$B$3&gt;=45</f>
        <v/>
      </c>
      <c r="D164">
        <f>IF(Skills!C5=1,60+Inputs!$B$25+Inputs!$B$29,IF(Skills!C5=2,90+Inputs!$B$26+Inputs!$B$29,IF(Skills!C5=3,120+Inputs!$B$27+Inputs!$B$29,MAX(0,(Inputs!$B$3-100)*3)+Inputs!$B$28+Inputs!$B$29)))</f>
        <v/>
      </c>
      <c r="E164">
        <f>INDEX(FactorTable!$B$2:$Y$301, MATCH(ROUND(MIN(300,MAX(1,D164)),0), FactorTable!$A$2:$A$301,0), Skills!M5+1)</f>
        <v/>
      </c>
      <c r="F164">
        <f>IF(Skills!N5=TRUE,(Skills!L5/10)*(E164/1000),Skills!L5/10)+Skills!O5</f>
        <v/>
      </c>
      <c r="G164">
        <f>Skills!G5*IF(Skills!H5&gt;0,Skills!I5/Skills!H5,1)</f>
        <v/>
      </c>
      <c r="H164">
        <f>1-(1-Skills!J5/100)^Skills!K5</f>
        <v/>
      </c>
      <c r="I164" t="inlineStr">
        <is>
          <t>1</t>
        </is>
      </c>
      <c r="J164">
        <f>((Inputs!$B$6*(1+Inputs!$B$7/100))+(((Inputs!$B$12*(1+Inputs!$B$13/100))-(Inputs!$B$12*(1+Inputs!$B$13/100)))+0.25*((Inputs!$B$14+1)-Inputs!$B$14))*(1+Inputs!$B$7/100))*(F164/100)</f>
        <v/>
      </c>
      <c r="K164">
        <f>J164*(1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175=TRUE,F175,0)/100)*(1+(IF(Skills!A5="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f>
        <v/>
      </c>
      <c r="L164">
        <f>K164*(MIN(Inputs!$B$22+((C181=TRUE)*(F181-Calc!F22)),(Inputs!$B$23+0+(IF(ArtifactsInput!$M$15,CHOOSE(ArtifactsInput!$N$15+1,25,30,35,40,45,50)/100*(Inputs!$B$11-Inputs!$B$11),0))))/100+(Inputs!$B$23+0+(IF(ArtifactsInput!$M$15,CHOOSE(ArtifactsInput!$N$15+1,25,30,35,40,45,50)/100*(Inputs!$B$11-Inputs!$B$11),0)))/100)/2</f>
        <v/>
      </c>
      <c r="M164">
        <f>L164*(1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
        <f>L164*(1-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
        <f>(1-Summary!$B$11)*T164+Summary!$B$11*V164</f>
        <v/>
      </c>
      <c r="P164">
        <f>IF(B200=0,0,O164/B200)</f>
        <v/>
      </c>
      <c r="Q164">
        <f>IFERROR(1/(IF(Inputs!$B$38="pvp",15,MAX(0.1,Skills!D5-IF(Skills!E5=TRUE,Inputs!$B$32,0)))*(1-IF(AND(ArtifactsInput!$M$27,Inputs!$B$4="Chapter Hunt"),CHOOSE(ArtifactsInput!$N$27+1,20,24,28,32,36,40),0)/100)),0)</f>
        <v/>
      </c>
      <c r="R164">
        <f>IF(AND(Inputs!$B$38&lt;&gt;"pvp",Inputs!$B$43&gt;0),IF(MAX(0,Inputs!$B$43-B197)&lt;=0,0,(INT(MAX(0,Inputs!$B$43-B197)/(IF(Inputs!$B$38="pvp",15,MAX(0.1,Skills!D5-IF(Skills!E5=TRUE,Inputs!$B$32,0)))*(1-IF(AND(ArtifactsInput!$M$27,Inputs!$B$4="Chapter Hunt"),CHOOSE(ArtifactsInput!$N$27+1,20,24,28,32,36,40),0)/100)))+1)),0)</f>
        <v/>
      </c>
      <c r="S164">
        <f>IFERROR(O164/N164,0)</f>
        <v/>
      </c>
      <c r="T164">
        <f>IF(C164,(H164*N164*IF(AND(Inputs!$B$38&lt;&gt;"pvp",Inputs!$B$43&gt;0),((Skills!G5*((R164-1)*IF(Skills!H5&gt;0,Skills!I5/Skills!H5,1)+IF(Skills!H5&gt;0,MIN(Skills!I5,MAX(0,MAX(0,Inputs!$B$43-B197)-((R164-1)*(IF(Inputs!$B$38="pvp",15,MAX(0.1,Skills!D5-IF(Skills!E5=TRUE,Inputs!$B$32,0)))*(1-IF(AND(ArtifactsInput!$M$27,Inputs!$B$4="Chapter Hunt"),CHOOSE(ArtifactsInput!$N$27+1,20,24,28,32,36,40),0)/100)))))/Skills!H5,1)))/Inputs!$B$43),G164*Q164)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
        <f>IF(C164,(H164*N164*IF(AND(Inputs!$B$38&lt;&gt;"pvp",Inputs!$B$43&gt;0),((Skills!G5*((R164-1)*IF(Skills!H5&gt;0,Skills!I5/Skills!H5,1)+IF(Skills!H5&gt;0,MIN(Skills!I5,MAX(0,MAX(0,Inputs!$B$43-B197)-((R164-1)*(IF(Inputs!$B$38="pvp",15,MAX(0.1,Skills!D5-IF(Skills!E5=TRUE,Inputs!$B$32,0)))*(1-IF(AND(ArtifactsInput!$M$27,Inputs!$B$4="Chapter Hunt"),CHOOSE(ArtifactsInput!$N$27+1,20,24,28,32,36,40),0)/100)))))/Skills!H5,1)))/Inputs!$B$43),G164*Q164))*IF(Inputs!$B$38="pvp",1,(1+(Inputs!$B$21+Skills!Q5+(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
      <c r="A165">
        <f>Skills!A6</f>
        <v/>
      </c>
      <c r="B165">
        <f>Skills!B6</f>
        <v/>
      </c>
      <c r="C165">
        <f>Inputs!$B$3&gt;=63</f>
        <v/>
      </c>
      <c r="D165">
        <f>IF(Skills!C6=1,60+Inputs!$B$25+Inputs!$B$29,IF(Skills!C6=2,90+Inputs!$B$26+Inputs!$B$29,IF(Skills!C6=3,120+Inputs!$B$27+Inputs!$B$29,MAX(0,(Inputs!$B$3-100)*3)+Inputs!$B$28+Inputs!$B$29)))</f>
        <v/>
      </c>
      <c r="E165">
        <f>INDEX(FactorTable!$B$2:$Y$301, MATCH(ROUND(MIN(300,MAX(1,D165)),0), FactorTable!$A$2:$A$301,0), Skills!M6+1)</f>
        <v/>
      </c>
      <c r="F165">
        <f>IF(Skills!N6=TRUE,(Skills!L6/10)*(E165/1000),Skills!L6/10)+Skills!O6</f>
        <v/>
      </c>
      <c r="G165">
        <f>Skills!G6*IF(Skills!H6&gt;0,Skills!I6/Skills!H6,1)</f>
        <v/>
      </c>
      <c r="H165">
        <f>1-(1-Skills!J6/100)^Skills!K6</f>
        <v/>
      </c>
      <c r="I165" t="inlineStr">
        <is>
          <t>1</t>
        </is>
      </c>
      <c r="J165">
        <f>((Inputs!$B$6*(1+Inputs!$B$7/100))+(((Inputs!$B$12*(1+Inputs!$B$13/100))-(Inputs!$B$12*(1+Inputs!$B$13/100)))+0.25*((Inputs!$B$14+1)-Inputs!$B$14))*(1+Inputs!$B$7/100))*(F165/100)</f>
        <v/>
      </c>
      <c r="K165">
        <f>J165*(1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174=TRUE,F174,0)/100)*(1+(IF(Skills!A6="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f>
        <v/>
      </c>
      <c r="L165">
        <f>K165*(MIN(Inputs!$B$22+((C181=TRUE)*(F181-Calc!F22)),(Inputs!$B$23+0+(IF(ArtifactsInput!$M$15,CHOOSE(ArtifactsInput!$N$15+1,25,30,35,40,45,50)/100*(Inputs!$B$11-Inputs!$B$11),0))))/100+(Inputs!$B$23+0+(IF(ArtifactsInput!$M$15,CHOOSE(ArtifactsInput!$N$15+1,25,30,35,40,45,50)/100*(Inputs!$B$11-Inputs!$B$11),0)))/100)/2</f>
        <v/>
      </c>
      <c r="M165">
        <f>L165*(1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
        <f>L165*(1-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
        <f>(1-Summary!$B$11)*T165+Summary!$B$11*V165</f>
        <v/>
      </c>
      <c r="P165">
        <f>IF(B200=0,0,O165/B200)</f>
        <v/>
      </c>
      <c r="Q165">
        <f>IFERROR(1/(IF(Inputs!$B$38="pvp",15,MAX(0.1,Skills!D6-IF(Skills!E6=TRUE,Inputs!$B$32,0)))*(1-IF(AND(ArtifactsInput!$M$27,Inputs!$B$4="Chapter Hunt"),CHOOSE(ArtifactsInput!$N$27+1,20,24,28,32,36,40),0)/100)),0)</f>
        <v/>
      </c>
      <c r="R165">
        <f>IF(AND(Inputs!$B$38&lt;&gt;"pvp",Inputs!$B$43&gt;0),IF(MAX(0,Inputs!$B$43-B197)&lt;=0,0,(INT(MAX(0,Inputs!$B$43-B197)/(IF(Inputs!$B$38="pvp",15,MAX(0.1,Skills!D6-IF(Skills!E6=TRUE,Inputs!$B$32,0)))*(1-IF(AND(ArtifactsInput!$M$27,Inputs!$B$4="Chapter Hunt"),CHOOSE(ArtifactsInput!$N$27+1,20,24,28,32,36,40),0)/100)))+1)),0)</f>
        <v/>
      </c>
      <c r="S165">
        <f>IFERROR(O165/N165,0)</f>
        <v/>
      </c>
      <c r="T165">
        <f>IF(C165,(H165*N165*IF(AND(Inputs!$B$38&lt;&gt;"pvp",Inputs!$B$43&gt;0),((Skills!G6*((R165-1)*IF(Skills!H6&gt;0,Skills!I6/Skills!H6,1)+IF(Skills!H6&gt;0,MIN(Skills!I6,MAX(0,MAX(0,Inputs!$B$43-B197)-((R165-1)*(IF(Inputs!$B$38="pvp",15,MAX(0.1,Skills!D6-IF(Skills!E6=TRUE,Inputs!$B$32,0)))*(1-IF(AND(ArtifactsInput!$M$27,Inputs!$B$4="Chapter Hunt"),CHOOSE(ArtifactsInput!$N$27+1,20,24,28,32,36,40),0)/100)))))/Skills!H6,1)))/Inputs!$B$43),G165*Q165)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
        <f>IF(C165,(H165*N165*IF(AND(Inputs!$B$38&lt;&gt;"pvp",Inputs!$B$43&gt;0),((Skills!G6*((R165-1)*IF(Skills!H6&gt;0,Skills!I6/Skills!H6,1)+IF(Skills!H6&gt;0,MIN(Skills!I6,MAX(0,MAX(0,Inputs!$B$43-B197)-((R165-1)*(IF(Inputs!$B$38="pvp",15,MAX(0.1,Skills!D6-IF(Skills!E6=TRUE,Inputs!$B$32,0)))*(1-IF(AND(ArtifactsInput!$M$27,Inputs!$B$4="Chapter Hunt"),CHOOSE(ArtifactsInput!$N$27+1,20,24,28,32,36,40),0)/100)))))/Skills!H6,1)))/Inputs!$B$43),G165*Q165))*IF(Inputs!$B$38="pvp",1,(1+(Inputs!$B$21+Skills!Q6+(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
      <c r="A166">
        <f>Skills!A7</f>
        <v/>
      </c>
      <c r="B166">
        <f>Skills!B7</f>
        <v/>
      </c>
      <c r="C166">
        <f>Inputs!$B$3&gt;=66</f>
        <v/>
      </c>
      <c r="D166">
        <f>IF(Skills!C7=1,60+Inputs!$B$25+Inputs!$B$29,IF(Skills!C7=2,90+Inputs!$B$26+Inputs!$B$29,IF(Skills!C7=3,120+Inputs!$B$27+Inputs!$B$29,MAX(0,(Inputs!$B$3-100)*3)+Inputs!$B$28+Inputs!$B$29)))</f>
        <v/>
      </c>
      <c r="E166">
        <f>INDEX(FactorTable!$B$2:$Y$301, MATCH(ROUND(MIN(300,MAX(1,D166)),0), FactorTable!$A$2:$A$301,0), Skills!M7+1)</f>
        <v/>
      </c>
      <c r="F166">
        <f>IF(Skills!N7=TRUE,(Skills!L7/10)*(E166/1000),Skills!L7/10)+Skills!O7</f>
        <v/>
      </c>
      <c r="G166">
        <f>Skills!G7*IF(Skills!H7&gt;0,Skills!I7/Skills!H7,1)</f>
        <v/>
      </c>
      <c r="H166">
        <f>1-(1-Skills!J7/100)^Skills!K7</f>
        <v/>
      </c>
      <c r="I166" t="inlineStr">
        <is>
          <t>1</t>
        </is>
      </c>
      <c r="J166">
        <f>((Inputs!$B$6*(1+Inputs!$B$7/100))+(((Inputs!$B$12*(1+Inputs!$B$13/100))-(Inputs!$B$12*(1+Inputs!$B$13/100)))+0.25*((Inputs!$B$14+1)-Inputs!$B$14))*(1+Inputs!$B$7/100))*(F166/100)</f>
        <v/>
      </c>
      <c r="K166">
        <f>J166*(1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174=TRUE,F174,0)/100)*(1+(IF(Skills!A7="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f>
        <v/>
      </c>
      <c r="L166">
        <f>K166*(MIN(Inputs!$B$22+((C181=TRUE)*(F181-Calc!F22)),(Inputs!$B$23+0+(IF(ArtifactsInput!$M$15,CHOOSE(ArtifactsInput!$N$15+1,25,30,35,40,45,50)/100*(Inputs!$B$11-Inputs!$B$11),0))))/100+(Inputs!$B$23+0+(IF(ArtifactsInput!$M$15,CHOOSE(ArtifactsInput!$N$15+1,25,30,35,40,45,50)/100*(Inputs!$B$11-Inputs!$B$11),0)))/100)/2</f>
        <v/>
      </c>
      <c r="M166">
        <f>L166*(1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
        <f>L166*(1-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
        <f>(1-Summary!$B$11)*T166+Summary!$B$11*V166</f>
        <v/>
      </c>
      <c r="P166">
        <f>IF(B200=0,0,O166/B200)</f>
        <v/>
      </c>
      <c r="Q166">
        <f>IFERROR(1/(IF(Inputs!$B$38="pvp",15,MAX(0.1,Skills!D7-IF(Skills!E7=TRUE,Inputs!$B$32,0)))*(1-IF(AND(ArtifactsInput!$M$27,Inputs!$B$4="Chapter Hunt"),CHOOSE(ArtifactsInput!$N$27+1,20,24,28,32,36,40),0)/100)),0)</f>
        <v/>
      </c>
      <c r="R166">
        <f>IF(AND(Inputs!$B$38&lt;&gt;"pvp",Inputs!$B$43&gt;0),IF(MAX(0,Inputs!$B$43-B197)&lt;=0,0,(INT(MAX(0,Inputs!$B$43-B197)/(IF(Inputs!$B$38="pvp",15,MAX(0.1,Skills!D7-IF(Skills!E7=TRUE,Inputs!$B$32,0)))*(1-IF(AND(ArtifactsInput!$M$27,Inputs!$B$4="Chapter Hunt"),CHOOSE(ArtifactsInput!$N$27+1,20,24,28,32,36,40),0)/100)))+1)),0)</f>
        <v/>
      </c>
      <c r="S166">
        <f>IFERROR(O166/N166,0)</f>
        <v/>
      </c>
      <c r="T166">
        <f>IF(C166,(H166*N166*IF(AND(Inputs!$B$38&lt;&gt;"pvp",Inputs!$B$43&gt;0),((Skills!G7*((R166-1)*IF(Skills!H7&gt;0,Skills!I7/Skills!H7,1)+IF(Skills!H7&gt;0,MIN(Skills!I7,MAX(0,MAX(0,Inputs!$B$43-B197)-((R166-1)*(IF(Inputs!$B$38="pvp",15,MAX(0.1,Skills!D7-IF(Skills!E7=TRUE,Inputs!$B$32,0)))*(1-IF(AND(ArtifactsInput!$M$27,Inputs!$B$4="Chapter Hunt"),CHOOSE(ArtifactsInput!$N$27+1,20,24,28,32,36,40),0)/100)))))/Skills!H7,1)))/Inputs!$B$43),G166*Q166)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
        <f>IF(C166,(H166*N166*IF(AND(Inputs!$B$38&lt;&gt;"pvp",Inputs!$B$43&gt;0),((Skills!G7*((R166-1)*IF(Skills!H7&gt;0,Skills!I7/Skills!H7,1)+IF(Skills!H7&gt;0,MIN(Skills!I7,MAX(0,MAX(0,Inputs!$B$43-B197)-((R166-1)*(IF(Inputs!$B$38="pvp",15,MAX(0.1,Skills!D7-IF(Skills!E7=TRUE,Inputs!$B$32,0)))*(1-IF(AND(ArtifactsInput!$M$27,Inputs!$B$4="Chapter Hunt"),CHOOSE(ArtifactsInput!$N$27+1,20,24,28,32,36,40),0)/100)))))/Skills!H7,1)))/Inputs!$B$43),G166*Q166))*IF(Inputs!$B$38="pvp",1,(1+(Inputs!$B$21+Skills!Q7+(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
      <c r="A167">
        <f>Skills!A8</f>
        <v/>
      </c>
      <c r="B167">
        <f>Skills!B8</f>
        <v/>
      </c>
      <c r="C167">
        <f>Inputs!$B$3&gt;=100</f>
        <v/>
      </c>
      <c r="D167">
        <f>IF(Skills!C8=1,60+Inputs!$B$25+Inputs!$B$29,IF(Skills!C8=2,90+Inputs!$B$26+Inputs!$B$29,IF(Skills!C8=3,120+Inputs!$B$27+Inputs!$B$29,MAX(0,(Inputs!$B$3-100)*3)+Inputs!$B$28+Inputs!$B$29)))</f>
        <v/>
      </c>
      <c r="E167">
        <f>INDEX(FactorTable!$B$2:$Y$301, MATCH(ROUND(MIN(300,MAX(1,D167)),0), FactorTable!$A$2:$A$301,0), Skills!M8+1)</f>
        <v/>
      </c>
      <c r="F167">
        <f>IF(Skills!N8=TRUE,(Skills!L8/10)*(E167/1000),Skills!L8/10)+Skills!O8</f>
        <v/>
      </c>
      <c r="G167">
        <f>Skills!G8*IF(Skills!H8&gt;0,Skills!I8/Skills!H8,1)</f>
        <v/>
      </c>
      <c r="H167">
        <f>1-(1-Skills!J8/100)^Skills!K8</f>
        <v/>
      </c>
      <c r="I167" t="inlineStr">
        <is>
          <t>1</t>
        </is>
      </c>
      <c r="J167">
        <f>((Inputs!$B$6*(1+Inputs!$B$7/100))+(((Inputs!$B$12*(1+Inputs!$B$13/100))-(Inputs!$B$12*(1+Inputs!$B$13/100)))+0.25*((Inputs!$B$14+1)-Inputs!$B$14))*(1+Inputs!$B$7/100))*(F167/100)</f>
        <v/>
      </c>
      <c r="K167">
        <f>J167*(1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f>
        <v/>
      </c>
      <c r="L167">
        <f>K167*(MIN(Inputs!$B$22+((C181=TRUE)*(F181-Calc!F22)),(Inputs!$B$23+0+(IF(ArtifactsInput!$M$15,CHOOSE(ArtifactsInput!$N$15+1,25,30,35,40,45,50)/100*(Inputs!$B$11-Inputs!$B$11),0))))/100+(Inputs!$B$23+0+(IF(ArtifactsInput!$M$15,CHOOSE(ArtifactsInput!$N$15+1,25,30,35,40,45,50)/100*(Inputs!$B$11-Inputs!$B$11),0)))/100)/2</f>
        <v/>
      </c>
      <c r="M167">
        <f>L167*(1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
        <f>L167*(1-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
        <f>(1-Summary!$B$11)*T167+Summary!$B$11*V167</f>
        <v/>
      </c>
      <c r="P167">
        <f>IF(B200=0,0,O167/B200)</f>
        <v/>
      </c>
      <c r="Q167">
        <f>IFERROR(1/(IF(Inputs!$B$38="pvp",15,MAX(0.1,Skills!D8-IF(Skills!E8=TRUE,Inputs!$B$32,0)))*(1-IF(AND(ArtifactsInput!$M$27,Inputs!$B$4="Chapter Hunt"),CHOOSE(ArtifactsInput!$N$27+1,20,24,28,32,36,40),0)/100)),0)</f>
        <v/>
      </c>
      <c r="R167">
        <f>IF(AND(Inputs!$B$38&lt;&gt;"pvp",Inputs!$B$43&gt;0),IF(MAX(0,Inputs!$B$43-B197)&lt;=0,0,(INT(MAX(0,Inputs!$B$43-B197)/(IF(Inputs!$B$38="pvp",15,MAX(0.1,Skills!D8-IF(Skills!E8=TRUE,Inputs!$B$32,0)))*(1-IF(AND(ArtifactsInput!$M$27,Inputs!$B$4="Chapter Hunt"),CHOOSE(ArtifactsInput!$N$27+1,20,24,28,32,36,40),0)/100)))+1)),0)</f>
        <v/>
      </c>
      <c r="S167">
        <f>IFERROR(O167/N167,0)</f>
        <v/>
      </c>
      <c r="T167">
        <f>IF(C167,(H167*N167*IF(AND(Inputs!$B$38&lt;&gt;"pvp",Inputs!$B$43&gt;0),((Skills!G8*((R167-1)*IF(Skills!H8&gt;0,Skills!I8/Skills!H8,1)+IF(Skills!H8&gt;0,MIN(Skills!I8,MAX(0,MAX(0,Inputs!$B$43-B197)-((R167-1)*(IF(Inputs!$B$38="pvp",15,MAX(0.1,Skills!D8-IF(Skills!E8=TRUE,Inputs!$B$32,0)))*(1-IF(AND(ArtifactsInput!$M$27,Inputs!$B$4="Chapter Hunt"),CHOOSE(ArtifactsInput!$N$27+1,20,24,28,32,36,40),0)/100)))))/Skills!H8,1)))/Inputs!$B$43),G167*Q167)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
        <f>IF(C167,(H167*N167*IF(AND(Inputs!$B$38&lt;&gt;"pvp",Inputs!$B$43&gt;0),((Skills!G8*((R167-1)*IF(Skills!H8&gt;0,Skills!I8/Skills!H8,1)+IF(Skills!H8&gt;0,MIN(Skills!I8,MAX(0,MAX(0,Inputs!$B$43-B197)-((R167-1)*(IF(Inputs!$B$38="pvp",15,MAX(0.1,Skills!D8-IF(Skills!E8=TRUE,Inputs!$B$32,0)))*(1-IF(AND(ArtifactsInput!$M$27,Inputs!$B$4="Chapter Hunt"),CHOOSE(ArtifactsInput!$N$27+1,20,24,28,32,36,40),0)/100)))))/Skills!H8,1)))/Inputs!$B$43),G167*Q167))*IF(Inputs!$B$38="pvp",1,(1+(Inputs!$B$21+Skills!Q8+(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
      <c r="A168">
        <f>Skills!A9</f>
        <v/>
      </c>
      <c r="B168">
        <f>Skills!B9</f>
        <v/>
      </c>
      <c r="C168">
        <f>Inputs!$B$3&gt;=103</f>
        <v/>
      </c>
      <c r="D168">
        <f>IF(Skills!C9=1,60+Inputs!$B$25+Inputs!$B$29,IF(Skills!C9=2,90+Inputs!$B$26+Inputs!$B$29,IF(Skills!C9=3,120+Inputs!$B$27+Inputs!$B$29,MAX(0,(Inputs!$B$3-100)*3)+Inputs!$B$28+Inputs!$B$29)))</f>
        <v/>
      </c>
      <c r="E168">
        <f>INDEX(FactorTable!$B$2:$Y$301, MATCH(ROUND(MIN(300,MAX(1,D168)),0), FactorTable!$A$2:$A$301,0), Skills!M9+1)</f>
        <v/>
      </c>
      <c r="F168">
        <f>IF(Skills!N9=TRUE,(Skills!L9/10)*(E168/1000),Skills!L9/10)+Skills!O9</f>
        <v/>
      </c>
      <c r="G168">
        <f>Skills!G9*IF(Skills!H9&gt;0,Skills!I9/Skills!H9,1)</f>
        <v/>
      </c>
      <c r="H168">
        <f>1-(1-Skills!J9/100)^Skills!K9</f>
        <v/>
      </c>
      <c r="I168" t="inlineStr">
        <is>
          <t>1</t>
        </is>
      </c>
      <c r="J168">
        <f>((Inputs!$B$6*(1+Inputs!$B$7/100))+(((Inputs!$B$12*(1+Inputs!$B$13/100))-(Inputs!$B$12*(1+Inputs!$B$13/100)))+0.25*((Inputs!$B$14+1)-Inputs!$B$14))*(1+Inputs!$B$7/100))*(F168/100)</f>
        <v/>
      </c>
      <c r="K168">
        <f>J168*(1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f>
        <v/>
      </c>
      <c r="L168">
        <f>K168*(MIN(Inputs!$B$22+((C181=TRUE)*(F181-Calc!F22)),(Inputs!$B$23+0+(IF(ArtifactsInput!$M$15,CHOOSE(ArtifactsInput!$N$15+1,25,30,35,40,45,50)/100*(Inputs!$B$11-Inputs!$B$11),0))))/100+(Inputs!$B$23+0+(IF(ArtifactsInput!$M$15,CHOOSE(ArtifactsInput!$N$15+1,25,30,35,40,45,50)/100*(Inputs!$B$11-Inputs!$B$11),0)))/100)/2</f>
        <v/>
      </c>
      <c r="M168">
        <f>L168*(1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
        <f>L168*(1-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
        <f>(1-Summary!$B$11)*T168+Summary!$B$11*V168</f>
        <v/>
      </c>
      <c r="P168">
        <f>IF(B200=0,0,O168/B200)</f>
        <v/>
      </c>
      <c r="Q168">
        <f>IFERROR(1/(IF(Inputs!$B$38="pvp",15,MAX(0.1,Skills!D9-IF(Skills!E9=TRUE,Inputs!$B$32,0)))*(1-IF(AND(ArtifactsInput!$M$27,Inputs!$B$4="Chapter Hunt"),CHOOSE(ArtifactsInput!$N$27+1,20,24,28,32,36,40),0)/100)),0)</f>
        <v/>
      </c>
      <c r="R168">
        <f>IF(AND(Inputs!$B$38&lt;&gt;"pvp",Inputs!$B$43&gt;0),IF(MAX(0,Inputs!$B$43-B197)&lt;=0,0,(INT(MAX(0,Inputs!$B$43-B197)/(IF(Inputs!$B$38="pvp",15,MAX(0.1,Skills!D9-IF(Skills!E9=TRUE,Inputs!$B$32,0)))*(1-IF(AND(ArtifactsInput!$M$27,Inputs!$B$4="Chapter Hunt"),CHOOSE(ArtifactsInput!$N$27+1,20,24,28,32,36,40),0)/100)))+1)),0)</f>
        <v/>
      </c>
      <c r="S168">
        <f>IFERROR(O168/N168,0)</f>
        <v/>
      </c>
      <c r="T168">
        <f>IF(C168,(H168*N168*IF(AND(Inputs!$B$38&lt;&gt;"pvp",Inputs!$B$43&gt;0),((Skills!G9*((R168-1)*IF(Skills!H9&gt;0,Skills!I9/Skills!H9,1)+IF(Skills!H9&gt;0,MIN(Skills!I9,MAX(0,MAX(0,Inputs!$B$43-B197)-((R168-1)*(IF(Inputs!$B$38="pvp",15,MAX(0.1,Skills!D9-IF(Skills!E9=TRUE,Inputs!$B$32,0)))*(1-IF(AND(ArtifactsInput!$M$27,Inputs!$B$4="Chapter Hunt"),CHOOSE(ArtifactsInput!$N$27+1,20,24,28,32,36,40),0)/100)))))/Skills!H9,1)))/Inputs!$B$43),G168*Q168)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
        <f>IF(C168,(H168*N168*IF(AND(Inputs!$B$38&lt;&gt;"pvp",Inputs!$B$43&gt;0),((Skills!G9*((R168-1)*IF(Skills!H9&gt;0,Skills!I9/Skills!H9,1)+IF(Skills!H9&gt;0,MIN(Skills!I9,MAX(0,MAX(0,Inputs!$B$43-B197)-((R168-1)*(IF(Inputs!$B$38="pvp",15,MAX(0.1,Skills!D9-IF(Skills!E9=TRUE,Inputs!$B$32,0)))*(1-IF(AND(ArtifactsInput!$M$27,Inputs!$B$4="Chapter Hunt"),CHOOSE(ArtifactsInput!$N$27+1,20,24,28,32,36,40),0)/100)))))/Skills!H9,1)))/Inputs!$B$43),G168*Q168))*IF(Inputs!$B$38="pvp",1,(1+(Inputs!$B$21+Skills!Q9+(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
      <c r="A169">
        <f>Skills!A10</f>
        <v/>
      </c>
      <c r="B169">
        <f>Skills!B10</f>
        <v/>
      </c>
      <c r="C169">
        <f>Inputs!$B$3&gt;=113</f>
        <v/>
      </c>
      <c r="D169">
        <f>IF(Skills!C10=1,60+Inputs!$B$25+Inputs!$B$29,IF(Skills!C10=2,90+Inputs!$B$26+Inputs!$B$29,IF(Skills!C10=3,120+Inputs!$B$27+Inputs!$B$29,MAX(0,(Inputs!$B$3-100)*3)+Inputs!$B$28+Inputs!$B$29)))</f>
        <v/>
      </c>
      <c r="E169">
        <f>INDEX(FactorTable!$B$2:$Y$301, MATCH(ROUND(MIN(300,MAX(1,D169)),0), FactorTable!$A$2:$A$301,0), Skills!M10+1)</f>
        <v/>
      </c>
      <c r="F169">
        <f>IF(Skills!N10=TRUE,(Skills!L10/10)*(E169/1000),Skills!L10/10)+Skills!O10</f>
        <v/>
      </c>
      <c r="G169">
        <f>Skills!G10*IF(Skills!H10&gt;0,Skills!I10/Skills!H10,1)</f>
        <v/>
      </c>
      <c r="H169">
        <f>1-(1-Skills!J10/100)^Skills!K10</f>
        <v/>
      </c>
      <c r="I169" t="inlineStr">
        <is>
          <t>1</t>
        </is>
      </c>
      <c r="J169">
        <f>((Inputs!$B$6*(1+Inputs!$B$7/100))+(((Inputs!$B$12*(1+Inputs!$B$13/100))-(Inputs!$B$12*(1+Inputs!$B$13/100)))+0.25*((Inputs!$B$14+1)-Inputs!$B$14))*(1+Inputs!$B$7/100))*(F169/100)</f>
        <v/>
      </c>
      <c r="K169">
        <f>J169*(1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f>
        <v/>
      </c>
      <c r="L169">
        <f>K169*(MIN(Inputs!$B$22+((C181=TRUE)*(F181-Calc!F22)),(Inputs!$B$23+0+(IF(ArtifactsInput!$M$15,CHOOSE(ArtifactsInput!$N$15+1,25,30,35,40,45,50)/100*(Inputs!$B$11-Inputs!$B$11),0))))/100+(Inputs!$B$23+0+(IF(ArtifactsInput!$M$15,CHOOSE(ArtifactsInput!$N$15+1,25,30,35,40,45,50)/100*(Inputs!$B$11-Inputs!$B$11),0)))/100)/2</f>
        <v/>
      </c>
      <c r="M169">
        <f>L169*(1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
        <f>L169*(1-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
        <f>(1-Summary!$B$11)*T169+Summary!$B$11*V169</f>
        <v/>
      </c>
      <c r="P169">
        <f>IF(B200=0,0,O169/B200)</f>
        <v/>
      </c>
      <c r="Q169">
        <f>IFERROR(1/(IF(Inputs!$B$38="pvp",15,MAX(0.1,Skills!D10-IF(Skills!E10=TRUE,Inputs!$B$32,0)))*(1-IF(AND(ArtifactsInput!$M$27,Inputs!$B$4="Chapter Hunt"),CHOOSE(ArtifactsInput!$N$27+1,20,24,28,32,36,40),0)/100)),0)</f>
        <v/>
      </c>
      <c r="R169">
        <f>IF(AND(Inputs!$B$38&lt;&gt;"pvp",Inputs!$B$43&gt;0),IF(MAX(0,Inputs!$B$43-B197)&lt;=0,0,(INT(MAX(0,Inputs!$B$43-B197)/(IF(Inputs!$B$38="pvp",15,MAX(0.1,Skills!D10-IF(Skills!E10=TRUE,Inputs!$B$32,0)))*(1-IF(AND(ArtifactsInput!$M$27,Inputs!$B$4="Chapter Hunt"),CHOOSE(ArtifactsInput!$N$27+1,20,24,28,32,36,40),0)/100)))+1)),0)</f>
        <v/>
      </c>
      <c r="S169">
        <f>IFERROR(O169/N169,0)</f>
        <v/>
      </c>
      <c r="T169">
        <f>IF(C169,(H169*N169*IF(AND(Inputs!$B$38&lt;&gt;"pvp",Inputs!$B$43&gt;0),((Skills!G10*((R169-1)*IF(Skills!H10&gt;0,Skills!I10/Skills!H10,1)+IF(Skills!H10&gt;0,MIN(Skills!I10,MAX(0,MAX(0,Inputs!$B$43-B197)-((R169-1)*(IF(Inputs!$B$38="pvp",15,MAX(0.1,Skills!D10-IF(Skills!E10=TRUE,Inputs!$B$32,0)))*(1-IF(AND(ArtifactsInput!$M$27,Inputs!$B$4="Chapter Hunt"),CHOOSE(ArtifactsInput!$N$27+1,20,24,28,32,36,40),0)/100)))))/Skills!H10,1)))/Inputs!$B$43),G169*Q169)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
        <f>IF(C169,(H169*N169*IF(AND(Inputs!$B$38&lt;&gt;"pvp",Inputs!$B$43&gt;0),((Skills!G10*((R169-1)*IF(Skills!H10&gt;0,Skills!I10/Skills!H10,1)+IF(Skills!H10&gt;0,MIN(Skills!I10,MAX(0,MAX(0,Inputs!$B$43-B197)-((R169-1)*(IF(Inputs!$B$38="pvp",15,MAX(0.1,Skills!D10-IF(Skills!E10=TRUE,Inputs!$B$32,0)))*(1-IF(AND(ArtifactsInput!$M$27,Inputs!$B$4="Chapter Hunt"),CHOOSE(ArtifactsInput!$N$27+1,20,24,28,32,36,40),0)/100)))))/Skills!H10,1)))/Inputs!$B$43),G169*Q169))*IF(Inputs!$B$38="pvp",1,(1+(Inputs!$B$21+Skills!Q10+(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
      <c r="A170">
        <f>Skills!A11</f>
        <v/>
      </c>
      <c r="B170">
        <f>Skills!B11</f>
        <v/>
      </c>
      <c r="C170">
        <f>Inputs!$B$3&gt;=107</f>
        <v/>
      </c>
      <c r="D170">
        <f>IF(Skills!C11=1,60+Inputs!$B$25+Inputs!$B$29,IF(Skills!C11=2,90+Inputs!$B$26+Inputs!$B$29,IF(Skills!C11=3,120+Inputs!$B$27+Inputs!$B$29,MAX(0,(Inputs!$B$3-100)*3)+Inputs!$B$28+Inputs!$B$29)))</f>
        <v/>
      </c>
      <c r="E170">
        <f>INDEX(FactorTable!$B$2:$Y$301, MATCH(ROUND(MIN(300,MAX(1,D170)),0), FactorTable!$A$2:$A$301,0), Skills!M11+1)</f>
        <v/>
      </c>
      <c r="F170">
        <f>IF(Skills!N11=TRUE,(Skills!L11/10)*(E170/1000),Skills!L11/10)+Skills!O11</f>
        <v/>
      </c>
      <c r="G170">
        <f>Skills!G11*IF(Skills!H11&gt;0,Skills!I11/Skills!H11,1)</f>
        <v/>
      </c>
      <c r="H170">
        <f>1-(1-Skills!J11/100)^Skills!K11</f>
        <v/>
      </c>
      <c r="I170" t="inlineStr">
        <is>
          <t>1</t>
        </is>
      </c>
      <c r="J170">
        <f>((Inputs!$B$6*(1+Inputs!$B$7/100))+(((Inputs!$B$12*(1+Inputs!$B$13/100))-(Inputs!$B$12*(1+Inputs!$B$13/100)))+0.25*((Inputs!$B$14+1)-Inputs!$B$14))*(1+Inputs!$B$7/100))*(F170/100)</f>
        <v/>
      </c>
      <c r="K170">
        <f>J170*(1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f>
        <v/>
      </c>
      <c r="L170">
        <f>K170*(MIN(Inputs!$B$22+((C181=TRUE)*(F181-Calc!F22)),(Inputs!$B$23+0+(IF(ArtifactsInput!$M$15,CHOOSE(ArtifactsInput!$N$15+1,25,30,35,40,45,50)/100*(Inputs!$B$11-Inputs!$B$11),0))))/100+(Inputs!$B$23+0+(IF(ArtifactsInput!$M$15,CHOOSE(ArtifactsInput!$N$15+1,25,30,35,40,45,50)/100*(Inputs!$B$11-Inputs!$B$11),0)))/100)/2</f>
        <v/>
      </c>
      <c r="M170">
        <f>L170*(1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
        <f>L170*(1-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
        <f>(1-Summary!$B$11)*T170+Summary!$B$11*V170</f>
        <v/>
      </c>
      <c r="P170">
        <f>IF(B200=0,0,O170/B200)</f>
        <v/>
      </c>
      <c r="Q170">
        <f>IFERROR(1/(IF(Inputs!$B$38="pvp",15,MAX(0.1,Skills!D11-IF(Skills!E11=TRUE,Inputs!$B$32,0)))*(1-IF(AND(ArtifactsInput!$M$27,Inputs!$B$4="Chapter Hunt"),CHOOSE(ArtifactsInput!$N$27+1,20,24,28,32,36,40),0)/100)),0)</f>
        <v/>
      </c>
      <c r="R170">
        <f>IF(AND(Inputs!$B$38&lt;&gt;"pvp",Inputs!$B$43&gt;0),IF(MAX(0,Inputs!$B$43-B197)&lt;=0,0,(INT(MAX(0,Inputs!$B$43-B197)/(IF(Inputs!$B$38="pvp",15,MAX(0.1,Skills!D11-IF(Skills!E11=TRUE,Inputs!$B$32,0)))*(1-IF(AND(ArtifactsInput!$M$27,Inputs!$B$4="Chapter Hunt"),CHOOSE(ArtifactsInput!$N$27+1,20,24,28,32,36,40),0)/100)))+1)),0)</f>
        <v/>
      </c>
      <c r="S170">
        <f>IFERROR(O170/N170,0)</f>
        <v/>
      </c>
      <c r="T170">
        <f>IF(C170,(H170*N170*IF(AND(Inputs!$B$38&lt;&gt;"pvp",Inputs!$B$43&gt;0),((Skills!G11*((R170-1)*IF(Skills!H11&gt;0,Skills!I11/Skills!H11,1)+IF(Skills!H11&gt;0,MIN(Skills!I11,MAX(0,MAX(0,Inputs!$B$43-B197)-((R170-1)*(IF(Inputs!$B$38="pvp",15,MAX(0.1,Skills!D11-IF(Skills!E11=TRUE,Inputs!$B$32,0)))*(1-IF(AND(ArtifactsInput!$M$27,Inputs!$B$4="Chapter Hunt"),CHOOSE(ArtifactsInput!$N$27+1,20,24,28,32,36,40),0)/100)))))/Skills!H11,1)))/Inputs!$B$43),G170*Q170)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
        <f>IF(C170,(H170*N170*IF(AND(Inputs!$B$38&lt;&gt;"pvp",Inputs!$B$43&gt;0),((Skills!G11*((R170-1)*IF(Skills!H11&gt;0,Skills!I11/Skills!H11,1)+IF(Skills!H11&gt;0,MIN(Skills!I11,MAX(0,MAX(0,Inputs!$B$43-B197)-((R170-1)*(IF(Inputs!$B$38="pvp",15,MAX(0.1,Skills!D11-IF(Skills!E11=TRUE,Inputs!$B$32,0)))*(1-IF(AND(ArtifactsInput!$M$27,Inputs!$B$4="Chapter Hunt"),CHOOSE(ArtifactsInput!$N$27+1,20,24,28,32,36,40),0)/100)))))/Skills!H11,1)))/Inputs!$B$43),G170*Q170))*IF(Inputs!$B$38="pvp",1,(1+(Inputs!$B$21+Skills!Q11+(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
      <c r="A171">
        <f>Skills!A12</f>
        <v/>
      </c>
      <c r="B171">
        <f>Skills!B12</f>
        <v/>
      </c>
      <c r="C171">
        <f>Inputs!$B$3&gt;=110</f>
        <v/>
      </c>
      <c r="D171">
        <f>IF(Skills!C12=1,60+Inputs!$B$25+Inputs!$B$29,IF(Skills!C12=2,90+Inputs!$B$26+Inputs!$B$29,IF(Skills!C12=3,120+Inputs!$B$27+Inputs!$B$29,MAX(0,(Inputs!$B$3-100)*3)+Inputs!$B$28+Inputs!$B$29)))</f>
        <v/>
      </c>
      <c r="E171">
        <f>INDEX(FactorTable!$B$2:$Y$301, MATCH(ROUND(MIN(300,MAX(1,D171)),0), FactorTable!$A$2:$A$301,0), Skills!M12+1)</f>
        <v/>
      </c>
      <c r="F171">
        <f>IF(Skills!N12=TRUE,(Skills!L12/10)*(E171/1000),Skills!L12/10)+Skills!O12</f>
        <v/>
      </c>
      <c r="G171">
        <f>Skills!G12*IF(Skills!H12&gt;0,Skills!I12/Skills!H12,1)</f>
        <v/>
      </c>
      <c r="H171">
        <f>1-(1-Skills!J12/100)^Skills!K12</f>
        <v/>
      </c>
      <c r="I171" t="inlineStr">
        <is>
          <t>1</t>
        </is>
      </c>
      <c r="J171">
        <f>((Inputs!$B$6*(1+Inputs!$B$7/100))+(((Inputs!$B$12*(1+Inputs!$B$13/100))-(Inputs!$B$12*(1+Inputs!$B$13/100)))+0.25*((Inputs!$B$14+1)-Inputs!$B$14))*(1+Inputs!$B$7/100))*(F171/100)</f>
        <v/>
      </c>
      <c r="K171">
        <f>J171*(1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f>
        <v/>
      </c>
      <c r="L171">
        <f>K171*(MIN(Inputs!$B$22+((C181=TRUE)*(F181-Calc!F22)),(Inputs!$B$23+0+(IF(ArtifactsInput!$M$15,CHOOSE(ArtifactsInput!$N$15+1,25,30,35,40,45,50)/100*(Inputs!$B$11-Inputs!$B$11),0))))/100+(Inputs!$B$23+0+(IF(ArtifactsInput!$M$15,CHOOSE(ArtifactsInput!$N$15+1,25,30,35,40,45,50)/100*(Inputs!$B$11-Inputs!$B$11),0)))/100)/2</f>
        <v/>
      </c>
      <c r="M171">
        <f>L171*(1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
        <f>L171*(1-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
        <f>(1-Summary!$B$11)*T171+Summary!$B$11*V171</f>
        <v/>
      </c>
      <c r="P171">
        <f>IF(B200=0,0,O171/B200)</f>
        <v/>
      </c>
      <c r="Q171">
        <f>IFERROR(1/(IF(Inputs!$B$38="pvp",15,MAX(0.1,Skills!D12-IF(Skills!E12=TRUE,Inputs!$B$32,0)))*(1-IF(AND(ArtifactsInput!$M$27,Inputs!$B$4="Chapter Hunt"),CHOOSE(ArtifactsInput!$N$27+1,20,24,28,32,36,40),0)/100)),0)</f>
        <v/>
      </c>
      <c r="R171">
        <f>IF(AND(Inputs!$B$38&lt;&gt;"pvp",Inputs!$B$43&gt;0),IF(MAX(0,Inputs!$B$43-B197)&lt;=0,0,(INT(MAX(0,Inputs!$B$43-B197)/(IF(Inputs!$B$38="pvp",15,MAX(0.1,Skills!D12-IF(Skills!E12=TRUE,Inputs!$B$32,0)))*(1-IF(AND(ArtifactsInput!$M$27,Inputs!$B$4="Chapter Hunt"),CHOOSE(ArtifactsInput!$N$27+1,20,24,28,32,36,40),0)/100)))+1)),0)</f>
        <v/>
      </c>
      <c r="S171">
        <f>IFERROR(O171/N171,0)</f>
        <v/>
      </c>
      <c r="T171">
        <f>IF(C171,(H171*N171*IF(AND(Inputs!$B$38&lt;&gt;"pvp",Inputs!$B$43&gt;0),((Skills!G12*((R171-1)*IF(Skills!H12&gt;0,Skills!I12/Skills!H12,1)+IF(Skills!H12&gt;0,MIN(Skills!I12,MAX(0,MAX(0,Inputs!$B$43-B197)-((R171-1)*(IF(Inputs!$B$38="pvp",15,MAX(0.1,Skills!D12-IF(Skills!E12=TRUE,Inputs!$B$32,0)))*(1-IF(AND(ArtifactsInput!$M$27,Inputs!$B$4="Chapter Hunt"),CHOOSE(ArtifactsInput!$N$27+1,20,24,28,32,36,40),0)/100)))))/Skills!H12,1)))/Inputs!$B$43),G171*Q171)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
        <f>IF(C171,(H171*N171*IF(AND(Inputs!$B$38&lt;&gt;"pvp",Inputs!$B$43&gt;0),((Skills!G12*((R171-1)*IF(Skills!H12&gt;0,Skills!I12/Skills!H12,1)+IF(Skills!H12&gt;0,MIN(Skills!I12,MAX(0,MAX(0,Inputs!$B$43-B197)-((R171-1)*(IF(Inputs!$B$38="pvp",15,MAX(0.1,Skills!D12-IF(Skills!E12=TRUE,Inputs!$B$32,0)))*(1-IF(AND(ArtifactsInput!$M$27,Inputs!$B$4="Chapter Hunt"),CHOOSE(ArtifactsInput!$N$27+1,20,24,28,32,36,40),0)/100)))))/Skills!H12,1)))/Inputs!$B$43),G171*Q171))*IF(Inputs!$B$38="pvp",1,(1+(Inputs!$B$21+Skills!Q12+(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
      <c r="A172">
        <f>Skills!A13</f>
        <v/>
      </c>
      <c r="B172">
        <f>Skills!B13</f>
        <v/>
      </c>
      <c r="C172">
        <f>Inputs!$B$3&gt;=110</f>
        <v/>
      </c>
      <c r="D172">
        <f>IF(Skills!C13=1,60+Inputs!$B$25+Inputs!$B$29,IF(Skills!C13=2,90+Inputs!$B$26+Inputs!$B$29,IF(Skills!C13=3,120+Inputs!$B$27+Inputs!$B$29,MAX(0,(Inputs!$B$3-100)*3)+Inputs!$B$28+Inputs!$B$29)))</f>
        <v/>
      </c>
      <c r="E172">
        <f>INDEX(FactorTable!$B$2:$Y$301, MATCH(ROUND(MIN(300,MAX(1,D172)),0), FactorTable!$A$2:$A$301,0), Skills!M13+1)</f>
        <v/>
      </c>
      <c r="F172">
        <f>IF(Skills!N13=TRUE,(Skills!L13/10)*(E172/1000),Skills!L13/10)+Skills!O13</f>
        <v/>
      </c>
      <c r="G172">
        <f>Skills!G13*IF(Skills!H13&gt;0,Skills!I13/Skills!H13,1)</f>
        <v/>
      </c>
      <c r="H172">
        <f>1-(1-Skills!J13/100)^Skills!K13</f>
        <v/>
      </c>
      <c r="I172" t="inlineStr">
        <is>
          <t>1</t>
        </is>
      </c>
      <c r="J172">
        <f>((Inputs!$B$6*(1+Inputs!$B$7/100))+(((Inputs!$B$12*(1+Inputs!$B$13/100))-(Inputs!$B$12*(1+Inputs!$B$13/100)))+0.25*((Inputs!$B$14+1)-Inputs!$B$14))*(1+Inputs!$B$7/100))*(F172/100)</f>
        <v/>
      </c>
      <c r="K172">
        <f>J172*(1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f>
        <v/>
      </c>
      <c r="L172">
        <f>K172*(MIN(Inputs!$B$22+((C181=TRUE)*(F181-Calc!F22)),(Inputs!$B$23+0+(IF(ArtifactsInput!$M$15,CHOOSE(ArtifactsInput!$N$15+1,25,30,35,40,45,50)/100*(Inputs!$B$11-Inputs!$B$11),0))))/100+(Inputs!$B$23+0+(IF(ArtifactsInput!$M$15,CHOOSE(ArtifactsInput!$N$15+1,25,30,35,40,45,50)/100*(Inputs!$B$11-Inputs!$B$11),0)))/100)/2</f>
        <v/>
      </c>
      <c r="M172">
        <f>L172*(1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
        <f>L172*(1-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
        <f>(1-Summary!$B$11)*T172+Summary!$B$11*V172</f>
        <v/>
      </c>
      <c r="P172">
        <f>IF(B200=0,0,O172/B200)</f>
        <v/>
      </c>
      <c r="Q172">
        <f>IFERROR(1/(IF(Inputs!$B$38="pvp",15,MAX(0.1,Skills!D13-IF(Skills!E13=TRUE,Inputs!$B$32,0)))*(1-IF(AND(ArtifactsInput!$M$27,Inputs!$B$4="Chapter Hunt"),CHOOSE(ArtifactsInput!$N$27+1,20,24,28,32,36,40),0)/100)),0)</f>
        <v/>
      </c>
      <c r="R172">
        <f>IF(AND(Inputs!$B$38&lt;&gt;"pvp",Inputs!$B$43&gt;0),IF(MAX(0,Inputs!$B$43-B197)&lt;=0,0,(INT(MAX(0,Inputs!$B$43-B197)/(IF(Inputs!$B$38="pvp",15,MAX(0.1,Skills!D13-IF(Skills!E13=TRUE,Inputs!$B$32,0)))*(1-IF(AND(ArtifactsInput!$M$27,Inputs!$B$4="Chapter Hunt"),CHOOSE(ArtifactsInput!$N$27+1,20,24,28,32,36,40),0)/100)))+1)),0)</f>
        <v/>
      </c>
      <c r="S172">
        <f>IFERROR(O172/N172,0)</f>
        <v/>
      </c>
      <c r="T172">
        <f>IF(C172,(H172*N172*IF(AND(Inputs!$B$38&lt;&gt;"pvp",Inputs!$B$43&gt;0),((Skills!G13*((R172-1)*IF(Skills!H13&gt;0,Skills!I13/Skills!H13,1)+IF(Skills!H13&gt;0,MIN(Skills!I13,MAX(0,MAX(0,Inputs!$B$43-B197)-((R172-1)*(IF(Inputs!$B$38="pvp",15,MAX(0.1,Skills!D13-IF(Skills!E13=TRUE,Inputs!$B$32,0)))*(1-IF(AND(ArtifactsInput!$M$27,Inputs!$B$4="Chapter Hunt"),CHOOSE(ArtifactsInput!$N$27+1,20,24,28,32,36,40),0)/100)))))/Skills!H13,1)))/Inputs!$B$43),G172*Q172)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
        <f>IF(C172,(H172*N172*IF(AND(Inputs!$B$38&lt;&gt;"pvp",Inputs!$B$43&gt;0),((Skills!G13*((R172-1)*IF(Skills!H13&gt;0,Skills!I13/Skills!H13,1)+IF(Skills!H13&gt;0,MIN(Skills!I13,MAX(0,MAX(0,Inputs!$B$43-B197)-((R172-1)*(IF(Inputs!$B$38="pvp",15,MAX(0.1,Skills!D13-IF(Skills!E13=TRUE,Inputs!$B$32,0)))*(1-IF(AND(ArtifactsInput!$M$27,Inputs!$B$4="Chapter Hunt"),CHOOSE(ArtifactsInput!$N$27+1,20,24,28,32,36,40),0)/100)))))/Skills!H13,1)))/Inputs!$B$43),G172*Q172))*IF(Inputs!$B$38="pvp",1,(1+(Inputs!$B$21+Skills!Q13+(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
      <c r="A173">
        <f>Skills!A14</f>
        <v/>
      </c>
      <c r="B173">
        <f>Skills!B14</f>
        <v/>
      </c>
      <c r="C173">
        <f>Inputs!$B$3&gt;=125</f>
        <v/>
      </c>
      <c r="D173">
        <f>IF(Skills!C14=1,60+Inputs!$B$25+Inputs!$B$29,IF(Skills!C14=2,90+Inputs!$B$26+Inputs!$B$29,IF(Skills!C14=3,120+Inputs!$B$27+Inputs!$B$29,MAX(0,(Inputs!$B$3-100)*3)+Inputs!$B$28+Inputs!$B$29)))</f>
        <v/>
      </c>
      <c r="E173">
        <f>INDEX(FactorTable!$B$2:$Y$301, MATCH(ROUND(MIN(300,MAX(1,D173)),0), FactorTable!$A$2:$A$301,0), Skills!M14+1)</f>
        <v/>
      </c>
      <c r="F173">
        <f>IF(Skills!N14=TRUE,(Skills!L14/10)*(E173/1000),Skills!L14/10)+Skills!O14</f>
        <v/>
      </c>
      <c r="G173">
        <f>Skills!G14*IF(Skills!H14&gt;0,Skills!I14/Skills!H14,1)</f>
        <v/>
      </c>
      <c r="H173">
        <f>1-(1-Skills!J14/100)^Skills!K14</f>
        <v/>
      </c>
      <c r="I173" t="inlineStr">
        <is>
          <t>1</t>
        </is>
      </c>
      <c r="J173">
        <f>((Inputs!$B$6*(1+Inputs!$B$7/100))+(((Inputs!$B$12*(1+Inputs!$B$13/100))-(Inputs!$B$12*(1+Inputs!$B$13/100)))+0.25*((Inputs!$B$14+1)-Inputs!$B$14))*(1+Inputs!$B$7/100))*(F173/100)</f>
        <v/>
      </c>
      <c r="K173">
        <f>J173*(1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f>
        <v/>
      </c>
      <c r="L173">
        <f>K173*(MIN(Inputs!$B$22+((C181=TRUE)*(F181-Calc!F22)),(Inputs!$B$23+0+(IF(ArtifactsInput!$M$15,CHOOSE(ArtifactsInput!$N$15+1,25,30,35,40,45,50)/100*(Inputs!$B$11-Inputs!$B$11),0))))/100+(Inputs!$B$23+0+(IF(ArtifactsInput!$M$15,CHOOSE(ArtifactsInput!$N$15+1,25,30,35,40,45,50)/100*(Inputs!$B$11-Inputs!$B$11),0)))/100)/2</f>
        <v/>
      </c>
      <c r="M173">
        <f>L173*(1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
        <f>L173*(1-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
        <f>(1-Summary!$B$11)*T173+Summary!$B$11*V173</f>
        <v/>
      </c>
      <c r="P173">
        <f>IF(B200=0,0,O173/B200)</f>
        <v/>
      </c>
      <c r="Q173" t="n">
        <v>0</v>
      </c>
      <c r="R173" t="n">
        <v>0</v>
      </c>
      <c r="S173">
        <f>IFERROR(O173/N173,0)</f>
        <v/>
      </c>
      <c r="T173">
        <f>IF(C173,(H173*N173*(B194+IF(AND(Inputs!$B$38&lt;&gt;"pvp",Inputs!$B$43&gt;0),((Skills!G8*((R167-1)*IF(Skills!H8&gt;0,Skills!I8/Skills!H8,1)+IF(Skills!H8&gt;0,MIN(Skills!I8,MAX(0,MAX(0,Inputs!$B$43-B197)-((R167-1)*(IF(Inputs!$B$38="pvp",15,MAX(0.1,Skills!D8-IF(Skills!E8=TRUE,Inputs!$B$32,0)))*(1-IF(AND(ArtifactsInput!$M$27,Inputs!$B$4="Chapter Hunt"),CHOOSE(ArtifactsInput!$N$27+1,20,24,28,32,36,40),0)/100)))))/Skills!H8,1)))/Inputs!$B$43),G167*Q167)+IF(AND(Inputs!$B$38&lt;&gt;"pvp",Inputs!$B$43&gt;0),((Skills!G11*((R170-1)*IF(Skills!H11&gt;0,Skills!I11/Skills!H11,1)+IF(Skills!H11&gt;0,MIN(Skills!I11,MAX(0,MAX(0,Inputs!$B$43-B197)-((R170-1)*(IF(Inputs!$B$38="pvp",15,MAX(0.1,Skills!D11-IF(Skills!E11=TRUE,Inputs!$B$32,0)))*(1-IF(AND(ArtifactsInput!$M$27,Inputs!$B$4="Chapter Hunt"),CHOOSE(ArtifactsInput!$N$27+1,20,24,28,32,36,40),0)/100)))))/Skills!H11,1)))/Inputs!$B$43),G170*Q170)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173*(1-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3">
        <f>IF(C173,(H173*N173*(B194+IF(AND(Inputs!$B$38&lt;&gt;"pvp",Inputs!$B$43&gt;0),((Skills!G8*((R167-1)*IF(Skills!H8&gt;0,Skills!I8/Skills!H8,1)+IF(Skills!H8&gt;0,MIN(Skills!I8,MAX(0,MAX(0,Inputs!$B$43-B197)-((R167-1)*(IF(Inputs!$B$38="pvp",15,MAX(0.1,Skills!D8-IF(Skills!E8=TRUE,Inputs!$B$32,0)))*(1-IF(AND(ArtifactsInput!$M$27,Inputs!$B$4="Chapter Hunt"),CHOOSE(ArtifactsInput!$N$27+1,20,24,28,32,36,40),0)/100)))))/Skills!H8,1)))/Inputs!$B$43),G167*Q167)+IF(AND(Inputs!$B$38&lt;&gt;"pvp",Inputs!$B$43&gt;0),((Skills!G11*((R170-1)*IF(Skills!H11&gt;0,Skills!I11/Skills!H11,1)+IF(Skills!H11&gt;0,MIN(Skills!I11,MAX(0,MAX(0,Inputs!$B$43-B197)-((R170-1)*(IF(Inputs!$B$38="pvp",15,MAX(0.1,Skills!D11-IF(Skills!E11=TRUE,Inputs!$B$32,0)))*(1-IF(AND(ArtifactsInput!$M$27,Inputs!$B$4="Chapter Hunt"),CHOOSE(ArtifactsInput!$N$27+1,20,24,28,32,36,40),0)/100)))))/Skills!H11,1)))/Inputs!$B$43),G170*Q170)))*IF(Inputs!$B$38="pvp",1,(1+(Inputs!$B$21+Skills!Q14+(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
      <c r="A174">
        <f>Skills!A15</f>
        <v/>
      </c>
      <c r="B174">
        <f>Skills!B15</f>
        <v/>
      </c>
      <c r="C174">
        <f>Inputs!$B$3&gt;=100</f>
        <v/>
      </c>
      <c r="D174">
        <f>IF(Skills!C15=1,60+Inputs!$B$25+Inputs!$B$29,IF(Skills!C15=2,90+Inputs!$B$26+Inputs!$B$29,IF(Skills!C15=3,120+Inputs!$B$27+Inputs!$B$29,MAX(0,(Inputs!$B$3-100)*3)+Inputs!$B$28+Inputs!$B$29)))</f>
        <v/>
      </c>
      <c r="E174">
        <f>INDEX(FactorTable!$B$2:$Y$301, MATCH(ROUND(MIN(300,MAX(1,D174)),0), FactorTable!$A$2:$A$301,0), Skills!M15+1)</f>
        <v/>
      </c>
      <c r="F174">
        <f>IF(Skills!N15=TRUE,(Skills!L15/10)*(E174/1000),Skills!L15/10)+Skills!O15</f>
        <v/>
      </c>
      <c r="G174" t="inlineStr"/>
      <c r="H174" t="inlineStr"/>
      <c r="I174" t="inlineStr">
        <is>
          <t>1</t>
        </is>
      </c>
      <c r="J174" t="inlineStr"/>
      <c r="K174" t="inlineStr"/>
      <c r="L174" t="inlineStr"/>
      <c r="M174" t="inlineStr"/>
      <c r="N174" t="inlineStr"/>
      <c r="O174" t="inlineStr"/>
      <c r="P174" t="inlineStr"/>
      <c r="Q174" t="inlineStr"/>
      <c r="R174" t="inlineStr"/>
      <c r="S174" t="inlineStr"/>
    </row>
    <row r="175">
      <c r="A175">
        <f>Skills!A16</f>
        <v/>
      </c>
      <c r="B175">
        <f>Skills!B16</f>
        <v/>
      </c>
      <c r="C175">
        <f>Inputs!$B$3&gt;=120</f>
        <v/>
      </c>
      <c r="D175">
        <f>IF(Skills!C16=1,60+Inputs!$B$25+Inputs!$B$29,IF(Skills!C16=2,90+Inputs!$B$26+Inputs!$B$29,IF(Skills!C16=3,120+Inputs!$B$27+Inputs!$B$29,MAX(0,(Inputs!$B$3-100)*3)+Inputs!$B$28+Inputs!$B$29)))</f>
        <v/>
      </c>
      <c r="E175">
        <f>INDEX(FactorTable!$B$2:$Y$301, MATCH(ROUND(MIN(300,MAX(1,D175)),0), FactorTable!$A$2:$A$301,0), Skills!M16+1)</f>
        <v/>
      </c>
      <c r="F175">
        <f>IF(Skills!N16=TRUE,(Skills!L16/10)*(E175/1000),Skills!L16/10)+Skills!O16</f>
        <v/>
      </c>
      <c r="G175" t="inlineStr"/>
      <c r="H175" t="inlineStr"/>
      <c r="I175" t="inlineStr">
        <is>
          <t>1</t>
        </is>
      </c>
      <c r="J175" t="inlineStr"/>
      <c r="K175" t="inlineStr"/>
      <c r="L175" t="inlineStr"/>
      <c r="M175" t="inlineStr"/>
      <c r="N175" t="inlineStr"/>
      <c r="O175" t="inlineStr"/>
      <c r="P175" t="inlineStr"/>
      <c r="Q175" t="inlineStr"/>
      <c r="R175" t="inlineStr"/>
      <c r="S175" t="inlineStr"/>
    </row>
    <row r="176">
      <c r="A176">
        <f>Skills!A17</f>
        <v/>
      </c>
      <c r="B176">
        <f>Skills!B17</f>
        <v/>
      </c>
      <c r="C176">
        <f>Inputs!$B$3&gt;=66</f>
        <v/>
      </c>
      <c r="D176">
        <f>IF(Skills!C17=1,60+Inputs!$B$25+Inputs!$B$29,IF(Skills!C17=2,90+Inputs!$B$26+Inputs!$B$29,IF(Skills!C17=3,120+Inputs!$B$27+Inputs!$B$29,MAX(0,(Inputs!$B$3-100)*3)+Inputs!$B$28+Inputs!$B$29)))</f>
        <v/>
      </c>
      <c r="E176">
        <f>INDEX(FactorTable!$B$2:$Y$301, MATCH(ROUND(MIN(300,MAX(1,D176)),0), FactorTable!$A$2:$A$301,0), Skills!M17+1)</f>
        <v/>
      </c>
      <c r="F176">
        <f>IF(Skills!N17=TRUE,(Skills!L17/10)*(E176/1000),Skills!L17/10)+Skills!O17</f>
        <v/>
      </c>
      <c r="G176">
        <f>Skills!G17*IF(Skills!H17&gt;0,Skills!I17/Skills!H17,1)</f>
        <v/>
      </c>
      <c r="H176">
        <f>1-(1-Skills!J17/100)^Skills!K17</f>
        <v/>
      </c>
      <c r="I176" t="inlineStr">
        <is>
          <t>1</t>
        </is>
      </c>
      <c r="J176" t="inlineStr"/>
      <c r="K176" t="inlineStr"/>
      <c r="L176" t="inlineStr"/>
      <c r="M176" t="inlineStr"/>
      <c r="N176" t="inlineStr"/>
      <c r="O176">
        <f>(1-Summary!$B$11)*T176+Summary!$B$11*V176</f>
        <v/>
      </c>
      <c r="P176">
        <f>IF(B200=0,0,O176/B200)</f>
        <v/>
      </c>
      <c r="Q176" t="n">
        <v>0</v>
      </c>
      <c r="R176" t="n">
        <v>0</v>
      </c>
      <c r="S176">
        <f>IFERROR(O176/N176,0)</f>
        <v/>
      </c>
      <c r="T176" t="n">
        <v>0</v>
      </c>
      <c r="V176" t="n">
        <v>0</v>
      </c>
    </row>
    <row r="177">
      <c r="A177">
        <f>Skills!A18</f>
        <v/>
      </c>
      <c r="B177">
        <f>Skills!B18</f>
        <v/>
      </c>
      <c r="C177">
        <f>Inputs!$B$3&gt;=115</f>
        <v/>
      </c>
      <c r="D177">
        <f>IF(Skills!C18=1,60+Inputs!$B$25+Inputs!$B$29,IF(Skills!C18=2,90+Inputs!$B$26+Inputs!$B$29,IF(Skills!C18=3,120+Inputs!$B$27+Inputs!$B$29,MAX(0,(Inputs!$B$3-100)*3)+Inputs!$B$28+Inputs!$B$29)))</f>
        <v/>
      </c>
      <c r="E177">
        <f>INDEX(FactorTable!$B$2:$Y$301, MATCH(ROUND(MIN(300,MAX(1,D177)),0), FactorTable!$A$2:$A$301,0), Skills!M18+1)</f>
        <v/>
      </c>
      <c r="F177">
        <f>IF(Skills!N18=TRUE,(Skills!L18/10)*(E177/1000),Skills!L18/10)+Skills!O18</f>
        <v/>
      </c>
      <c r="G177">
        <f>Skills!G18*IF(Skills!H18&gt;0,Skills!I18/Skills!H18,1)</f>
        <v/>
      </c>
      <c r="H177">
        <f>1-(1-Skills!J18/100)^Skills!K18</f>
        <v/>
      </c>
      <c r="I177" t="inlineStr">
        <is>
          <t>1</t>
        </is>
      </c>
      <c r="J177" t="inlineStr"/>
      <c r="K177" t="inlineStr"/>
      <c r="L177" t="inlineStr"/>
      <c r="M177" t="inlineStr"/>
      <c r="N177" t="inlineStr"/>
      <c r="O177">
        <f>(1-Summary!$B$11)*T177+Summary!$B$11*V177</f>
        <v/>
      </c>
      <c r="P177">
        <f>IF(B200=0,0,O177/B200)</f>
        <v/>
      </c>
      <c r="Q177">
        <f>IFERROR(1/(IF(Inputs!$B$38="pvp",15,MAX(0.1,Skills!D18-IF(Skills!E18=TRUE,Inputs!$B$32,0)))*(1-IF(AND(ArtifactsInput!$M$27,Inputs!$B$4="Chapter Hunt"),CHOOSE(ArtifactsInput!$N$27+1,20,24,28,32,36,40),0)/100)),0)</f>
        <v/>
      </c>
      <c r="R177">
        <f>IF(AND(Inputs!$B$38&lt;&gt;"pvp",Inputs!$B$43&gt;0),IF(Inputs!$B$43&lt;=0,0,(INT(Inputs!$B$43/(IF(Inputs!$B$38="pvp",15,MAX(0.1,Skills!D18-IF(Skills!E18=TRUE,Inputs!$B$32,0)))*(1-IF(AND(ArtifactsInput!$M$27,Inputs!$B$4="Chapter Hunt"),CHOOSE(ArtifactsInput!$N$27+1,20,24,28,32,36,40),0)/100)))+1)),0)</f>
        <v/>
      </c>
      <c r="S177">
        <f>IFERROR(O177/N177,0)</f>
        <v/>
      </c>
      <c r="T177" t="n">
        <v>0</v>
      </c>
      <c r="V177" t="n">
        <v>0</v>
      </c>
    </row>
    <row r="178">
      <c r="A178">
        <f>Skills!A19</f>
        <v/>
      </c>
      <c r="B178">
        <f>Skills!B19</f>
        <v/>
      </c>
      <c r="C178">
        <f>Inputs!$B$3&gt;=15</f>
        <v/>
      </c>
      <c r="D178">
        <f>IF(Skills!C19=1,60+Inputs!$B$25+Inputs!$B$29,IF(Skills!C19=2,90+Inputs!$B$26+Inputs!$B$29,IF(Skills!C19=3,120+Inputs!$B$27+Inputs!$B$29,MAX(0,(Inputs!$B$3-100)*3)+Inputs!$B$28+Inputs!$B$29)))</f>
        <v/>
      </c>
      <c r="E178">
        <f>INDEX(FactorTable!$B$2:$Y$301, MATCH(ROUND(MIN(300,MAX(1,D178)),0), FactorTable!$A$2:$A$301,0), Skills!M19+1)</f>
        <v/>
      </c>
      <c r="F178">
        <f>IF(Skills!N19=TRUE,(Skills!L19/10)*(E178/1000),Skills!L19/10)+Skills!O19</f>
        <v/>
      </c>
      <c r="G178">
        <f>Skills!G19*IF(Skills!H19&gt;0,Skills!I19/Skills!H19,1)</f>
        <v/>
      </c>
      <c r="H178">
        <f>1-(1-Skills!J19/100)^Skills!K19</f>
        <v/>
      </c>
      <c r="I178" t="inlineStr">
        <is>
          <t>1</t>
        </is>
      </c>
      <c r="J178" t="inlineStr"/>
      <c r="K178" t="inlineStr"/>
      <c r="L178" t="inlineStr"/>
      <c r="M178" t="inlineStr"/>
      <c r="N178" t="inlineStr"/>
      <c r="O178">
        <f>(1-Summary!$B$11)*T178+Summary!$B$11*V178</f>
        <v/>
      </c>
      <c r="P178">
        <f>IF(B200=0,0,O178/B200)</f>
        <v/>
      </c>
      <c r="Q178" t="n">
        <v>0</v>
      </c>
      <c r="R178" t="n">
        <v>0</v>
      </c>
      <c r="S178">
        <f>IFERROR(O178/N178,0)</f>
        <v/>
      </c>
      <c r="T178" t="n">
        <v>0</v>
      </c>
      <c r="V178" t="n">
        <v>0</v>
      </c>
    </row>
    <row r="179">
      <c r="A179">
        <f>Skills!A20</f>
        <v/>
      </c>
      <c r="B179">
        <f>Skills!B20</f>
        <v/>
      </c>
      <c r="C179">
        <f>Inputs!$B$3&gt;=10</f>
        <v/>
      </c>
      <c r="D179">
        <f>IF(Skills!C20=1,60+Inputs!$B$25+Inputs!$B$29,IF(Skills!C20=2,90+Inputs!$B$26+Inputs!$B$29,IF(Skills!C20=3,120+Inputs!$B$27+Inputs!$B$29,MAX(0,(Inputs!$B$3-100)*3)+Inputs!$B$28+Inputs!$B$29)))</f>
        <v/>
      </c>
      <c r="E179">
        <f>INDEX(FactorTable!$B$2:$Y$301, MATCH(ROUND(MIN(300,MAX(1,D179)),0), FactorTable!$A$2:$A$301,0), Skills!M20+1)</f>
        <v/>
      </c>
      <c r="F179">
        <f>IF(Skills!N20=TRUE,(Skills!L20/10)*(E179/1000),Skills!L20/10)+Skills!O20</f>
        <v/>
      </c>
      <c r="G179">
        <f>Skills!G20*IF(Skills!H20&gt;0,Skills!I20/Skills!H20,1)</f>
        <v/>
      </c>
      <c r="H179">
        <f>1-(1-Skills!J20/100)^Skills!K20</f>
        <v/>
      </c>
      <c r="I179" t="inlineStr">
        <is>
          <t>1</t>
        </is>
      </c>
      <c r="J179" t="inlineStr"/>
      <c r="K179" t="inlineStr"/>
      <c r="L179" t="inlineStr"/>
      <c r="M179" t="inlineStr"/>
      <c r="N179" t="inlineStr"/>
      <c r="O179">
        <f>(1-Summary!$B$11)*T179+Summary!$B$11*V179</f>
        <v/>
      </c>
      <c r="P179">
        <f>IF(B200=0,0,O179/B200)</f>
        <v/>
      </c>
      <c r="Q179" t="n">
        <v>0</v>
      </c>
      <c r="R179" t="n">
        <v>0</v>
      </c>
      <c r="S179">
        <f>IFERROR(O179/N179,0)</f>
        <v/>
      </c>
      <c r="T179" t="n">
        <v>0</v>
      </c>
      <c r="V179" t="n">
        <v>0</v>
      </c>
    </row>
    <row r="180">
      <c r="A180">
        <f>Skills!A21</f>
        <v/>
      </c>
      <c r="B180">
        <f>Skills!B21</f>
        <v/>
      </c>
      <c r="C180">
        <f>Inputs!$B$3&gt;=33</f>
        <v/>
      </c>
      <c r="D180">
        <f>IF(Skills!C21=1,60+Inputs!$B$25+Inputs!$B$29,IF(Skills!C21=2,90+Inputs!$B$26+Inputs!$B$29,IF(Skills!C21=3,120+Inputs!$B$27+Inputs!$B$29,MAX(0,(Inputs!$B$3-100)*3)+Inputs!$B$28+Inputs!$B$29)))</f>
        <v/>
      </c>
      <c r="E180">
        <f>INDEX(FactorTable!$B$2:$Y$301, MATCH(ROUND(MIN(300,MAX(1,D180)),0), FactorTable!$A$2:$A$301,0), Skills!M21+1)</f>
        <v/>
      </c>
      <c r="F180">
        <f>IF(Skills!N21=TRUE,(Skills!L21/10)*(E180/1000),Skills!L21/10)+Skills!O21</f>
        <v/>
      </c>
      <c r="G180">
        <f>Skills!G21*IF(Skills!H21&gt;0,Skills!I21/Skills!H21,1)</f>
        <v/>
      </c>
      <c r="H180">
        <f>1-(1-Skills!J21/100)^Skills!K21</f>
        <v/>
      </c>
      <c r="I180" t="inlineStr">
        <is>
          <t>1</t>
        </is>
      </c>
      <c r="J180" t="inlineStr"/>
      <c r="K180" t="inlineStr"/>
      <c r="L180" t="inlineStr"/>
      <c r="M180" t="inlineStr"/>
      <c r="N180" t="inlineStr"/>
      <c r="O180">
        <f>(1-Summary!$B$11)*T180+Summary!$B$11*V180</f>
        <v/>
      </c>
      <c r="P180">
        <f>IF(B200=0,0,O180/B200)</f>
        <v/>
      </c>
      <c r="Q180" t="n">
        <v>0</v>
      </c>
      <c r="R180" t="n">
        <v>0</v>
      </c>
      <c r="S180">
        <f>IFERROR(O180/N180,0)</f>
        <v/>
      </c>
      <c r="T180" t="n">
        <v>0</v>
      </c>
      <c r="V180" t="n">
        <v>0</v>
      </c>
    </row>
    <row r="181">
      <c r="A181">
        <f>Skills!A22</f>
        <v/>
      </c>
      <c r="B181">
        <f>Skills!B22</f>
        <v/>
      </c>
      <c r="C181">
        <f>Inputs!$B$3&gt;=43</f>
        <v/>
      </c>
      <c r="D181">
        <f>IF(Skills!C22=1,60+Inputs!$B$25+Inputs!$B$29,IF(Skills!C22=2,90+Inputs!$B$26+Inputs!$B$29,IF(Skills!C22=3,120+Inputs!$B$27+Inputs!$B$29,MAX(0,(Inputs!$B$3-100)*3)+Inputs!$B$28+Inputs!$B$29)))</f>
        <v/>
      </c>
      <c r="E181">
        <f>INDEX(FactorTable!$B$2:$Y$301, MATCH(ROUND(MIN(300,MAX(1,D181)),0), FactorTable!$A$2:$A$301,0), Skills!M22+1)</f>
        <v/>
      </c>
      <c r="F181">
        <f>IF(Skills!N22=TRUE,(Skills!L22/10)*(E181/1000),Skills!L22/10)+Skills!O22</f>
        <v/>
      </c>
      <c r="G181">
        <f>Skills!G22*IF(Skills!H22&gt;0,Skills!I22/Skills!H22,1)</f>
        <v/>
      </c>
      <c r="H181">
        <f>1-(1-Skills!J22/100)^Skills!K22</f>
        <v/>
      </c>
      <c r="I181" t="inlineStr">
        <is>
          <t>1</t>
        </is>
      </c>
      <c r="J181" t="inlineStr"/>
      <c r="K181" t="inlineStr"/>
      <c r="L181" t="inlineStr"/>
      <c r="M181" t="inlineStr"/>
      <c r="N181" t="inlineStr"/>
      <c r="O181">
        <f>(1-Summary!$B$11)*T181+Summary!$B$11*V181</f>
        <v/>
      </c>
      <c r="P181">
        <f>IF(B200=0,0,O181/B200)</f>
        <v/>
      </c>
      <c r="Q181" t="n">
        <v>0</v>
      </c>
      <c r="R181" t="n">
        <v>0</v>
      </c>
      <c r="S181">
        <f>IFERROR(O181/N181,0)</f>
        <v/>
      </c>
      <c r="T181" t="n">
        <v>0</v>
      </c>
      <c r="V181" t="n">
        <v>0</v>
      </c>
    </row>
    <row r="182">
      <c r="A182">
        <f>Skills!A23</f>
        <v/>
      </c>
      <c r="B182">
        <f>Skills!B23</f>
        <v/>
      </c>
      <c r="C182">
        <f>Inputs!$B$3&gt;=38</f>
        <v/>
      </c>
      <c r="D182">
        <f>IF(Skills!C23=1,60+Inputs!$B$25+Inputs!$B$29,IF(Skills!C23=2,90+Inputs!$B$26+Inputs!$B$29,IF(Skills!C23=3,120+Inputs!$B$27+Inputs!$B$29,MAX(0,(Inputs!$B$3-100)*3)+Inputs!$B$28+Inputs!$B$29)))</f>
        <v/>
      </c>
      <c r="E182">
        <f>INDEX(FactorTable!$B$2:$Y$301, MATCH(ROUND(MIN(300,MAX(1,D182)),0), FactorTable!$A$2:$A$301,0), Skills!M23+1)</f>
        <v/>
      </c>
      <c r="F182">
        <f>IF(Skills!N23=TRUE,(Skills!L23/10)*(E182/1000),Skills!L23/10)+Skills!O23</f>
        <v/>
      </c>
      <c r="G182">
        <f>Skills!G23*IF(Skills!H23&gt;0,Skills!I23/Skills!H23,1)</f>
        <v/>
      </c>
      <c r="H182">
        <f>1-(1-Skills!J23/100)^Skills!K23</f>
        <v/>
      </c>
      <c r="I182" t="inlineStr">
        <is>
          <t>1</t>
        </is>
      </c>
      <c r="J182" t="inlineStr"/>
      <c r="K182" t="inlineStr"/>
      <c r="L182" t="inlineStr"/>
      <c r="M182" t="inlineStr"/>
      <c r="N182" t="inlineStr"/>
      <c r="O182">
        <f>(1-Summary!$B$11)*T182+Summary!$B$11*V182</f>
        <v/>
      </c>
      <c r="P182">
        <f>IF(B200=0,0,O182/B200)</f>
        <v/>
      </c>
      <c r="Q182" t="n">
        <v>0</v>
      </c>
      <c r="R182" t="n">
        <v>0</v>
      </c>
      <c r="S182">
        <f>IFERROR(O182/N182,0)</f>
        <v/>
      </c>
      <c r="T182" t="n">
        <v>0</v>
      </c>
      <c r="V182" t="n">
        <v>0</v>
      </c>
    </row>
    <row r="183">
      <c r="A183">
        <f>Skills!A24</f>
        <v/>
      </c>
      <c r="B183">
        <f>Skills!B24</f>
        <v/>
      </c>
      <c r="C183">
        <f>Inputs!$B$3&gt;=40</f>
        <v/>
      </c>
      <c r="D183">
        <f>IF(Skills!C24=1,60+Inputs!$B$25+Inputs!$B$29,IF(Skills!C24=2,90+Inputs!$B$26+Inputs!$B$29,IF(Skills!C24=3,120+Inputs!$B$27+Inputs!$B$29,MAX(0,(Inputs!$B$3-100)*3)+Inputs!$B$28+Inputs!$B$29)))</f>
        <v/>
      </c>
      <c r="E183">
        <f>INDEX(FactorTable!$B$2:$Y$301, MATCH(ROUND(MIN(300,MAX(1,D183)),0), FactorTable!$A$2:$A$301,0), Skills!M24+1)</f>
        <v/>
      </c>
      <c r="F183">
        <f>IF(Skills!N24=TRUE,(Skills!L24/10)*(E183/1000),Skills!L24/10)+Skills!O24</f>
        <v/>
      </c>
      <c r="G183">
        <f>Skills!G24*IF(Skills!H24&gt;0,Skills!I24/Skills!H24,1)</f>
        <v/>
      </c>
      <c r="H183">
        <f>1-(1-Skills!J24/100)^Skills!K24</f>
        <v/>
      </c>
      <c r="I183" t="inlineStr">
        <is>
          <t>1</t>
        </is>
      </c>
      <c r="J183" t="inlineStr"/>
      <c r="K183" t="inlineStr"/>
      <c r="L183" t="inlineStr"/>
      <c r="M183" t="inlineStr"/>
      <c r="N183" t="inlineStr"/>
      <c r="O183">
        <f>(1-Summary!$B$11)*T183+Summary!$B$11*V183</f>
        <v/>
      </c>
      <c r="P183">
        <f>IF(B200=0,0,O183/B200)</f>
        <v/>
      </c>
      <c r="Q183" t="n">
        <v>0</v>
      </c>
      <c r="R183" t="n">
        <v>0</v>
      </c>
      <c r="S183">
        <f>IFERROR(O183/N183,0)</f>
        <v/>
      </c>
      <c r="T183" t="n">
        <v>0</v>
      </c>
      <c r="V183" t="n">
        <v>0</v>
      </c>
    </row>
    <row r="184">
      <c r="A184">
        <f>Skills!A25</f>
        <v/>
      </c>
      <c r="B184">
        <f>Skills!B25</f>
        <v/>
      </c>
      <c r="C184">
        <f>Inputs!$B$3&gt;=72</f>
        <v/>
      </c>
      <c r="D184">
        <f>IF(Skills!C25=1,60+Inputs!$B$25+Inputs!$B$29,IF(Skills!C25=2,90+Inputs!$B$26+Inputs!$B$29,IF(Skills!C25=3,120+Inputs!$B$27+Inputs!$B$29,MAX(0,(Inputs!$B$3-100)*3)+Inputs!$B$28+Inputs!$B$29)))</f>
        <v/>
      </c>
      <c r="E184">
        <f>INDEX(FactorTable!$B$2:$Y$301, MATCH(ROUND(MIN(300,MAX(1,D184)),0), FactorTable!$A$2:$A$301,0), Skills!M25+1)</f>
        <v/>
      </c>
      <c r="F184">
        <f>IF(Skills!N25=TRUE,(Skills!L25/10)*(E184/1000),Skills!L25/10)+Skills!O25</f>
        <v/>
      </c>
      <c r="G184">
        <f>Skills!G25*IF(Skills!H25&gt;0,Skills!I25/Skills!H25,1)</f>
        <v/>
      </c>
      <c r="H184">
        <f>1-(1-Skills!J25/100)^Skills!K25</f>
        <v/>
      </c>
      <c r="I184" t="inlineStr">
        <is>
          <t>1</t>
        </is>
      </c>
      <c r="J184" t="inlineStr"/>
      <c r="K184" t="inlineStr"/>
      <c r="L184" t="inlineStr"/>
      <c r="M184" t="inlineStr"/>
      <c r="N184" t="inlineStr"/>
      <c r="O184">
        <f>(1-Summary!$B$11)*T184+Summary!$B$11*V184</f>
        <v/>
      </c>
      <c r="P184">
        <f>IF(B200=0,0,O184/B200)</f>
        <v/>
      </c>
      <c r="Q184" t="n">
        <v>0</v>
      </c>
      <c r="R184" t="n">
        <v>0</v>
      </c>
      <c r="S184">
        <f>IFERROR(O184/N184,0)</f>
        <v/>
      </c>
      <c r="T184" t="n">
        <v>0</v>
      </c>
      <c r="V184" t="n">
        <v>0</v>
      </c>
    </row>
    <row r="185">
      <c r="A185">
        <f>Skills!A26</f>
        <v/>
      </c>
      <c r="B185">
        <f>Skills!B26</f>
        <v/>
      </c>
      <c r="C185">
        <f>Inputs!$B$3&gt;=75</f>
        <v/>
      </c>
      <c r="D185">
        <f>IF(Skills!C26=1,60+Inputs!$B$25+Inputs!$B$29,IF(Skills!C26=2,90+Inputs!$B$26+Inputs!$B$29,IF(Skills!C26=3,120+Inputs!$B$27+Inputs!$B$29,MAX(0,(Inputs!$B$3-100)*3)+Inputs!$B$28+Inputs!$B$29)))</f>
        <v/>
      </c>
      <c r="E185">
        <f>INDEX(FactorTable!$B$2:$Y$301, MATCH(ROUND(MIN(300,MAX(1,D185)),0), FactorTable!$A$2:$A$301,0), Skills!M26+1)</f>
        <v/>
      </c>
      <c r="F185">
        <f>IF(Skills!N26=TRUE,(Skills!L26/10)*(E185/1000),Skills!L26/10)+Skills!O26</f>
        <v/>
      </c>
      <c r="G185">
        <f>Skills!G26*IF(Skills!H26&gt;0,Skills!I26/Skills!H26,1)</f>
        <v/>
      </c>
      <c r="H185">
        <f>1-(1-Skills!J26/100)^Skills!K26</f>
        <v/>
      </c>
      <c r="I185" t="inlineStr">
        <is>
          <t>1</t>
        </is>
      </c>
      <c r="J185" t="inlineStr"/>
      <c r="K185" t="inlineStr"/>
      <c r="L185" t="inlineStr"/>
      <c r="M185" t="inlineStr"/>
      <c r="N185" t="inlineStr"/>
      <c r="O185">
        <f>(1-Summary!$B$11)*T185+Summary!$B$11*V185</f>
        <v/>
      </c>
      <c r="P185">
        <f>IF(B200=0,0,O185/B200)</f>
        <v/>
      </c>
      <c r="Q185" t="n">
        <v>0</v>
      </c>
      <c r="R185" t="n">
        <v>0</v>
      </c>
      <c r="S185">
        <f>IFERROR(O185/N185,0)</f>
        <v/>
      </c>
      <c r="T185" t="n">
        <v>0</v>
      </c>
      <c r="V185" t="n">
        <v>0</v>
      </c>
    </row>
    <row r="186">
      <c r="A186">
        <f>Skills!A27</f>
        <v/>
      </c>
      <c r="B186">
        <f>Skills!B27</f>
        <v/>
      </c>
      <c r="C186">
        <f>Inputs!$B$3&gt;=117</f>
        <v/>
      </c>
      <c r="D186">
        <f>IF(Skills!C27=1,60+Inputs!$B$25+Inputs!$B$29,IF(Skills!C27=2,90+Inputs!$B$26+Inputs!$B$29,IF(Skills!C27=3,120+Inputs!$B$27+Inputs!$B$29,MAX(0,(Inputs!$B$3-100)*3)+Inputs!$B$28+Inputs!$B$29)))</f>
        <v/>
      </c>
      <c r="E186">
        <f>INDEX(FactorTable!$B$2:$Y$301, MATCH(ROUND(MIN(300,MAX(1,D186)),0), FactorTable!$A$2:$A$301,0), Skills!M27+1)</f>
        <v/>
      </c>
      <c r="F186">
        <f>IF(Skills!N27=TRUE,(Skills!L27/10)*(E186/1000),Skills!L27/10)+Skills!O27</f>
        <v/>
      </c>
      <c r="G186">
        <f>Skills!G27*IF(Skills!H27&gt;0,Skills!I27/Skills!H27,1)</f>
        <v/>
      </c>
      <c r="H186">
        <f>1-(1-Skills!J27/100)^Skills!K27</f>
        <v/>
      </c>
      <c r="I186" t="inlineStr">
        <is>
          <t>1</t>
        </is>
      </c>
      <c r="J186" t="inlineStr"/>
      <c r="K186" t="inlineStr"/>
      <c r="L186" t="inlineStr"/>
      <c r="M186" t="inlineStr"/>
      <c r="N186" t="inlineStr"/>
      <c r="O186">
        <f>(1-Summary!$B$11)*T186+Summary!$B$11*V186</f>
        <v/>
      </c>
      <c r="P186">
        <f>IF(B200=0,0,O186/B200)</f>
        <v/>
      </c>
      <c r="Q186" t="n">
        <v>0</v>
      </c>
      <c r="R186" t="n">
        <v>0</v>
      </c>
      <c r="S186">
        <f>IFERROR(O186/N186,0)</f>
        <v/>
      </c>
      <c r="T186" t="n">
        <v>0</v>
      </c>
      <c r="V186" t="n">
        <v>0</v>
      </c>
    </row>
    <row r="187">
      <c r="A187">
        <f>Skills!A28</f>
        <v/>
      </c>
      <c r="B187">
        <f>Skills!B28</f>
        <v/>
      </c>
      <c r="C187">
        <f>TRUE</f>
        <v/>
      </c>
      <c r="D187">
        <f>IF(Skills!C28=1,60+Inputs!$B$25+Inputs!$B$29,IF(Skills!C28=2,90+Inputs!$B$26+Inputs!$B$29,IF(Skills!C28=3,120+Inputs!$B$27+Inputs!$B$29,MAX(0,(Inputs!$B$3-100)*3)+Inputs!$B$28+Inputs!$B$29)))</f>
        <v/>
      </c>
      <c r="E187">
        <f>INDEX(FactorTable!$B$2:$Y$301, MATCH(ROUND(MIN(300,MAX(1,D187)),0), FactorTable!$A$2:$A$301,0), Skills!M28+1)</f>
        <v/>
      </c>
      <c r="F187">
        <f>IF(Skills!N28=TRUE,(Skills!L28/10)*(E187/1000),Skills!L28/10)+Skills!O28</f>
        <v/>
      </c>
      <c r="G187">
        <f>Skills!G28*IF(Skills!H28&gt;0,Skills!I28/Skills!H28,1)</f>
        <v/>
      </c>
      <c r="H187">
        <f>1-(1-Skills!J28/100)^Skills!K28</f>
        <v/>
      </c>
      <c r="I187" t="inlineStr">
        <is>
          <t>1</t>
        </is>
      </c>
      <c r="J187" t="inlineStr"/>
      <c r="K187" t="inlineStr"/>
      <c r="L187" t="inlineStr"/>
      <c r="M187" t="inlineStr"/>
      <c r="N187" t="inlineStr"/>
      <c r="O187">
        <f>(1-Summary!$B$11)*T187+Summary!$B$11*V187</f>
        <v/>
      </c>
      <c r="P187">
        <f>IF(B200=0,0,O187/B200)</f>
        <v/>
      </c>
      <c r="Q187">
        <f>IFERROR(1/(IF(Inputs!$B$38="pvp",15,MAX(0.1,Skills!D28-IF(Skills!E28=TRUE,Inputs!$B$32,0)))*(1-IF(AND(ArtifactsInput!$M$27,Inputs!$B$4="Chapter Hunt"),CHOOSE(ArtifactsInput!$N$27+1,20,24,28,32,36,40),0)/100)),0)</f>
        <v/>
      </c>
      <c r="R187">
        <f>IF(AND(Inputs!$B$38&lt;&gt;"pvp",Inputs!$B$43&gt;0),IF(Inputs!$B$43&lt;=0,0,(INT(Inputs!$B$43/(IF(Inputs!$B$38="pvp",15,MAX(0.1,Skills!D28-IF(Skills!E28=TRUE,Inputs!$B$32,0)))*(1-IF(AND(ArtifactsInput!$M$27,Inputs!$B$4="Chapter Hunt"),CHOOSE(ArtifactsInput!$N$27+1,20,24,28,32,36,40),0)/100)))+1)),0)</f>
        <v/>
      </c>
      <c r="S187">
        <f>IFERROR(O187/N187,0)</f>
        <v/>
      </c>
      <c r="T187" t="n">
        <v>0</v>
      </c>
      <c r="V187" t="n">
        <v>0</v>
      </c>
    </row>
    <row r="189">
      <c r="A189" t="inlineStr">
        <is>
          <t>Attack% Bucket Multiplier</t>
        </is>
      </c>
      <c r="B189">
        <f>(1+(((C176=TRUE)*F176*5/7)+((C183=TRUE)*(F183-Calc!F24))+(IF(ArtifactsInput!$M$21,CHOOSE(ArtifactsInput!$N$21+1,25,30,35,40,45,50)*(IF(OR(Inputs!$B$4="Chapter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0">
      <c r="A190" t="inlineStr">
        <is>
          <t>Global Crit Rate Bonus %</t>
        </is>
      </c>
      <c r="B190" t="n">
        <v>0</v>
      </c>
    </row>
    <row r="191">
      <c r="A191" t="inlineStr">
        <is>
          <t>Attack Speed Buff Bonus % (Nimble Feet, duty-cycle averaged)</t>
        </is>
      </c>
      <c r="B191">
        <f>((C187=TRUE)*F187*IF(AND(Inputs!$B$38&lt;&gt;"pvp",Inputs!$B$43&gt;0),(((R187-1)*(Skills!T28*(1+Inputs!$B$34/100))+MIN((Skills!T28*(1+Inputs!$B$34/100)),MAX(0,Inputs!$B$43-((R187-1)*Skills!D28))))/Inputs!$B$43),IF(Inputs!$B$38="pvp",MIN((Skills!T28*(1+Inputs!$B$34/100)),15)/15,(Skills!T28*(1+Inputs!$B$34/100))/Skills!D28)))</f>
        <v/>
      </c>
    </row>
    <row r="192">
      <c r="A192" t="inlineStr">
        <is>
          <t>Actions Per Second</t>
        </is>
      </c>
      <c r="B192">
        <f>1+MIN(150,150*(1-(1-(Inputs!$B$11+((C179=TRUE)*(F179-Calc!F20))+((C180=TRUE)*(F180-Calc!F21)))/150)*(1-B191/150)))/100</f>
        <v/>
      </c>
    </row>
    <row r="193">
      <c r="A193" t="inlineStr">
        <is>
          <t>Skill + Buff Cast Rate</t>
        </is>
      </c>
      <c r="B193">
        <f>IF(AND(Inputs!$B$38&lt;&gt;"pvp",Inputs!$B$43&gt;0),SUMPRODUCT((Skills!E2:E28=TRUE)*(C161:C187=TRUE)*R161:R187*Skills!F2:F28)/Inputs!$B$43,SUMPRODUCT((Skills!E2:E28=TRUE)*(C161:C187=TRUE)*Q161:Q187*Skills!F2:F28))</f>
        <v/>
      </c>
    </row>
    <row r="194">
      <c r="A194" t="inlineStr">
        <is>
          <t>Eight-Legs Easton Casts Per Second</t>
        </is>
      </c>
      <c r="B194">
        <f>MAX(0,B192-B193)</f>
        <v/>
      </c>
    </row>
    <row r="195">
      <c r="A195" t="inlineStr">
        <is>
          <t>Global Critical Damage Bonus % (unused)</t>
        </is>
      </c>
      <c r="B195" t="n">
        <v>0</v>
      </c>
    </row>
    <row r="196">
      <c r="A196" t="inlineStr">
        <is>
          <t>Global Final Damage Bonus % (Jolly Roger + Ahoy Mateys - Final Damage proc)</t>
        </is>
      </c>
      <c r="B196">
        <f>((C177=TRUE)*F177*IF(AND(Inputs!$B$38&lt;&gt;"pvp",Inputs!$B$43&gt;0),(((R177-1)*(Skills!T18*(1+Inputs!$B$34/100))+MIN((Skills!T18*(1+Inputs!$B$34/100)),MAX(0,Inputs!$B$43-((R177-1)*Skills!D18))))/Inputs!$B$43),IF(Inputs!$B$38="pvp",MIN((Skills!T18*(1+Inputs!$B$34/100)),15)/15,(Skills!T18*(1+Inputs!$B$34/100))/Skills!D18)))+IF(Inputs!$B$3&gt;=122,20*IF(Inputs!$B$38="pvp",MIN((20*(1+Inputs!$B$34/100)),15)/15,(20*(1+Inputs!$B$34/100))/Skills!D4),0)</f>
        <v/>
      </c>
    </row>
    <row r="197">
      <c r="A197" t="inlineStr">
        <is>
          <t>Buff-Casting Startup Delay (s, fixed-duration only)</t>
        </is>
      </c>
      <c r="B197">
        <f>IF(AND(Inputs!$B$38&lt;&gt;"pvp",Inputs!$B$43&gt;0),SUMPRODUCT((Skills!T2:T28&gt;0)*(Skills!E2:E28=TRUE)*(C161:C187=TRUE))/B192,0)</f>
        <v/>
      </c>
    </row>
    <row r="198">
      <c r="A198" t="inlineStr">
        <is>
          <t>Boss-Only Total DPS (this block's swept value)</t>
        </is>
      </c>
      <c r="B198">
        <f>SUM(T161:T187)</f>
        <v/>
      </c>
    </row>
    <row r="199">
      <c r="A199" t="inlineStr">
        <is>
          <t>Normal-Only Total DPS (this block's swept value)</t>
        </is>
      </c>
      <c r="B199">
        <f>SUM(V161:V187)</f>
        <v/>
      </c>
    </row>
    <row r="200">
      <c r="A200" s="6" t="inlineStr">
        <is>
          <t>TOTAL DPS</t>
        </is>
      </c>
      <c r="B200" s="6">
        <f>SUM(O161:O187)</f>
        <v/>
      </c>
    </row>
    <row r="203">
      <c r="A203" s="6" t="inlineStr">
        <is>
          <t>Stat: DAMAGE %</t>
        </is>
      </c>
    </row>
    <row r="204">
      <c r="A204" s="5" t="inlineStr">
        <is>
          <t>Key</t>
        </is>
      </c>
      <c r="B204" s="5" t="inlineStr">
        <is>
          <t>Name</t>
        </is>
      </c>
      <c r="C204" s="5" t="inlineStr">
        <is>
          <t>Unlocked</t>
        </is>
      </c>
      <c r="D204" s="5" t="inlineStr">
        <is>
          <t>InputLevel</t>
        </is>
      </c>
      <c r="E204" s="5" t="inlineStr">
        <is>
          <t>Factor</t>
        </is>
      </c>
      <c r="F204" s="5" t="inlineStr">
        <is>
          <t>CoefficientPercent</t>
        </is>
      </c>
      <c r="G204" s="5" t="inlineStr">
        <is>
          <t>EffectiveHits</t>
        </is>
      </c>
      <c r="H204" s="5" t="inlineStr">
        <is>
          <t>ProcProbability</t>
        </is>
      </c>
      <c r="I204" s="5" t="inlineStr">
        <is>
          <t>MapleHeroMultiplier</t>
        </is>
      </c>
      <c r="J204" s="5" t="inlineStr">
        <is>
          <t>BaseDamage</t>
        </is>
      </c>
      <c r="K204" s="5" t="inlineStr">
        <is>
          <t>BaseHitDamage</t>
        </is>
      </c>
      <c r="L204" s="5" t="inlineStr">
        <is>
          <t>NonCritAvg</t>
        </is>
      </c>
      <c r="M204" s="5" t="inlineStr">
        <is>
          <t>CritAvg</t>
        </is>
      </c>
      <c r="N204" s="5" t="inlineStr">
        <is>
          <t>ExpectedDamage(perHit)</t>
        </is>
      </c>
      <c r="O204" s="5" t="inlineStr">
        <is>
          <t>DPS</t>
        </is>
      </c>
      <c r="P204" s="5" t="inlineStr">
        <is>
          <t>% of Total</t>
        </is>
      </c>
      <c r="Q204" s="5" t="inlineStr">
        <is>
          <t>InvCooldown</t>
        </is>
      </c>
      <c r="R204" s="5" t="inlineStr">
        <is>
          <t>CastsInFight</t>
        </is>
      </c>
      <c r="S204" s="5" t="inlineStr">
        <is>
          <t>HitRate(perSec)</t>
        </is>
      </c>
      <c r="U204" t="inlineStr">
        <is>
          <t>helpers</t>
        </is>
      </c>
    </row>
    <row r="205">
      <c r="A205">
        <f>Skills!A2</f>
        <v/>
      </c>
      <c r="B205">
        <f>Skills!B2</f>
        <v/>
      </c>
      <c r="C205">
        <f>Inputs!$B$3&gt;=100</f>
        <v/>
      </c>
      <c r="D205" t="inlineStr"/>
      <c r="E205" t="inlineStr"/>
      <c r="F205">
        <f>U207+Skills!O2</f>
        <v/>
      </c>
      <c r="G205">
        <f>Skills!G2*IF(Skills!H2&gt;0,Skills!I2/Skills!H2,1)</f>
        <v/>
      </c>
      <c r="H205">
        <f>1-(1-Skills!J2/100)^Skills!K2</f>
        <v/>
      </c>
      <c r="I205" t="inlineStr">
        <is>
          <t>1</t>
        </is>
      </c>
      <c r="J205">
        <f>((Inputs!$B$6*(1+Inputs!$B$7/100))+(((Inputs!$B$12*(1+Inputs!$B$13/100))-(Inputs!$B$12*(1+Inputs!$B$13/100)))+0.25*(Inputs!$B$14-Inputs!$B$14))*(1+Inputs!$B$7/100))*(F205/100)</f>
        <v/>
      </c>
      <c r="K205">
        <f>J205*(1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f>
        <v/>
      </c>
      <c r="L205">
        <f>K205*(MIN(Inputs!$B$22+((C225=TRUE)*(F225-Calc!F22)),(Inputs!$B$23+0+(IF(ArtifactsInput!$M$15,CHOOSE(ArtifactsInput!$N$15+1,25,30,35,40,45,50)/100*(Inputs!$B$11-Inputs!$B$11),0))))/100+(Inputs!$B$23+0+(IF(ArtifactsInput!$M$15,CHOOSE(ArtifactsInput!$N$15+1,25,30,35,40,45,50)/100*(Inputs!$B$11-Inputs!$B$11),0)))/100)/2</f>
        <v/>
      </c>
      <c r="M205">
        <f>L205*(1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
        <f>L205*(1-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
        <f>(1-Summary!$B$11)*T205+Summary!$B$11*V205</f>
        <v/>
      </c>
      <c r="P205">
        <f>IF(B244=0,0,O205/B244)</f>
        <v/>
      </c>
      <c r="Q205" t="n">
        <v>0</v>
      </c>
      <c r="R205" t="n">
        <v>0</v>
      </c>
      <c r="S205">
        <f>IFERROR(O205/N205,0)</f>
        <v/>
      </c>
      <c r="T205">
        <f>IF(C205,(Skills!G2*N205*B238)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
        <f>MAX(0,(Inputs!$B$3-100)*3)+Inputs!$B$28+Inputs!$B$29</f>
        <v/>
      </c>
      <c r="V205">
        <f>IF(C205,(Skills!G2*N205*B238)*IF(Inputs!$B$38="pvp",1,(1+(Inputs!$B$21+Skills!Q2+(IF(ArtifactsInput!$M$33,CHOOSE(ArtifactsInput!$N$33+1,30,36,42,48,54,60),0))+(IF(AND(ArtifactsInput!$M$35,Inputs!$B$4&lt;&gt;"Chapter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
      <c r="A206">
        <f>Skills!A3</f>
        <v/>
      </c>
      <c r="B206">
        <f>Skills!B3</f>
        <v/>
      </c>
      <c r="C206">
        <f>Inputs!$B$3&gt;=35</f>
        <v/>
      </c>
      <c r="D206">
        <f>IF(Skills!C3=1,60+Inputs!$B$25+Inputs!$B$29,IF(Skills!C3=2,90+Inputs!$B$26+Inputs!$B$29,IF(Skills!C3=3,120+Inputs!$B$27+Inputs!$B$29,MAX(0,(Inputs!$B$3-100)*3)+Inputs!$B$28+Inputs!$B$29)))</f>
        <v/>
      </c>
      <c r="E206">
        <f>INDEX(FactorTable!$B$2:$Y$301, MATCH(ROUND(MIN(300,MAX(1,D206)),0), FactorTable!$A$2:$A$301,0), Skills!M3+1)</f>
        <v/>
      </c>
      <c r="F206">
        <f>IF(Skills!N3=TRUE,(Skills!L3/10)*(E206/1000),Skills!L3/10)+Skills!O3</f>
        <v/>
      </c>
      <c r="G206">
        <f>Skills!G3*IF(Skills!H3&gt;0,Skills!I3/Skills!H3,1)</f>
        <v/>
      </c>
      <c r="H206">
        <f>1-(1-Skills!J3/100)^Skills!K3</f>
        <v/>
      </c>
      <c r="I206" t="inlineStr">
        <is>
          <t>1</t>
        </is>
      </c>
      <c r="J206">
        <f>((Inputs!$B$6*(1+Inputs!$B$7/100))+(((Inputs!$B$12*(1+Inputs!$B$13/100))-(Inputs!$B$12*(1+Inputs!$B$13/100)))+0.25*(Inputs!$B$14-Inputs!$B$14))*(1+Inputs!$B$7/100))*(F206/100)</f>
        <v/>
      </c>
      <c r="K206">
        <f>J206*(1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218=TRUE,F218,0)/100)*(1+(IF(Skills!A3="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f>
        <v/>
      </c>
      <c r="L206">
        <f>K206*(MIN(Inputs!$B$22+((C225=TRUE)*(F225-Calc!F22)),(Inputs!$B$23+0+(IF(ArtifactsInput!$M$15,CHOOSE(ArtifactsInput!$N$15+1,25,30,35,40,45,50)/100*(Inputs!$B$11-Inputs!$B$11),0))))/100+(Inputs!$B$23+0+(IF(ArtifactsInput!$M$15,CHOOSE(ArtifactsInput!$N$15+1,25,30,35,40,45,50)/100*(Inputs!$B$11-Inputs!$B$11),0)))/100)/2</f>
        <v/>
      </c>
      <c r="M206">
        <f>L206*(1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
        <f>L206*(1-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
        <f>(1-Summary!$B$11)*T206+Summary!$B$11*V206</f>
        <v/>
      </c>
      <c r="P206">
        <f>IF(B244=0,0,O206/B244)</f>
        <v/>
      </c>
      <c r="Q206">
        <f>IFERROR(1/(IF(Inputs!$B$38="pvp",15,MAX(0.1,Skills!D3-IF(Skills!E3=TRUE,Inputs!$B$32,0)))*(1-IF(AND(ArtifactsInput!$M$27,Inputs!$B$4="Chapter Hunt"),CHOOSE(ArtifactsInput!$N$27+1,20,24,28,32,36,40),0)/100)),0)</f>
        <v/>
      </c>
      <c r="R206">
        <f>IF(AND(Inputs!$B$38&lt;&gt;"pvp",Inputs!$B$43&gt;0),IF(MAX(0,Inputs!$B$43-B241)&lt;=0,0,(INT(MAX(0,Inputs!$B$43-B241)/(IF(Inputs!$B$38="pvp",15,MAX(0.1,Skills!D3-IF(Skills!E3=TRUE,Inputs!$B$32,0)))*(1-IF(AND(ArtifactsInput!$M$27,Inputs!$B$4="Chapter Hunt"),CHOOSE(ArtifactsInput!$N$27+1,20,24,28,32,36,40),0)/100)))+1)),0)</f>
        <v/>
      </c>
      <c r="S206">
        <f>IFERROR(O206/N206,0)</f>
        <v/>
      </c>
      <c r="T206">
        <f>IF(C206,(H206*N206*IF(AND(Inputs!$B$38&lt;&gt;"pvp",Inputs!$B$43&gt;0),((Skills!G3*((R206-1)*IF(Skills!H3&gt;0,Skills!I3/Skills!H3,1)+IF(Skills!H3&gt;0,MIN(Skills!I3,MAX(0,MAX(0,Inputs!$B$43-B241)-((R206-1)*(IF(Inputs!$B$38="pvp",15,MAX(0.1,Skills!D3-IF(Skills!E3=TRUE,Inputs!$B$32,0)))*(1-IF(AND(ArtifactsInput!$M$27,Inputs!$B$4="Chapter Hunt"),CHOOSE(ArtifactsInput!$N$27+1,20,24,28,32,36,40),0)/100)))))/Skills!H3,1)))/Inputs!$B$43),G206*Q206)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
        <f>INDEX(FactorTable!$B$2:$Y$301, MATCH(ROUND(MIN(300,MAX(1,U205)),0), FactorTable!$A$2:$A$301,0), 22)</f>
        <v/>
      </c>
      <c r="V206">
        <f>IF(C206,(H206*N206*IF(AND(Inputs!$B$38&lt;&gt;"pvp",Inputs!$B$43&gt;0),((Skills!G3*((R206-1)*IF(Skills!H3&gt;0,Skills!I3/Skills!H3,1)+IF(Skills!H3&gt;0,MIN(Skills!I3,MAX(0,MAX(0,Inputs!$B$43-B241)-((R206-1)*(IF(Inputs!$B$38="pvp",15,MAX(0.1,Skills!D3-IF(Skills!E3=TRUE,Inputs!$B$32,0)))*(1-IF(AND(ArtifactsInput!$M$27,Inputs!$B$4="Chapter Hunt"),CHOOSE(ArtifactsInput!$N$27+1,20,24,28,32,36,40),0)/100)))))/Skills!H3,1)))/Inputs!$B$43),G206*Q206))*IF(Inputs!$B$38="pvp",1,(1+(Inputs!$B$21+Skills!Q3+(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
      <c r="A207">
        <f>Skills!A4</f>
        <v/>
      </c>
      <c r="B207">
        <f>Skills!B4</f>
        <v/>
      </c>
      <c r="C207">
        <f>Inputs!$B$3&gt;=40</f>
        <v/>
      </c>
      <c r="D207">
        <f>IF(Skills!C4=1,60+Inputs!$B$25+Inputs!$B$29,IF(Skills!C4=2,90+Inputs!$B$26+Inputs!$B$29,IF(Skills!C4=3,120+Inputs!$B$27+Inputs!$B$29,MAX(0,(Inputs!$B$3-100)*3)+Inputs!$B$28+Inputs!$B$29)))</f>
        <v/>
      </c>
      <c r="E207">
        <f>INDEX(FactorTable!$B$2:$Y$301, MATCH(ROUND(MIN(300,MAX(1,D207)),0), FactorTable!$A$2:$A$301,0), Skills!M4+1)</f>
        <v/>
      </c>
      <c r="F207">
        <f>IF(Skills!N4=TRUE,(Skills!L4/10)*(E207/1000),Skills!L4/10)+Skills!O4</f>
        <v/>
      </c>
      <c r="G207">
        <f>Skills!G4*IF(Skills!H4&gt;0,Skills!I4/Skills!H4,1)</f>
        <v/>
      </c>
      <c r="H207">
        <f>1-(1-Skills!J4/100)^Skills!K4</f>
        <v/>
      </c>
      <c r="I207" t="inlineStr">
        <is>
          <t>1</t>
        </is>
      </c>
      <c r="J207">
        <f>((Inputs!$B$6*(1+Inputs!$B$7/100))+(((Inputs!$B$12*(1+Inputs!$B$13/100))-(Inputs!$B$12*(1+Inputs!$B$13/100)))+0.25*(Inputs!$B$14-Inputs!$B$14))*(1+Inputs!$B$7/100))*(F207/100)</f>
        <v/>
      </c>
      <c r="K207">
        <f>J207*(1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219=TRUE,F219,0)/100)*(1+(IF(Skills!A4="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f>
        <v/>
      </c>
      <c r="L207">
        <f>K207*(MIN(Inputs!$B$22+((C225=TRUE)*(F225-Calc!F22)),(Inputs!$B$23+0+(IF(ArtifactsInput!$M$15,CHOOSE(ArtifactsInput!$N$15+1,25,30,35,40,45,50)/100*(Inputs!$B$11-Inputs!$B$11),0))))/100+(Inputs!$B$23+0+(IF(ArtifactsInput!$M$15,CHOOSE(ArtifactsInput!$N$15+1,25,30,35,40,45,50)/100*(Inputs!$B$11-Inputs!$B$11),0)))/100)/2</f>
        <v/>
      </c>
      <c r="M207">
        <f>L207*(1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
        <f>L207*(1-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
        <f>(1-Summary!$B$11)*T207+Summary!$B$11*V207</f>
        <v/>
      </c>
      <c r="P207">
        <f>IF(B244=0,0,O207/B244)</f>
        <v/>
      </c>
      <c r="Q207">
        <f>IFERROR(1/(IF(Inputs!$B$38="pvp",15,MAX(0.1,Skills!D4-IF(Skills!E4=TRUE,Inputs!$B$32,0)))*(1-IF(AND(ArtifactsInput!$M$27,Inputs!$B$4="Chapter Hunt"),CHOOSE(ArtifactsInput!$N$27+1,20,24,28,32,36,40),0)/100)),0)</f>
        <v/>
      </c>
      <c r="R207">
        <f>IF(AND(Inputs!$B$38&lt;&gt;"pvp",Inputs!$B$43&gt;0),IF(MAX(0,Inputs!$B$43-B241)&lt;=0,0,(INT(MAX(0,Inputs!$B$43-B241)/(IF(Inputs!$B$38="pvp",15,MAX(0.1,Skills!D4-IF(Skills!E4=TRUE,Inputs!$B$32,0)))*(1-IF(AND(ArtifactsInput!$M$27,Inputs!$B$4="Chapter Hunt"),CHOOSE(ArtifactsInput!$N$27+1,20,24,28,32,36,40),0)/100)))+1)),0)</f>
        <v/>
      </c>
      <c r="S207">
        <f>IFERROR(O207/N207,0)</f>
        <v/>
      </c>
      <c r="T207">
        <f>IF(C207,(H207*N207*IF(AND(Inputs!$B$38&lt;&gt;"pvp",Inputs!$B$43&gt;0),((Skills!G4*((R207-1)*IF(Skills!H4&gt;0,Skills!I4/Skills!H4,1)+IF(Skills!H4&gt;0,MIN(Skills!I4,MAX(0,MAX(0,Inputs!$B$43-B241)-((R207-1)*(IF(Inputs!$B$38="pvp",15,MAX(0.1,Skills!D4-IF(Skills!E4=TRUE,Inputs!$B$32,0)))*(1-IF(AND(ArtifactsInput!$M$27,Inputs!$B$4="Chapter Hunt"),CHOOSE(ArtifactsInput!$N$27+1,20,24,28,32,36,40),0)/100)))))/Skills!H4,1)))/Inputs!$B$43),G207*Q207)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
        <f>290*U206/1000</f>
        <v/>
      </c>
      <c r="V207">
        <f>IF(C207,(H207*N207*IF(AND(Inputs!$B$38&lt;&gt;"pvp",Inputs!$B$43&gt;0),((Skills!G4*((R207-1)*IF(Skills!H4&gt;0,Skills!I4/Skills!H4,1)+IF(Skills!H4&gt;0,MIN(Skills!I4,MAX(0,MAX(0,Inputs!$B$43-B241)-((R207-1)*(IF(Inputs!$B$38="pvp",15,MAX(0.1,Skills!D4-IF(Skills!E4=TRUE,Inputs!$B$32,0)))*(1-IF(AND(ArtifactsInput!$M$27,Inputs!$B$4="Chapter Hunt"),CHOOSE(ArtifactsInput!$N$27+1,20,24,28,32,36,40),0)/100)))))/Skills!H4,1)))/Inputs!$B$43),G207*Q207))*IF(Inputs!$B$38="pvp",1,(1+(Inputs!$B$21+Skills!Q4+(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
      <c r="A208">
        <f>Skills!A5</f>
        <v/>
      </c>
      <c r="B208">
        <f>Skills!B5</f>
        <v/>
      </c>
      <c r="C208">
        <f>Inputs!$B$3&gt;=45</f>
        <v/>
      </c>
      <c r="D208">
        <f>IF(Skills!C5=1,60+Inputs!$B$25+Inputs!$B$29,IF(Skills!C5=2,90+Inputs!$B$26+Inputs!$B$29,IF(Skills!C5=3,120+Inputs!$B$27+Inputs!$B$29,MAX(0,(Inputs!$B$3-100)*3)+Inputs!$B$28+Inputs!$B$29)))</f>
        <v/>
      </c>
      <c r="E208">
        <f>INDEX(FactorTable!$B$2:$Y$301, MATCH(ROUND(MIN(300,MAX(1,D208)),0), FactorTable!$A$2:$A$301,0), Skills!M5+1)</f>
        <v/>
      </c>
      <c r="F208">
        <f>IF(Skills!N5=TRUE,(Skills!L5/10)*(E208/1000),Skills!L5/10)+Skills!O5</f>
        <v/>
      </c>
      <c r="G208">
        <f>Skills!G5*IF(Skills!H5&gt;0,Skills!I5/Skills!H5,1)</f>
        <v/>
      </c>
      <c r="H208">
        <f>1-(1-Skills!J5/100)^Skills!K5</f>
        <v/>
      </c>
      <c r="I208" t="inlineStr">
        <is>
          <t>1</t>
        </is>
      </c>
      <c r="J208">
        <f>((Inputs!$B$6*(1+Inputs!$B$7/100))+(((Inputs!$B$12*(1+Inputs!$B$13/100))-(Inputs!$B$12*(1+Inputs!$B$13/100)))+0.25*(Inputs!$B$14-Inputs!$B$14))*(1+Inputs!$B$7/100))*(F208/100)</f>
        <v/>
      </c>
      <c r="K208">
        <f>J208*(1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219=TRUE,F219,0)/100)*(1+(IF(Skills!A5="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f>
        <v/>
      </c>
      <c r="L208">
        <f>K208*(MIN(Inputs!$B$22+((C225=TRUE)*(F225-Calc!F22)),(Inputs!$B$23+0+(IF(ArtifactsInput!$M$15,CHOOSE(ArtifactsInput!$N$15+1,25,30,35,40,45,50)/100*(Inputs!$B$11-Inputs!$B$11),0))))/100+(Inputs!$B$23+0+(IF(ArtifactsInput!$M$15,CHOOSE(ArtifactsInput!$N$15+1,25,30,35,40,45,50)/100*(Inputs!$B$11-Inputs!$B$11),0)))/100)/2</f>
        <v/>
      </c>
      <c r="M208">
        <f>L208*(1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
        <f>L208*(1-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
        <f>(1-Summary!$B$11)*T208+Summary!$B$11*V208</f>
        <v/>
      </c>
      <c r="P208">
        <f>IF(B244=0,0,O208/B244)</f>
        <v/>
      </c>
      <c r="Q208">
        <f>IFERROR(1/(IF(Inputs!$B$38="pvp",15,MAX(0.1,Skills!D5-IF(Skills!E5=TRUE,Inputs!$B$32,0)))*(1-IF(AND(ArtifactsInput!$M$27,Inputs!$B$4="Chapter Hunt"),CHOOSE(ArtifactsInput!$N$27+1,20,24,28,32,36,40),0)/100)),0)</f>
        <v/>
      </c>
      <c r="R208">
        <f>IF(AND(Inputs!$B$38&lt;&gt;"pvp",Inputs!$B$43&gt;0),IF(MAX(0,Inputs!$B$43-B241)&lt;=0,0,(INT(MAX(0,Inputs!$B$43-B241)/(IF(Inputs!$B$38="pvp",15,MAX(0.1,Skills!D5-IF(Skills!E5=TRUE,Inputs!$B$32,0)))*(1-IF(AND(ArtifactsInput!$M$27,Inputs!$B$4="Chapter Hunt"),CHOOSE(ArtifactsInput!$N$27+1,20,24,28,32,36,40),0)/100)))+1)),0)</f>
        <v/>
      </c>
      <c r="S208">
        <f>IFERROR(O208/N208,0)</f>
        <v/>
      </c>
      <c r="T208">
        <f>IF(C208,(H208*N208*IF(AND(Inputs!$B$38&lt;&gt;"pvp",Inputs!$B$43&gt;0),((Skills!G5*((R208-1)*IF(Skills!H5&gt;0,Skills!I5/Skills!H5,1)+IF(Skills!H5&gt;0,MIN(Skills!I5,MAX(0,MAX(0,Inputs!$B$43-B241)-((R208-1)*(IF(Inputs!$B$38="pvp",15,MAX(0.1,Skills!D5-IF(Skills!E5=TRUE,Inputs!$B$32,0)))*(1-IF(AND(ArtifactsInput!$M$27,Inputs!$B$4="Chapter Hunt"),CHOOSE(ArtifactsInput!$N$27+1,20,24,28,32,36,40),0)/100)))))/Skills!H5,1)))/Inputs!$B$43),G208*Q208)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8">
        <f>IF(C208,(H208*N208*IF(AND(Inputs!$B$38&lt;&gt;"pvp",Inputs!$B$43&gt;0),((Skills!G5*((R208-1)*IF(Skills!H5&gt;0,Skills!I5/Skills!H5,1)+IF(Skills!H5&gt;0,MIN(Skills!I5,MAX(0,MAX(0,Inputs!$B$43-B241)-((R208-1)*(IF(Inputs!$B$38="pvp",15,MAX(0.1,Skills!D5-IF(Skills!E5=TRUE,Inputs!$B$32,0)))*(1-IF(AND(ArtifactsInput!$M$27,Inputs!$B$4="Chapter Hunt"),CHOOSE(ArtifactsInput!$N$27+1,20,24,28,32,36,40),0)/100)))))/Skills!H5,1)))/Inputs!$B$43),G208*Q208))*IF(Inputs!$B$38="pvp",1,(1+(Inputs!$B$21+Skills!Q5+(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
      <c r="A209">
        <f>Skills!A6</f>
        <v/>
      </c>
      <c r="B209">
        <f>Skills!B6</f>
        <v/>
      </c>
      <c r="C209">
        <f>Inputs!$B$3&gt;=63</f>
        <v/>
      </c>
      <c r="D209">
        <f>IF(Skills!C6=1,60+Inputs!$B$25+Inputs!$B$29,IF(Skills!C6=2,90+Inputs!$B$26+Inputs!$B$29,IF(Skills!C6=3,120+Inputs!$B$27+Inputs!$B$29,MAX(0,(Inputs!$B$3-100)*3)+Inputs!$B$28+Inputs!$B$29)))</f>
        <v/>
      </c>
      <c r="E209">
        <f>INDEX(FactorTable!$B$2:$Y$301, MATCH(ROUND(MIN(300,MAX(1,D209)),0), FactorTable!$A$2:$A$301,0), Skills!M6+1)</f>
        <v/>
      </c>
      <c r="F209">
        <f>IF(Skills!N6=TRUE,(Skills!L6/10)*(E209/1000),Skills!L6/10)+Skills!O6</f>
        <v/>
      </c>
      <c r="G209">
        <f>Skills!G6*IF(Skills!H6&gt;0,Skills!I6/Skills!H6,1)</f>
        <v/>
      </c>
      <c r="H209">
        <f>1-(1-Skills!J6/100)^Skills!K6</f>
        <v/>
      </c>
      <c r="I209" t="inlineStr">
        <is>
          <t>1</t>
        </is>
      </c>
      <c r="J209">
        <f>((Inputs!$B$6*(1+Inputs!$B$7/100))+(((Inputs!$B$12*(1+Inputs!$B$13/100))-(Inputs!$B$12*(1+Inputs!$B$13/100)))+0.25*(Inputs!$B$14-Inputs!$B$14))*(1+Inputs!$B$7/100))*(F209/100)</f>
        <v/>
      </c>
      <c r="K209">
        <f>J209*(1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218=TRUE,F218,0)/100)*(1+(IF(Skills!A6="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f>
        <v/>
      </c>
      <c r="L209">
        <f>K209*(MIN(Inputs!$B$22+((C225=TRUE)*(F225-Calc!F22)),(Inputs!$B$23+0+(IF(ArtifactsInput!$M$15,CHOOSE(ArtifactsInput!$N$15+1,25,30,35,40,45,50)/100*(Inputs!$B$11-Inputs!$B$11),0))))/100+(Inputs!$B$23+0+(IF(ArtifactsInput!$M$15,CHOOSE(ArtifactsInput!$N$15+1,25,30,35,40,45,50)/100*(Inputs!$B$11-Inputs!$B$11),0)))/100)/2</f>
        <v/>
      </c>
      <c r="M209">
        <f>L209*(1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
        <f>L209*(1-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
        <f>(1-Summary!$B$11)*T209+Summary!$B$11*V209</f>
        <v/>
      </c>
      <c r="P209">
        <f>IF(B244=0,0,O209/B244)</f>
        <v/>
      </c>
      <c r="Q209">
        <f>IFERROR(1/(IF(Inputs!$B$38="pvp",15,MAX(0.1,Skills!D6-IF(Skills!E6=TRUE,Inputs!$B$32,0)))*(1-IF(AND(ArtifactsInput!$M$27,Inputs!$B$4="Chapter Hunt"),CHOOSE(ArtifactsInput!$N$27+1,20,24,28,32,36,40),0)/100)),0)</f>
        <v/>
      </c>
      <c r="R209">
        <f>IF(AND(Inputs!$B$38&lt;&gt;"pvp",Inputs!$B$43&gt;0),IF(MAX(0,Inputs!$B$43-B241)&lt;=0,0,(INT(MAX(0,Inputs!$B$43-B241)/(IF(Inputs!$B$38="pvp",15,MAX(0.1,Skills!D6-IF(Skills!E6=TRUE,Inputs!$B$32,0)))*(1-IF(AND(ArtifactsInput!$M$27,Inputs!$B$4="Chapter Hunt"),CHOOSE(ArtifactsInput!$N$27+1,20,24,28,32,36,40),0)/100)))+1)),0)</f>
        <v/>
      </c>
      <c r="S209">
        <f>IFERROR(O209/N209,0)</f>
        <v/>
      </c>
      <c r="T209">
        <f>IF(C209,(H209*N209*IF(AND(Inputs!$B$38&lt;&gt;"pvp",Inputs!$B$43&gt;0),((Skills!G6*((R209-1)*IF(Skills!H6&gt;0,Skills!I6/Skills!H6,1)+IF(Skills!H6&gt;0,MIN(Skills!I6,MAX(0,MAX(0,Inputs!$B$43-B241)-((R209-1)*(IF(Inputs!$B$38="pvp",15,MAX(0.1,Skills!D6-IF(Skills!E6=TRUE,Inputs!$B$32,0)))*(1-IF(AND(ArtifactsInput!$M$27,Inputs!$B$4="Chapter Hunt"),CHOOSE(ArtifactsInput!$N$27+1,20,24,28,32,36,40),0)/100)))))/Skills!H6,1)))/Inputs!$B$43),G209*Q209)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
        <f>IF(C209,(H209*N209*IF(AND(Inputs!$B$38&lt;&gt;"pvp",Inputs!$B$43&gt;0),((Skills!G6*((R209-1)*IF(Skills!H6&gt;0,Skills!I6/Skills!H6,1)+IF(Skills!H6&gt;0,MIN(Skills!I6,MAX(0,MAX(0,Inputs!$B$43-B241)-((R209-1)*(IF(Inputs!$B$38="pvp",15,MAX(0.1,Skills!D6-IF(Skills!E6=TRUE,Inputs!$B$32,0)))*(1-IF(AND(ArtifactsInput!$M$27,Inputs!$B$4="Chapter Hunt"),CHOOSE(ArtifactsInput!$N$27+1,20,24,28,32,36,40),0)/100)))))/Skills!H6,1)))/Inputs!$B$43),G209*Q209))*IF(Inputs!$B$38="pvp",1,(1+(Inputs!$B$21+Skills!Q6+(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
      <c r="A210">
        <f>Skills!A7</f>
        <v/>
      </c>
      <c r="B210">
        <f>Skills!B7</f>
        <v/>
      </c>
      <c r="C210">
        <f>Inputs!$B$3&gt;=66</f>
        <v/>
      </c>
      <c r="D210">
        <f>IF(Skills!C7=1,60+Inputs!$B$25+Inputs!$B$29,IF(Skills!C7=2,90+Inputs!$B$26+Inputs!$B$29,IF(Skills!C7=3,120+Inputs!$B$27+Inputs!$B$29,MAX(0,(Inputs!$B$3-100)*3)+Inputs!$B$28+Inputs!$B$29)))</f>
        <v/>
      </c>
      <c r="E210">
        <f>INDEX(FactorTable!$B$2:$Y$301, MATCH(ROUND(MIN(300,MAX(1,D210)),0), FactorTable!$A$2:$A$301,0), Skills!M7+1)</f>
        <v/>
      </c>
      <c r="F210">
        <f>IF(Skills!N7=TRUE,(Skills!L7/10)*(E210/1000),Skills!L7/10)+Skills!O7</f>
        <v/>
      </c>
      <c r="G210">
        <f>Skills!G7*IF(Skills!H7&gt;0,Skills!I7/Skills!H7,1)</f>
        <v/>
      </c>
      <c r="H210">
        <f>1-(1-Skills!J7/100)^Skills!K7</f>
        <v/>
      </c>
      <c r="I210" t="inlineStr">
        <is>
          <t>1</t>
        </is>
      </c>
      <c r="J210">
        <f>((Inputs!$B$6*(1+Inputs!$B$7/100))+(((Inputs!$B$12*(1+Inputs!$B$13/100))-(Inputs!$B$12*(1+Inputs!$B$13/100)))+0.25*(Inputs!$B$14-Inputs!$B$14))*(1+Inputs!$B$7/100))*(F210/100)</f>
        <v/>
      </c>
      <c r="K210">
        <f>J210*(1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218=TRUE,F218,0)/100)*(1+(IF(Skills!A7="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f>
        <v/>
      </c>
      <c r="L210">
        <f>K210*(MIN(Inputs!$B$22+((C225=TRUE)*(F225-Calc!F22)),(Inputs!$B$23+0+(IF(ArtifactsInput!$M$15,CHOOSE(ArtifactsInput!$N$15+1,25,30,35,40,45,50)/100*(Inputs!$B$11-Inputs!$B$11),0))))/100+(Inputs!$B$23+0+(IF(ArtifactsInput!$M$15,CHOOSE(ArtifactsInput!$N$15+1,25,30,35,40,45,50)/100*(Inputs!$B$11-Inputs!$B$11),0)))/100)/2</f>
        <v/>
      </c>
      <c r="M210">
        <f>L210*(1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
        <f>L210*(1-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
        <f>(1-Summary!$B$11)*T210+Summary!$B$11*V210</f>
        <v/>
      </c>
      <c r="P210">
        <f>IF(B244=0,0,O210/B244)</f>
        <v/>
      </c>
      <c r="Q210">
        <f>IFERROR(1/(IF(Inputs!$B$38="pvp",15,MAX(0.1,Skills!D7-IF(Skills!E7=TRUE,Inputs!$B$32,0)))*(1-IF(AND(ArtifactsInput!$M$27,Inputs!$B$4="Chapter Hunt"),CHOOSE(ArtifactsInput!$N$27+1,20,24,28,32,36,40),0)/100)),0)</f>
        <v/>
      </c>
      <c r="R210">
        <f>IF(AND(Inputs!$B$38&lt;&gt;"pvp",Inputs!$B$43&gt;0),IF(MAX(0,Inputs!$B$43-B241)&lt;=0,0,(INT(MAX(0,Inputs!$B$43-B241)/(IF(Inputs!$B$38="pvp",15,MAX(0.1,Skills!D7-IF(Skills!E7=TRUE,Inputs!$B$32,0)))*(1-IF(AND(ArtifactsInput!$M$27,Inputs!$B$4="Chapter Hunt"),CHOOSE(ArtifactsInput!$N$27+1,20,24,28,32,36,40),0)/100)))+1)),0)</f>
        <v/>
      </c>
      <c r="S210">
        <f>IFERROR(O210/N210,0)</f>
        <v/>
      </c>
      <c r="T210">
        <f>IF(C210,(H210*N210*IF(AND(Inputs!$B$38&lt;&gt;"pvp",Inputs!$B$43&gt;0),((Skills!G7*((R210-1)*IF(Skills!H7&gt;0,Skills!I7/Skills!H7,1)+IF(Skills!H7&gt;0,MIN(Skills!I7,MAX(0,MAX(0,Inputs!$B$43-B241)-((R210-1)*(IF(Inputs!$B$38="pvp",15,MAX(0.1,Skills!D7-IF(Skills!E7=TRUE,Inputs!$B$32,0)))*(1-IF(AND(ArtifactsInput!$M$27,Inputs!$B$4="Chapter Hunt"),CHOOSE(ArtifactsInput!$N$27+1,20,24,28,32,36,40),0)/100)))))/Skills!H7,1)))/Inputs!$B$43),G210*Q210)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
        <f>IF(C210,(H210*N210*IF(AND(Inputs!$B$38&lt;&gt;"pvp",Inputs!$B$43&gt;0),((Skills!G7*((R210-1)*IF(Skills!H7&gt;0,Skills!I7/Skills!H7,1)+IF(Skills!H7&gt;0,MIN(Skills!I7,MAX(0,MAX(0,Inputs!$B$43-B241)-((R210-1)*(IF(Inputs!$B$38="pvp",15,MAX(0.1,Skills!D7-IF(Skills!E7=TRUE,Inputs!$B$32,0)))*(1-IF(AND(ArtifactsInput!$M$27,Inputs!$B$4="Chapter Hunt"),CHOOSE(ArtifactsInput!$N$27+1,20,24,28,32,36,40),0)/100)))))/Skills!H7,1)))/Inputs!$B$43),G210*Q210))*IF(Inputs!$B$38="pvp",1,(1+(Inputs!$B$21+Skills!Q7+(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
      <c r="A211">
        <f>Skills!A8</f>
        <v/>
      </c>
      <c r="B211">
        <f>Skills!B8</f>
        <v/>
      </c>
      <c r="C211">
        <f>Inputs!$B$3&gt;=100</f>
        <v/>
      </c>
      <c r="D211">
        <f>IF(Skills!C8=1,60+Inputs!$B$25+Inputs!$B$29,IF(Skills!C8=2,90+Inputs!$B$26+Inputs!$B$29,IF(Skills!C8=3,120+Inputs!$B$27+Inputs!$B$29,MAX(0,(Inputs!$B$3-100)*3)+Inputs!$B$28+Inputs!$B$29)))</f>
        <v/>
      </c>
      <c r="E211">
        <f>INDEX(FactorTable!$B$2:$Y$301, MATCH(ROUND(MIN(300,MAX(1,D211)),0), FactorTable!$A$2:$A$301,0), Skills!M8+1)</f>
        <v/>
      </c>
      <c r="F211">
        <f>IF(Skills!N8=TRUE,(Skills!L8/10)*(E211/1000),Skills!L8/10)+Skills!O8</f>
        <v/>
      </c>
      <c r="G211">
        <f>Skills!G8*IF(Skills!H8&gt;0,Skills!I8/Skills!H8,1)</f>
        <v/>
      </c>
      <c r="H211">
        <f>1-(1-Skills!J8/100)^Skills!K8</f>
        <v/>
      </c>
      <c r="I211" t="inlineStr">
        <is>
          <t>1</t>
        </is>
      </c>
      <c r="J211">
        <f>((Inputs!$B$6*(1+Inputs!$B$7/100))+(((Inputs!$B$12*(1+Inputs!$B$13/100))-(Inputs!$B$12*(1+Inputs!$B$13/100)))+0.25*(Inputs!$B$14-Inputs!$B$14))*(1+Inputs!$B$7/100))*(F211/100)</f>
        <v/>
      </c>
      <c r="K211">
        <f>J211*(1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f>
        <v/>
      </c>
      <c r="L211">
        <f>K211*(MIN(Inputs!$B$22+((C225=TRUE)*(F225-Calc!F22)),(Inputs!$B$23+0+(IF(ArtifactsInput!$M$15,CHOOSE(ArtifactsInput!$N$15+1,25,30,35,40,45,50)/100*(Inputs!$B$11-Inputs!$B$11),0))))/100+(Inputs!$B$23+0+(IF(ArtifactsInput!$M$15,CHOOSE(ArtifactsInput!$N$15+1,25,30,35,40,45,50)/100*(Inputs!$B$11-Inputs!$B$11),0)))/100)/2</f>
        <v/>
      </c>
      <c r="M211">
        <f>L211*(1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
        <f>L211*(1-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
        <f>(1-Summary!$B$11)*T211+Summary!$B$11*V211</f>
        <v/>
      </c>
      <c r="P211">
        <f>IF(B244=0,0,O211/B244)</f>
        <v/>
      </c>
      <c r="Q211">
        <f>IFERROR(1/(IF(Inputs!$B$38="pvp",15,MAX(0.1,Skills!D8-IF(Skills!E8=TRUE,Inputs!$B$32,0)))*(1-IF(AND(ArtifactsInput!$M$27,Inputs!$B$4="Chapter Hunt"),CHOOSE(ArtifactsInput!$N$27+1,20,24,28,32,36,40),0)/100)),0)</f>
        <v/>
      </c>
      <c r="R211">
        <f>IF(AND(Inputs!$B$38&lt;&gt;"pvp",Inputs!$B$43&gt;0),IF(MAX(0,Inputs!$B$43-B241)&lt;=0,0,(INT(MAX(0,Inputs!$B$43-B241)/(IF(Inputs!$B$38="pvp",15,MAX(0.1,Skills!D8-IF(Skills!E8=TRUE,Inputs!$B$32,0)))*(1-IF(AND(ArtifactsInput!$M$27,Inputs!$B$4="Chapter Hunt"),CHOOSE(ArtifactsInput!$N$27+1,20,24,28,32,36,40),0)/100)))+1)),0)</f>
        <v/>
      </c>
      <c r="S211">
        <f>IFERROR(O211/N211,0)</f>
        <v/>
      </c>
      <c r="T211">
        <f>IF(C211,(H211*N211*IF(AND(Inputs!$B$38&lt;&gt;"pvp",Inputs!$B$43&gt;0),((Skills!G8*((R211-1)*IF(Skills!H8&gt;0,Skills!I8/Skills!H8,1)+IF(Skills!H8&gt;0,MIN(Skills!I8,MAX(0,MAX(0,Inputs!$B$43-B241)-((R211-1)*(IF(Inputs!$B$38="pvp",15,MAX(0.1,Skills!D8-IF(Skills!E8=TRUE,Inputs!$B$32,0)))*(1-IF(AND(ArtifactsInput!$M$27,Inputs!$B$4="Chapter Hunt"),CHOOSE(ArtifactsInput!$N$27+1,20,24,28,32,36,40),0)/100)))))/Skills!H8,1)))/Inputs!$B$43),G211*Q211)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1">
        <f>IF(C211,(H211*N211*IF(AND(Inputs!$B$38&lt;&gt;"pvp",Inputs!$B$43&gt;0),((Skills!G8*((R211-1)*IF(Skills!H8&gt;0,Skills!I8/Skills!H8,1)+IF(Skills!H8&gt;0,MIN(Skills!I8,MAX(0,MAX(0,Inputs!$B$43-B241)-((R211-1)*(IF(Inputs!$B$38="pvp",15,MAX(0.1,Skills!D8-IF(Skills!E8=TRUE,Inputs!$B$32,0)))*(1-IF(AND(ArtifactsInput!$M$27,Inputs!$B$4="Chapter Hunt"),CHOOSE(ArtifactsInput!$N$27+1,20,24,28,32,36,40),0)/100)))))/Skills!H8,1)))/Inputs!$B$43),G211*Q211))*IF(Inputs!$B$38="pvp",1,(1+(Inputs!$B$21+Skills!Q8+(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
      <c r="A212">
        <f>Skills!A9</f>
        <v/>
      </c>
      <c r="B212">
        <f>Skills!B9</f>
        <v/>
      </c>
      <c r="C212">
        <f>Inputs!$B$3&gt;=103</f>
        <v/>
      </c>
      <c r="D212">
        <f>IF(Skills!C9=1,60+Inputs!$B$25+Inputs!$B$29,IF(Skills!C9=2,90+Inputs!$B$26+Inputs!$B$29,IF(Skills!C9=3,120+Inputs!$B$27+Inputs!$B$29,MAX(0,(Inputs!$B$3-100)*3)+Inputs!$B$28+Inputs!$B$29)))</f>
        <v/>
      </c>
      <c r="E212">
        <f>INDEX(FactorTable!$B$2:$Y$301, MATCH(ROUND(MIN(300,MAX(1,D212)),0), FactorTable!$A$2:$A$301,0), Skills!M9+1)</f>
        <v/>
      </c>
      <c r="F212">
        <f>IF(Skills!N9=TRUE,(Skills!L9/10)*(E212/1000),Skills!L9/10)+Skills!O9</f>
        <v/>
      </c>
      <c r="G212">
        <f>Skills!G9*IF(Skills!H9&gt;0,Skills!I9/Skills!H9,1)</f>
        <v/>
      </c>
      <c r="H212">
        <f>1-(1-Skills!J9/100)^Skills!K9</f>
        <v/>
      </c>
      <c r="I212" t="inlineStr">
        <is>
          <t>1</t>
        </is>
      </c>
      <c r="J212">
        <f>((Inputs!$B$6*(1+Inputs!$B$7/100))+(((Inputs!$B$12*(1+Inputs!$B$13/100))-(Inputs!$B$12*(1+Inputs!$B$13/100)))+0.25*(Inputs!$B$14-Inputs!$B$14))*(1+Inputs!$B$7/100))*(F212/100)</f>
        <v/>
      </c>
      <c r="K212">
        <f>J212*(1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f>
        <v/>
      </c>
      <c r="L212">
        <f>K212*(MIN(Inputs!$B$22+((C225=TRUE)*(F225-Calc!F22)),(Inputs!$B$23+0+(IF(ArtifactsInput!$M$15,CHOOSE(ArtifactsInput!$N$15+1,25,30,35,40,45,50)/100*(Inputs!$B$11-Inputs!$B$11),0))))/100+(Inputs!$B$23+0+(IF(ArtifactsInput!$M$15,CHOOSE(ArtifactsInput!$N$15+1,25,30,35,40,45,50)/100*(Inputs!$B$11-Inputs!$B$11),0)))/100)/2</f>
        <v/>
      </c>
      <c r="M212">
        <f>L212*(1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
        <f>L212*(1-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
        <f>(1-Summary!$B$11)*T212+Summary!$B$11*V212</f>
        <v/>
      </c>
      <c r="P212">
        <f>IF(B244=0,0,O212/B244)</f>
        <v/>
      </c>
      <c r="Q212">
        <f>IFERROR(1/(IF(Inputs!$B$38="pvp",15,MAX(0.1,Skills!D9-IF(Skills!E9=TRUE,Inputs!$B$32,0)))*(1-IF(AND(ArtifactsInput!$M$27,Inputs!$B$4="Chapter Hunt"),CHOOSE(ArtifactsInput!$N$27+1,20,24,28,32,36,40),0)/100)),0)</f>
        <v/>
      </c>
      <c r="R212">
        <f>IF(AND(Inputs!$B$38&lt;&gt;"pvp",Inputs!$B$43&gt;0),IF(MAX(0,Inputs!$B$43-B241)&lt;=0,0,(INT(MAX(0,Inputs!$B$43-B241)/(IF(Inputs!$B$38="pvp",15,MAX(0.1,Skills!D9-IF(Skills!E9=TRUE,Inputs!$B$32,0)))*(1-IF(AND(ArtifactsInput!$M$27,Inputs!$B$4="Chapter Hunt"),CHOOSE(ArtifactsInput!$N$27+1,20,24,28,32,36,40),0)/100)))+1)),0)</f>
        <v/>
      </c>
      <c r="S212">
        <f>IFERROR(O212/N212,0)</f>
        <v/>
      </c>
      <c r="T212">
        <f>IF(C212,(H212*N212*IF(AND(Inputs!$B$38&lt;&gt;"pvp",Inputs!$B$43&gt;0),((Skills!G9*((R212-1)*IF(Skills!H9&gt;0,Skills!I9/Skills!H9,1)+IF(Skills!H9&gt;0,MIN(Skills!I9,MAX(0,MAX(0,Inputs!$B$43-B241)-((R212-1)*(IF(Inputs!$B$38="pvp",15,MAX(0.1,Skills!D9-IF(Skills!E9=TRUE,Inputs!$B$32,0)))*(1-IF(AND(ArtifactsInput!$M$27,Inputs!$B$4="Chapter Hunt"),CHOOSE(ArtifactsInput!$N$27+1,20,24,28,32,36,40),0)/100)))))/Skills!H9,1)))/Inputs!$B$43),G212*Q212)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2">
        <f>IF(C212,(H212*N212*IF(AND(Inputs!$B$38&lt;&gt;"pvp",Inputs!$B$43&gt;0),((Skills!G9*((R212-1)*IF(Skills!H9&gt;0,Skills!I9/Skills!H9,1)+IF(Skills!H9&gt;0,MIN(Skills!I9,MAX(0,MAX(0,Inputs!$B$43-B241)-((R212-1)*(IF(Inputs!$B$38="pvp",15,MAX(0.1,Skills!D9-IF(Skills!E9=TRUE,Inputs!$B$32,0)))*(1-IF(AND(ArtifactsInput!$M$27,Inputs!$B$4="Chapter Hunt"),CHOOSE(ArtifactsInput!$N$27+1,20,24,28,32,36,40),0)/100)))))/Skills!H9,1)))/Inputs!$B$43),G212*Q212))*IF(Inputs!$B$38="pvp",1,(1+(Inputs!$B$21+Skills!Q9+(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
      <c r="A213">
        <f>Skills!A10</f>
        <v/>
      </c>
      <c r="B213">
        <f>Skills!B10</f>
        <v/>
      </c>
      <c r="C213">
        <f>Inputs!$B$3&gt;=113</f>
        <v/>
      </c>
      <c r="D213">
        <f>IF(Skills!C10=1,60+Inputs!$B$25+Inputs!$B$29,IF(Skills!C10=2,90+Inputs!$B$26+Inputs!$B$29,IF(Skills!C10=3,120+Inputs!$B$27+Inputs!$B$29,MAX(0,(Inputs!$B$3-100)*3)+Inputs!$B$28+Inputs!$B$29)))</f>
        <v/>
      </c>
      <c r="E213">
        <f>INDEX(FactorTable!$B$2:$Y$301, MATCH(ROUND(MIN(300,MAX(1,D213)),0), FactorTable!$A$2:$A$301,0), Skills!M10+1)</f>
        <v/>
      </c>
      <c r="F213">
        <f>IF(Skills!N10=TRUE,(Skills!L10/10)*(E213/1000),Skills!L10/10)+Skills!O10</f>
        <v/>
      </c>
      <c r="G213">
        <f>Skills!G10*IF(Skills!H10&gt;0,Skills!I10/Skills!H10,1)</f>
        <v/>
      </c>
      <c r="H213">
        <f>1-(1-Skills!J10/100)^Skills!K10</f>
        <v/>
      </c>
      <c r="I213" t="inlineStr">
        <is>
          <t>1</t>
        </is>
      </c>
      <c r="J213">
        <f>((Inputs!$B$6*(1+Inputs!$B$7/100))+(((Inputs!$B$12*(1+Inputs!$B$13/100))-(Inputs!$B$12*(1+Inputs!$B$13/100)))+0.25*(Inputs!$B$14-Inputs!$B$14))*(1+Inputs!$B$7/100))*(F213/100)</f>
        <v/>
      </c>
      <c r="K213">
        <f>J213*(1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f>
        <v/>
      </c>
      <c r="L213">
        <f>K213*(MIN(Inputs!$B$22+((C225=TRUE)*(F225-Calc!F22)),(Inputs!$B$23+0+(IF(ArtifactsInput!$M$15,CHOOSE(ArtifactsInput!$N$15+1,25,30,35,40,45,50)/100*(Inputs!$B$11-Inputs!$B$11),0))))/100+(Inputs!$B$23+0+(IF(ArtifactsInput!$M$15,CHOOSE(ArtifactsInput!$N$15+1,25,30,35,40,45,50)/100*(Inputs!$B$11-Inputs!$B$11),0)))/100)/2</f>
        <v/>
      </c>
      <c r="M213">
        <f>L213*(1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
        <f>L213*(1-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
        <f>(1-Summary!$B$11)*T213+Summary!$B$11*V213</f>
        <v/>
      </c>
      <c r="P213">
        <f>IF(B244=0,0,O213/B244)</f>
        <v/>
      </c>
      <c r="Q213">
        <f>IFERROR(1/(IF(Inputs!$B$38="pvp",15,MAX(0.1,Skills!D10-IF(Skills!E10=TRUE,Inputs!$B$32,0)))*(1-IF(AND(ArtifactsInput!$M$27,Inputs!$B$4="Chapter Hunt"),CHOOSE(ArtifactsInput!$N$27+1,20,24,28,32,36,40),0)/100)),0)</f>
        <v/>
      </c>
      <c r="R213">
        <f>IF(AND(Inputs!$B$38&lt;&gt;"pvp",Inputs!$B$43&gt;0),IF(MAX(0,Inputs!$B$43-B241)&lt;=0,0,(INT(MAX(0,Inputs!$B$43-B241)/(IF(Inputs!$B$38="pvp",15,MAX(0.1,Skills!D10-IF(Skills!E10=TRUE,Inputs!$B$32,0)))*(1-IF(AND(ArtifactsInput!$M$27,Inputs!$B$4="Chapter Hunt"),CHOOSE(ArtifactsInput!$N$27+1,20,24,28,32,36,40),0)/100)))+1)),0)</f>
        <v/>
      </c>
      <c r="S213">
        <f>IFERROR(O213/N213,0)</f>
        <v/>
      </c>
      <c r="T213">
        <f>IF(C213,(H213*N213*IF(AND(Inputs!$B$38&lt;&gt;"pvp",Inputs!$B$43&gt;0),((Skills!G10*((R213-1)*IF(Skills!H10&gt;0,Skills!I10/Skills!H10,1)+IF(Skills!H10&gt;0,MIN(Skills!I10,MAX(0,MAX(0,Inputs!$B$43-B241)-((R213-1)*(IF(Inputs!$B$38="pvp",15,MAX(0.1,Skills!D10-IF(Skills!E10=TRUE,Inputs!$B$32,0)))*(1-IF(AND(ArtifactsInput!$M$27,Inputs!$B$4="Chapter Hunt"),CHOOSE(ArtifactsInput!$N$27+1,20,24,28,32,36,40),0)/100)))))/Skills!H10,1)))/Inputs!$B$43),G213*Q213)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
        <f>IF(C213,(H213*N213*IF(AND(Inputs!$B$38&lt;&gt;"pvp",Inputs!$B$43&gt;0),((Skills!G10*((R213-1)*IF(Skills!H10&gt;0,Skills!I10/Skills!H10,1)+IF(Skills!H10&gt;0,MIN(Skills!I10,MAX(0,MAX(0,Inputs!$B$43-B241)-((R213-1)*(IF(Inputs!$B$38="pvp",15,MAX(0.1,Skills!D10-IF(Skills!E10=TRUE,Inputs!$B$32,0)))*(1-IF(AND(ArtifactsInput!$M$27,Inputs!$B$4="Chapter Hunt"),CHOOSE(ArtifactsInput!$N$27+1,20,24,28,32,36,40),0)/100)))))/Skills!H10,1)))/Inputs!$B$43),G213*Q213))*IF(Inputs!$B$38="pvp",1,(1+(Inputs!$B$21+Skills!Q10+(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
      <c r="A214">
        <f>Skills!A11</f>
        <v/>
      </c>
      <c r="B214">
        <f>Skills!B11</f>
        <v/>
      </c>
      <c r="C214">
        <f>Inputs!$B$3&gt;=107</f>
        <v/>
      </c>
      <c r="D214">
        <f>IF(Skills!C11=1,60+Inputs!$B$25+Inputs!$B$29,IF(Skills!C11=2,90+Inputs!$B$26+Inputs!$B$29,IF(Skills!C11=3,120+Inputs!$B$27+Inputs!$B$29,MAX(0,(Inputs!$B$3-100)*3)+Inputs!$B$28+Inputs!$B$29)))</f>
        <v/>
      </c>
      <c r="E214">
        <f>INDEX(FactorTable!$B$2:$Y$301, MATCH(ROUND(MIN(300,MAX(1,D214)),0), FactorTable!$A$2:$A$301,0), Skills!M11+1)</f>
        <v/>
      </c>
      <c r="F214">
        <f>IF(Skills!N11=TRUE,(Skills!L11/10)*(E214/1000),Skills!L11/10)+Skills!O11</f>
        <v/>
      </c>
      <c r="G214">
        <f>Skills!G11*IF(Skills!H11&gt;0,Skills!I11/Skills!H11,1)</f>
        <v/>
      </c>
      <c r="H214">
        <f>1-(1-Skills!J11/100)^Skills!K11</f>
        <v/>
      </c>
      <c r="I214" t="inlineStr">
        <is>
          <t>1</t>
        </is>
      </c>
      <c r="J214">
        <f>((Inputs!$B$6*(1+Inputs!$B$7/100))+(((Inputs!$B$12*(1+Inputs!$B$13/100))-(Inputs!$B$12*(1+Inputs!$B$13/100)))+0.25*(Inputs!$B$14-Inputs!$B$14))*(1+Inputs!$B$7/100))*(F214/100)</f>
        <v/>
      </c>
      <c r="K214">
        <f>J214*(1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f>
        <v/>
      </c>
      <c r="L214">
        <f>K214*(MIN(Inputs!$B$22+((C225=TRUE)*(F225-Calc!F22)),(Inputs!$B$23+0+(IF(ArtifactsInput!$M$15,CHOOSE(ArtifactsInput!$N$15+1,25,30,35,40,45,50)/100*(Inputs!$B$11-Inputs!$B$11),0))))/100+(Inputs!$B$23+0+(IF(ArtifactsInput!$M$15,CHOOSE(ArtifactsInput!$N$15+1,25,30,35,40,45,50)/100*(Inputs!$B$11-Inputs!$B$11),0)))/100)/2</f>
        <v/>
      </c>
      <c r="M214">
        <f>L214*(1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
        <f>L214*(1-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
        <f>(1-Summary!$B$11)*T214+Summary!$B$11*V214</f>
        <v/>
      </c>
      <c r="P214">
        <f>IF(B244=0,0,O214/B244)</f>
        <v/>
      </c>
      <c r="Q214">
        <f>IFERROR(1/(IF(Inputs!$B$38="pvp",15,MAX(0.1,Skills!D11-IF(Skills!E11=TRUE,Inputs!$B$32,0)))*(1-IF(AND(ArtifactsInput!$M$27,Inputs!$B$4="Chapter Hunt"),CHOOSE(ArtifactsInput!$N$27+1,20,24,28,32,36,40),0)/100)),0)</f>
        <v/>
      </c>
      <c r="R214">
        <f>IF(AND(Inputs!$B$38&lt;&gt;"pvp",Inputs!$B$43&gt;0),IF(MAX(0,Inputs!$B$43-B241)&lt;=0,0,(INT(MAX(0,Inputs!$B$43-B241)/(IF(Inputs!$B$38="pvp",15,MAX(0.1,Skills!D11-IF(Skills!E11=TRUE,Inputs!$B$32,0)))*(1-IF(AND(ArtifactsInput!$M$27,Inputs!$B$4="Chapter Hunt"),CHOOSE(ArtifactsInput!$N$27+1,20,24,28,32,36,40),0)/100)))+1)),0)</f>
        <v/>
      </c>
      <c r="S214">
        <f>IFERROR(O214/N214,0)</f>
        <v/>
      </c>
      <c r="T214">
        <f>IF(C214,(H214*N214*IF(AND(Inputs!$B$38&lt;&gt;"pvp",Inputs!$B$43&gt;0),((Skills!G11*((R214-1)*IF(Skills!H11&gt;0,Skills!I11/Skills!H11,1)+IF(Skills!H11&gt;0,MIN(Skills!I11,MAX(0,MAX(0,Inputs!$B$43-B241)-((R214-1)*(IF(Inputs!$B$38="pvp",15,MAX(0.1,Skills!D11-IF(Skills!E11=TRUE,Inputs!$B$32,0)))*(1-IF(AND(ArtifactsInput!$M$27,Inputs!$B$4="Chapter Hunt"),CHOOSE(ArtifactsInput!$N$27+1,20,24,28,32,36,40),0)/100)))))/Skills!H11,1)))/Inputs!$B$43),G214*Q214)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
        <f>IF(C214,(H214*N214*IF(AND(Inputs!$B$38&lt;&gt;"pvp",Inputs!$B$43&gt;0),((Skills!G11*((R214-1)*IF(Skills!H11&gt;0,Skills!I11/Skills!H11,1)+IF(Skills!H11&gt;0,MIN(Skills!I11,MAX(0,MAX(0,Inputs!$B$43-B241)-((R214-1)*(IF(Inputs!$B$38="pvp",15,MAX(0.1,Skills!D11-IF(Skills!E11=TRUE,Inputs!$B$32,0)))*(1-IF(AND(ArtifactsInput!$M$27,Inputs!$B$4="Chapter Hunt"),CHOOSE(ArtifactsInput!$N$27+1,20,24,28,32,36,40),0)/100)))))/Skills!H11,1)))/Inputs!$B$43),G214*Q214))*IF(Inputs!$B$38="pvp",1,(1+(Inputs!$B$21+Skills!Q11+(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
      <c r="A215">
        <f>Skills!A12</f>
        <v/>
      </c>
      <c r="B215">
        <f>Skills!B12</f>
        <v/>
      </c>
      <c r="C215">
        <f>Inputs!$B$3&gt;=110</f>
        <v/>
      </c>
      <c r="D215">
        <f>IF(Skills!C12=1,60+Inputs!$B$25+Inputs!$B$29,IF(Skills!C12=2,90+Inputs!$B$26+Inputs!$B$29,IF(Skills!C12=3,120+Inputs!$B$27+Inputs!$B$29,MAX(0,(Inputs!$B$3-100)*3)+Inputs!$B$28+Inputs!$B$29)))</f>
        <v/>
      </c>
      <c r="E215">
        <f>INDEX(FactorTable!$B$2:$Y$301, MATCH(ROUND(MIN(300,MAX(1,D215)),0), FactorTable!$A$2:$A$301,0), Skills!M12+1)</f>
        <v/>
      </c>
      <c r="F215">
        <f>IF(Skills!N12=TRUE,(Skills!L12/10)*(E215/1000),Skills!L12/10)+Skills!O12</f>
        <v/>
      </c>
      <c r="G215">
        <f>Skills!G12*IF(Skills!H12&gt;0,Skills!I12/Skills!H12,1)</f>
        <v/>
      </c>
      <c r="H215">
        <f>1-(1-Skills!J12/100)^Skills!K12</f>
        <v/>
      </c>
      <c r="I215" t="inlineStr">
        <is>
          <t>1</t>
        </is>
      </c>
      <c r="J215">
        <f>((Inputs!$B$6*(1+Inputs!$B$7/100))+(((Inputs!$B$12*(1+Inputs!$B$13/100))-(Inputs!$B$12*(1+Inputs!$B$13/100)))+0.25*(Inputs!$B$14-Inputs!$B$14))*(1+Inputs!$B$7/100))*(F215/100)</f>
        <v/>
      </c>
      <c r="K215">
        <f>J215*(1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f>
        <v/>
      </c>
      <c r="L215">
        <f>K215*(MIN(Inputs!$B$22+((C225=TRUE)*(F225-Calc!F22)),(Inputs!$B$23+0+(IF(ArtifactsInput!$M$15,CHOOSE(ArtifactsInput!$N$15+1,25,30,35,40,45,50)/100*(Inputs!$B$11-Inputs!$B$11),0))))/100+(Inputs!$B$23+0+(IF(ArtifactsInput!$M$15,CHOOSE(ArtifactsInput!$N$15+1,25,30,35,40,45,50)/100*(Inputs!$B$11-Inputs!$B$11),0)))/100)/2</f>
        <v/>
      </c>
      <c r="M215">
        <f>L215*(1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
        <f>L215*(1-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
        <f>(1-Summary!$B$11)*T215+Summary!$B$11*V215</f>
        <v/>
      </c>
      <c r="P215">
        <f>IF(B244=0,0,O215/B244)</f>
        <v/>
      </c>
      <c r="Q215">
        <f>IFERROR(1/(IF(Inputs!$B$38="pvp",15,MAX(0.1,Skills!D12-IF(Skills!E12=TRUE,Inputs!$B$32,0)))*(1-IF(AND(ArtifactsInput!$M$27,Inputs!$B$4="Chapter Hunt"),CHOOSE(ArtifactsInput!$N$27+1,20,24,28,32,36,40),0)/100)),0)</f>
        <v/>
      </c>
      <c r="R215">
        <f>IF(AND(Inputs!$B$38&lt;&gt;"pvp",Inputs!$B$43&gt;0),IF(MAX(0,Inputs!$B$43-B241)&lt;=0,0,(INT(MAX(0,Inputs!$B$43-B241)/(IF(Inputs!$B$38="pvp",15,MAX(0.1,Skills!D12-IF(Skills!E12=TRUE,Inputs!$B$32,0)))*(1-IF(AND(ArtifactsInput!$M$27,Inputs!$B$4="Chapter Hunt"),CHOOSE(ArtifactsInput!$N$27+1,20,24,28,32,36,40),0)/100)))+1)),0)</f>
        <v/>
      </c>
      <c r="S215">
        <f>IFERROR(O215/N215,0)</f>
        <v/>
      </c>
      <c r="T215">
        <f>IF(C215,(H215*N215*IF(AND(Inputs!$B$38&lt;&gt;"pvp",Inputs!$B$43&gt;0),((Skills!G12*((R215-1)*IF(Skills!H12&gt;0,Skills!I12/Skills!H12,1)+IF(Skills!H12&gt;0,MIN(Skills!I12,MAX(0,MAX(0,Inputs!$B$43-B241)-((R215-1)*(IF(Inputs!$B$38="pvp",15,MAX(0.1,Skills!D12-IF(Skills!E12=TRUE,Inputs!$B$32,0)))*(1-IF(AND(ArtifactsInput!$M$27,Inputs!$B$4="Chapter Hunt"),CHOOSE(ArtifactsInput!$N$27+1,20,24,28,32,36,40),0)/100)))))/Skills!H12,1)))/Inputs!$B$43),G215*Q215)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
        <f>IF(C215,(H215*N215*IF(AND(Inputs!$B$38&lt;&gt;"pvp",Inputs!$B$43&gt;0),((Skills!G12*((R215-1)*IF(Skills!H12&gt;0,Skills!I12/Skills!H12,1)+IF(Skills!H12&gt;0,MIN(Skills!I12,MAX(0,MAX(0,Inputs!$B$43-B241)-((R215-1)*(IF(Inputs!$B$38="pvp",15,MAX(0.1,Skills!D12-IF(Skills!E12=TRUE,Inputs!$B$32,0)))*(1-IF(AND(ArtifactsInput!$M$27,Inputs!$B$4="Chapter Hunt"),CHOOSE(ArtifactsInput!$N$27+1,20,24,28,32,36,40),0)/100)))))/Skills!H12,1)))/Inputs!$B$43),G215*Q215))*IF(Inputs!$B$38="pvp",1,(1+(Inputs!$B$21+Skills!Q12+(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
      <c r="A216">
        <f>Skills!A13</f>
        <v/>
      </c>
      <c r="B216">
        <f>Skills!B13</f>
        <v/>
      </c>
      <c r="C216">
        <f>Inputs!$B$3&gt;=110</f>
        <v/>
      </c>
      <c r="D216">
        <f>IF(Skills!C13=1,60+Inputs!$B$25+Inputs!$B$29,IF(Skills!C13=2,90+Inputs!$B$26+Inputs!$B$29,IF(Skills!C13=3,120+Inputs!$B$27+Inputs!$B$29,MAX(0,(Inputs!$B$3-100)*3)+Inputs!$B$28+Inputs!$B$29)))</f>
        <v/>
      </c>
      <c r="E216">
        <f>INDEX(FactorTable!$B$2:$Y$301, MATCH(ROUND(MIN(300,MAX(1,D216)),0), FactorTable!$A$2:$A$301,0), Skills!M13+1)</f>
        <v/>
      </c>
      <c r="F216">
        <f>IF(Skills!N13=TRUE,(Skills!L13/10)*(E216/1000),Skills!L13/10)+Skills!O13</f>
        <v/>
      </c>
      <c r="G216">
        <f>Skills!G13*IF(Skills!H13&gt;0,Skills!I13/Skills!H13,1)</f>
        <v/>
      </c>
      <c r="H216">
        <f>1-(1-Skills!J13/100)^Skills!K13</f>
        <v/>
      </c>
      <c r="I216" t="inlineStr">
        <is>
          <t>1</t>
        </is>
      </c>
      <c r="J216">
        <f>((Inputs!$B$6*(1+Inputs!$B$7/100))+(((Inputs!$B$12*(1+Inputs!$B$13/100))-(Inputs!$B$12*(1+Inputs!$B$13/100)))+0.25*(Inputs!$B$14-Inputs!$B$14))*(1+Inputs!$B$7/100))*(F216/100)</f>
        <v/>
      </c>
      <c r="K216">
        <f>J216*(1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f>
        <v/>
      </c>
      <c r="L216">
        <f>K216*(MIN(Inputs!$B$22+((C225=TRUE)*(F225-Calc!F22)),(Inputs!$B$23+0+(IF(ArtifactsInput!$M$15,CHOOSE(ArtifactsInput!$N$15+1,25,30,35,40,45,50)/100*(Inputs!$B$11-Inputs!$B$11),0))))/100+(Inputs!$B$23+0+(IF(ArtifactsInput!$M$15,CHOOSE(ArtifactsInput!$N$15+1,25,30,35,40,45,50)/100*(Inputs!$B$11-Inputs!$B$11),0)))/100)/2</f>
        <v/>
      </c>
      <c r="M216">
        <f>L216*(1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
        <f>L216*(1-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
        <f>(1-Summary!$B$11)*T216+Summary!$B$11*V216</f>
        <v/>
      </c>
      <c r="P216">
        <f>IF(B244=0,0,O216/B244)</f>
        <v/>
      </c>
      <c r="Q216">
        <f>IFERROR(1/(IF(Inputs!$B$38="pvp",15,MAX(0.1,Skills!D13-IF(Skills!E13=TRUE,Inputs!$B$32,0)))*(1-IF(AND(ArtifactsInput!$M$27,Inputs!$B$4="Chapter Hunt"),CHOOSE(ArtifactsInput!$N$27+1,20,24,28,32,36,40),0)/100)),0)</f>
        <v/>
      </c>
      <c r="R216">
        <f>IF(AND(Inputs!$B$38&lt;&gt;"pvp",Inputs!$B$43&gt;0),IF(MAX(0,Inputs!$B$43-B241)&lt;=0,0,(INT(MAX(0,Inputs!$B$43-B241)/(IF(Inputs!$B$38="pvp",15,MAX(0.1,Skills!D13-IF(Skills!E13=TRUE,Inputs!$B$32,0)))*(1-IF(AND(ArtifactsInput!$M$27,Inputs!$B$4="Chapter Hunt"),CHOOSE(ArtifactsInput!$N$27+1,20,24,28,32,36,40),0)/100)))+1)),0)</f>
        <v/>
      </c>
      <c r="S216">
        <f>IFERROR(O216/N216,0)</f>
        <v/>
      </c>
      <c r="T216">
        <f>IF(C216,(H216*N216*IF(AND(Inputs!$B$38&lt;&gt;"pvp",Inputs!$B$43&gt;0),((Skills!G13*((R216-1)*IF(Skills!H13&gt;0,Skills!I13/Skills!H13,1)+IF(Skills!H13&gt;0,MIN(Skills!I13,MAX(0,MAX(0,Inputs!$B$43-B241)-((R216-1)*(IF(Inputs!$B$38="pvp",15,MAX(0.1,Skills!D13-IF(Skills!E13=TRUE,Inputs!$B$32,0)))*(1-IF(AND(ArtifactsInput!$M$27,Inputs!$B$4="Chapter Hunt"),CHOOSE(ArtifactsInput!$N$27+1,20,24,28,32,36,40),0)/100)))))/Skills!H13,1)))/Inputs!$B$43),G216*Q216)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6">
        <f>IF(C216,(H216*N216*IF(AND(Inputs!$B$38&lt;&gt;"pvp",Inputs!$B$43&gt;0),((Skills!G13*((R216-1)*IF(Skills!H13&gt;0,Skills!I13/Skills!H13,1)+IF(Skills!H13&gt;0,MIN(Skills!I13,MAX(0,MAX(0,Inputs!$B$43-B241)-((R216-1)*(IF(Inputs!$B$38="pvp",15,MAX(0.1,Skills!D13-IF(Skills!E13=TRUE,Inputs!$B$32,0)))*(1-IF(AND(ArtifactsInput!$M$27,Inputs!$B$4="Chapter Hunt"),CHOOSE(ArtifactsInput!$N$27+1,20,24,28,32,36,40),0)/100)))))/Skills!H13,1)))/Inputs!$B$43),G216*Q216))*IF(Inputs!$B$38="pvp",1,(1+(Inputs!$B$21+Skills!Q13+(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
      <c r="A217">
        <f>Skills!A14</f>
        <v/>
      </c>
      <c r="B217">
        <f>Skills!B14</f>
        <v/>
      </c>
      <c r="C217">
        <f>Inputs!$B$3&gt;=125</f>
        <v/>
      </c>
      <c r="D217">
        <f>IF(Skills!C14=1,60+Inputs!$B$25+Inputs!$B$29,IF(Skills!C14=2,90+Inputs!$B$26+Inputs!$B$29,IF(Skills!C14=3,120+Inputs!$B$27+Inputs!$B$29,MAX(0,(Inputs!$B$3-100)*3)+Inputs!$B$28+Inputs!$B$29)))</f>
        <v/>
      </c>
      <c r="E217">
        <f>INDEX(FactorTable!$B$2:$Y$301, MATCH(ROUND(MIN(300,MAX(1,D217)),0), FactorTable!$A$2:$A$301,0), Skills!M14+1)</f>
        <v/>
      </c>
      <c r="F217">
        <f>IF(Skills!N14=TRUE,(Skills!L14/10)*(E217/1000),Skills!L14/10)+Skills!O14</f>
        <v/>
      </c>
      <c r="G217">
        <f>Skills!G14*IF(Skills!H14&gt;0,Skills!I14/Skills!H14,1)</f>
        <v/>
      </c>
      <c r="H217">
        <f>1-(1-Skills!J14/100)^Skills!K14</f>
        <v/>
      </c>
      <c r="I217" t="inlineStr">
        <is>
          <t>1</t>
        </is>
      </c>
      <c r="J217">
        <f>((Inputs!$B$6*(1+Inputs!$B$7/100))+(((Inputs!$B$12*(1+Inputs!$B$13/100))-(Inputs!$B$12*(1+Inputs!$B$13/100)))+0.25*(Inputs!$B$14-Inputs!$B$14))*(1+Inputs!$B$7/100))*(F217/100)</f>
        <v/>
      </c>
      <c r="K217">
        <f>J217*(1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f>
        <v/>
      </c>
      <c r="L217">
        <f>K217*(MIN(Inputs!$B$22+((C225=TRUE)*(F225-Calc!F22)),(Inputs!$B$23+0+(IF(ArtifactsInput!$M$15,CHOOSE(ArtifactsInput!$N$15+1,25,30,35,40,45,50)/100*(Inputs!$B$11-Inputs!$B$11),0))))/100+(Inputs!$B$23+0+(IF(ArtifactsInput!$M$15,CHOOSE(ArtifactsInput!$N$15+1,25,30,35,40,45,50)/100*(Inputs!$B$11-Inputs!$B$11),0)))/100)/2</f>
        <v/>
      </c>
      <c r="M217">
        <f>L217*(1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
        <f>L217*(1-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
        <f>(1-Summary!$B$11)*T217+Summary!$B$11*V217</f>
        <v/>
      </c>
      <c r="P217">
        <f>IF(B244=0,0,O217/B244)</f>
        <v/>
      </c>
      <c r="Q217" t="n">
        <v>0</v>
      </c>
      <c r="R217" t="n">
        <v>0</v>
      </c>
      <c r="S217">
        <f>IFERROR(O217/N217,0)</f>
        <v/>
      </c>
      <c r="T217">
        <f>IF(C217,(H217*N217*(B238+IF(AND(Inputs!$B$38&lt;&gt;"pvp",Inputs!$B$43&gt;0),((Skills!G8*((R211-1)*IF(Skills!H8&gt;0,Skills!I8/Skills!H8,1)+IF(Skills!H8&gt;0,MIN(Skills!I8,MAX(0,MAX(0,Inputs!$B$43-B241)-((R211-1)*(IF(Inputs!$B$38="pvp",15,MAX(0.1,Skills!D8-IF(Skills!E8=TRUE,Inputs!$B$32,0)))*(1-IF(AND(ArtifactsInput!$M$27,Inputs!$B$4="Chapter Hunt"),CHOOSE(ArtifactsInput!$N$27+1,20,24,28,32,36,40),0)/100)))))/Skills!H8,1)))/Inputs!$B$43),G211*Q211)+IF(AND(Inputs!$B$38&lt;&gt;"pvp",Inputs!$B$43&gt;0),((Skills!G11*((R214-1)*IF(Skills!H11&gt;0,Skills!I11/Skills!H11,1)+IF(Skills!H11&gt;0,MIN(Skills!I11,MAX(0,MAX(0,Inputs!$B$43-B241)-((R214-1)*(IF(Inputs!$B$38="pvp",15,MAX(0.1,Skills!D11-IF(Skills!E11=TRUE,Inputs!$B$32,0)))*(1-IF(AND(ArtifactsInput!$M$27,Inputs!$B$4="Chapter Hunt"),CHOOSE(ArtifactsInput!$N$27+1,20,24,28,32,36,40),0)/100)))))/Skills!H11,1)))/Inputs!$B$43),G214*Q214)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
        <f>IF(C217,(H217*N217*(B238+IF(AND(Inputs!$B$38&lt;&gt;"pvp",Inputs!$B$43&gt;0),((Skills!G8*((R211-1)*IF(Skills!H8&gt;0,Skills!I8/Skills!H8,1)+IF(Skills!H8&gt;0,MIN(Skills!I8,MAX(0,MAX(0,Inputs!$B$43-B241)-((R211-1)*(IF(Inputs!$B$38="pvp",15,MAX(0.1,Skills!D8-IF(Skills!E8=TRUE,Inputs!$B$32,0)))*(1-IF(AND(ArtifactsInput!$M$27,Inputs!$B$4="Chapter Hunt"),CHOOSE(ArtifactsInput!$N$27+1,20,24,28,32,36,40),0)/100)))))/Skills!H8,1)))/Inputs!$B$43),G211*Q211)+IF(AND(Inputs!$B$38&lt;&gt;"pvp",Inputs!$B$43&gt;0),((Skills!G11*((R214-1)*IF(Skills!H11&gt;0,Skills!I11/Skills!H11,1)+IF(Skills!H11&gt;0,MIN(Skills!I11,MAX(0,MAX(0,Inputs!$B$43-B241)-((R214-1)*(IF(Inputs!$B$38="pvp",15,MAX(0.1,Skills!D11-IF(Skills!E11=TRUE,Inputs!$B$32,0)))*(1-IF(AND(ArtifactsInput!$M$27,Inputs!$B$4="Chapter Hunt"),CHOOSE(ArtifactsInput!$N$27+1,20,24,28,32,36,40),0)/100)))))/Skills!H11,1)))/Inputs!$B$43),G214*Q214)))*IF(Inputs!$B$38="pvp",1,(1+(Inputs!$B$21+Skills!Q14+(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
      <c r="A218">
        <f>Skills!A15</f>
        <v/>
      </c>
      <c r="B218">
        <f>Skills!B15</f>
        <v/>
      </c>
      <c r="C218">
        <f>Inputs!$B$3&gt;=100</f>
        <v/>
      </c>
      <c r="D218">
        <f>IF(Skills!C15=1,60+Inputs!$B$25+Inputs!$B$29,IF(Skills!C15=2,90+Inputs!$B$26+Inputs!$B$29,IF(Skills!C15=3,120+Inputs!$B$27+Inputs!$B$29,MAX(0,(Inputs!$B$3-100)*3)+Inputs!$B$28+Inputs!$B$29)))</f>
        <v/>
      </c>
      <c r="E218">
        <f>INDEX(FactorTable!$B$2:$Y$301, MATCH(ROUND(MIN(300,MAX(1,D218)),0), FactorTable!$A$2:$A$301,0), Skills!M15+1)</f>
        <v/>
      </c>
      <c r="F218">
        <f>IF(Skills!N15=TRUE,(Skills!L15/10)*(E218/1000),Skills!L15/10)+Skills!O15</f>
        <v/>
      </c>
      <c r="G218" t="inlineStr"/>
      <c r="H218" t="inlineStr"/>
      <c r="I218" t="inlineStr">
        <is>
          <t>1</t>
        </is>
      </c>
      <c r="J218" t="inlineStr"/>
      <c r="K218" t="inlineStr"/>
      <c r="L218" t="inlineStr"/>
      <c r="M218" t="inlineStr"/>
      <c r="N218" t="inlineStr"/>
      <c r="O218" t="inlineStr"/>
      <c r="P218" t="inlineStr"/>
      <c r="Q218" t="inlineStr"/>
      <c r="R218" t="inlineStr"/>
      <c r="S218" t="inlineStr"/>
    </row>
    <row r="219">
      <c r="A219">
        <f>Skills!A16</f>
        <v/>
      </c>
      <c r="B219">
        <f>Skills!B16</f>
        <v/>
      </c>
      <c r="C219">
        <f>Inputs!$B$3&gt;=120</f>
        <v/>
      </c>
      <c r="D219">
        <f>IF(Skills!C16=1,60+Inputs!$B$25+Inputs!$B$29,IF(Skills!C16=2,90+Inputs!$B$26+Inputs!$B$29,IF(Skills!C16=3,120+Inputs!$B$27+Inputs!$B$29,MAX(0,(Inputs!$B$3-100)*3)+Inputs!$B$28+Inputs!$B$29)))</f>
        <v/>
      </c>
      <c r="E219">
        <f>INDEX(FactorTable!$B$2:$Y$301, MATCH(ROUND(MIN(300,MAX(1,D219)),0), FactorTable!$A$2:$A$301,0), Skills!M16+1)</f>
        <v/>
      </c>
      <c r="F219">
        <f>IF(Skills!N16=TRUE,(Skills!L16/10)*(E219/1000),Skills!L16/10)+Skills!O16</f>
        <v/>
      </c>
      <c r="G219" t="inlineStr"/>
      <c r="H219" t="inlineStr"/>
      <c r="I219" t="inlineStr">
        <is>
          <t>1</t>
        </is>
      </c>
      <c r="J219" t="inlineStr"/>
      <c r="K219" t="inlineStr"/>
      <c r="L219" t="inlineStr"/>
      <c r="M219" t="inlineStr"/>
      <c r="N219" t="inlineStr"/>
      <c r="O219" t="inlineStr"/>
      <c r="P219" t="inlineStr"/>
      <c r="Q219" t="inlineStr"/>
      <c r="R219" t="inlineStr"/>
      <c r="S219" t="inlineStr"/>
    </row>
    <row r="220">
      <c r="A220">
        <f>Skills!A17</f>
        <v/>
      </c>
      <c r="B220">
        <f>Skills!B17</f>
        <v/>
      </c>
      <c r="C220">
        <f>Inputs!$B$3&gt;=66</f>
        <v/>
      </c>
      <c r="D220">
        <f>IF(Skills!C17=1,60+Inputs!$B$25+Inputs!$B$29,IF(Skills!C17=2,90+Inputs!$B$26+Inputs!$B$29,IF(Skills!C17=3,120+Inputs!$B$27+Inputs!$B$29,MAX(0,(Inputs!$B$3-100)*3)+Inputs!$B$28+Inputs!$B$29)))</f>
        <v/>
      </c>
      <c r="E220">
        <f>INDEX(FactorTable!$B$2:$Y$301, MATCH(ROUND(MIN(300,MAX(1,D220)),0), FactorTable!$A$2:$A$301,0), Skills!M17+1)</f>
        <v/>
      </c>
      <c r="F220">
        <f>IF(Skills!N17=TRUE,(Skills!L17/10)*(E220/1000),Skills!L17/10)+Skills!O17</f>
        <v/>
      </c>
      <c r="G220">
        <f>Skills!G17*IF(Skills!H17&gt;0,Skills!I17/Skills!H17,1)</f>
        <v/>
      </c>
      <c r="H220">
        <f>1-(1-Skills!J17/100)^Skills!K17</f>
        <v/>
      </c>
      <c r="I220" t="inlineStr">
        <is>
          <t>1</t>
        </is>
      </c>
      <c r="J220" t="inlineStr"/>
      <c r="K220" t="inlineStr"/>
      <c r="L220" t="inlineStr"/>
      <c r="M220" t="inlineStr"/>
      <c r="N220" t="inlineStr"/>
      <c r="O220">
        <f>(1-Summary!$B$11)*T220+Summary!$B$11*V220</f>
        <v/>
      </c>
      <c r="P220">
        <f>IF(B244=0,0,O220/B244)</f>
        <v/>
      </c>
      <c r="Q220" t="n">
        <v>0</v>
      </c>
      <c r="R220" t="n">
        <v>0</v>
      </c>
      <c r="S220">
        <f>IFERROR(O220/N220,0)</f>
        <v/>
      </c>
      <c r="T220" t="n">
        <v>0</v>
      </c>
      <c r="V220" t="n">
        <v>0</v>
      </c>
    </row>
    <row r="221">
      <c r="A221">
        <f>Skills!A18</f>
        <v/>
      </c>
      <c r="B221">
        <f>Skills!B18</f>
        <v/>
      </c>
      <c r="C221">
        <f>Inputs!$B$3&gt;=115</f>
        <v/>
      </c>
      <c r="D221">
        <f>IF(Skills!C18=1,60+Inputs!$B$25+Inputs!$B$29,IF(Skills!C18=2,90+Inputs!$B$26+Inputs!$B$29,IF(Skills!C18=3,120+Inputs!$B$27+Inputs!$B$29,MAX(0,(Inputs!$B$3-100)*3)+Inputs!$B$28+Inputs!$B$29)))</f>
        <v/>
      </c>
      <c r="E221">
        <f>INDEX(FactorTable!$B$2:$Y$301, MATCH(ROUND(MIN(300,MAX(1,D221)),0), FactorTable!$A$2:$A$301,0), Skills!M18+1)</f>
        <v/>
      </c>
      <c r="F221">
        <f>IF(Skills!N18=TRUE,(Skills!L18/10)*(E221/1000),Skills!L18/10)+Skills!O18</f>
        <v/>
      </c>
      <c r="G221">
        <f>Skills!G18*IF(Skills!H18&gt;0,Skills!I18/Skills!H18,1)</f>
        <v/>
      </c>
      <c r="H221">
        <f>1-(1-Skills!J18/100)^Skills!K18</f>
        <v/>
      </c>
      <c r="I221" t="inlineStr">
        <is>
          <t>1</t>
        </is>
      </c>
      <c r="J221" t="inlineStr"/>
      <c r="K221" t="inlineStr"/>
      <c r="L221" t="inlineStr"/>
      <c r="M221" t="inlineStr"/>
      <c r="N221" t="inlineStr"/>
      <c r="O221">
        <f>(1-Summary!$B$11)*T221+Summary!$B$11*V221</f>
        <v/>
      </c>
      <c r="P221">
        <f>IF(B244=0,0,O221/B244)</f>
        <v/>
      </c>
      <c r="Q221">
        <f>IFERROR(1/(IF(Inputs!$B$38="pvp",15,MAX(0.1,Skills!D18-IF(Skills!E18=TRUE,Inputs!$B$32,0)))*(1-IF(AND(ArtifactsInput!$M$27,Inputs!$B$4="Chapter Hunt"),CHOOSE(ArtifactsInput!$N$27+1,20,24,28,32,36,40),0)/100)),0)</f>
        <v/>
      </c>
      <c r="R221">
        <f>IF(AND(Inputs!$B$38&lt;&gt;"pvp",Inputs!$B$43&gt;0),IF(Inputs!$B$43&lt;=0,0,(INT(Inputs!$B$43/(IF(Inputs!$B$38="pvp",15,MAX(0.1,Skills!D18-IF(Skills!E18=TRUE,Inputs!$B$32,0)))*(1-IF(AND(ArtifactsInput!$M$27,Inputs!$B$4="Chapter Hunt"),CHOOSE(ArtifactsInput!$N$27+1,20,24,28,32,36,40),0)/100)))+1)),0)</f>
        <v/>
      </c>
      <c r="S221">
        <f>IFERROR(O221/N221,0)</f>
        <v/>
      </c>
      <c r="T221" t="n">
        <v>0</v>
      </c>
      <c r="V221" t="n">
        <v>0</v>
      </c>
    </row>
    <row r="222">
      <c r="A222">
        <f>Skills!A19</f>
        <v/>
      </c>
      <c r="B222">
        <f>Skills!B19</f>
        <v/>
      </c>
      <c r="C222">
        <f>Inputs!$B$3&gt;=15</f>
        <v/>
      </c>
      <c r="D222">
        <f>IF(Skills!C19=1,60+Inputs!$B$25+Inputs!$B$29,IF(Skills!C19=2,90+Inputs!$B$26+Inputs!$B$29,IF(Skills!C19=3,120+Inputs!$B$27+Inputs!$B$29,MAX(0,(Inputs!$B$3-100)*3)+Inputs!$B$28+Inputs!$B$29)))</f>
        <v/>
      </c>
      <c r="E222">
        <f>INDEX(FactorTable!$B$2:$Y$301, MATCH(ROUND(MIN(300,MAX(1,D222)),0), FactorTable!$A$2:$A$301,0), Skills!M19+1)</f>
        <v/>
      </c>
      <c r="F222">
        <f>IF(Skills!N19=TRUE,(Skills!L19/10)*(E222/1000),Skills!L19/10)+Skills!O19</f>
        <v/>
      </c>
      <c r="G222">
        <f>Skills!G19*IF(Skills!H19&gt;0,Skills!I19/Skills!H19,1)</f>
        <v/>
      </c>
      <c r="H222">
        <f>1-(1-Skills!J19/100)^Skills!K19</f>
        <v/>
      </c>
      <c r="I222" t="inlineStr">
        <is>
          <t>1</t>
        </is>
      </c>
      <c r="J222" t="inlineStr"/>
      <c r="K222" t="inlineStr"/>
      <c r="L222" t="inlineStr"/>
      <c r="M222" t="inlineStr"/>
      <c r="N222" t="inlineStr"/>
      <c r="O222">
        <f>(1-Summary!$B$11)*T222+Summary!$B$11*V222</f>
        <v/>
      </c>
      <c r="P222">
        <f>IF(B244=0,0,O222/B244)</f>
        <v/>
      </c>
      <c r="Q222" t="n">
        <v>0</v>
      </c>
      <c r="R222" t="n">
        <v>0</v>
      </c>
      <c r="S222">
        <f>IFERROR(O222/N222,0)</f>
        <v/>
      </c>
      <c r="T222" t="n">
        <v>0</v>
      </c>
      <c r="V222" t="n">
        <v>0</v>
      </c>
    </row>
    <row r="223">
      <c r="A223">
        <f>Skills!A20</f>
        <v/>
      </c>
      <c r="B223">
        <f>Skills!B20</f>
        <v/>
      </c>
      <c r="C223">
        <f>Inputs!$B$3&gt;=10</f>
        <v/>
      </c>
      <c r="D223">
        <f>IF(Skills!C20=1,60+Inputs!$B$25+Inputs!$B$29,IF(Skills!C20=2,90+Inputs!$B$26+Inputs!$B$29,IF(Skills!C20=3,120+Inputs!$B$27+Inputs!$B$29,MAX(0,(Inputs!$B$3-100)*3)+Inputs!$B$28+Inputs!$B$29)))</f>
        <v/>
      </c>
      <c r="E223">
        <f>INDEX(FactorTable!$B$2:$Y$301, MATCH(ROUND(MIN(300,MAX(1,D223)),0), FactorTable!$A$2:$A$301,0), Skills!M20+1)</f>
        <v/>
      </c>
      <c r="F223">
        <f>IF(Skills!N20=TRUE,(Skills!L20/10)*(E223/1000),Skills!L20/10)+Skills!O20</f>
        <v/>
      </c>
      <c r="G223">
        <f>Skills!G20*IF(Skills!H20&gt;0,Skills!I20/Skills!H20,1)</f>
        <v/>
      </c>
      <c r="H223">
        <f>1-(1-Skills!J20/100)^Skills!K20</f>
        <v/>
      </c>
      <c r="I223" t="inlineStr">
        <is>
          <t>1</t>
        </is>
      </c>
      <c r="J223" t="inlineStr"/>
      <c r="K223" t="inlineStr"/>
      <c r="L223" t="inlineStr"/>
      <c r="M223" t="inlineStr"/>
      <c r="N223" t="inlineStr"/>
      <c r="O223">
        <f>(1-Summary!$B$11)*T223+Summary!$B$11*V223</f>
        <v/>
      </c>
      <c r="P223">
        <f>IF(B244=0,0,O223/B244)</f>
        <v/>
      </c>
      <c r="Q223" t="n">
        <v>0</v>
      </c>
      <c r="R223" t="n">
        <v>0</v>
      </c>
      <c r="S223">
        <f>IFERROR(O223/N223,0)</f>
        <v/>
      </c>
      <c r="T223" t="n">
        <v>0</v>
      </c>
      <c r="V223" t="n">
        <v>0</v>
      </c>
    </row>
    <row r="224">
      <c r="A224">
        <f>Skills!A21</f>
        <v/>
      </c>
      <c r="B224">
        <f>Skills!B21</f>
        <v/>
      </c>
      <c r="C224">
        <f>Inputs!$B$3&gt;=33</f>
        <v/>
      </c>
      <c r="D224">
        <f>IF(Skills!C21=1,60+Inputs!$B$25+Inputs!$B$29,IF(Skills!C21=2,90+Inputs!$B$26+Inputs!$B$29,IF(Skills!C21=3,120+Inputs!$B$27+Inputs!$B$29,MAX(0,(Inputs!$B$3-100)*3)+Inputs!$B$28+Inputs!$B$29)))</f>
        <v/>
      </c>
      <c r="E224">
        <f>INDEX(FactorTable!$B$2:$Y$301, MATCH(ROUND(MIN(300,MAX(1,D224)),0), FactorTable!$A$2:$A$301,0), Skills!M21+1)</f>
        <v/>
      </c>
      <c r="F224">
        <f>IF(Skills!N21=TRUE,(Skills!L21/10)*(E224/1000),Skills!L21/10)+Skills!O21</f>
        <v/>
      </c>
      <c r="G224">
        <f>Skills!G21*IF(Skills!H21&gt;0,Skills!I21/Skills!H21,1)</f>
        <v/>
      </c>
      <c r="H224">
        <f>1-(1-Skills!J21/100)^Skills!K21</f>
        <v/>
      </c>
      <c r="I224" t="inlineStr">
        <is>
          <t>1</t>
        </is>
      </c>
      <c r="J224" t="inlineStr"/>
      <c r="K224" t="inlineStr"/>
      <c r="L224" t="inlineStr"/>
      <c r="M224" t="inlineStr"/>
      <c r="N224" t="inlineStr"/>
      <c r="O224">
        <f>(1-Summary!$B$11)*T224+Summary!$B$11*V224</f>
        <v/>
      </c>
      <c r="P224">
        <f>IF(B244=0,0,O224/B244)</f>
        <v/>
      </c>
      <c r="Q224" t="n">
        <v>0</v>
      </c>
      <c r="R224" t="n">
        <v>0</v>
      </c>
      <c r="S224">
        <f>IFERROR(O224/N224,0)</f>
        <v/>
      </c>
      <c r="T224" t="n">
        <v>0</v>
      </c>
      <c r="V224" t="n">
        <v>0</v>
      </c>
    </row>
    <row r="225">
      <c r="A225">
        <f>Skills!A22</f>
        <v/>
      </c>
      <c r="B225">
        <f>Skills!B22</f>
        <v/>
      </c>
      <c r="C225">
        <f>Inputs!$B$3&gt;=43</f>
        <v/>
      </c>
      <c r="D225">
        <f>IF(Skills!C22=1,60+Inputs!$B$25+Inputs!$B$29,IF(Skills!C22=2,90+Inputs!$B$26+Inputs!$B$29,IF(Skills!C22=3,120+Inputs!$B$27+Inputs!$B$29,MAX(0,(Inputs!$B$3-100)*3)+Inputs!$B$28+Inputs!$B$29)))</f>
        <v/>
      </c>
      <c r="E225">
        <f>INDEX(FactorTable!$B$2:$Y$301, MATCH(ROUND(MIN(300,MAX(1,D225)),0), FactorTable!$A$2:$A$301,0), Skills!M22+1)</f>
        <v/>
      </c>
      <c r="F225">
        <f>IF(Skills!N22=TRUE,(Skills!L22/10)*(E225/1000),Skills!L22/10)+Skills!O22</f>
        <v/>
      </c>
      <c r="G225">
        <f>Skills!G22*IF(Skills!H22&gt;0,Skills!I22/Skills!H22,1)</f>
        <v/>
      </c>
      <c r="H225">
        <f>1-(1-Skills!J22/100)^Skills!K22</f>
        <v/>
      </c>
      <c r="I225" t="inlineStr">
        <is>
          <t>1</t>
        </is>
      </c>
      <c r="J225" t="inlineStr"/>
      <c r="K225" t="inlineStr"/>
      <c r="L225" t="inlineStr"/>
      <c r="M225" t="inlineStr"/>
      <c r="N225" t="inlineStr"/>
      <c r="O225">
        <f>(1-Summary!$B$11)*T225+Summary!$B$11*V225</f>
        <v/>
      </c>
      <c r="P225">
        <f>IF(B244=0,0,O225/B244)</f>
        <v/>
      </c>
      <c r="Q225" t="n">
        <v>0</v>
      </c>
      <c r="R225" t="n">
        <v>0</v>
      </c>
      <c r="S225">
        <f>IFERROR(O225/N225,0)</f>
        <v/>
      </c>
      <c r="T225" t="n">
        <v>0</v>
      </c>
      <c r="V225" t="n">
        <v>0</v>
      </c>
    </row>
    <row r="226">
      <c r="A226">
        <f>Skills!A23</f>
        <v/>
      </c>
      <c r="B226">
        <f>Skills!B23</f>
        <v/>
      </c>
      <c r="C226">
        <f>Inputs!$B$3&gt;=38</f>
        <v/>
      </c>
      <c r="D226">
        <f>IF(Skills!C23=1,60+Inputs!$B$25+Inputs!$B$29,IF(Skills!C23=2,90+Inputs!$B$26+Inputs!$B$29,IF(Skills!C23=3,120+Inputs!$B$27+Inputs!$B$29,MAX(0,(Inputs!$B$3-100)*3)+Inputs!$B$28+Inputs!$B$29)))</f>
        <v/>
      </c>
      <c r="E226">
        <f>INDEX(FactorTable!$B$2:$Y$301, MATCH(ROUND(MIN(300,MAX(1,D226)),0), FactorTable!$A$2:$A$301,0), Skills!M23+1)</f>
        <v/>
      </c>
      <c r="F226">
        <f>IF(Skills!N23=TRUE,(Skills!L23/10)*(E226/1000),Skills!L23/10)+Skills!O23</f>
        <v/>
      </c>
      <c r="G226">
        <f>Skills!G23*IF(Skills!H23&gt;0,Skills!I23/Skills!H23,1)</f>
        <v/>
      </c>
      <c r="H226">
        <f>1-(1-Skills!J23/100)^Skills!K23</f>
        <v/>
      </c>
      <c r="I226" t="inlineStr">
        <is>
          <t>1</t>
        </is>
      </c>
      <c r="J226" t="inlineStr"/>
      <c r="K226" t="inlineStr"/>
      <c r="L226" t="inlineStr"/>
      <c r="M226" t="inlineStr"/>
      <c r="N226" t="inlineStr"/>
      <c r="O226">
        <f>(1-Summary!$B$11)*T226+Summary!$B$11*V226</f>
        <v/>
      </c>
      <c r="P226">
        <f>IF(B244=0,0,O226/B244)</f>
        <v/>
      </c>
      <c r="Q226" t="n">
        <v>0</v>
      </c>
      <c r="R226" t="n">
        <v>0</v>
      </c>
      <c r="S226">
        <f>IFERROR(O226/N226,0)</f>
        <v/>
      </c>
      <c r="T226" t="n">
        <v>0</v>
      </c>
      <c r="V226" t="n">
        <v>0</v>
      </c>
    </row>
    <row r="227">
      <c r="A227">
        <f>Skills!A24</f>
        <v/>
      </c>
      <c r="B227">
        <f>Skills!B24</f>
        <v/>
      </c>
      <c r="C227">
        <f>Inputs!$B$3&gt;=40</f>
        <v/>
      </c>
      <c r="D227">
        <f>IF(Skills!C24=1,60+Inputs!$B$25+Inputs!$B$29,IF(Skills!C24=2,90+Inputs!$B$26+Inputs!$B$29,IF(Skills!C24=3,120+Inputs!$B$27+Inputs!$B$29,MAX(0,(Inputs!$B$3-100)*3)+Inputs!$B$28+Inputs!$B$29)))</f>
        <v/>
      </c>
      <c r="E227">
        <f>INDEX(FactorTable!$B$2:$Y$301, MATCH(ROUND(MIN(300,MAX(1,D227)),0), FactorTable!$A$2:$A$301,0), Skills!M24+1)</f>
        <v/>
      </c>
      <c r="F227">
        <f>IF(Skills!N24=TRUE,(Skills!L24/10)*(E227/1000),Skills!L24/10)+Skills!O24</f>
        <v/>
      </c>
      <c r="G227">
        <f>Skills!G24*IF(Skills!H24&gt;0,Skills!I24/Skills!H24,1)</f>
        <v/>
      </c>
      <c r="H227">
        <f>1-(1-Skills!J24/100)^Skills!K24</f>
        <v/>
      </c>
      <c r="I227" t="inlineStr">
        <is>
          <t>1</t>
        </is>
      </c>
      <c r="J227" t="inlineStr"/>
      <c r="K227" t="inlineStr"/>
      <c r="L227" t="inlineStr"/>
      <c r="M227" t="inlineStr"/>
      <c r="N227" t="inlineStr"/>
      <c r="O227">
        <f>(1-Summary!$B$11)*T227+Summary!$B$11*V227</f>
        <v/>
      </c>
      <c r="P227">
        <f>IF(B244=0,0,O227/B244)</f>
        <v/>
      </c>
      <c r="Q227" t="n">
        <v>0</v>
      </c>
      <c r="R227" t="n">
        <v>0</v>
      </c>
      <c r="S227">
        <f>IFERROR(O227/N227,0)</f>
        <v/>
      </c>
      <c r="T227" t="n">
        <v>0</v>
      </c>
      <c r="V227" t="n">
        <v>0</v>
      </c>
    </row>
    <row r="228">
      <c r="A228">
        <f>Skills!A25</f>
        <v/>
      </c>
      <c r="B228">
        <f>Skills!B25</f>
        <v/>
      </c>
      <c r="C228">
        <f>Inputs!$B$3&gt;=72</f>
        <v/>
      </c>
      <c r="D228">
        <f>IF(Skills!C25=1,60+Inputs!$B$25+Inputs!$B$29,IF(Skills!C25=2,90+Inputs!$B$26+Inputs!$B$29,IF(Skills!C25=3,120+Inputs!$B$27+Inputs!$B$29,MAX(0,(Inputs!$B$3-100)*3)+Inputs!$B$28+Inputs!$B$29)))</f>
        <v/>
      </c>
      <c r="E228">
        <f>INDEX(FactorTable!$B$2:$Y$301, MATCH(ROUND(MIN(300,MAX(1,D228)),0), FactorTable!$A$2:$A$301,0), Skills!M25+1)</f>
        <v/>
      </c>
      <c r="F228">
        <f>IF(Skills!N25=TRUE,(Skills!L25/10)*(E228/1000),Skills!L25/10)+Skills!O25</f>
        <v/>
      </c>
      <c r="G228">
        <f>Skills!G25*IF(Skills!H25&gt;0,Skills!I25/Skills!H25,1)</f>
        <v/>
      </c>
      <c r="H228">
        <f>1-(1-Skills!J25/100)^Skills!K25</f>
        <v/>
      </c>
      <c r="I228" t="inlineStr">
        <is>
          <t>1</t>
        </is>
      </c>
      <c r="J228" t="inlineStr"/>
      <c r="K228" t="inlineStr"/>
      <c r="L228" t="inlineStr"/>
      <c r="M228" t="inlineStr"/>
      <c r="N228" t="inlineStr"/>
      <c r="O228">
        <f>(1-Summary!$B$11)*T228+Summary!$B$11*V228</f>
        <v/>
      </c>
      <c r="P228">
        <f>IF(B244=0,0,O228/B244)</f>
        <v/>
      </c>
      <c r="Q228" t="n">
        <v>0</v>
      </c>
      <c r="R228" t="n">
        <v>0</v>
      </c>
      <c r="S228">
        <f>IFERROR(O228/N228,0)</f>
        <v/>
      </c>
      <c r="T228" t="n">
        <v>0</v>
      </c>
      <c r="V228" t="n">
        <v>0</v>
      </c>
    </row>
    <row r="229">
      <c r="A229">
        <f>Skills!A26</f>
        <v/>
      </c>
      <c r="B229">
        <f>Skills!B26</f>
        <v/>
      </c>
      <c r="C229">
        <f>Inputs!$B$3&gt;=75</f>
        <v/>
      </c>
      <c r="D229">
        <f>IF(Skills!C26=1,60+Inputs!$B$25+Inputs!$B$29,IF(Skills!C26=2,90+Inputs!$B$26+Inputs!$B$29,IF(Skills!C26=3,120+Inputs!$B$27+Inputs!$B$29,MAX(0,(Inputs!$B$3-100)*3)+Inputs!$B$28+Inputs!$B$29)))</f>
        <v/>
      </c>
      <c r="E229">
        <f>INDEX(FactorTable!$B$2:$Y$301, MATCH(ROUND(MIN(300,MAX(1,D229)),0), FactorTable!$A$2:$A$301,0), Skills!M26+1)</f>
        <v/>
      </c>
      <c r="F229">
        <f>IF(Skills!N26=TRUE,(Skills!L26/10)*(E229/1000),Skills!L26/10)+Skills!O26</f>
        <v/>
      </c>
      <c r="G229">
        <f>Skills!G26*IF(Skills!H26&gt;0,Skills!I26/Skills!H26,1)</f>
        <v/>
      </c>
      <c r="H229">
        <f>1-(1-Skills!J26/100)^Skills!K26</f>
        <v/>
      </c>
      <c r="I229" t="inlineStr">
        <is>
          <t>1</t>
        </is>
      </c>
      <c r="J229" t="inlineStr"/>
      <c r="K229" t="inlineStr"/>
      <c r="L229" t="inlineStr"/>
      <c r="M229" t="inlineStr"/>
      <c r="N229" t="inlineStr"/>
      <c r="O229">
        <f>(1-Summary!$B$11)*T229+Summary!$B$11*V229</f>
        <v/>
      </c>
      <c r="P229">
        <f>IF(B244=0,0,O229/B244)</f>
        <v/>
      </c>
      <c r="Q229" t="n">
        <v>0</v>
      </c>
      <c r="R229" t="n">
        <v>0</v>
      </c>
      <c r="S229">
        <f>IFERROR(O229/N229,0)</f>
        <v/>
      </c>
      <c r="T229" t="n">
        <v>0</v>
      </c>
      <c r="V229" t="n">
        <v>0</v>
      </c>
    </row>
    <row r="230">
      <c r="A230">
        <f>Skills!A27</f>
        <v/>
      </c>
      <c r="B230">
        <f>Skills!B27</f>
        <v/>
      </c>
      <c r="C230">
        <f>Inputs!$B$3&gt;=117</f>
        <v/>
      </c>
      <c r="D230">
        <f>IF(Skills!C27=1,60+Inputs!$B$25+Inputs!$B$29,IF(Skills!C27=2,90+Inputs!$B$26+Inputs!$B$29,IF(Skills!C27=3,120+Inputs!$B$27+Inputs!$B$29,MAX(0,(Inputs!$B$3-100)*3)+Inputs!$B$28+Inputs!$B$29)))</f>
        <v/>
      </c>
      <c r="E230">
        <f>INDEX(FactorTable!$B$2:$Y$301, MATCH(ROUND(MIN(300,MAX(1,D230)),0), FactorTable!$A$2:$A$301,0), Skills!M27+1)</f>
        <v/>
      </c>
      <c r="F230">
        <f>IF(Skills!N27=TRUE,(Skills!L27/10)*(E230/1000),Skills!L27/10)+Skills!O27</f>
        <v/>
      </c>
      <c r="G230">
        <f>Skills!G27*IF(Skills!H27&gt;0,Skills!I27/Skills!H27,1)</f>
        <v/>
      </c>
      <c r="H230">
        <f>1-(1-Skills!J27/100)^Skills!K27</f>
        <v/>
      </c>
      <c r="I230" t="inlineStr">
        <is>
          <t>1</t>
        </is>
      </c>
      <c r="J230" t="inlineStr"/>
      <c r="K230" t="inlineStr"/>
      <c r="L230" t="inlineStr"/>
      <c r="M230" t="inlineStr"/>
      <c r="N230" t="inlineStr"/>
      <c r="O230">
        <f>(1-Summary!$B$11)*T230+Summary!$B$11*V230</f>
        <v/>
      </c>
      <c r="P230">
        <f>IF(B244=0,0,O230/B244)</f>
        <v/>
      </c>
      <c r="Q230" t="n">
        <v>0</v>
      </c>
      <c r="R230" t="n">
        <v>0</v>
      </c>
      <c r="S230">
        <f>IFERROR(O230/N230,0)</f>
        <v/>
      </c>
      <c r="T230" t="n">
        <v>0</v>
      </c>
      <c r="V230" t="n">
        <v>0</v>
      </c>
    </row>
    <row r="231">
      <c r="A231">
        <f>Skills!A28</f>
        <v/>
      </c>
      <c r="B231">
        <f>Skills!B28</f>
        <v/>
      </c>
      <c r="C231">
        <f>TRUE</f>
        <v/>
      </c>
      <c r="D231">
        <f>IF(Skills!C28=1,60+Inputs!$B$25+Inputs!$B$29,IF(Skills!C28=2,90+Inputs!$B$26+Inputs!$B$29,IF(Skills!C28=3,120+Inputs!$B$27+Inputs!$B$29,MAX(0,(Inputs!$B$3-100)*3)+Inputs!$B$28+Inputs!$B$29)))</f>
        <v/>
      </c>
      <c r="E231">
        <f>INDEX(FactorTable!$B$2:$Y$301, MATCH(ROUND(MIN(300,MAX(1,D231)),0), FactorTable!$A$2:$A$301,0), Skills!M28+1)</f>
        <v/>
      </c>
      <c r="F231">
        <f>IF(Skills!N28=TRUE,(Skills!L28/10)*(E231/1000),Skills!L28/10)+Skills!O28</f>
        <v/>
      </c>
      <c r="G231">
        <f>Skills!G28*IF(Skills!H28&gt;0,Skills!I28/Skills!H28,1)</f>
        <v/>
      </c>
      <c r="H231">
        <f>1-(1-Skills!J28/100)^Skills!K28</f>
        <v/>
      </c>
      <c r="I231" t="inlineStr">
        <is>
          <t>1</t>
        </is>
      </c>
      <c r="J231" t="inlineStr"/>
      <c r="K231" t="inlineStr"/>
      <c r="L231" t="inlineStr"/>
      <c r="M231" t="inlineStr"/>
      <c r="N231" t="inlineStr"/>
      <c r="O231">
        <f>(1-Summary!$B$11)*T231+Summary!$B$11*V231</f>
        <v/>
      </c>
      <c r="P231">
        <f>IF(B244=0,0,O231/B244)</f>
        <v/>
      </c>
      <c r="Q231">
        <f>IFERROR(1/(IF(Inputs!$B$38="pvp",15,MAX(0.1,Skills!D28-IF(Skills!E28=TRUE,Inputs!$B$32,0)))*(1-IF(AND(ArtifactsInput!$M$27,Inputs!$B$4="Chapter Hunt"),CHOOSE(ArtifactsInput!$N$27+1,20,24,28,32,36,40),0)/100)),0)</f>
        <v/>
      </c>
      <c r="R231">
        <f>IF(AND(Inputs!$B$38&lt;&gt;"pvp",Inputs!$B$43&gt;0),IF(Inputs!$B$43&lt;=0,0,(INT(Inputs!$B$43/(IF(Inputs!$B$38="pvp",15,MAX(0.1,Skills!D28-IF(Skills!E28=TRUE,Inputs!$B$32,0)))*(1-IF(AND(ArtifactsInput!$M$27,Inputs!$B$4="Chapter Hunt"),CHOOSE(ArtifactsInput!$N$27+1,20,24,28,32,36,40),0)/100)))+1)),0)</f>
        <v/>
      </c>
      <c r="S231">
        <f>IFERROR(O231/N231,0)</f>
        <v/>
      </c>
      <c r="T231" t="n">
        <v>0</v>
      </c>
      <c r="V231" t="n">
        <v>0</v>
      </c>
    </row>
    <row r="233">
      <c r="A233" t="inlineStr">
        <is>
          <t>Attack% Bucket Multiplier</t>
        </is>
      </c>
      <c r="B233">
        <f>(1+(((C220=TRUE)*F220*5/7)+((C227=TRUE)*(F227-Calc!F24))+(IF(ArtifactsInput!$M$21,CHOOSE(ArtifactsInput!$N$21+1,25,30,35,40,45,50)*(IF(OR(Inputs!$B$4="Chapter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4">
      <c r="A234" t="inlineStr">
        <is>
          <t>Global Crit Rate Bonus %</t>
        </is>
      </c>
      <c r="B234" t="n">
        <v>0</v>
      </c>
    </row>
    <row r="235">
      <c r="A235" t="inlineStr">
        <is>
          <t>Attack Speed Buff Bonus % (Nimble Feet, duty-cycle averaged)</t>
        </is>
      </c>
      <c r="B235">
        <f>((C231=TRUE)*F231*IF(AND(Inputs!$B$38&lt;&gt;"pvp",Inputs!$B$43&gt;0),(((R231-1)*(Skills!T28*(1+Inputs!$B$34/100))+MIN((Skills!T28*(1+Inputs!$B$34/100)),MAX(0,Inputs!$B$43-((R231-1)*Skills!D28))))/Inputs!$B$43),IF(Inputs!$B$38="pvp",MIN((Skills!T28*(1+Inputs!$B$34/100)),15)/15,(Skills!T28*(1+Inputs!$B$34/100))/Skills!D28)))</f>
        <v/>
      </c>
    </row>
    <row r="236">
      <c r="A236" t="inlineStr">
        <is>
          <t>Actions Per Second</t>
        </is>
      </c>
      <c r="B236">
        <f>1+MIN(150,150*(1-(1-(Inputs!$B$11+((C223=TRUE)*(F223-Calc!F20))+((C224=TRUE)*(F224-Calc!F21)))/150)*(1-B235/150)))/100</f>
        <v/>
      </c>
    </row>
    <row r="237">
      <c r="A237" t="inlineStr">
        <is>
          <t>Skill + Buff Cast Rate</t>
        </is>
      </c>
      <c r="B237">
        <f>IF(AND(Inputs!$B$38&lt;&gt;"pvp",Inputs!$B$43&gt;0),SUMPRODUCT((Skills!E2:E28=TRUE)*(C205:C231=TRUE)*R205:R231*Skills!F2:F28)/Inputs!$B$43,SUMPRODUCT((Skills!E2:E28=TRUE)*(C205:C231=TRUE)*Q205:Q231*Skills!F2:F28))</f>
        <v/>
      </c>
    </row>
    <row r="238">
      <c r="A238" t="inlineStr">
        <is>
          <t>Eight-Legs Easton Casts Per Second</t>
        </is>
      </c>
      <c r="B238">
        <f>MAX(0,B236-B237)</f>
        <v/>
      </c>
    </row>
    <row r="239">
      <c r="A239" t="inlineStr">
        <is>
          <t>Global Critical Damage Bonus % (unused)</t>
        </is>
      </c>
      <c r="B239" t="n">
        <v>0</v>
      </c>
    </row>
    <row r="240">
      <c r="A240" t="inlineStr">
        <is>
          <t>Global Final Damage Bonus % (Jolly Roger + Ahoy Mateys - Final Damage proc)</t>
        </is>
      </c>
      <c r="B240">
        <f>((C221=TRUE)*F221*IF(AND(Inputs!$B$38&lt;&gt;"pvp",Inputs!$B$43&gt;0),(((R221-1)*(Skills!T18*(1+Inputs!$B$34/100))+MIN((Skills!T18*(1+Inputs!$B$34/100)),MAX(0,Inputs!$B$43-((R221-1)*Skills!D18))))/Inputs!$B$43),IF(Inputs!$B$38="pvp",MIN((Skills!T18*(1+Inputs!$B$34/100)),15)/15,(Skills!T18*(1+Inputs!$B$34/100))/Skills!D18)))+IF(Inputs!$B$3&gt;=122,20*IF(Inputs!$B$38="pvp",MIN((20*(1+Inputs!$B$34/100)),15)/15,(20*(1+Inputs!$B$34/100))/Skills!D4),0)</f>
        <v/>
      </c>
    </row>
    <row r="241">
      <c r="A241" t="inlineStr">
        <is>
          <t>Buff-Casting Startup Delay (s, fixed-duration only)</t>
        </is>
      </c>
      <c r="B241">
        <f>IF(AND(Inputs!$B$38&lt;&gt;"pvp",Inputs!$B$43&gt;0),SUMPRODUCT((Skills!T2:T28&gt;0)*(Skills!E2:E28=TRUE)*(C205:C231=TRUE))/B236,0)</f>
        <v/>
      </c>
    </row>
    <row r="242">
      <c r="A242" t="inlineStr">
        <is>
          <t>Boss-Only Total DPS (this block's swept value)</t>
        </is>
      </c>
      <c r="B242">
        <f>SUM(T205:T231)</f>
        <v/>
      </c>
    </row>
    <row r="243">
      <c r="A243" t="inlineStr">
        <is>
          <t>Normal-Only Total DPS (this block's swept value)</t>
        </is>
      </c>
      <c r="B243">
        <f>SUM(V205:V231)</f>
        <v/>
      </c>
    </row>
    <row r="244">
      <c r="A244" s="6" t="inlineStr">
        <is>
          <t>TOTAL DPS</t>
        </is>
      </c>
      <c r="B244" s="6">
        <f>SUM(O205:O231)</f>
        <v/>
      </c>
    </row>
    <row r="247">
      <c r="A247" s="6" t="inlineStr">
        <is>
          <t>Stat: DAMAGE_AMP %</t>
        </is>
      </c>
    </row>
    <row r="248">
      <c r="A248" s="5" t="inlineStr">
        <is>
          <t>Key</t>
        </is>
      </c>
      <c r="B248" s="5" t="inlineStr">
        <is>
          <t>Name</t>
        </is>
      </c>
      <c r="C248" s="5" t="inlineStr">
        <is>
          <t>Unlocked</t>
        </is>
      </c>
      <c r="D248" s="5" t="inlineStr">
        <is>
          <t>InputLevel</t>
        </is>
      </c>
      <c r="E248" s="5" t="inlineStr">
        <is>
          <t>Factor</t>
        </is>
      </c>
      <c r="F248" s="5" t="inlineStr">
        <is>
          <t>CoefficientPercent</t>
        </is>
      </c>
      <c r="G248" s="5" t="inlineStr">
        <is>
          <t>EffectiveHits</t>
        </is>
      </c>
      <c r="H248" s="5" t="inlineStr">
        <is>
          <t>ProcProbability</t>
        </is>
      </c>
      <c r="I248" s="5" t="inlineStr">
        <is>
          <t>MapleHeroMultiplier</t>
        </is>
      </c>
      <c r="J248" s="5" t="inlineStr">
        <is>
          <t>BaseDamage</t>
        </is>
      </c>
      <c r="K248" s="5" t="inlineStr">
        <is>
          <t>BaseHitDamage</t>
        </is>
      </c>
      <c r="L248" s="5" t="inlineStr">
        <is>
          <t>NonCritAvg</t>
        </is>
      </c>
      <c r="M248" s="5" t="inlineStr">
        <is>
          <t>CritAvg</t>
        </is>
      </c>
      <c r="N248" s="5" t="inlineStr">
        <is>
          <t>ExpectedDamage(perHit)</t>
        </is>
      </c>
      <c r="O248" s="5" t="inlineStr">
        <is>
          <t>DPS</t>
        </is>
      </c>
      <c r="P248" s="5" t="inlineStr">
        <is>
          <t>% of Total</t>
        </is>
      </c>
      <c r="Q248" s="5" t="inlineStr">
        <is>
          <t>InvCooldown</t>
        </is>
      </c>
      <c r="R248" s="5" t="inlineStr">
        <is>
          <t>CastsInFight</t>
        </is>
      </c>
      <c r="S248" s="5" t="inlineStr">
        <is>
          <t>HitRate(perSec)</t>
        </is>
      </c>
      <c r="U248" t="inlineStr">
        <is>
          <t>helpers</t>
        </is>
      </c>
    </row>
    <row r="249">
      <c r="A249">
        <f>Skills!A2</f>
        <v/>
      </c>
      <c r="B249">
        <f>Skills!B2</f>
        <v/>
      </c>
      <c r="C249">
        <f>Inputs!$B$3&gt;=100</f>
        <v/>
      </c>
      <c r="D249" t="inlineStr"/>
      <c r="E249" t="inlineStr"/>
      <c r="F249">
        <f>U251+Skills!O2</f>
        <v/>
      </c>
      <c r="G249">
        <f>Skills!G2*IF(Skills!H2&gt;0,Skills!I2/Skills!H2,1)</f>
        <v/>
      </c>
      <c r="H249">
        <f>1-(1-Skills!J2/100)^Skills!K2</f>
        <v/>
      </c>
      <c r="I249" t="inlineStr">
        <is>
          <t>1</t>
        </is>
      </c>
      <c r="J249">
        <f>((Inputs!$B$6*(1+Inputs!$B$7/100))+(((Inputs!$B$12*(1+Inputs!$B$13/100))-(Inputs!$B$12*(1+Inputs!$B$13/100)))+0.25*(Inputs!$B$14-Inputs!$B$14))*(1+Inputs!$B$7/100))*(F249/100)</f>
        <v/>
      </c>
      <c r="K249">
        <f>J249*(1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f>
        <v/>
      </c>
      <c r="L249">
        <f>K249*(MIN(Inputs!$B$22+((C269=TRUE)*(F269-Calc!F22)),(Inputs!$B$23+0+(IF(ArtifactsInput!$M$15,CHOOSE(ArtifactsInput!$N$15+1,25,30,35,40,45,50)/100*(Inputs!$B$11-Inputs!$B$11),0))))/100+(Inputs!$B$23+0+(IF(ArtifactsInput!$M$15,CHOOSE(ArtifactsInput!$N$15+1,25,30,35,40,45,50)/100*(Inputs!$B$11-Inputs!$B$11),0)))/100)/2</f>
        <v/>
      </c>
      <c r="M249">
        <f>L249*(1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
        <f>L249*(1-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
        <f>(1-Summary!$B$11)*T249+Summary!$B$11*V249</f>
        <v/>
      </c>
      <c r="P249">
        <f>IF(B288=0,0,O249/B288)</f>
        <v/>
      </c>
      <c r="Q249" t="n">
        <v>0</v>
      </c>
      <c r="R249" t="n">
        <v>0</v>
      </c>
      <c r="S249">
        <f>IFERROR(O249/N249,0)</f>
        <v/>
      </c>
      <c r="T249">
        <f>IF(C249,(Skills!G2*N249*B282)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
        <f>MAX(0,(Inputs!$B$3-100)*3)+Inputs!$B$28+Inputs!$B$29</f>
        <v/>
      </c>
      <c r="V249">
        <f>IF(C249,(Skills!G2*N249*B282)*IF(Inputs!$B$38="pvp",1,(1+(Inputs!$B$21+Skills!Q2+(IF(ArtifactsInput!$M$33,CHOOSE(ArtifactsInput!$N$33+1,30,36,42,48,54,60),0))+(IF(AND(ArtifactsInput!$M$35,Inputs!$B$4&lt;&gt;"Chapter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
      <c r="A250">
        <f>Skills!A3</f>
        <v/>
      </c>
      <c r="B250">
        <f>Skills!B3</f>
        <v/>
      </c>
      <c r="C250">
        <f>Inputs!$B$3&gt;=35</f>
        <v/>
      </c>
      <c r="D250">
        <f>IF(Skills!C3=1,60+Inputs!$B$25+Inputs!$B$29,IF(Skills!C3=2,90+Inputs!$B$26+Inputs!$B$29,IF(Skills!C3=3,120+Inputs!$B$27+Inputs!$B$29,MAX(0,(Inputs!$B$3-100)*3)+Inputs!$B$28+Inputs!$B$29)))</f>
        <v/>
      </c>
      <c r="E250">
        <f>INDEX(FactorTable!$B$2:$Y$301, MATCH(ROUND(MIN(300,MAX(1,D250)),0), FactorTable!$A$2:$A$301,0), Skills!M3+1)</f>
        <v/>
      </c>
      <c r="F250">
        <f>IF(Skills!N3=TRUE,(Skills!L3/10)*(E250/1000),Skills!L3/10)+Skills!O3</f>
        <v/>
      </c>
      <c r="G250">
        <f>Skills!G3*IF(Skills!H3&gt;0,Skills!I3/Skills!H3,1)</f>
        <v/>
      </c>
      <c r="H250">
        <f>1-(1-Skills!J3/100)^Skills!K3</f>
        <v/>
      </c>
      <c r="I250" t="inlineStr">
        <is>
          <t>1</t>
        </is>
      </c>
      <c r="J250">
        <f>((Inputs!$B$6*(1+Inputs!$B$7/100))+(((Inputs!$B$12*(1+Inputs!$B$13/100))-(Inputs!$B$12*(1+Inputs!$B$13/100)))+0.25*(Inputs!$B$14-Inputs!$B$14))*(1+Inputs!$B$7/100))*(F250/100)</f>
        <v/>
      </c>
      <c r="K250">
        <f>J250*(1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262=TRUE,F262,0)/100)*(1+(IF(Skills!A3="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f>
        <v/>
      </c>
      <c r="L250">
        <f>K250*(MIN(Inputs!$B$22+((C269=TRUE)*(F269-Calc!F22)),(Inputs!$B$23+0+(IF(ArtifactsInput!$M$15,CHOOSE(ArtifactsInput!$N$15+1,25,30,35,40,45,50)/100*(Inputs!$B$11-Inputs!$B$11),0))))/100+(Inputs!$B$23+0+(IF(ArtifactsInput!$M$15,CHOOSE(ArtifactsInput!$N$15+1,25,30,35,40,45,50)/100*(Inputs!$B$11-Inputs!$B$11),0)))/100)/2</f>
        <v/>
      </c>
      <c r="M250">
        <f>L250*(1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
        <f>L250*(1-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
        <f>(1-Summary!$B$11)*T250+Summary!$B$11*V250</f>
        <v/>
      </c>
      <c r="P250">
        <f>IF(B288=0,0,O250/B288)</f>
        <v/>
      </c>
      <c r="Q250">
        <f>IFERROR(1/(IF(Inputs!$B$38="pvp",15,MAX(0.1,Skills!D3-IF(Skills!E3=TRUE,Inputs!$B$32,0)))*(1-IF(AND(ArtifactsInput!$M$27,Inputs!$B$4="Chapter Hunt"),CHOOSE(ArtifactsInput!$N$27+1,20,24,28,32,36,40),0)/100)),0)</f>
        <v/>
      </c>
      <c r="R250">
        <f>IF(AND(Inputs!$B$38&lt;&gt;"pvp",Inputs!$B$43&gt;0),IF(MAX(0,Inputs!$B$43-B285)&lt;=0,0,(INT(MAX(0,Inputs!$B$43-B285)/(IF(Inputs!$B$38="pvp",15,MAX(0.1,Skills!D3-IF(Skills!E3=TRUE,Inputs!$B$32,0)))*(1-IF(AND(ArtifactsInput!$M$27,Inputs!$B$4="Chapter Hunt"),CHOOSE(ArtifactsInput!$N$27+1,20,24,28,32,36,40),0)/100)))+1)),0)</f>
        <v/>
      </c>
      <c r="S250">
        <f>IFERROR(O250/N250,0)</f>
        <v/>
      </c>
      <c r="T250">
        <f>IF(C250,(H250*N250*IF(AND(Inputs!$B$38&lt;&gt;"pvp",Inputs!$B$43&gt;0),((Skills!G3*((R250-1)*IF(Skills!H3&gt;0,Skills!I3/Skills!H3,1)+IF(Skills!H3&gt;0,MIN(Skills!I3,MAX(0,MAX(0,Inputs!$B$43-B285)-((R250-1)*(IF(Inputs!$B$38="pvp",15,MAX(0.1,Skills!D3-IF(Skills!E3=TRUE,Inputs!$B$32,0)))*(1-IF(AND(ArtifactsInput!$M$27,Inputs!$B$4="Chapter Hunt"),CHOOSE(ArtifactsInput!$N$27+1,20,24,28,32,36,40),0)/100)))))/Skills!H3,1)))/Inputs!$B$43),G250*Q250)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
        <f>INDEX(FactorTable!$B$2:$Y$301, MATCH(ROUND(MIN(300,MAX(1,U249)),0), FactorTable!$A$2:$A$301,0), 22)</f>
        <v/>
      </c>
      <c r="V250">
        <f>IF(C250,(H250*N250*IF(AND(Inputs!$B$38&lt;&gt;"pvp",Inputs!$B$43&gt;0),((Skills!G3*((R250-1)*IF(Skills!H3&gt;0,Skills!I3/Skills!H3,1)+IF(Skills!H3&gt;0,MIN(Skills!I3,MAX(0,MAX(0,Inputs!$B$43-B285)-((R250-1)*(IF(Inputs!$B$38="pvp",15,MAX(0.1,Skills!D3-IF(Skills!E3=TRUE,Inputs!$B$32,0)))*(1-IF(AND(ArtifactsInput!$M$27,Inputs!$B$4="Chapter Hunt"),CHOOSE(ArtifactsInput!$N$27+1,20,24,28,32,36,40),0)/100)))))/Skills!H3,1)))/Inputs!$B$43),G250*Q250))*IF(Inputs!$B$38="pvp",1,(1+(Inputs!$B$21+Skills!Q3+(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
      <c r="A251">
        <f>Skills!A4</f>
        <v/>
      </c>
      <c r="B251">
        <f>Skills!B4</f>
        <v/>
      </c>
      <c r="C251">
        <f>Inputs!$B$3&gt;=40</f>
        <v/>
      </c>
      <c r="D251">
        <f>IF(Skills!C4=1,60+Inputs!$B$25+Inputs!$B$29,IF(Skills!C4=2,90+Inputs!$B$26+Inputs!$B$29,IF(Skills!C4=3,120+Inputs!$B$27+Inputs!$B$29,MAX(0,(Inputs!$B$3-100)*3)+Inputs!$B$28+Inputs!$B$29)))</f>
        <v/>
      </c>
      <c r="E251">
        <f>INDEX(FactorTable!$B$2:$Y$301, MATCH(ROUND(MIN(300,MAX(1,D251)),0), FactorTable!$A$2:$A$301,0), Skills!M4+1)</f>
        <v/>
      </c>
      <c r="F251">
        <f>IF(Skills!N4=TRUE,(Skills!L4/10)*(E251/1000),Skills!L4/10)+Skills!O4</f>
        <v/>
      </c>
      <c r="G251">
        <f>Skills!G4*IF(Skills!H4&gt;0,Skills!I4/Skills!H4,1)</f>
        <v/>
      </c>
      <c r="H251">
        <f>1-(1-Skills!J4/100)^Skills!K4</f>
        <v/>
      </c>
      <c r="I251" t="inlineStr">
        <is>
          <t>1</t>
        </is>
      </c>
      <c r="J251">
        <f>((Inputs!$B$6*(1+Inputs!$B$7/100))+(((Inputs!$B$12*(1+Inputs!$B$13/100))-(Inputs!$B$12*(1+Inputs!$B$13/100)))+0.25*(Inputs!$B$14-Inputs!$B$14))*(1+Inputs!$B$7/100))*(F251/100)</f>
        <v/>
      </c>
      <c r="K251">
        <f>J251*(1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263=TRUE,F263,0)/100)*(1+(IF(Skills!A4="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f>
        <v/>
      </c>
      <c r="L251">
        <f>K251*(MIN(Inputs!$B$22+((C269=TRUE)*(F269-Calc!F22)),(Inputs!$B$23+0+(IF(ArtifactsInput!$M$15,CHOOSE(ArtifactsInput!$N$15+1,25,30,35,40,45,50)/100*(Inputs!$B$11-Inputs!$B$11),0))))/100+(Inputs!$B$23+0+(IF(ArtifactsInput!$M$15,CHOOSE(ArtifactsInput!$N$15+1,25,30,35,40,45,50)/100*(Inputs!$B$11-Inputs!$B$11),0)))/100)/2</f>
        <v/>
      </c>
      <c r="M251">
        <f>L251*(1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
        <f>L251*(1-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
        <f>(1-Summary!$B$11)*T251+Summary!$B$11*V251</f>
        <v/>
      </c>
      <c r="P251">
        <f>IF(B288=0,0,O251/B288)</f>
        <v/>
      </c>
      <c r="Q251">
        <f>IFERROR(1/(IF(Inputs!$B$38="pvp",15,MAX(0.1,Skills!D4-IF(Skills!E4=TRUE,Inputs!$B$32,0)))*(1-IF(AND(ArtifactsInput!$M$27,Inputs!$B$4="Chapter Hunt"),CHOOSE(ArtifactsInput!$N$27+1,20,24,28,32,36,40),0)/100)),0)</f>
        <v/>
      </c>
      <c r="R251">
        <f>IF(AND(Inputs!$B$38&lt;&gt;"pvp",Inputs!$B$43&gt;0),IF(MAX(0,Inputs!$B$43-B285)&lt;=0,0,(INT(MAX(0,Inputs!$B$43-B285)/(IF(Inputs!$B$38="pvp",15,MAX(0.1,Skills!D4-IF(Skills!E4=TRUE,Inputs!$B$32,0)))*(1-IF(AND(ArtifactsInput!$M$27,Inputs!$B$4="Chapter Hunt"),CHOOSE(ArtifactsInput!$N$27+1,20,24,28,32,36,40),0)/100)))+1)),0)</f>
        <v/>
      </c>
      <c r="S251">
        <f>IFERROR(O251/N251,0)</f>
        <v/>
      </c>
      <c r="T251">
        <f>IF(C251,(H251*N251*IF(AND(Inputs!$B$38&lt;&gt;"pvp",Inputs!$B$43&gt;0),((Skills!G4*((R251-1)*IF(Skills!H4&gt;0,Skills!I4/Skills!H4,1)+IF(Skills!H4&gt;0,MIN(Skills!I4,MAX(0,MAX(0,Inputs!$B$43-B285)-((R251-1)*(IF(Inputs!$B$38="pvp",15,MAX(0.1,Skills!D4-IF(Skills!E4=TRUE,Inputs!$B$32,0)))*(1-IF(AND(ArtifactsInput!$M$27,Inputs!$B$4="Chapter Hunt"),CHOOSE(ArtifactsInput!$N$27+1,20,24,28,32,36,40),0)/100)))))/Skills!H4,1)))/Inputs!$B$43),G251*Q251)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
        <f>290*U250/1000</f>
        <v/>
      </c>
      <c r="V251">
        <f>IF(C251,(H251*N251*IF(AND(Inputs!$B$38&lt;&gt;"pvp",Inputs!$B$43&gt;0),((Skills!G4*((R251-1)*IF(Skills!H4&gt;0,Skills!I4/Skills!H4,1)+IF(Skills!H4&gt;0,MIN(Skills!I4,MAX(0,MAX(0,Inputs!$B$43-B285)-((R251-1)*(IF(Inputs!$B$38="pvp",15,MAX(0.1,Skills!D4-IF(Skills!E4=TRUE,Inputs!$B$32,0)))*(1-IF(AND(ArtifactsInput!$M$27,Inputs!$B$4="Chapter Hunt"),CHOOSE(ArtifactsInput!$N$27+1,20,24,28,32,36,40),0)/100)))))/Skills!H4,1)))/Inputs!$B$43),G251*Q251))*IF(Inputs!$B$38="pvp",1,(1+(Inputs!$B$21+Skills!Q4+(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
      <c r="A252">
        <f>Skills!A5</f>
        <v/>
      </c>
      <c r="B252">
        <f>Skills!B5</f>
        <v/>
      </c>
      <c r="C252">
        <f>Inputs!$B$3&gt;=45</f>
        <v/>
      </c>
      <c r="D252">
        <f>IF(Skills!C5=1,60+Inputs!$B$25+Inputs!$B$29,IF(Skills!C5=2,90+Inputs!$B$26+Inputs!$B$29,IF(Skills!C5=3,120+Inputs!$B$27+Inputs!$B$29,MAX(0,(Inputs!$B$3-100)*3)+Inputs!$B$28+Inputs!$B$29)))</f>
        <v/>
      </c>
      <c r="E252">
        <f>INDEX(FactorTable!$B$2:$Y$301, MATCH(ROUND(MIN(300,MAX(1,D252)),0), FactorTable!$A$2:$A$301,0), Skills!M5+1)</f>
        <v/>
      </c>
      <c r="F252">
        <f>IF(Skills!N5=TRUE,(Skills!L5/10)*(E252/1000),Skills!L5/10)+Skills!O5</f>
        <v/>
      </c>
      <c r="G252">
        <f>Skills!G5*IF(Skills!H5&gt;0,Skills!I5/Skills!H5,1)</f>
        <v/>
      </c>
      <c r="H252">
        <f>1-(1-Skills!J5/100)^Skills!K5</f>
        <v/>
      </c>
      <c r="I252" t="inlineStr">
        <is>
          <t>1</t>
        </is>
      </c>
      <c r="J252">
        <f>((Inputs!$B$6*(1+Inputs!$B$7/100))+(((Inputs!$B$12*(1+Inputs!$B$13/100))-(Inputs!$B$12*(1+Inputs!$B$13/100)))+0.25*(Inputs!$B$14-Inputs!$B$14))*(1+Inputs!$B$7/100))*(F252/100)</f>
        <v/>
      </c>
      <c r="K252">
        <f>J252*(1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263=TRUE,F263,0)/100)*(1+(IF(Skills!A5="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f>
        <v/>
      </c>
      <c r="L252">
        <f>K252*(MIN(Inputs!$B$22+((C269=TRUE)*(F269-Calc!F22)),(Inputs!$B$23+0+(IF(ArtifactsInput!$M$15,CHOOSE(ArtifactsInput!$N$15+1,25,30,35,40,45,50)/100*(Inputs!$B$11-Inputs!$B$11),0))))/100+(Inputs!$B$23+0+(IF(ArtifactsInput!$M$15,CHOOSE(ArtifactsInput!$N$15+1,25,30,35,40,45,50)/100*(Inputs!$B$11-Inputs!$B$11),0)))/100)/2</f>
        <v/>
      </c>
      <c r="M252">
        <f>L252*(1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
        <f>L252*(1-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
        <f>(1-Summary!$B$11)*T252+Summary!$B$11*V252</f>
        <v/>
      </c>
      <c r="P252">
        <f>IF(B288=0,0,O252/B288)</f>
        <v/>
      </c>
      <c r="Q252">
        <f>IFERROR(1/(IF(Inputs!$B$38="pvp",15,MAX(0.1,Skills!D5-IF(Skills!E5=TRUE,Inputs!$B$32,0)))*(1-IF(AND(ArtifactsInput!$M$27,Inputs!$B$4="Chapter Hunt"),CHOOSE(ArtifactsInput!$N$27+1,20,24,28,32,36,40),0)/100)),0)</f>
        <v/>
      </c>
      <c r="R252">
        <f>IF(AND(Inputs!$B$38&lt;&gt;"pvp",Inputs!$B$43&gt;0),IF(MAX(0,Inputs!$B$43-B285)&lt;=0,0,(INT(MAX(0,Inputs!$B$43-B285)/(IF(Inputs!$B$38="pvp",15,MAX(0.1,Skills!D5-IF(Skills!E5=TRUE,Inputs!$B$32,0)))*(1-IF(AND(ArtifactsInput!$M$27,Inputs!$B$4="Chapter Hunt"),CHOOSE(ArtifactsInput!$N$27+1,20,24,28,32,36,40),0)/100)))+1)),0)</f>
        <v/>
      </c>
      <c r="S252">
        <f>IFERROR(O252/N252,0)</f>
        <v/>
      </c>
      <c r="T252">
        <f>IF(C252,(H252*N252*IF(AND(Inputs!$B$38&lt;&gt;"pvp",Inputs!$B$43&gt;0),((Skills!G5*((R252-1)*IF(Skills!H5&gt;0,Skills!I5/Skills!H5,1)+IF(Skills!H5&gt;0,MIN(Skills!I5,MAX(0,MAX(0,Inputs!$B$43-B285)-((R252-1)*(IF(Inputs!$B$38="pvp",15,MAX(0.1,Skills!D5-IF(Skills!E5=TRUE,Inputs!$B$32,0)))*(1-IF(AND(ArtifactsInput!$M$27,Inputs!$B$4="Chapter Hunt"),CHOOSE(ArtifactsInput!$N$27+1,20,24,28,32,36,40),0)/100)))))/Skills!H5,1)))/Inputs!$B$43),G252*Q252)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
        <f>IF(C252,(H252*N252*IF(AND(Inputs!$B$38&lt;&gt;"pvp",Inputs!$B$43&gt;0),((Skills!G5*((R252-1)*IF(Skills!H5&gt;0,Skills!I5/Skills!H5,1)+IF(Skills!H5&gt;0,MIN(Skills!I5,MAX(0,MAX(0,Inputs!$B$43-B285)-((R252-1)*(IF(Inputs!$B$38="pvp",15,MAX(0.1,Skills!D5-IF(Skills!E5=TRUE,Inputs!$B$32,0)))*(1-IF(AND(ArtifactsInput!$M$27,Inputs!$B$4="Chapter Hunt"),CHOOSE(ArtifactsInput!$N$27+1,20,24,28,32,36,40),0)/100)))))/Skills!H5,1)))/Inputs!$B$43),G252*Q252))*IF(Inputs!$B$38="pvp",1,(1+(Inputs!$B$21+Skills!Q5+(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
      <c r="A253">
        <f>Skills!A6</f>
        <v/>
      </c>
      <c r="B253">
        <f>Skills!B6</f>
        <v/>
      </c>
      <c r="C253">
        <f>Inputs!$B$3&gt;=63</f>
        <v/>
      </c>
      <c r="D253">
        <f>IF(Skills!C6=1,60+Inputs!$B$25+Inputs!$B$29,IF(Skills!C6=2,90+Inputs!$B$26+Inputs!$B$29,IF(Skills!C6=3,120+Inputs!$B$27+Inputs!$B$29,MAX(0,(Inputs!$B$3-100)*3)+Inputs!$B$28+Inputs!$B$29)))</f>
        <v/>
      </c>
      <c r="E253">
        <f>INDEX(FactorTable!$B$2:$Y$301, MATCH(ROUND(MIN(300,MAX(1,D253)),0), FactorTable!$A$2:$A$301,0), Skills!M6+1)</f>
        <v/>
      </c>
      <c r="F253">
        <f>IF(Skills!N6=TRUE,(Skills!L6/10)*(E253/1000),Skills!L6/10)+Skills!O6</f>
        <v/>
      </c>
      <c r="G253">
        <f>Skills!G6*IF(Skills!H6&gt;0,Skills!I6/Skills!H6,1)</f>
        <v/>
      </c>
      <c r="H253">
        <f>1-(1-Skills!J6/100)^Skills!K6</f>
        <v/>
      </c>
      <c r="I253" t="inlineStr">
        <is>
          <t>1</t>
        </is>
      </c>
      <c r="J253">
        <f>((Inputs!$B$6*(1+Inputs!$B$7/100))+(((Inputs!$B$12*(1+Inputs!$B$13/100))-(Inputs!$B$12*(1+Inputs!$B$13/100)))+0.25*(Inputs!$B$14-Inputs!$B$14))*(1+Inputs!$B$7/100))*(F253/100)</f>
        <v/>
      </c>
      <c r="K253">
        <f>J253*(1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262=TRUE,F262,0)/100)*(1+(IF(Skills!A6="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f>
        <v/>
      </c>
      <c r="L253">
        <f>K253*(MIN(Inputs!$B$22+((C269=TRUE)*(F269-Calc!F22)),(Inputs!$B$23+0+(IF(ArtifactsInput!$M$15,CHOOSE(ArtifactsInput!$N$15+1,25,30,35,40,45,50)/100*(Inputs!$B$11-Inputs!$B$11),0))))/100+(Inputs!$B$23+0+(IF(ArtifactsInput!$M$15,CHOOSE(ArtifactsInput!$N$15+1,25,30,35,40,45,50)/100*(Inputs!$B$11-Inputs!$B$11),0)))/100)/2</f>
        <v/>
      </c>
      <c r="M253">
        <f>L253*(1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
        <f>L253*(1-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
        <f>(1-Summary!$B$11)*T253+Summary!$B$11*V253</f>
        <v/>
      </c>
      <c r="P253">
        <f>IF(B288=0,0,O253/B288)</f>
        <v/>
      </c>
      <c r="Q253">
        <f>IFERROR(1/(IF(Inputs!$B$38="pvp",15,MAX(0.1,Skills!D6-IF(Skills!E6=TRUE,Inputs!$B$32,0)))*(1-IF(AND(ArtifactsInput!$M$27,Inputs!$B$4="Chapter Hunt"),CHOOSE(ArtifactsInput!$N$27+1,20,24,28,32,36,40),0)/100)),0)</f>
        <v/>
      </c>
      <c r="R253">
        <f>IF(AND(Inputs!$B$38&lt;&gt;"pvp",Inputs!$B$43&gt;0),IF(MAX(0,Inputs!$B$43-B285)&lt;=0,0,(INT(MAX(0,Inputs!$B$43-B285)/(IF(Inputs!$B$38="pvp",15,MAX(0.1,Skills!D6-IF(Skills!E6=TRUE,Inputs!$B$32,0)))*(1-IF(AND(ArtifactsInput!$M$27,Inputs!$B$4="Chapter Hunt"),CHOOSE(ArtifactsInput!$N$27+1,20,24,28,32,36,40),0)/100)))+1)),0)</f>
        <v/>
      </c>
      <c r="S253">
        <f>IFERROR(O253/N253,0)</f>
        <v/>
      </c>
      <c r="T253">
        <f>IF(C253,(H253*N253*IF(AND(Inputs!$B$38&lt;&gt;"pvp",Inputs!$B$43&gt;0),((Skills!G6*((R253-1)*IF(Skills!H6&gt;0,Skills!I6/Skills!H6,1)+IF(Skills!H6&gt;0,MIN(Skills!I6,MAX(0,MAX(0,Inputs!$B$43-B285)-((R253-1)*(IF(Inputs!$B$38="pvp",15,MAX(0.1,Skills!D6-IF(Skills!E6=TRUE,Inputs!$B$32,0)))*(1-IF(AND(ArtifactsInput!$M$27,Inputs!$B$4="Chapter Hunt"),CHOOSE(ArtifactsInput!$N$27+1,20,24,28,32,36,40),0)/100)))))/Skills!H6,1)))/Inputs!$B$43),G253*Q253)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3">
        <f>IF(C253,(H253*N253*IF(AND(Inputs!$B$38&lt;&gt;"pvp",Inputs!$B$43&gt;0),((Skills!G6*((R253-1)*IF(Skills!H6&gt;0,Skills!I6/Skills!H6,1)+IF(Skills!H6&gt;0,MIN(Skills!I6,MAX(0,MAX(0,Inputs!$B$43-B285)-((R253-1)*(IF(Inputs!$B$38="pvp",15,MAX(0.1,Skills!D6-IF(Skills!E6=TRUE,Inputs!$B$32,0)))*(1-IF(AND(ArtifactsInput!$M$27,Inputs!$B$4="Chapter Hunt"),CHOOSE(ArtifactsInput!$N$27+1,20,24,28,32,36,40),0)/100)))))/Skills!H6,1)))/Inputs!$B$43),G253*Q253))*IF(Inputs!$B$38="pvp",1,(1+(Inputs!$B$21+Skills!Q6+(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
      <c r="A254">
        <f>Skills!A7</f>
        <v/>
      </c>
      <c r="B254">
        <f>Skills!B7</f>
        <v/>
      </c>
      <c r="C254">
        <f>Inputs!$B$3&gt;=66</f>
        <v/>
      </c>
      <c r="D254">
        <f>IF(Skills!C7=1,60+Inputs!$B$25+Inputs!$B$29,IF(Skills!C7=2,90+Inputs!$B$26+Inputs!$B$29,IF(Skills!C7=3,120+Inputs!$B$27+Inputs!$B$29,MAX(0,(Inputs!$B$3-100)*3)+Inputs!$B$28+Inputs!$B$29)))</f>
        <v/>
      </c>
      <c r="E254">
        <f>INDEX(FactorTable!$B$2:$Y$301, MATCH(ROUND(MIN(300,MAX(1,D254)),0), FactorTable!$A$2:$A$301,0), Skills!M7+1)</f>
        <v/>
      </c>
      <c r="F254">
        <f>IF(Skills!N7=TRUE,(Skills!L7/10)*(E254/1000),Skills!L7/10)+Skills!O7</f>
        <v/>
      </c>
      <c r="G254">
        <f>Skills!G7*IF(Skills!H7&gt;0,Skills!I7/Skills!H7,1)</f>
        <v/>
      </c>
      <c r="H254">
        <f>1-(1-Skills!J7/100)^Skills!K7</f>
        <v/>
      </c>
      <c r="I254" t="inlineStr">
        <is>
          <t>1</t>
        </is>
      </c>
      <c r="J254">
        <f>((Inputs!$B$6*(1+Inputs!$B$7/100))+(((Inputs!$B$12*(1+Inputs!$B$13/100))-(Inputs!$B$12*(1+Inputs!$B$13/100)))+0.25*(Inputs!$B$14-Inputs!$B$14))*(1+Inputs!$B$7/100))*(F254/100)</f>
        <v/>
      </c>
      <c r="K254">
        <f>J254*(1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262=TRUE,F262,0)/100)*(1+(IF(Skills!A7="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f>
        <v/>
      </c>
      <c r="L254">
        <f>K254*(MIN(Inputs!$B$22+((C269=TRUE)*(F269-Calc!F22)),(Inputs!$B$23+0+(IF(ArtifactsInput!$M$15,CHOOSE(ArtifactsInput!$N$15+1,25,30,35,40,45,50)/100*(Inputs!$B$11-Inputs!$B$11),0))))/100+(Inputs!$B$23+0+(IF(ArtifactsInput!$M$15,CHOOSE(ArtifactsInput!$N$15+1,25,30,35,40,45,50)/100*(Inputs!$B$11-Inputs!$B$11),0)))/100)/2</f>
        <v/>
      </c>
      <c r="M254">
        <f>L254*(1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
        <f>L254*(1-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
        <f>(1-Summary!$B$11)*T254+Summary!$B$11*V254</f>
        <v/>
      </c>
      <c r="P254">
        <f>IF(B288=0,0,O254/B288)</f>
        <v/>
      </c>
      <c r="Q254">
        <f>IFERROR(1/(IF(Inputs!$B$38="pvp",15,MAX(0.1,Skills!D7-IF(Skills!E7=TRUE,Inputs!$B$32,0)))*(1-IF(AND(ArtifactsInput!$M$27,Inputs!$B$4="Chapter Hunt"),CHOOSE(ArtifactsInput!$N$27+1,20,24,28,32,36,40),0)/100)),0)</f>
        <v/>
      </c>
      <c r="R254">
        <f>IF(AND(Inputs!$B$38&lt;&gt;"pvp",Inputs!$B$43&gt;0),IF(MAX(0,Inputs!$B$43-B285)&lt;=0,0,(INT(MAX(0,Inputs!$B$43-B285)/(IF(Inputs!$B$38="pvp",15,MAX(0.1,Skills!D7-IF(Skills!E7=TRUE,Inputs!$B$32,0)))*(1-IF(AND(ArtifactsInput!$M$27,Inputs!$B$4="Chapter Hunt"),CHOOSE(ArtifactsInput!$N$27+1,20,24,28,32,36,40),0)/100)))+1)),0)</f>
        <v/>
      </c>
      <c r="S254">
        <f>IFERROR(O254/N254,0)</f>
        <v/>
      </c>
      <c r="T254">
        <f>IF(C254,(H254*N254*IF(AND(Inputs!$B$38&lt;&gt;"pvp",Inputs!$B$43&gt;0),((Skills!G7*((R254-1)*IF(Skills!H7&gt;0,Skills!I7/Skills!H7,1)+IF(Skills!H7&gt;0,MIN(Skills!I7,MAX(0,MAX(0,Inputs!$B$43-B285)-((R254-1)*(IF(Inputs!$B$38="pvp",15,MAX(0.1,Skills!D7-IF(Skills!E7=TRUE,Inputs!$B$32,0)))*(1-IF(AND(ArtifactsInput!$M$27,Inputs!$B$4="Chapter Hunt"),CHOOSE(ArtifactsInput!$N$27+1,20,24,28,32,36,40),0)/100)))))/Skills!H7,1)))/Inputs!$B$43),G254*Q254)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
        <f>IF(C254,(H254*N254*IF(AND(Inputs!$B$38&lt;&gt;"pvp",Inputs!$B$43&gt;0),((Skills!G7*((R254-1)*IF(Skills!H7&gt;0,Skills!I7/Skills!H7,1)+IF(Skills!H7&gt;0,MIN(Skills!I7,MAX(0,MAX(0,Inputs!$B$43-B285)-((R254-1)*(IF(Inputs!$B$38="pvp",15,MAX(0.1,Skills!D7-IF(Skills!E7=TRUE,Inputs!$B$32,0)))*(1-IF(AND(ArtifactsInput!$M$27,Inputs!$B$4="Chapter Hunt"),CHOOSE(ArtifactsInput!$N$27+1,20,24,28,32,36,40),0)/100)))))/Skills!H7,1)))/Inputs!$B$43),G254*Q254))*IF(Inputs!$B$38="pvp",1,(1+(Inputs!$B$21+Skills!Q7+(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
      <c r="A255">
        <f>Skills!A8</f>
        <v/>
      </c>
      <c r="B255">
        <f>Skills!B8</f>
        <v/>
      </c>
      <c r="C255">
        <f>Inputs!$B$3&gt;=100</f>
        <v/>
      </c>
      <c r="D255">
        <f>IF(Skills!C8=1,60+Inputs!$B$25+Inputs!$B$29,IF(Skills!C8=2,90+Inputs!$B$26+Inputs!$B$29,IF(Skills!C8=3,120+Inputs!$B$27+Inputs!$B$29,MAX(0,(Inputs!$B$3-100)*3)+Inputs!$B$28+Inputs!$B$29)))</f>
        <v/>
      </c>
      <c r="E255">
        <f>INDEX(FactorTable!$B$2:$Y$301, MATCH(ROUND(MIN(300,MAX(1,D255)),0), FactorTable!$A$2:$A$301,0), Skills!M8+1)</f>
        <v/>
      </c>
      <c r="F255">
        <f>IF(Skills!N8=TRUE,(Skills!L8/10)*(E255/1000),Skills!L8/10)+Skills!O8</f>
        <v/>
      </c>
      <c r="G255">
        <f>Skills!G8*IF(Skills!H8&gt;0,Skills!I8/Skills!H8,1)</f>
        <v/>
      </c>
      <c r="H255">
        <f>1-(1-Skills!J8/100)^Skills!K8</f>
        <v/>
      </c>
      <c r="I255" t="inlineStr">
        <is>
          <t>1</t>
        </is>
      </c>
      <c r="J255">
        <f>((Inputs!$B$6*(1+Inputs!$B$7/100))+(((Inputs!$B$12*(1+Inputs!$B$13/100))-(Inputs!$B$12*(1+Inputs!$B$13/100)))+0.25*(Inputs!$B$14-Inputs!$B$14))*(1+Inputs!$B$7/100))*(F255/100)</f>
        <v/>
      </c>
      <c r="K255">
        <f>J255*(1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f>
        <v/>
      </c>
      <c r="L255">
        <f>K255*(MIN(Inputs!$B$22+((C269=TRUE)*(F269-Calc!F22)),(Inputs!$B$23+0+(IF(ArtifactsInput!$M$15,CHOOSE(ArtifactsInput!$N$15+1,25,30,35,40,45,50)/100*(Inputs!$B$11-Inputs!$B$11),0))))/100+(Inputs!$B$23+0+(IF(ArtifactsInput!$M$15,CHOOSE(ArtifactsInput!$N$15+1,25,30,35,40,45,50)/100*(Inputs!$B$11-Inputs!$B$11),0)))/100)/2</f>
        <v/>
      </c>
      <c r="M255">
        <f>L255*(1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
        <f>L255*(1-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
        <f>(1-Summary!$B$11)*T255+Summary!$B$11*V255</f>
        <v/>
      </c>
      <c r="P255">
        <f>IF(B288=0,0,O255/B288)</f>
        <v/>
      </c>
      <c r="Q255">
        <f>IFERROR(1/(IF(Inputs!$B$38="pvp",15,MAX(0.1,Skills!D8-IF(Skills!E8=TRUE,Inputs!$B$32,0)))*(1-IF(AND(ArtifactsInput!$M$27,Inputs!$B$4="Chapter Hunt"),CHOOSE(ArtifactsInput!$N$27+1,20,24,28,32,36,40),0)/100)),0)</f>
        <v/>
      </c>
      <c r="R255">
        <f>IF(AND(Inputs!$B$38&lt;&gt;"pvp",Inputs!$B$43&gt;0),IF(MAX(0,Inputs!$B$43-B285)&lt;=0,0,(INT(MAX(0,Inputs!$B$43-B285)/(IF(Inputs!$B$38="pvp",15,MAX(0.1,Skills!D8-IF(Skills!E8=TRUE,Inputs!$B$32,0)))*(1-IF(AND(ArtifactsInput!$M$27,Inputs!$B$4="Chapter Hunt"),CHOOSE(ArtifactsInput!$N$27+1,20,24,28,32,36,40),0)/100)))+1)),0)</f>
        <v/>
      </c>
      <c r="S255">
        <f>IFERROR(O255/N255,0)</f>
        <v/>
      </c>
      <c r="T255">
        <f>IF(C255,(H255*N255*IF(AND(Inputs!$B$38&lt;&gt;"pvp",Inputs!$B$43&gt;0),((Skills!G8*((R255-1)*IF(Skills!H8&gt;0,Skills!I8/Skills!H8,1)+IF(Skills!H8&gt;0,MIN(Skills!I8,MAX(0,MAX(0,Inputs!$B$43-B285)-((R255-1)*(IF(Inputs!$B$38="pvp",15,MAX(0.1,Skills!D8-IF(Skills!E8=TRUE,Inputs!$B$32,0)))*(1-IF(AND(ArtifactsInput!$M$27,Inputs!$B$4="Chapter Hunt"),CHOOSE(ArtifactsInput!$N$27+1,20,24,28,32,36,40),0)/100)))))/Skills!H8,1)))/Inputs!$B$43),G255*Q255)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
        <f>IF(C255,(H255*N255*IF(AND(Inputs!$B$38&lt;&gt;"pvp",Inputs!$B$43&gt;0),((Skills!G8*((R255-1)*IF(Skills!H8&gt;0,Skills!I8/Skills!H8,1)+IF(Skills!H8&gt;0,MIN(Skills!I8,MAX(0,MAX(0,Inputs!$B$43-B285)-((R255-1)*(IF(Inputs!$B$38="pvp",15,MAX(0.1,Skills!D8-IF(Skills!E8=TRUE,Inputs!$B$32,0)))*(1-IF(AND(ArtifactsInput!$M$27,Inputs!$B$4="Chapter Hunt"),CHOOSE(ArtifactsInput!$N$27+1,20,24,28,32,36,40),0)/100)))))/Skills!H8,1)))/Inputs!$B$43),G255*Q255))*IF(Inputs!$B$38="pvp",1,(1+(Inputs!$B$21+Skills!Q8+(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
      <c r="A256">
        <f>Skills!A9</f>
        <v/>
      </c>
      <c r="B256">
        <f>Skills!B9</f>
        <v/>
      </c>
      <c r="C256">
        <f>Inputs!$B$3&gt;=103</f>
        <v/>
      </c>
      <c r="D256">
        <f>IF(Skills!C9=1,60+Inputs!$B$25+Inputs!$B$29,IF(Skills!C9=2,90+Inputs!$B$26+Inputs!$B$29,IF(Skills!C9=3,120+Inputs!$B$27+Inputs!$B$29,MAX(0,(Inputs!$B$3-100)*3)+Inputs!$B$28+Inputs!$B$29)))</f>
        <v/>
      </c>
      <c r="E256">
        <f>INDEX(FactorTable!$B$2:$Y$301, MATCH(ROUND(MIN(300,MAX(1,D256)),0), FactorTable!$A$2:$A$301,0), Skills!M9+1)</f>
        <v/>
      </c>
      <c r="F256">
        <f>IF(Skills!N9=TRUE,(Skills!L9/10)*(E256/1000),Skills!L9/10)+Skills!O9</f>
        <v/>
      </c>
      <c r="G256">
        <f>Skills!G9*IF(Skills!H9&gt;0,Skills!I9/Skills!H9,1)</f>
        <v/>
      </c>
      <c r="H256">
        <f>1-(1-Skills!J9/100)^Skills!K9</f>
        <v/>
      </c>
      <c r="I256" t="inlineStr">
        <is>
          <t>1</t>
        </is>
      </c>
      <c r="J256">
        <f>((Inputs!$B$6*(1+Inputs!$B$7/100))+(((Inputs!$B$12*(1+Inputs!$B$13/100))-(Inputs!$B$12*(1+Inputs!$B$13/100)))+0.25*(Inputs!$B$14-Inputs!$B$14))*(1+Inputs!$B$7/100))*(F256/100)</f>
        <v/>
      </c>
      <c r="K256">
        <f>J256*(1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f>
        <v/>
      </c>
      <c r="L256">
        <f>K256*(MIN(Inputs!$B$22+((C269=TRUE)*(F269-Calc!F22)),(Inputs!$B$23+0+(IF(ArtifactsInput!$M$15,CHOOSE(ArtifactsInput!$N$15+1,25,30,35,40,45,50)/100*(Inputs!$B$11-Inputs!$B$11),0))))/100+(Inputs!$B$23+0+(IF(ArtifactsInput!$M$15,CHOOSE(ArtifactsInput!$N$15+1,25,30,35,40,45,50)/100*(Inputs!$B$11-Inputs!$B$11),0)))/100)/2</f>
        <v/>
      </c>
      <c r="M256">
        <f>L256*(1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
        <f>L256*(1-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
        <f>(1-Summary!$B$11)*T256+Summary!$B$11*V256</f>
        <v/>
      </c>
      <c r="P256">
        <f>IF(B288=0,0,O256/B288)</f>
        <v/>
      </c>
      <c r="Q256">
        <f>IFERROR(1/(IF(Inputs!$B$38="pvp",15,MAX(0.1,Skills!D9-IF(Skills!E9=TRUE,Inputs!$B$32,0)))*(1-IF(AND(ArtifactsInput!$M$27,Inputs!$B$4="Chapter Hunt"),CHOOSE(ArtifactsInput!$N$27+1,20,24,28,32,36,40),0)/100)),0)</f>
        <v/>
      </c>
      <c r="R256">
        <f>IF(AND(Inputs!$B$38&lt;&gt;"pvp",Inputs!$B$43&gt;0),IF(MAX(0,Inputs!$B$43-B285)&lt;=0,0,(INT(MAX(0,Inputs!$B$43-B285)/(IF(Inputs!$B$38="pvp",15,MAX(0.1,Skills!D9-IF(Skills!E9=TRUE,Inputs!$B$32,0)))*(1-IF(AND(ArtifactsInput!$M$27,Inputs!$B$4="Chapter Hunt"),CHOOSE(ArtifactsInput!$N$27+1,20,24,28,32,36,40),0)/100)))+1)),0)</f>
        <v/>
      </c>
      <c r="S256">
        <f>IFERROR(O256/N256,0)</f>
        <v/>
      </c>
      <c r="T256">
        <f>IF(C256,(H256*N256*IF(AND(Inputs!$B$38&lt;&gt;"pvp",Inputs!$B$43&gt;0),((Skills!G9*((R256-1)*IF(Skills!H9&gt;0,Skills!I9/Skills!H9,1)+IF(Skills!H9&gt;0,MIN(Skills!I9,MAX(0,MAX(0,Inputs!$B$43-B285)-((R256-1)*(IF(Inputs!$B$38="pvp",15,MAX(0.1,Skills!D9-IF(Skills!E9=TRUE,Inputs!$B$32,0)))*(1-IF(AND(ArtifactsInput!$M$27,Inputs!$B$4="Chapter Hunt"),CHOOSE(ArtifactsInput!$N$27+1,20,24,28,32,36,40),0)/100)))))/Skills!H9,1)))/Inputs!$B$43),G256*Q256)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
        <f>IF(C256,(H256*N256*IF(AND(Inputs!$B$38&lt;&gt;"pvp",Inputs!$B$43&gt;0),((Skills!G9*((R256-1)*IF(Skills!H9&gt;0,Skills!I9/Skills!H9,1)+IF(Skills!H9&gt;0,MIN(Skills!I9,MAX(0,MAX(0,Inputs!$B$43-B285)-((R256-1)*(IF(Inputs!$B$38="pvp",15,MAX(0.1,Skills!D9-IF(Skills!E9=TRUE,Inputs!$B$32,0)))*(1-IF(AND(ArtifactsInput!$M$27,Inputs!$B$4="Chapter Hunt"),CHOOSE(ArtifactsInput!$N$27+1,20,24,28,32,36,40),0)/100)))))/Skills!H9,1)))/Inputs!$B$43),G256*Q256))*IF(Inputs!$B$38="pvp",1,(1+(Inputs!$B$21+Skills!Q9+(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
      <c r="A257">
        <f>Skills!A10</f>
        <v/>
      </c>
      <c r="B257">
        <f>Skills!B10</f>
        <v/>
      </c>
      <c r="C257">
        <f>Inputs!$B$3&gt;=113</f>
        <v/>
      </c>
      <c r="D257">
        <f>IF(Skills!C10=1,60+Inputs!$B$25+Inputs!$B$29,IF(Skills!C10=2,90+Inputs!$B$26+Inputs!$B$29,IF(Skills!C10=3,120+Inputs!$B$27+Inputs!$B$29,MAX(0,(Inputs!$B$3-100)*3)+Inputs!$B$28+Inputs!$B$29)))</f>
        <v/>
      </c>
      <c r="E257">
        <f>INDEX(FactorTable!$B$2:$Y$301, MATCH(ROUND(MIN(300,MAX(1,D257)),0), FactorTable!$A$2:$A$301,0), Skills!M10+1)</f>
        <v/>
      </c>
      <c r="F257">
        <f>IF(Skills!N10=TRUE,(Skills!L10/10)*(E257/1000),Skills!L10/10)+Skills!O10</f>
        <v/>
      </c>
      <c r="G257">
        <f>Skills!G10*IF(Skills!H10&gt;0,Skills!I10/Skills!H10,1)</f>
        <v/>
      </c>
      <c r="H257">
        <f>1-(1-Skills!J10/100)^Skills!K10</f>
        <v/>
      </c>
      <c r="I257" t="inlineStr">
        <is>
          <t>1</t>
        </is>
      </c>
      <c r="J257">
        <f>((Inputs!$B$6*(1+Inputs!$B$7/100))+(((Inputs!$B$12*(1+Inputs!$B$13/100))-(Inputs!$B$12*(1+Inputs!$B$13/100)))+0.25*(Inputs!$B$14-Inputs!$B$14))*(1+Inputs!$B$7/100))*(F257/100)</f>
        <v/>
      </c>
      <c r="K257">
        <f>J257*(1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f>
        <v/>
      </c>
      <c r="L257">
        <f>K257*(MIN(Inputs!$B$22+((C269=TRUE)*(F269-Calc!F22)),(Inputs!$B$23+0+(IF(ArtifactsInput!$M$15,CHOOSE(ArtifactsInput!$N$15+1,25,30,35,40,45,50)/100*(Inputs!$B$11-Inputs!$B$11),0))))/100+(Inputs!$B$23+0+(IF(ArtifactsInput!$M$15,CHOOSE(ArtifactsInput!$N$15+1,25,30,35,40,45,50)/100*(Inputs!$B$11-Inputs!$B$11),0)))/100)/2</f>
        <v/>
      </c>
      <c r="M257">
        <f>L257*(1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
        <f>L257*(1-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
        <f>(1-Summary!$B$11)*T257+Summary!$B$11*V257</f>
        <v/>
      </c>
      <c r="P257">
        <f>IF(B288=0,0,O257/B288)</f>
        <v/>
      </c>
      <c r="Q257">
        <f>IFERROR(1/(IF(Inputs!$B$38="pvp",15,MAX(0.1,Skills!D10-IF(Skills!E10=TRUE,Inputs!$B$32,0)))*(1-IF(AND(ArtifactsInput!$M$27,Inputs!$B$4="Chapter Hunt"),CHOOSE(ArtifactsInput!$N$27+1,20,24,28,32,36,40),0)/100)),0)</f>
        <v/>
      </c>
      <c r="R257">
        <f>IF(AND(Inputs!$B$38&lt;&gt;"pvp",Inputs!$B$43&gt;0),IF(MAX(0,Inputs!$B$43-B285)&lt;=0,0,(INT(MAX(0,Inputs!$B$43-B285)/(IF(Inputs!$B$38="pvp",15,MAX(0.1,Skills!D10-IF(Skills!E10=TRUE,Inputs!$B$32,0)))*(1-IF(AND(ArtifactsInput!$M$27,Inputs!$B$4="Chapter Hunt"),CHOOSE(ArtifactsInput!$N$27+1,20,24,28,32,36,40),0)/100)))+1)),0)</f>
        <v/>
      </c>
      <c r="S257">
        <f>IFERROR(O257/N257,0)</f>
        <v/>
      </c>
      <c r="T257">
        <f>IF(C257,(H257*N257*IF(AND(Inputs!$B$38&lt;&gt;"pvp",Inputs!$B$43&gt;0),((Skills!G10*((R257-1)*IF(Skills!H10&gt;0,Skills!I10/Skills!H10,1)+IF(Skills!H10&gt;0,MIN(Skills!I10,MAX(0,MAX(0,Inputs!$B$43-B285)-((R257-1)*(IF(Inputs!$B$38="pvp",15,MAX(0.1,Skills!D10-IF(Skills!E10=TRUE,Inputs!$B$32,0)))*(1-IF(AND(ArtifactsInput!$M$27,Inputs!$B$4="Chapter Hunt"),CHOOSE(ArtifactsInput!$N$27+1,20,24,28,32,36,40),0)/100)))))/Skills!H10,1)))/Inputs!$B$43),G257*Q257)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
        <f>IF(C257,(H257*N257*IF(AND(Inputs!$B$38&lt;&gt;"pvp",Inputs!$B$43&gt;0),((Skills!G10*((R257-1)*IF(Skills!H10&gt;0,Skills!I10/Skills!H10,1)+IF(Skills!H10&gt;0,MIN(Skills!I10,MAX(0,MAX(0,Inputs!$B$43-B285)-((R257-1)*(IF(Inputs!$B$38="pvp",15,MAX(0.1,Skills!D10-IF(Skills!E10=TRUE,Inputs!$B$32,0)))*(1-IF(AND(ArtifactsInput!$M$27,Inputs!$B$4="Chapter Hunt"),CHOOSE(ArtifactsInput!$N$27+1,20,24,28,32,36,40),0)/100)))))/Skills!H10,1)))/Inputs!$B$43),G257*Q257))*IF(Inputs!$B$38="pvp",1,(1+(Inputs!$B$21+Skills!Q10+(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
      <c r="A258">
        <f>Skills!A11</f>
        <v/>
      </c>
      <c r="B258">
        <f>Skills!B11</f>
        <v/>
      </c>
      <c r="C258">
        <f>Inputs!$B$3&gt;=107</f>
        <v/>
      </c>
      <c r="D258">
        <f>IF(Skills!C11=1,60+Inputs!$B$25+Inputs!$B$29,IF(Skills!C11=2,90+Inputs!$B$26+Inputs!$B$29,IF(Skills!C11=3,120+Inputs!$B$27+Inputs!$B$29,MAX(0,(Inputs!$B$3-100)*3)+Inputs!$B$28+Inputs!$B$29)))</f>
        <v/>
      </c>
      <c r="E258">
        <f>INDEX(FactorTable!$B$2:$Y$301, MATCH(ROUND(MIN(300,MAX(1,D258)),0), FactorTable!$A$2:$A$301,0), Skills!M11+1)</f>
        <v/>
      </c>
      <c r="F258">
        <f>IF(Skills!N11=TRUE,(Skills!L11/10)*(E258/1000),Skills!L11/10)+Skills!O11</f>
        <v/>
      </c>
      <c r="G258">
        <f>Skills!G11*IF(Skills!H11&gt;0,Skills!I11/Skills!H11,1)</f>
        <v/>
      </c>
      <c r="H258">
        <f>1-(1-Skills!J11/100)^Skills!K11</f>
        <v/>
      </c>
      <c r="I258" t="inlineStr">
        <is>
          <t>1</t>
        </is>
      </c>
      <c r="J258">
        <f>((Inputs!$B$6*(1+Inputs!$B$7/100))+(((Inputs!$B$12*(1+Inputs!$B$13/100))-(Inputs!$B$12*(1+Inputs!$B$13/100)))+0.25*(Inputs!$B$14-Inputs!$B$14))*(1+Inputs!$B$7/100))*(F258/100)</f>
        <v/>
      </c>
      <c r="K258">
        <f>J258*(1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f>
        <v/>
      </c>
      <c r="L258">
        <f>K258*(MIN(Inputs!$B$22+((C269=TRUE)*(F269-Calc!F22)),(Inputs!$B$23+0+(IF(ArtifactsInput!$M$15,CHOOSE(ArtifactsInput!$N$15+1,25,30,35,40,45,50)/100*(Inputs!$B$11-Inputs!$B$11),0))))/100+(Inputs!$B$23+0+(IF(ArtifactsInput!$M$15,CHOOSE(ArtifactsInput!$N$15+1,25,30,35,40,45,50)/100*(Inputs!$B$11-Inputs!$B$11),0)))/100)/2</f>
        <v/>
      </c>
      <c r="M258">
        <f>L258*(1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
        <f>L258*(1-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
        <f>(1-Summary!$B$11)*T258+Summary!$B$11*V258</f>
        <v/>
      </c>
      <c r="P258">
        <f>IF(B288=0,0,O258/B288)</f>
        <v/>
      </c>
      <c r="Q258">
        <f>IFERROR(1/(IF(Inputs!$B$38="pvp",15,MAX(0.1,Skills!D11-IF(Skills!E11=TRUE,Inputs!$B$32,0)))*(1-IF(AND(ArtifactsInput!$M$27,Inputs!$B$4="Chapter Hunt"),CHOOSE(ArtifactsInput!$N$27+1,20,24,28,32,36,40),0)/100)),0)</f>
        <v/>
      </c>
      <c r="R258">
        <f>IF(AND(Inputs!$B$38&lt;&gt;"pvp",Inputs!$B$43&gt;0),IF(MAX(0,Inputs!$B$43-B285)&lt;=0,0,(INT(MAX(0,Inputs!$B$43-B285)/(IF(Inputs!$B$38="pvp",15,MAX(0.1,Skills!D11-IF(Skills!E11=TRUE,Inputs!$B$32,0)))*(1-IF(AND(ArtifactsInput!$M$27,Inputs!$B$4="Chapter Hunt"),CHOOSE(ArtifactsInput!$N$27+1,20,24,28,32,36,40),0)/100)))+1)),0)</f>
        <v/>
      </c>
      <c r="S258">
        <f>IFERROR(O258/N258,0)</f>
        <v/>
      </c>
      <c r="T258">
        <f>IF(C258,(H258*N258*IF(AND(Inputs!$B$38&lt;&gt;"pvp",Inputs!$B$43&gt;0),((Skills!G11*((R258-1)*IF(Skills!H11&gt;0,Skills!I11/Skills!H11,1)+IF(Skills!H11&gt;0,MIN(Skills!I11,MAX(0,MAX(0,Inputs!$B$43-B285)-((R258-1)*(IF(Inputs!$B$38="pvp",15,MAX(0.1,Skills!D11-IF(Skills!E11=TRUE,Inputs!$B$32,0)))*(1-IF(AND(ArtifactsInput!$M$27,Inputs!$B$4="Chapter Hunt"),CHOOSE(ArtifactsInput!$N$27+1,20,24,28,32,36,40),0)/100)))))/Skills!H11,1)))/Inputs!$B$43),G258*Q258)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
        <f>IF(C258,(H258*N258*IF(AND(Inputs!$B$38&lt;&gt;"pvp",Inputs!$B$43&gt;0),((Skills!G11*((R258-1)*IF(Skills!H11&gt;0,Skills!I11/Skills!H11,1)+IF(Skills!H11&gt;0,MIN(Skills!I11,MAX(0,MAX(0,Inputs!$B$43-B285)-((R258-1)*(IF(Inputs!$B$38="pvp",15,MAX(0.1,Skills!D11-IF(Skills!E11=TRUE,Inputs!$B$32,0)))*(1-IF(AND(ArtifactsInput!$M$27,Inputs!$B$4="Chapter Hunt"),CHOOSE(ArtifactsInput!$N$27+1,20,24,28,32,36,40),0)/100)))))/Skills!H11,1)))/Inputs!$B$43),G258*Q258))*IF(Inputs!$B$38="pvp",1,(1+(Inputs!$B$21+Skills!Q11+(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
      <c r="A259">
        <f>Skills!A12</f>
        <v/>
      </c>
      <c r="B259">
        <f>Skills!B12</f>
        <v/>
      </c>
      <c r="C259">
        <f>Inputs!$B$3&gt;=110</f>
        <v/>
      </c>
      <c r="D259">
        <f>IF(Skills!C12=1,60+Inputs!$B$25+Inputs!$B$29,IF(Skills!C12=2,90+Inputs!$B$26+Inputs!$B$29,IF(Skills!C12=3,120+Inputs!$B$27+Inputs!$B$29,MAX(0,(Inputs!$B$3-100)*3)+Inputs!$B$28+Inputs!$B$29)))</f>
        <v/>
      </c>
      <c r="E259">
        <f>INDEX(FactorTable!$B$2:$Y$301, MATCH(ROUND(MIN(300,MAX(1,D259)),0), FactorTable!$A$2:$A$301,0), Skills!M12+1)</f>
        <v/>
      </c>
      <c r="F259">
        <f>IF(Skills!N12=TRUE,(Skills!L12/10)*(E259/1000),Skills!L12/10)+Skills!O12</f>
        <v/>
      </c>
      <c r="G259">
        <f>Skills!G12*IF(Skills!H12&gt;0,Skills!I12/Skills!H12,1)</f>
        <v/>
      </c>
      <c r="H259">
        <f>1-(1-Skills!J12/100)^Skills!K12</f>
        <v/>
      </c>
      <c r="I259" t="inlineStr">
        <is>
          <t>1</t>
        </is>
      </c>
      <c r="J259">
        <f>((Inputs!$B$6*(1+Inputs!$B$7/100))+(((Inputs!$B$12*(1+Inputs!$B$13/100))-(Inputs!$B$12*(1+Inputs!$B$13/100)))+0.25*(Inputs!$B$14-Inputs!$B$14))*(1+Inputs!$B$7/100))*(F259/100)</f>
        <v/>
      </c>
      <c r="K259">
        <f>J259*(1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f>
        <v/>
      </c>
      <c r="L259">
        <f>K259*(MIN(Inputs!$B$22+((C269=TRUE)*(F269-Calc!F22)),(Inputs!$B$23+0+(IF(ArtifactsInput!$M$15,CHOOSE(ArtifactsInput!$N$15+1,25,30,35,40,45,50)/100*(Inputs!$B$11-Inputs!$B$11),0))))/100+(Inputs!$B$23+0+(IF(ArtifactsInput!$M$15,CHOOSE(ArtifactsInput!$N$15+1,25,30,35,40,45,50)/100*(Inputs!$B$11-Inputs!$B$11),0)))/100)/2</f>
        <v/>
      </c>
      <c r="M259">
        <f>L259*(1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
        <f>L259*(1-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
        <f>(1-Summary!$B$11)*T259+Summary!$B$11*V259</f>
        <v/>
      </c>
      <c r="P259">
        <f>IF(B288=0,0,O259/B288)</f>
        <v/>
      </c>
      <c r="Q259">
        <f>IFERROR(1/(IF(Inputs!$B$38="pvp",15,MAX(0.1,Skills!D12-IF(Skills!E12=TRUE,Inputs!$B$32,0)))*(1-IF(AND(ArtifactsInput!$M$27,Inputs!$B$4="Chapter Hunt"),CHOOSE(ArtifactsInput!$N$27+1,20,24,28,32,36,40),0)/100)),0)</f>
        <v/>
      </c>
      <c r="R259">
        <f>IF(AND(Inputs!$B$38&lt;&gt;"pvp",Inputs!$B$43&gt;0),IF(MAX(0,Inputs!$B$43-B285)&lt;=0,0,(INT(MAX(0,Inputs!$B$43-B285)/(IF(Inputs!$B$38="pvp",15,MAX(0.1,Skills!D12-IF(Skills!E12=TRUE,Inputs!$B$32,0)))*(1-IF(AND(ArtifactsInput!$M$27,Inputs!$B$4="Chapter Hunt"),CHOOSE(ArtifactsInput!$N$27+1,20,24,28,32,36,40),0)/100)))+1)),0)</f>
        <v/>
      </c>
      <c r="S259">
        <f>IFERROR(O259/N259,0)</f>
        <v/>
      </c>
      <c r="T259">
        <f>IF(C259,(H259*N259*IF(AND(Inputs!$B$38&lt;&gt;"pvp",Inputs!$B$43&gt;0),((Skills!G12*((R259-1)*IF(Skills!H12&gt;0,Skills!I12/Skills!H12,1)+IF(Skills!H12&gt;0,MIN(Skills!I12,MAX(0,MAX(0,Inputs!$B$43-B285)-((R259-1)*(IF(Inputs!$B$38="pvp",15,MAX(0.1,Skills!D12-IF(Skills!E12=TRUE,Inputs!$B$32,0)))*(1-IF(AND(ArtifactsInput!$M$27,Inputs!$B$4="Chapter Hunt"),CHOOSE(ArtifactsInput!$N$27+1,20,24,28,32,36,40),0)/100)))))/Skills!H12,1)))/Inputs!$B$43),G259*Q259)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
        <f>IF(C259,(H259*N259*IF(AND(Inputs!$B$38&lt;&gt;"pvp",Inputs!$B$43&gt;0),((Skills!G12*((R259-1)*IF(Skills!H12&gt;0,Skills!I12/Skills!H12,1)+IF(Skills!H12&gt;0,MIN(Skills!I12,MAX(0,MAX(0,Inputs!$B$43-B285)-((R259-1)*(IF(Inputs!$B$38="pvp",15,MAX(0.1,Skills!D12-IF(Skills!E12=TRUE,Inputs!$B$32,0)))*(1-IF(AND(ArtifactsInput!$M$27,Inputs!$B$4="Chapter Hunt"),CHOOSE(ArtifactsInput!$N$27+1,20,24,28,32,36,40),0)/100)))))/Skills!H12,1)))/Inputs!$B$43),G259*Q259))*IF(Inputs!$B$38="pvp",1,(1+(Inputs!$B$21+Skills!Q12+(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
      <c r="A260">
        <f>Skills!A13</f>
        <v/>
      </c>
      <c r="B260">
        <f>Skills!B13</f>
        <v/>
      </c>
      <c r="C260">
        <f>Inputs!$B$3&gt;=110</f>
        <v/>
      </c>
      <c r="D260">
        <f>IF(Skills!C13=1,60+Inputs!$B$25+Inputs!$B$29,IF(Skills!C13=2,90+Inputs!$B$26+Inputs!$B$29,IF(Skills!C13=3,120+Inputs!$B$27+Inputs!$B$29,MAX(0,(Inputs!$B$3-100)*3)+Inputs!$B$28+Inputs!$B$29)))</f>
        <v/>
      </c>
      <c r="E260">
        <f>INDEX(FactorTable!$B$2:$Y$301, MATCH(ROUND(MIN(300,MAX(1,D260)),0), FactorTable!$A$2:$A$301,0), Skills!M13+1)</f>
        <v/>
      </c>
      <c r="F260">
        <f>IF(Skills!N13=TRUE,(Skills!L13/10)*(E260/1000),Skills!L13/10)+Skills!O13</f>
        <v/>
      </c>
      <c r="G260">
        <f>Skills!G13*IF(Skills!H13&gt;0,Skills!I13/Skills!H13,1)</f>
        <v/>
      </c>
      <c r="H260">
        <f>1-(1-Skills!J13/100)^Skills!K13</f>
        <v/>
      </c>
      <c r="I260" t="inlineStr">
        <is>
          <t>1</t>
        </is>
      </c>
      <c r="J260">
        <f>((Inputs!$B$6*(1+Inputs!$B$7/100))+(((Inputs!$B$12*(1+Inputs!$B$13/100))-(Inputs!$B$12*(1+Inputs!$B$13/100)))+0.25*(Inputs!$B$14-Inputs!$B$14))*(1+Inputs!$B$7/100))*(F260/100)</f>
        <v/>
      </c>
      <c r="K260">
        <f>J260*(1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f>
        <v/>
      </c>
      <c r="L260">
        <f>K260*(MIN(Inputs!$B$22+((C269=TRUE)*(F269-Calc!F22)),(Inputs!$B$23+0+(IF(ArtifactsInput!$M$15,CHOOSE(ArtifactsInput!$N$15+1,25,30,35,40,45,50)/100*(Inputs!$B$11-Inputs!$B$11),0))))/100+(Inputs!$B$23+0+(IF(ArtifactsInput!$M$15,CHOOSE(ArtifactsInput!$N$15+1,25,30,35,40,45,50)/100*(Inputs!$B$11-Inputs!$B$11),0)))/100)/2</f>
        <v/>
      </c>
      <c r="M260">
        <f>L260*(1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
        <f>L260*(1-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
        <f>(1-Summary!$B$11)*T260+Summary!$B$11*V260</f>
        <v/>
      </c>
      <c r="P260">
        <f>IF(B288=0,0,O260/B288)</f>
        <v/>
      </c>
      <c r="Q260">
        <f>IFERROR(1/(IF(Inputs!$B$38="pvp",15,MAX(0.1,Skills!D13-IF(Skills!E13=TRUE,Inputs!$B$32,0)))*(1-IF(AND(ArtifactsInput!$M$27,Inputs!$B$4="Chapter Hunt"),CHOOSE(ArtifactsInput!$N$27+1,20,24,28,32,36,40),0)/100)),0)</f>
        <v/>
      </c>
      <c r="R260">
        <f>IF(AND(Inputs!$B$38&lt;&gt;"pvp",Inputs!$B$43&gt;0),IF(MAX(0,Inputs!$B$43-B285)&lt;=0,0,(INT(MAX(0,Inputs!$B$43-B285)/(IF(Inputs!$B$38="pvp",15,MAX(0.1,Skills!D13-IF(Skills!E13=TRUE,Inputs!$B$32,0)))*(1-IF(AND(ArtifactsInput!$M$27,Inputs!$B$4="Chapter Hunt"),CHOOSE(ArtifactsInput!$N$27+1,20,24,28,32,36,40),0)/100)))+1)),0)</f>
        <v/>
      </c>
      <c r="S260">
        <f>IFERROR(O260/N260,0)</f>
        <v/>
      </c>
      <c r="T260">
        <f>IF(C260,(H260*N260*IF(AND(Inputs!$B$38&lt;&gt;"pvp",Inputs!$B$43&gt;0),((Skills!G13*((R260-1)*IF(Skills!H13&gt;0,Skills!I13/Skills!H13,1)+IF(Skills!H13&gt;0,MIN(Skills!I13,MAX(0,MAX(0,Inputs!$B$43-B285)-((R260-1)*(IF(Inputs!$B$38="pvp",15,MAX(0.1,Skills!D13-IF(Skills!E13=TRUE,Inputs!$B$32,0)))*(1-IF(AND(ArtifactsInput!$M$27,Inputs!$B$4="Chapter Hunt"),CHOOSE(ArtifactsInput!$N$27+1,20,24,28,32,36,40),0)/100)))))/Skills!H13,1)))/Inputs!$B$43),G260*Q260)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
        <f>IF(C260,(H260*N260*IF(AND(Inputs!$B$38&lt;&gt;"pvp",Inputs!$B$43&gt;0),((Skills!G13*((R260-1)*IF(Skills!H13&gt;0,Skills!I13/Skills!H13,1)+IF(Skills!H13&gt;0,MIN(Skills!I13,MAX(0,MAX(0,Inputs!$B$43-B285)-((R260-1)*(IF(Inputs!$B$38="pvp",15,MAX(0.1,Skills!D13-IF(Skills!E13=TRUE,Inputs!$B$32,0)))*(1-IF(AND(ArtifactsInput!$M$27,Inputs!$B$4="Chapter Hunt"),CHOOSE(ArtifactsInput!$N$27+1,20,24,28,32,36,40),0)/100)))))/Skills!H13,1)))/Inputs!$B$43),G260*Q260))*IF(Inputs!$B$38="pvp",1,(1+(Inputs!$B$21+Skills!Q13+(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
      <c r="A261">
        <f>Skills!A14</f>
        <v/>
      </c>
      <c r="B261">
        <f>Skills!B14</f>
        <v/>
      </c>
      <c r="C261">
        <f>Inputs!$B$3&gt;=125</f>
        <v/>
      </c>
      <c r="D261">
        <f>IF(Skills!C14=1,60+Inputs!$B$25+Inputs!$B$29,IF(Skills!C14=2,90+Inputs!$B$26+Inputs!$B$29,IF(Skills!C14=3,120+Inputs!$B$27+Inputs!$B$29,MAX(0,(Inputs!$B$3-100)*3)+Inputs!$B$28+Inputs!$B$29)))</f>
        <v/>
      </c>
      <c r="E261">
        <f>INDEX(FactorTable!$B$2:$Y$301, MATCH(ROUND(MIN(300,MAX(1,D261)),0), FactorTable!$A$2:$A$301,0), Skills!M14+1)</f>
        <v/>
      </c>
      <c r="F261">
        <f>IF(Skills!N14=TRUE,(Skills!L14/10)*(E261/1000),Skills!L14/10)+Skills!O14</f>
        <v/>
      </c>
      <c r="G261">
        <f>Skills!G14*IF(Skills!H14&gt;0,Skills!I14/Skills!H14,1)</f>
        <v/>
      </c>
      <c r="H261">
        <f>1-(1-Skills!J14/100)^Skills!K14</f>
        <v/>
      </c>
      <c r="I261" t="inlineStr">
        <is>
          <t>1</t>
        </is>
      </c>
      <c r="J261">
        <f>((Inputs!$B$6*(1+Inputs!$B$7/100))+(((Inputs!$B$12*(1+Inputs!$B$13/100))-(Inputs!$B$12*(1+Inputs!$B$13/100)))+0.25*(Inputs!$B$14-Inputs!$B$14))*(1+Inputs!$B$7/100))*(F261/100)</f>
        <v/>
      </c>
      <c r="K261">
        <f>J261*(1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f>
        <v/>
      </c>
      <c r="L261">
        <f>K261*(MIN(Inputs!$B$22+((C269=TRUE)*(F269-Calc!F22)),(Inputs!$B$23+0+(IF(ArtifactsInput!$M$15,CHOOSE(ArtifactsInput!$N$15+1,25,30,35,40,45,50)/100*(Inputs!$B$11-Inputs!$B$11),0))))/100+(Inputs!$B$23+0+(IF(ArtifactsInput!$M$15,CHOOSE(ArtifactsInput!$N$15+1,25,30,35,40,45,50)/100*(Inputs!$B$11-Inputs!$B$11),0)))/100)/2</f>
        <v/>
      </c>
      <c r="M261">
        <f>L261*(1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
        <f>L261*(1-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
        <f>(1-Summary!$B$11)*T261+Summary!$B$11*V261</f>
        <v/>
      </c>
      <c r="P261">
        <f>IF(B288=0,0,O261/B288)</f>
        <v/>
      </c>
      <c r="Q261" t="n">
        <v>0</v>
      </c>
      <c r="R261" t="n">
        <v>0</v>
      </c>
      <c r="S261">
        <f>IFERROR(O261/N261,0)</f>
        <v/>
      </c>
      <c r="T261">
        <f>IF(C261,(H261*N261*(B282+IF(AND(Inputs!$B$38&lt;&gt;"pvp",Inputs!$B$43&gt;0),((Skills!G8*((R255-1)*IF(Skills!H8&gt;0,Skills!I8/Skills!H8,1)+IF(Skills!H8&gt;0,MIN(Skills!I8,MAX(0,MAX(0,Inputs!$B$43-B285)-((R255-1)*(IF(Inputs!$B$38="pvp",15,MAX(0.1,Skills!D8-IF(Skills!E8=TRUE,Inputs!$B$32,0)))*(1-IF(AND(ArtifactsInput!$M$27,Inputs!$B$4="Chapter Hunt"),CHOOSE(ArtifactsInput!$N$27+1,20,24,28,32,36,40),0)/100)))))/Skills!H8,1)))/Inputs!$B$43),G255*Q255)+IF(AND(Inputs!$B$38&lt;&gt;"pvp",Inputs!$B$43&gt;0),((Skills!G11*((R258-1)*IF(Skills!H11&gt;0,Skills!I11/Skills!H11,1)+IF(Skills!H11&gt;0,MIN(Skills!I11,MAX(0,MAX(0,Inputs!$B$43-B285)-((R258-1)*(IF(Inputs!$B$38="pvp",15,MAX(0.1,Skills!D11-IF(Skills!E11=TRUE,Inputs!$B$32,0)))*(1-IF(AND(ArtifactsInput!$M$27,Inputs!$B$4="Chapter Hunt"),CHOOSE(ArtifactsInput!$N$27+1,20,24,28,32,36,40),0)/100)))))/Skills!H11,1)))/Inputs!$B$43),G258*Q258)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
        <f>IF(C261,(H261*N261*(B282+IF(AND(Inputs!$B$38&lt;&gt;"pvp",Inputs!$B$43&gt;0),((Skills!G8*((R255-1)*IF(Skills!H8&gt;0,Skills!I8/Skills!H8,1)+IF(Skills!H8&gt;0,MIN(Skills!I8,MAX(0,MAX(0,Inputs!$B$43-B285)-((R255-1)*(IF(Inputs!$B$38="pvp",15,MAX(0.1,Skills!D8-IF(Skills!E8=TRUE,Inputs!$B$32,0)))*(1-IF(AND(ArtifactsInput!$M$27,Inputs!$B$4="Chapter Hunt"),CHOOSE(ArtifactsInput!$N$27+1,20,24,28,32,36,40),0)/100)))))/Skills!H8,1)))/Inputs!$B$43),G255*Q255)+IF(AND(Inputs!$B$38&lt;&gt;"pvp",Inputs!$B$43&gt;0),((Skills!G11*((R258-1)*IF(Skills!H11&gt;0,Skills!I11/Skills!H11,1)+IF(Skills!H11&gt;0,MIN(Skills!I11,MAX(0,MAX(0,Inputs!$B$43-B285)-((R258-1)*(IF(Inputs!$B$38="pvp",15,MAX(0.1,Skills!D11-IF(Skills!E11=TRUE,Inputs!$B$32,0)))*(1-IF(AND(ArtifactsInput!$M$27,Inputs!$B$4="Chapter Hunt"),CHOOSE(ArtifactsInput!$N$27+1,20,24,28,32,36,40),0)/100)))))/Skills!H11,1)))/Inputs!$B$43),G258*Q258)))*IF(Inputs!$B$38="pvp",1,(1+(Inputs!$B$21+Skills!Q14+(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
      <c r="A262">
        <f>Skills!A15</f>
        <v/>
      </c>
      <c r="B262">
        <f>Skills!B15</f>
        <v/>
      </c>
      <c r="C262">
        <f>Inputs!$B$3&gt;=100</f>
        <v/>
      </c>
      <c r="D262">
        <f>IF(Skills!C15=1,60+Inputs!$B$25+Inputs!$B$29,IF(Skills!C15=2,90+Inputs!$B$26+Inputs!$B$29,IF(Skills!C15=3,120+Inputs!$B$27+Inputs!$B$29,MAX(0,(Inputs!$B$3-100)*3)+Inputs!$B$28+Inputs!$B$29)))</f>
        <v/>
      </c>
      <c r="E262">
        <f>INDEX(FactorTable!$B$2:$Y$301, MATCH(ROUND(MIN(300,MAX(1,D262)),0), FactorTable!$A$2:$A$301,0), Skills!M15+1)</f>
        <v/>
      </c>
      <c r="F262">
        <f>IF(Skills!N15=TRUE,(Skills!L15/10)*(E262/1000),Skills!L15/10)+Skills!O15</f>
        <v/>
      </c>
      <c r="G262" t="inlineStr"/>
      <c r="H262" t="inlineStr"/>
      <c r="I262" t="inlineStr">
        <is>
          <t>1</t>
        </is>
      </c>
      <c r="J262" t="inlineStr"/>
      <c r="K262" t="inlineStr"/>
      <c r="L262" t="inlineStr"/>
      <c r="M262" t="inlineStr"/>
      <c r="N262" t="inlineStr"/>
      <c r="O262" t="inlineStr"/>
      <c r="P262" t="inlineStr"/>
      <c r="Q262" t="inlineStr"/>
      <c r="R262" t="inlineStr"/>
      <c r="S262" t="inlineStr"/>
    </row>
    <row r="263">
      <c r="A263">
        <f>Skills!A16</f>
        <v/>
      </c>
      <c r="B263">
        <f>Skills!B16</f>
        <v/>
      </c>
      <c r="C263">
        <f>Inputs!$B$3&gt;=120</f>
        <v/>
      </c>
      <c r="D263">
        <f>IF(Skills!C16=1,60+Inputs!$B$25+Inputs!$B$29,IF(Skills!C16=2,90+Inputs!$B$26+Inputs!$B$29,IF(Skills!C16=3,120+Inputs!$B$27+Inputs!$B$29,MAX(0,(Inputs!$B$3-100)*3)+Inputs!$B$28+Inputs!$B$29)))</f>
        <v/>
      </c>
      <c r="E263">
        <f>INDEX(FactorTable!$B$2:$Y$301, MATCH(ROUND(MIN(300,MAX(1,D263)),0), FactorTable!$A$2:$A$301,0), Skills!M16+1)</f>
        <v/>
      </c>
      <c r="F263">
        <f>IF(Skills!N16=TRUE,(Skills!L16/10)*(E263/1000),Skills!L16/10)+Skills!O16</f>
        <v/>
      </c>
      <c r="G263" t="inlineStr"/>
      <c r="H263" t="inlineStr"/>
      <c r="I263" t="inlineStr">
        <is>
          <t>1</t>
        </is>
      </c>
      <c r="J263" t="inlineStr"/>
      <c r="K263" t="inlineStr"/>
      <c r="L263" t="inlineStr"/>
      <c r="M263" t="inlineStr"/>
      <c r="N263" t="inlineStr"/>
      <c r="O263" t="inlineStr"/>
      <c r="P263" t="inlineStr"/>
      <c r="Q263" t="inlineStr"/>
      <c r="R263" t="inlineStr"/>
      <c r="S263" t="inlineStr"/>
    </row>
    <row r="264">
      <c r="A264">
        <f>Skills!A17</f>
        <v/>
      </c>
      <c r="B264">
        <f>Skills!B17</f>
        <v/>
      </c>
      <c r="C264">
        <f>Inputs!$B$3&gt;=66</f>
        <v/>
      </c>
      <c r="D264">
        <f>IF(Skills!C17=1,60+Inputs!$B$25+Inputs!$B$29,IF(Skills!C17=2,90+Inputs!$B$26+Inputs!$B$29,IF(Skills!C17=3,120+Inputs!$B$27+Inputs!$B$29,MAX(0,(Inputs!$B$3-100)*3)+Inputs!$B$28+Inputs!$B$29)))</f>
        <v/>
      </c>
      <c r="E264">
        <f>INDEX(FactorTable!$B$2:$Y$301, MATCH(ROUND(MIN(300,MAX(1,D264)),0), FactorTable!$A$2:$A$301,0), Skills!M17+1)</f>
        <v/>
      </c>
      <c r="F264">
        <f>IF(Skills!N17=TRUE,(Skills!L17/10)*(E264/1000),Skills!L17/10)+Skills!O17</f>
        <v/>
      </c>
      <c r="G264">
        <f>Skills!G17*IF(Skills!H17&gt;0,Skills!I17/Skills!H17,1)</f>
        <v/>
      </c>
      <c r="H264">
        <f>1-(1-Skills!J17/100)^Skills!K17</f>
        <v/>
      </c>
      <c r="I264" t="inlineStr">
        <is>
          <t>1</t>
        </is>
      </c>
      <c r="J264" t="inlineStr"/>
      <c r="K264" t="inlineStr"/>
      <c r="L264" t="inlineStr"/>
      <c r="M264" t="inlineStr"/>
      <c r="N264" t="inlineStr"/>
      <c r="O264">
        <f>(1-Summary!$B$11)*T264+Summary!$B$11*V264</f>
        <v/>
      </c>
      <c r="P264">
        <f>IF(B288=0,0,O264/B288)</f>
        <v/>
      </c>
      <c r="Q264" t="n">
        <v>0</v>
      </c>
      <c r="R264" t="n">
        <v>0</v>
      </c>
      <c r="S264">
        <f>IFERROR(O264/N264,0)</f>
        <v/>
      </c>
      <c r="T264" t="n">
        <v>0</v>
      </c>
      <c r="V264" t="n">
        <v>0</v>
      </c>
    </row>
    <row r="265">
      <c r="A265">
        <f>Skills!A18</f>
        <v/>
      </c>
      <c r="B265">
        <f>Skills!B18</f>
        <v/>
      </c>
      <c r="C265">
        <f>Inputs!$B$3&gt;=115</f>
        <v/>
      </c>
      <c r="D265">
        <f>IF(Skills!C18=1,60+Inputs!$B$25+Inputs!$B$29,IF(Skills!C18=2,90+Inputs!$B$26+Inputs!$B$29,IF(Skills!C18=3,120+Inputs!$B$27+Inputs!$B$29,MAX(0,(Inputs!$B$3-100)*3)+Inputs!$B$28+Inputs!$B$29)))</f>
        <v/>
      </c>
      <c r="E265">
        <f>INDEX(FactorTable!$B$2:$Y$301, MATCH(ROUND(MIN(300,MAX(1,D265)),0), FactorTable!$A$2:$A$301,0), Skills!M18+1)</f>
        <v/>
      </c>
      <c r="F265">
        <f>IF(Skills!N18=TRUE,(Skills!L18/10)*(E265/1000),Skills!L18/10)+Skills!O18</f>
        <v/>
      </c>
      <c r="G265">
        <f>Skills!G18*IF(Skills!H18&gt;0,Skills!I18/Skills!H18,1)</f>
        <v/>
      </c>
      <c r="H265">
        <f>1-(1-Skills!J18/100)^Skills!K18</f>
        <v/>
      </c>
      <c r="I265" t="inlineStr">
        <is>
          <t>1</t>
        </is>
      </c>
      <c r="J265" t="inlineStr"/>
      <c r="K265" t="inlineStr"/>
      <c r="L265" t="inlineStr"/>
      <c r="M265" t="inlineStr"/>
      <c r="N265" t="inlineStr"/>
      <c r="O265">
        <f>(1-Summary!$B$11)*T265+Summary!$B$11*V265</f>
        <v/>
      </c>
      <c r="P265">
        <f>IF(B288=0,0,O265/B288)</f>
        <v/>
      </c>
      <c r="Q265">
        <f>IFERROR(1/(IF(Inputs!$B$38="pvp",15,MAX(0.1,Skills!D18-IF(Skills!E18=TRUE,Inputs!$B$32,0)))*(1-IF(AND(ArtifactsInput!$M$27,Inputs!$B$4="Chapter Hunt"),CHOOSE(ArtifactsInput!$N$27+1,20,24,28,32,36,40),0)/100)),0)</f>
        <v/>
      </c>
      <c r="R265">
        <f>IF(AND(Inputs!$B$38&lt;&gt;"pvp",Inputs!$B$43&gt;0),IF(Inputs!$B$43&lt;=0,0,(INT(Inputs!$B$43/(IF(Inputs!$B$38="pvp",15,MAX(0.1,Skills!D18-IF(Skills!E18=TRUE,Inputs!$B$32,0)))*(1-IF(AND(ArtifactsInput!$M$27,Inputs!$B$4="Chapter Hunt"),CHOOSE(ArtifactsInput!$N$27+1,20,24,28,32,36,40),0)/100)))+1)),0)</f>
        <v/>
      </c>
      <c r="S265">
        <f>IFERROR(O265/N265,0)</f>
        <v/>
      </c>
      <c r="T265" t="n">
        <v>0</v>
      </c>
      <c r="V265" t="n">
        <v>0</v>
      </c>
    </row>
    <row r="266">
      <c r="A266">
        <f>Skills!A19</f>
        <v/>
      </c>
      <c r="B266">
        <f>Skills!B19</f>
        <v/>
      </c>
      <c r="C266">
        <f>Inputs!$B$3&gt;=15</f>
        <v/>
      </c>
      <c r="D266">
        <f>IF(Skills!C19=1,60+Inputs!$B$25+Inputs!$B$29,IF(Skills!C19=2,90+Inputs!$B$26+Inputs!$B$29,IF(Skills!C19=3,120+Inputs!$B$27+Inputs!$B$29,MAX(0,(Inputs!$B$3-100)*3)+Inputs!$B$28+Inputs!$B$29)))</f>
        <v/>
      </c>
      <c r="E266">
        <f>INDEX(FactorTable!$B$2:$Y$301, MATCH(ROUND(MIN(300,MAX(1,D266)),0), FactorTable!$A$2:$A$301,0), Skills!M19+1)</f>
        <v/>
      </c>
      <c r="F266">
        <f>IF(Skills!N19=TRUE,(Skills!L19/10)*(E266/1000),Skills!L19/10)+Skills!O19</f>
        <v/>
      </c>
      <c r="G266">
        <f>Skills!G19*IF(Skills!H19&gt;0,Skills!I19/Skills!H19,1)</f>
        <v/>
      </c>
      <c r="H266">
        <f>1-(1-Skills!J19/100)^Skills!K19</f>
        <v/>
      </c>
      <c r="I266" t="inlineStr">
        <is>
          <t>1</t>
        </is>
      </c>
      <c r="J266" t="inlineStr"/>
      <c r="K266" t="inlineStr"/>
      <c r="L266" t="inlineStr"/>
      <c r="M266" t="inlineStr"/>
      <c r="N266" t="inlineStr"/>
      <c r="O266">
        <f>(1-Summary!$B$11)*T266+Summary!$B$11*V266</f>
        <v/>
      </c>
      <c r="P266">
        <f>IF(B288=0,0,O266/B288)</f>
        <v/>
      </c>
      <c r="Q266" t="n">
        <v>0</v>
      </c>
      <c r="R266" t="n">
        <v>0</v>
      </c>
      <c r="S266">
        <f>IFERROR(O266/N266,0)</f>
        <v/>
      </c>
      <c r="T266" t="n">
        <v>0</v>
      </c>
      <c r="V266" t="n">
        <v>0</v>
      </c>
    </row>
    <row r="267">
      <c r="A267">
        <f>Skills!A20</f>
        <v/>
      </c>
      <c r="B267">
        <f>Skills!B20</f>
        <v/>
      </c>
      <c r="C267">
        <f>Inputs!$B$3&gt;=10</f>
        <v/>
      </c>
      <c r="D267">
        <f>IF(Skills!C20=1,60+Inputs!$B$25+Inputs!$B$29,IF(Skills!C20=2,90+Inputs!$B$26+Inputs!$B$29,IF(Skills!C20=3,120+Inputs!$B$27+Inputs!$B$29,MAX(0,(Inputs!$B$3-100)*3)+Inputs!$B$28+Inputs!$B$29)))</f>
        <v/>
      </c>
      <c r="E267">
        <f>INDEX(FactorTable!$B$2:$Y$301, MATCH(ROUND(MIN(300,MAX(1,D267)),0), FactorTable!$A$2:$A$301,0), Skills!M20+1)</f>
        <v/>
      </c>
      <c r="F267">
        <f>IF(Skills!N20=TRUE,(Skills!L20/10)*(E267/1000),Skills!L20/10)+Skills!O20</f>
        <v/>
      </c>
      <c r="G267">
        <f>Skills!G20*IF(Skills!H20&gt;0,Skills!I20/Skills!H20,1)</f>
        <v/>
      </c>
      <c r="H267">
        <f>1-(1-Skills!J20/100)^Skills!K20</f>
        <v/>
      </c>
      <c r="I267" t="inlineStr">
        <is>
          <t>1</t>
        </is>
      </c>
      <c r="J267" t="inlineStr"/>
      <c r="K267" t="inlineStr"/>
      <c r="L267" t="inlineStr"/>
      <c r="M267" t="inlineStr"/>
      <c r="N267" t="inlineStr"/>
      <c r="O267">
        <f>(1-Summary!$B$11)*T267+Summary!$B$11*V267</f>
        <v/>
      </c>
      <c r="P267">
        <f>IF(B288=0,0,O267/B288)</f>
        <v/>
      </c>
      <c r="Q267" t="n">
        <v>0</v>
      </c>
      <c r="R267" t="n">
        <v>0</v>
      </c>
      <c r="S267">
        <f>IFERROR(O267/N267,0)</f>
        <v/>
      </c>
      <c r="T267" t="n">
        <v>0</v>
      </c>
      <c r="V267" t="n">
        <v>0</v>
      </c>
    </row>
    <row r="268">
      <c r="A268">
        <f>Skills!A21</f>
        <v/>
      </c>
      <c r="B268">
        <f>Skills!B21</f>
        <v/>
      </c>
      <c r="C268">
        <f>Inputs!$B$3&gt;=33</f>
        <v/>
      </c>
      <c r="D268">
        <f>IF(Skills!C21=1,60+Inputs!$B$25+Inputs!$B$29,IF(Skills!C21=2,90+Inputs!$B$26+Inputs!$B$29,IF(Skills!C21=3,120+Inputs!$B$27+Inputs!$B$29,MAX(0,(Inputs!$B$3-100)*3)+Inputs!$B$28+Inputs!$B$29)))</f>
        <v/>
      </c>
      <c r="E268">
        <f>INDEX(FactorTable!$B$2:$Y$301, MATCH(ROUND(MIN(300,MAX(1,D268)),0), FactorTable!$A$2:$A$301,0), Skills!M21+1)</f>
        <v/>
      </c>
      <c r="F268">
        <f>IF(Skills!N21=TRUE,(Skills!L21/10)*(E268/1000),Skills!L21/10)+Skills!O21</f>
        <v/>
      </c>
      <c r="G268">
        <f>Skills!G21*IF(Skills!H21&gt;0,Skills!I21/Skills!H21,1)</f>
        <v/>
      </c>
      <c r="H268">
        <f>1-(1-Skills!J21/100)^Skills!K21</f>
        <v/>
      </c>
      <c r="I268" t="inlineStr">
        <is>
          <t>1</t>
        </is>
      </c>
      <c r="J268" t="inlineStr"/>
      <c r="K268" t="inlineStr"/>
      <c r="L268" t="inlineStr"/>
      <c r="M268" t="inlineStr"/>
      <c r="N268" t="inlineStr"/>
      <c r="O268">
        <f>(1-Summary!$B$11)*T268+Summary!$B$11*V268</f>
        <v/>
      </c>
      <c r="P268">
        <f>IF(B288=0,0,O268/B288)</f>
        <v/>
      </c>
      <c r="Q268" t="n">
        <v>0</v>
      </c>
      <c r="R268" t="n">
        <v>0</v>
      </c>
      <c r="S268">
        <f>IFERROR(O268/N268,0)</f>
        <v/>
      </c>
      <c r="T268" t="n">
        <v>0</v>
      </c>
      <c r="V268" t="n">
        <v>0</v>
      </c>
    </row>
    <row r="269">
      <c r="A269">
        <f>Skills!A22</f>
        <v/>
      </c>
      <c r="B269">
        <f>Skills!B22</f>
        <v/>
      </c>
      <c r="C269">
        <f>Inputs!$B$3&gt;=43</f>
        <v/>
      </c>
      <c r="D269">
        <f>IF(Skills!C22=1,60+Inputs!$B$25+Inputs!$B$29,IF(Skills!C22=2,90+Inputs!$B$26+Inputs!$B$29,IF(Skills!C22=3,120+Inputs!$B$27+Inputs!$B$29,MAX(0,(Inputs!$B$3-100)*3)+Inputs!$B$28+Inputs!$B$29)))</f>
        <v/>
      </c>
      <c r="E269">
        <f>INDEX(FactorTable!$B$2:$Y$301, MATCH(ROUND(MIN(300,MAX(1,D269)),0), FactorTable!$A$2:$A$301,0), Skills!M22+1)</f>
        <v/>
      </c>
      <c r="F269">
        <f>IF(Skills!N22=TRUE,(Skills!L22/10)*(E269/1000),Skills!L22/10)+Skills!O22</f>
        <v/>
      </c>
      <c r="G269">
        <f>Skills!G22*IF(Skills!H22&gt;0,Skills!I22/Skills!H22,1)</f>
        <v/>
      </c>
      <c r="H269">
        <f>1-(1-Skills!J22/100)^Skills!K22</f>
        <v/>
      </c>
      <c r="I269" t="inlineStr">
        <is>
          <t>1</t>
        </is>
      </c>
      <c r="J269" t="inlineStr"/>
      <c r="K269" t="inlineStr"/>
      <c r="L269" t="inlineStr"/>
      <c r="M269" t="inlineStr"/>
      <c r="N269" t="inlineStr"/>
      <c r="O269">
        <f>(1-Summary!$B$11)*T269+Summary!$B$11*V269</f>
        <v/>
      </c>
      <c r="P269">
        <f>IF(B288=0,0,O269/B288)</f>
        <v/>
      </c>
      <c r="Q269" t="n">
        <v>0</v>
      </c>
      <c r="R269" t="n">
        <v>0</v>
      </c>
      <c r="S269">
        <f>IFERROR(O269/N269,0)</f>
        <v/>
      </c>
      <c r="T269" t="n">
        <v>0</v>
      </c>
      <c r="V269" t="n">
        <v>0</v>
      </c>
    </row>
    <row r="270">
      <c r="A270">
        <f>Skills!A23</f>
        <v/>
      </c>
      <c r="B270">
        <f>Skills!B23</f>
        <v/>
      </c>
      <c r="C270">
        <f>Inputs!$B$3&gt;=38</f>
        <v/>
      </c>
      <c r="D270">
        <f>IF(Skills!C23=1,60+Inputs!$B$25+Inputs!$B$29,IF(Skills!C23=2,90+Inputs!$B$26+Inputs!$B$29,IF(Skills!C23=3,120+Inputs!$B$27+Inputs!$B$29,MAX(0,(Inputs!$B$3-100)*3)+Inputs!$B$28+Inputs!$B$29)))</f>
        <v/>
      </c>
      <c r="E270">
        <f>INDEX(FactorTable!$B$2:$Y$301, MATCH(ROUND(MIN(300,MAX(1,D270)),0), FactorTable!$A$2:$A$301,0), Skills!M23+1)</f>
        <v/>
      </c>
      <c r="F270">
        <f>IF(Skills!N23=TRUE,(Skills!L23/10)*(E270/1000),Skills!L23/10)+Skills!O23</f>
        <v/>
      </c>
      <c r="G270">
        <f>Skills!G23*IF(Skills!H23&gt;0,Skills!I23/Skills!H23,1)</f>
        <v/>
      </c>
      <c r="H270">
        <f>1-(1-Skills!J23/100)^Skills!K23</f>
        <v/>
      </c>
      <c r="I270" t="inlineStr">
        <is>
          <t>1</t>
        </is>
      </c>
      <c r="J270" t="inlineStr"/>
      <c r="K270" t="inlineStr"/>
      <c r="L270" t="inlineStr"/>
      <c r="M270" t="inlineStr"/>
      <c r="N270" t="inlineStr"/>
      <c r="O270">
        <f>(1-Summary!$B$11)*T270+Summary!$B$11*V270</f>
        <v/>
      </c>
      <c r="P270">
        <f>IF(B288=0,0,O270/B288)</f>
        <v/>
      </c>
      <c r="Q270" t="n">
        <v>0</v>
      </c>
      <c r="R270" t="n">
        <v>0</v>
      </c>
      <c r="S270">
        <f>IFERROR(O270/N270,0)</f>
        <v/>
      </c>
      <c r="T270" t="n">
        <v>0</v>
      </c>
      <c r="V270" t="n">
        <v>0</v>
      </c>
    </row>
    <row r="271">
      <c r="A271">
        <f>Skills!A24</f>
        <v/>
      </c>
      <c r="B271">
        <f>Skills!B24</f>
        <v/>
      </c>
      <c r="C271">
        <f>Inputs!$B$3&gt;=40</f>
        <v/>
      </c>
      <c r="D271">
        <f>IF(Skills!C24=1,60+Inputs!$B$25+Inputs!$B$29,IF(Skills!C24=2,90+Inputs!$B$26+Inputs!$B$29,IF(Skills!C24=3,120+Inputs!$B$27+Inputs!$B$29,MAX(0,(Inputs!$B$3-100)*3)+Inputs!$B$28+Inputs!$B$29)))</f>
        <v/>
      </c>
      <c r="E271">
        <f>INDEX(FactorTable!$B$2:$Y$301, MATCH(ROUND(MIN(300,MAX(1,D271)),0), FactorTable!$A$2:$A$301,0), Skills!M24+1)</f>
        <v/>
      </c>
      <c r="F271">
        <f>IF(Skills!N24=TRUE,(Skills!L24/10)*(E271/1000),Skills!L24/10)+Skills!O24</f>
        <v/>
      </c>
      <c r="G271">
        <f>Skills!G24*IF(Skills!H24&gt;0,Skills!I24/Skills!H24,1)</f>
        <v/>
      </c>
      <c r="H271">
        <f>1-(1-Skills!J24/100)^Skills!K24</f>
        <v/>
      </c>
      <c r="I271" t="inlineStr">
        <is>
          <t>1</t>
        </is>
      </c>
      <c r="J271" t="inlineStr"/>
      <c r="K271" t="inlineStr"/>
      <c r="L271" t="inlineStr"/>
      <c r="M271" t="inlineStr"/>
      <c r="N271" t="inlineStr"/>
      <c r="O271">
        <f>(1-Summary!$B$11)*T271+Summary!$B$11*V271</f>
        <v/>
      </c>
      <c r="P271">
        <f>IF(B288=0,0,O271/B288)</f>
        <v/>
      </c>
      <c r="Q271" t="n">
        <v>0</v>
      </c>
      <c r="R271" t="n">
        <v>0</v>
      </c>
      <c r="S271">
        <f>IFERROR(O271/N271,0)</f>
        <v/>
      </c>
      <c r="T271" t="n">
        <v>0</v>
      </c>
      <c r="V271" t="n">
        <v>0</v>
      </c>
    </row>
    <row r="272">
      <c r="A272">
        <f>Skills!A25</f>
        <v/>
      </c>
      <c r="B272">
        <f>Skills!B25</f>
        <v/>
      </c>
      <c r="C272">
        <f>Inputs!$B$3&gt;=72</f>
        <v/>
      </c>
      <c r="D272">
        <f>IF(Skills!C25=1,60+Inputs!$B$25+Inputs!$B$29,IF(Skills!C25=2,90+Inputs!$B$26+Inputs!$B$29,IF(Skills!C25=3,120+Inputs!$B$27+Inputs!$B$29,MAX(0,(Inputs!$B$3-100)*3)+Inputs!$B$28+Inputs!$B$29)))</f>
        <v/>
      </c>
      <c r="E272">
        <f>INDEX(FactorTable!$B$2:$Y$301, MATCH(ROUND(MIN(300,MAX(1,D272)),0), FactorTable!$A$2:$A$301,0), Skills!M25+1)</f>
        <v/>
      </c>
      <c r="F272">
        <f>IF(Skills!N25=TRUE,(Skills!L25/10)*(E272/1000),Skills!L25/10)+Skills!O25</f>
        <v/>
      </c>
      <c r="G272">
        <f>Skills!G25*IF(Skills!H25&gt;0,Skills!I25/Skills!H25,1)</f>
        <v/>
      </c>
      <c r="H272">
        <f>1-(1-Skills!J25/100)^Skills!K25</f>
        <v/>
      </c>
      <c r="I272" t="inlineStr">
        <is>
          <t>1</t>
        </is>
      </c>
      <c r="J272" t="inlineStr"/>
      <c r="K272" t="inlineStr"/>
      <c r="L272" t="inlineStr"/>
      <c r="M272" t="inlineStr"/>
      <c r="N272" t="inlineStr"/>
      <c r="O272">
        <f>(1-Summary!$B$11)*T272+Summary!$B$11*V272</f>
        <v/>
      </c>
      <c r="P272">
        <f>IF(B288=0,0,O272/B288)</f>
        <v/>
      </c>
      <c r="Q272" t="n">
        <v>0</v>
      </c>
      <c r="R272" t="n">
        <v>0</v>
      </c>
      <c r="S272">
        <f>IFERROR(O272/N272,0)</f>
        <v/>
      </c>
      <c r="T272" t="n">
        <v>0</v>
      </c>
      <c r="V272" t="n">
        <v>0</v>
      </c>
    </row>
    <row r="273">
      <c r="A273">
        <f>Skills!A26</f>
        <v/>
      </c>
      <c r="B273">
        <f>Skills!B26</f>
        <v/>
      </c>
      <c r="C273">
        <f>Inputs!$B$3&gt;=75</f>
        <v/>
      </c>
      <c r="D273">
        <f>IF(Skills!C26=1,60+Inputs!$B$25+Inputs!$B$29,IF(Skills!C26=2,90+Inputs!$B$26+Inputs!$B$29,IF(Skills!C26=3,120+Inputs!$B$27+Inputs!$B$29,MAX(0,(Inputs!$B$3-100)*3)+Inputs!$B$28+Inputs!$B$29)))</f>
        <v/>
      </c>
      <c r="E273">
        <f>INDEX(FactorTable!$B$2:$Y$301, MATCH(ROUND(MIN(300,MAX(1,D273)),0), FactorTable!$A$2:$A$301,0), Skills!M26+1)</f>
        <v/>
      </c>
      <c r="F273">
        <f>IF(Skills!N26=TRUE,(Skills!L26/10)*(E273/1000),Skills!L26/10)+Skills!O26</f>
        <v/>
      </c>
      <c r="G273">
        <f>Skills!G26*IF(Skills!H26&gt;0,Skills!I26/Skills!H26,1)</f>
        <v/>
      </c>
      <c r="H273">
        <f>1-(1-Skills!J26/100)^Skills!K26</f>
        <v/>
      </c>
      <c r="I273" t="inlineStr">
        <is>
          <t>1</t>
        </is>
      </c>
      <c r="J273" t="inlineStr"/>
      <c r="K273" t="inlineStr"/>
      <c r="L273" t="inlineStr"/>
      <c r="M273" t="inlineStr"/>
      <c r="N273" t="inlineStr"/>
      <c r="O273">
        <f>(1-Summary!$B$11)*T273+Summary!$B$11*V273</f>
        <v/>
      </c>
      <c r="P273">
        <f>IF(B288=0,0,O273/B288)</f>
        <v/>
      </c>
      <c r="Q273" t="n">
        <v>0</v>
      </c>
      <c r="R273" t="n">
        <v>0</v>
      </c>
      <c r="S273">
        <f>IFERROR(O273/N273,0)</f>
        <v/>
      </c>
      <c r="T273" t="n">
        <v>0</v>
      </c>
      <c r="V273" t="n">
        <v>0</v>
      </c>
    </row>
    <row r="274">
      <c r="A274">
        <f>Skills!A27</f>
        <v/>
      </c>
      <c r="B274">
        <f>Skills!B27</f>
        <v/>
      </c>
      <c r="C274">
        <f>Inputs!$B$3&gt;=117</f>
        <v/>
      </c>
      <c r="D274">
        <f>IF(Skills!C27=1,60+Inputs!$B$25+Inputs!$B$29,IF(Skills!C27=2,90+Inputs!$B$26+Inputs!$B$29,IF(Skills!C27=3,120+Inputs!$B$27+Inputs!$B$29,MAX(0,(Inputs!$B$3-100)*3)+Inputs!$B$28+Inputs!$B$29)))</f>
        <v/>
      </c>
      <c r="E274">
        <f>INDEX(FactorTable!$B$2:$Y$301, MATCH(ROUND(MIN(300,MAX(1,D274)),0), FactorTable!$A$2:$A$301,0), Skills!M27+1)</f>
        <v/>
      </c>
      <c r="F274">
        <f>IF(Skills!N27=TRUE,(Skills!L27/10)*(E274/1000),Skills!L27/10)+Skills!O27</f>
        <v/>
      </c>
      <c r="G274">
        <f>Skills!G27*IF(Skills!H27&gt;0,Skills!I27/Skills!H27,1)</f>
        <v/>
      </c>
      <c r="H274">
        <f>1-(1-Skills!J27/100)^Skills!K27</f>
        <v/>
      </c>
      <c r="I274" t="inlineStr">
        <is>
          <t>1</t>
        </is>
      </c>
      <c r="J274" t="inlineStr"/>
      <c r="K274" t="inlineStr"/>
      <c r="L274" t="inlineStr"/>
      <c r="M274" t="inlineStr"/>
      <c r="N274" t="inlineStr"/>
      <c r="O274">
        <f>(1-Summary!$B$11)*T274+Summary!$B$11*V274</f>
        <v/>
      </c>
      <c r="P274">
        <f>IF(B288=0,0,O274/B288)</f>
        <v/>
      </c>
      <c r="Q274" t="n">
        <v>0</v>
      </c>
      <c r="R274" t="n">
        <v>0</v>
      </c>
      <c r="S274">
        <f>IFERROR(O274/N274,0)</f>
        <v/>
      </c>
      <c r="T274" t="n">
        <v>0</v>
      </c>
      <c r="V274" t="n">
        <v>0</v>
      </c>
    </row>
    <row r="275">
      <c r="A275">
        <f>Skills!A28</f>
        <v/>
      </c>
      <c r="B275">
        <f>Skills!B28</f>
        <v/>
      </c>
      <c r="C275">
        <f>TRUE</f>
        <v/>
      </c>
      <c r="D275">
        <f>IF(Skills!C28=1,60+Inputs!$B$25+Inputs!$B$29,IF(Skills!C28=2,90+Inputs!$B$26+Inputs!$B$29,IF(Skills!C28=3,120+Inputs!$B$27+Inputs!$B$29,MAX(0,(Inputs!$B$3-100)*3)+Inputs!$B$28+Inputs!$B$29)))</f>
        <v/>
      </c>
      <c r="E275">
        <f>INDEX(FactorTable!$B$2:$Y$301, MATCH(ROUND(MIN(300,MAX(1,D275)),0), FactorTable!$A$2:$A$301,0), Skills!M28+1)</f>
        <v/>
      </c>
      <c r="F275">
        <f>IF(Skills!N28=TRUE,(Skills!L28/10)*(E275/1000),Skills!L28/10)+Skills!O28</f>
        <v/>
      </c>
      <c r="G275">
        <f>Skills!G28*IF(Skills!H28&gt;0,Skills!I28/Skills!H28,1)</f>
        <v/>
      </c>
      <c r="H275">
        <f>1-(1-Skills!J28/100)^Skills!K28</f>
        <v/>
      </c>
      <c r="I275" t="inlineStr">
        <is>
          <t>1</t>
        </is>
      </c>
      <c r="J275" t="inlineStr"/>
      <c r="K275" t="inlineStr"/>
      <c r="L275" t="inlineStr"/>
      <c r="M275" t="inlineStr"/>
      <c r="N275" t="inlineStr"/>
      <c r="O275">
        <f>(1-Summary!$B$11)*T275+Summary!$B$11*V275</f>
        <v/>
      </c>
      <c r="P275">
        <f>IF(B288=0,0,O275/B288)</f>
        <v/>
      </c>
      <c r="Q275">
        <f>IFERROR(1/(IF(Inputs!$B$38="pvp",15,MAX(0.1,Skills!D28-IF(Skills!E28=TRUE,Inputs!$B$32,0)))*(1-IF(AND(ArtifactsInput!$M$27,Inputs!$B$4="Chapter Hunt"),CHOOSE(ArtifactsInput!$N$27+1,20,24,28,32,36,40),0)/100)),0)</f>
        <v/>
      </c>
      <c r="R275">
        <f>IF(AND(Inputs!$B$38&lt;&gt;"pvp",Inputs!$B$43&gt;0),IF(Inputs!$B$43&lt;=0,0,(INT(Inputs!$B$43/(IF(Inputs!$B$38="pvp",15,MAX(0.1,Skills!D28-IF(Skills!E28=TRUE,Inputs!$B$32,0)))*(1-IF(AND(ArtifactsInput!$M$27,Inputs!$B$4="Chapter Hunt"),CHOOSE(ArtifactsInput!$N$27+1,20,24,28,32,36,40),0)/100)))+1)),0)</f>
        <v/>
      </c>
      <c r="S275">
        <f>IFERROR(O275/N275,0)</f>
        <v/>
      </c>
      <c r="T275" t="n">
        <v>0</v>
      </c>
      <c r="V275" t="n">
        <v>0</v>
      </c>
    </row>
    <row r="277">
      <c r="A277" t="inlineStr">
        <is>
          <t>Attack% Bucket Multiplier</t>
        </is>
      </c>
      <c r="B277">
        <f>(1+(((C264=TRUE)*F264*5/7)+((C271=TRUE)*(F271-Calc!F24))+(IF(ArtifactsInput!$M$21,CHOOSE(ArtifactsInput!$N$21+1,25,30,35,40,45,50)*(IF(OR(Inputs!$B$4="Chapter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8">
      <c r="A278" t="inlineStr">
        <is>
          <t>Global Crit Rate Bonus %</t>
        </is>
      </c>
      <c r="B278" t="n">
        <v>0</v>
      </c>
    </row>
    <row r="279">
      <c r="A279" t="inlineStr">
        <is>
          <t>Attack Speed Buff Bonus % (Nimble Feet, duty-cycle averaged)</t>
        </is>
      </c>
      <c r="B279">
        <f>((C275=TRUE)*F275*IF(AND(Inputs!$B$38&lt;&gt;"pvp",Inputs!$B$43&gt;0),(((R275-1)*(Skills!T28*(1+Inputs!$B$34/100))+MIN((Skills!T28*(1+Inputs!$B$34/100)),MAX(0,Inputs!$B$43-((R275-1)*Skills!D28))))/Inputs!$B$43),IF(Inputs!$B$38="pvp",MIN((Skills!T28*(1+Inputs!$B$34/100)),15)/15,(Skills!T28*(1+Inputs!$B$34/100))/Skills!D28)))</f>
        <v/>
      </c>
    </row>
    <row r="280">
      <c r="A280" t="inlineStr">
        <is>
          <t>Actions Per Second</t>
        </is>
      </c>
      <c r="B280">
        <f>1+MIN(150,150*(1-(1-(Inputs!$B$11+((C267=TRUE)*(F267-Calc!F20))+((C268=TRUE)*(F268-Calc!F21)))/150)*(1-B279/150)))/100</f>
        <v/>
      </c>
    </row>
    <row r="281">
      <c r="A281" t="inlineStr">
        <is>
          <t>Skill + Buff Cast Rate</t>
        </is>
      </c>
      <c r="B281">
        <f>IF(AND(Inputs!$B$38&lt;&gt;"pvp",Inputs!$B$43&gt;0),SUMPRODUCT((Skills!E2:E28=TRUE)*(C249:C275=TRUE)*R249:R275*Skills!F2:F28)/Inputs!$B$43,SUMPRODUCT((Skills!E2:E28=TRUE)*(C249:C275=TRUE)*Q249:Q275*Skills!F2:F28))</f>
        <v/>
      </c>
    </row>
    <row r="282">
      <c r="A282" t="inlineStr">
        <is>
          <t>Eight-Legs Easton Casts Per Second</t>
        </is>
      </c>
      <c r="B282">
        <f>MAX(0,B280-B281)</f>
        <v/>
      </c>
    </row>
    <row r="283">
      <c r="A283" t="inlineStr">
        <is>
          <t>Global Critical Damage Bonus % (unused)</t>
        </is>
      </c>
      <c r="B283" t="n">
        <v>0</v>
      </c>
    </row>
    <row r="284">
      <c r="A284" t="inlineStr">
        <is>
          <t>Global Final Damage Bonus % (Jolly Roger + Ahoy Mateys - Final Damage proc)</t>
        </is>
      </c>
      <c r="B284">
        <f>((C265=TRUE)*F265*IF(AND(Inputs!$B$38&lt;&gt;"pvp",Inputs!$B$43&gt;0),(((R265-1)*(Skills!T18*(1+Inputs!$B$34/100))+MIN((Skills!T18*(1+Inputs!$B$34/100)),MAX(0,Inputs!$B$43-((R265-1)*Skills!D18))))/Inputs!$B$43),IF(Inputs!$B$38="pvp",MIN((Skills!T18*(1+Inputs!$B$34/100)),15)/15,(Skills!T18*(1+Inputs!$B$34/100))/Skills!D18)))+IF(Inputs!$B$3&gt;=122,20*IF(Inputs!$B$38="pvp",MIN((20*(1+Inputs!$B$34/100)),15)/15,(20*(1+Inputs!$B$34/100))/Skills!D4),0)</f>
        <v/>
      </c>
    </row>
    <row r="285">
      <c r="A285" t="inlineStr">
        <is>
          <t>Buff-Casting Startup Delay (s, fixed-duration only)</t>
        </is>
      </c>
      <c r="B285">
        <f>IF(AND(Inputs!$B$38&lt;&gt;"pvp",Inputs!$B$43&gt;0),SUMPRODUCT((Skills!T2:T28&gt;0)*(Skills!E2:E28=TRUE)*(C249:C275=TRUE))/B280,0)</f>
        <v/>
      </c>
    </row>
    <row r="286">
      <c r="A286" t="inlineStr">
        <is>
          <t>Boss-Only Total DPS (this block's swept value)</t>
        </is>
      </c>
      <c r="B286">
        <f>SUM(T249:T275)</f>
        <v/>
      </c>
    </row>
    <row r="287">
      <c r="A287" t="inlineStr">
        <is>
          <t>Normal-Only Total DPS (this block's swept value)</t>
        </is>
      </c>
      <c r="B287">
        <f>SUM(V249:V275)</f>
        <v/>
      </c>
    </row>
    <row r="288">
      <c r="A288" s="6" t="inlineStr">
        <is>
          <t>TOTAL DPS</t>
        </is>
      </c>
      <c r="B288" s="6">
        <f>SUM(O249:O275)</f>
        <v/>
      </c>
    </row>
    <row r="291">
      <c r="A291" s="6" t="inlineStr">
        <is>
          <t>Stat: BOSS_DAMAGE %</t>
        </is>
      </c>
    </row>
    <row r="292">
      <c r="A292" s="5" t="inlineStr">
        <is>
          <t>Key</t>
        </is>
      </c>
      <c r="B292" s="5" t="inlineStr">
        <is>
          <t>Name</t>
        </is>
      </c>
      <c r="C292" s="5" t="inlineStr">
        <is>
          <t>Unlocked</t>
        </is>
      </c>
      <c r="D292" s="5" t="inlineStr">
        <is>
          <t>InputLevel</t>
        </is>
      </c>
      <c r="E292" s="5" t="inlineStr">
        <is>
          <t>Factor</t>
        </is>
      </c>
      <c r="F292" s="5" t="inlineStr">
        <is>
          <t>CoefficientPercent</t>
        </is>
      </c>
      <c r="G292" s="5" t="inlineStr">
        <is>
          <t>EffectiveHits</t>
        </is>
      </c>
      <c r="H292" s="5" t="inlineStr">
        <is>
          <t>ProcProbability</t>
        </is>
      </c>
      <c r="I292" s="5" t="inlineStr">
        <is>
          <t>MapleHeroMultiplier</t>
        </is>
      </c>
      <c r="J292" s="5" t="inlineStr">
        <is>
          <t>BaseDamage</t>
        </is>
      </c>
      <c r="K292" s="5" t="inlineStr">
        <is>
          <t>BaseHitDamage</t>
        </is>
      </c>
      <c r="L292" s="5" t="inlineStr">
        <is>
          <t>NonCritAvg</t>
        </is>
      </c>
      <c r="M292" s="5" t="inlineStr">
        <is>
          <t>CritAvg</t>
        </is>
      </c>
      <c r="N292" s="5" t="inlineStr">
        <is>
          <t>ExpectedDamage(perHit)</t>
        </is>
      </c>
      <c r="O292" s="5" t="inlineStr">
        <is>
          <t>DPS</t>
        </is>
      </c>
      <c r="P292" s="5" t="inlineStr">
        <is>
          <t>% of Total</t>
        </is>
      </c>
      <c r="Q292" s="5" t="inlineStr">
        <is>
          <t>InvCooldown</t>
        </is>
      </c>
      <c r="R292" s="5" t="inlineStr">
        <is>
          <t>CastsInFight</t>
        </is>
      </c>
      <c r="S292" s="5" t="inlineStr">
        <is>
          <t>HitRate(perSec)</t>
        </is>
      </c>
      <c r="U292" t="inlineStr">
        <is>
          <t>helpers</t>
        </is>
      </c>
    </row>
    <row r="293">
      <c r="A293">
        <f>Skills!A2</f>
        <v/>
      </c>
      <c r="B293">
        <f>Skills!B2</f>
        <v/>
      </c>
      <c r="C293">
        <f>Inputs!$B$3&gt;=100</f>
        <v/>
      </c>
      <c r="D293" t="inlineStr"/>
      <c r="E293" t="inlineStr"/>
      <c r="F293">
        <f>U295+Skills!O2</f>
        <v/>
      </c>
      <c r="G293">
        <f>Skills!G2*IF(Skills!H2&gt;0,Skills!I2/Skills!H2,1)</f>
        <v/>
      </c>
      <c r="H293">
        <f>1-(1-Skills!J2/100)^Skills!K2</f>
        <v/>
      </c>
      <c r="I293" t="inlineStr">
        <is>
          <t>1</t>
        </is>
      </c>
      <c r="J293">
        <f>((Inputs!$B$6*(1+Inputs!$B$7/100))+(((Inputs!$B$12*(1+Inputs!$B$13/100))-(Inputs!$B$12*(1+Inputs!$B$13/100)))+0.25*(Inputs!$B$14-Inputs!$B$14))*(1+Inputs!$B$7/100))*(F293/100)</f>
        <v/>
      </c>
      <c r="K293">
        <f>J293*(1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f>
        <v/>
      </c>
      <c r="L293">
        <f>K293*(MIN(Inputs!$B$22+((C313=TRUE)*(F313-Calc!F22)),(Inputs!$B$23+0+(IF(ArtifactsInput!$M$15,CHOOSE(ArtifactsInput!$N$15+1,25,30,35,40,45,50)/100*(Inputs!$B$11-Inputs!$B$11),0))))/100+(Inputs!$B$23+0+(IF(ArtifactsInput!$M$15,CHOOSE(ArtifactsInput!$N$15+1,25,30,35,40,45,50)/100*(Inputs!$B$11-Inputs!$B$11),0)))/100)/2</f>
        <v/>
      </c>
      <c r="M293">
        <f>L293*(1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
        <f>L293*(1-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
        <f>(1-Summary!$B$11)*T293+Summary!$B$11*V293</f>
        <v/>
      </c>
      <c r="P293">
        <f>IF(B332=0,0,O293/B332)</f>
        <v/>
      </c>
      <c r="Q293" t="n">
        <v>0</v>
      </c>
      <c r="R293" t="n">
        <v>0</v>
      </c>
      <c r="S293">
        <f>IFERROR(O293/N293,0)</f>
        <v/>
      </c>
      <c r="T293">
        <f>IF(C293,(Skills!G2*N293*B326)*IF(Inputs!$B$38="pvp",1,1+((Inputs!$B$20+1)+0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3">
        <f>MAX(0,(Inputs!$B$3-100)*3)+Inputs!$B$28+Inputs!$B$29</f>
        <v/>
      </c>
      <c r="V293">
        <f>IF(C293,(Skills!G2*N293*B326)*IF(Inputs!$B$38="pvp",1,(1+(Inputs!$B$21+Skills!Q2+(IF(ArtifactsInput!$M$33,CHOOSE(ArtifactsInput!$N$33+1,30,36,42,48,54,60),0))+(IF(AND(ArtifactsInput!$M$35,Inputs!$B$4&lt;&gt;"Chapter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
      <c r="A294">
        <f>Skills!A3</f>
        <v/>
      </c>
      <c r="B294">
        <f>Skills!B3</f>
        <v/>
      </c>
      <c r="C294">
        <f>Inputs!$B$3&gt;=35</f>
        <v/>
      </c>
      <c r="D294">
        <f>IF(Skills!C3=1,60+Inputs!$B$25+Inputs!$B$29,IF(Skills!C3=2,90+Inputs!$B$26+Inputs!$B$29,IF(Skills!C3=3,120+Inputs!$B$27+Inputs!$B$29,MAX(0,(Inputs!$B$3-100)*3)+Inputs!$B$28+Inputs!$B$29)))</f>
        <v/>
      </c>
      <c r="E294">
        <f>INDEX(FactorTable!$B$2:$Y$301, MATCH(ROUND(MIN(300,MAX(1,D294)),0), FactorTable!$A$2:$A$301,0), Skills!M3+1)</f>
        <v/>
      </c>
      <c r="F294">
        <f>IF(Skills!N3=TRUE,(Skills!L3/10)*(E294/1000),Skills!L3/10)+Skills!O3</f>
        <v/>
      </c>
      <c r="G294">
        <f>Skills!G3*IF(Skills!H3&gt;0,Skills!I3/Skills!H3,1)</f>
        <v/>
      </c>
      <c r="H294">
        <f>1-(1-Skills!J3/100)^Skills!K3</f>
        <v/>
      </c>
      <c r="I294" t="inlineStr">
        <is>
          <t>1</t>
        </is>
      </c>
      <c r="J294">
        <f>((Inputs!$B$6*(1+Inputs!$B$7/100))+(((Inputs!$B$12*(1+Inputs!$B$13/100))-(Inputs!$B$12*(1+Inputs!$B$13/100)))+0.25*(Inputs!$B$14-Inputs!$B$14))*(1+Inputs!$B$7/100))*(F294/100)</f>
        <v/>
      </c>
      <c r="K294">
        <f>J294*(1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306=TRUE,F306,0)/100)*(1+(IF(Skills!A3="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f>
        <v/>
      </c>
      <c r="L294">
        <f>K294*(MIN(Inputs!$B$22+((C313=TRUE)*(F313-Calc!F22)),(Inputs!$B$23+0+(IF(ArtifactsInput!$M$15,CHOOSE(ArtifactsInput!$N$15+1,25,30,35,40,45,50)/100*(Inputs!$B$11-Inputs!$B$11),0))))/100+(Inputs!$B$23+0+(IF(ArtifactsInput!$M$15,CHOOSE(ArtifactsInput!$N$15+1,25,30,35,40,45,50)/100*(Inputs!$B$11-Inputs!$B$11),0)))/100)/2</f>
        <v/>
      </c>
      <c r="M294">
        <f>L294*(1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
        <f>L294*(1-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
        <f>(1-Summary!$B$11)*T294+Summary!$B$11*V294</f>
        <v/>
      </c>
      <c r="P294">
        <f>IF(B332=0,0,O294/B332)</f>
        <v/>
      </c>
      <c r="Q294">
        <f>IFERROR(1/(IF(Inputs!$B$38="pvp",15,MAX(0.1,Skills!D3-IF(Skills!E3=TRUE,Inputs!$B$32,0)))*(1-IF(AND(ArtifactsInput!$M$27,Inputs!$B$4="Chapter Hunt"),CHOOSE(ArtifactsInput!$N$27+1,20,24,28,32,36,40),0)/100)),0)</f>
        <v/>
      </c>
      <c r="R294">
        <f>IF(AND(Inputs!$B$38&lt;&gt;"pvp",Inputs!$B$43&gt;0),IF(MAX(0,Inputs!$B$43-B329)&lt;=0,0,(INT(MAX(0,Inputs!$B$43-B329)/(IF(Inputs!$B$38="pvp",15,MAX(0.1,Skills!D3-IF(Skills!E3=TRUE,Inputs!$B$32,0)))*(1-IF(AND(ArtifactsInput!$M$27,Inputs!$B$4="Chapter Hunt"),CHOOSE(ArtifactsInput!$N$27+1,20,24,28,32,36,40),0)/100)))+1)),0)</f>
        <v/>
      </c>
      <c r="S294">
        <f>IFERROR(O294/N294,0)</f>
        <v/>
      </c>
      <c r="T294">
        <f>IF(C294,(H294*N294*IF(AND(Inputs!$B$38&lt;&gt;"pvp",Inputs!$B$43&gt;0),((Skills!G3*((R294-1)*IF(Skills!H3&gt;0,Skills!I3/Skills!H3,1)+IF(Skills!H3&gt;0,MIN(Skills!I3,MAX(0,MAX(0,Inputs!$B$43-B329)-((R294-1)*(IF(Inputs!$B$38="pvp",15,MAX(0.1,Skills!D3-IF(Skills!E3=TRUE,Inputs!$B$32,0)))*(1-IF(AND(ArtifactsInput!$M$27,Inputs!$B$4="Chapter Hunt"),CHOOSE(ArtifactsInput!$N$27+1,20,24,28,32,36,40),0)/100)))))/Skills!H3,1)))/Inputs!$B$43),G294*Q294))*IF(Inputs!$B$38="pvp",1,1+((Inputs!$B$20+1)+0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
        <f>INDEX(FactorTable!$B$2:$Y$301, MATCH(ROUND(MIN(300,MAX(1,U293)),0), FactorTable!$A$2:$A$301,0), 22)</f>
        <v/>
      </c>
      <c r="V294">
        <f>IF(C294,(H294*N294*IF(AND(Inputs!$B$38&lt;&gt;"pvp",Inputs!$B$43&gt;0),((Skills!G3*((R294-1)*IF(Skills!H3&gt;0,Skills!I3/Skills!H3,1)+IF(Skills!H3&gt;0,MIN(Skills!I3,MAX(0,MAX(0,Inputs!$B$43-B329)-((R294-1)*(IF(Inputs!$B$38="pvp",15,MAX(0.1,Skills!D3-IF(Skills!E3=TRUE,Inputs!$B$32,0)))*(1-IF(AND(ArtifactsInput!$M$27,Inputs!$B$4="Chapter Hunt"),CHOOSE(ArtifactsInput!$N$27+1,20,24,28,32,36,40),0)/100)))))/Skills!H3,1)))/Inputs!$B$43),G294*Q294))*IF(Inputs!$B$38="pvp",1,(1+(Inputs!$B$21+Skills!Q3+(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
      <c r="A295">
        <f>Skills!A4</f>
        <v/>
      </c>
      <c r="B295">
        <f>Skills!B4</f>
        <v/>
      </c>
      <c r="C295">
        <f>Inputs!$B$3&gt;=40</f>
        <v/>
      </c>
      <c r="D295">
        <f>IF(Skills!C4=1,60+Inputs!$B$25+Inputs!$B$29,IF(Skills!C4=2,90+Inputs!$B$26+Inputs!$B$29,IF(Skills!C4=3,120+Inputs!$B$27+Inputs!$B$29,MAX(0,(Inputs!$B$3-100)*3)+Inputs!$B$28+Inputs!$B$29)))</f>
        <v/>
      </c>
      <c r="E295">
        <f>INDEX(FactorTable!$B$2:$Y$301, MATCH(ROUND(MIN(300,MAX(1,D295)),0), FactorTable!$A$2:$A$301,0), Skills!M4+1)</f>
        <v/>
      </c>
      <c r="F295">
        <f>IF(Skills!N4=TRUE,(Skills!L4/10)*(E295/1000),Skills!L4/10)+Skills!O4</f>
        <v/>
      </c>
      <c r="G295">
        <f>Skills!G4*IF(Skills!H4&gt;0,Skills!I4/Skills!H4,1)</f>
        <v/>
      </c>
      <c r="H295">
        <f>1-(1-Skills!J4/100)^Skills!K4</f>
        <v/>
      </c>
      <c r="I295" t="inlineStr">
        <is>
          <t>1</t>
        </is>
      </c>
      <c r="J295">
        <f>((Inputs!$B$6*(1+Inputs!$B$7/100))+(((Inputs!$B$12*(1+Inputs!$B$13/100))-(Inputs!$B$12*(1+Inputs!$B$13/100)))+0.25*(Inputs!$B$14-Inputs!$B$14))*(1+Inputs!$B$7/100))*(F295/100)</f>
        <v/>
      </c>
      <c r="K295">
        <f>J295*(1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307=TRUE,F307,0)/100)*(1+(IF(Skills!A4="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f>
        <v/>
      </c>
      <c r="L295">
        <f>K295*(MIN(Inputs!$B$22+((C313=TRUE)*(F313-Calc!F22)),(Inputs!$B$23+0+(IF(ArtifactsInput!$M$15,CHOOSE(ArtifactsInput!$N$15+1,25,30,35,40,45,50)/100*(Inputs!$B$11-Inputs!$B$11),0))))/100+(Inputs!$B$23+0+(IF(ArtifactsInput!$M$15,CHOOSE(ArtifactsInput!$N$15+1,25,30,35,40,45,50)/100*(Inputs!$B$11-Inputs!$B$11),0)))/100)/2</f>
        <v/>
      </c>
      <c r="M295">
        <f>L295*(1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
        <f>L295*(1-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
        <f>(1-Summary!$B$11)*T295+Summary!$B$11*V295</f>
        <v/>
      </c>
      <c r="P295">
        <f>IF(B332=0,0,O295/B332)</f>
        <v/>
      </c>
      <c r="Q295">
        <f>IFERROR(1/(IF(Inputs!$B$38="pvp",15,MAX(0.1,Skills!D4-IF(Skills!E4=TRUE,Inputs!$B$32,0)))*(1-IF(AND(ArtifactsInput!$M$27,Inputs!$B$4="Chapter Hunt"),CHOOSE(ArtifactsInput!$N$27+1,20,24,28,32,36,40),0)/100)),0)</f>
        <v/>
      </c>
      <c r="R295">
        <f>IF(AND(Inputs!$B$38&lt;&gt;"pvp",Inputs!$B$43&gt;0),IF(MAX(0,Inputs!$B$43-B329)&lt;=0,0,(INT(MAX(0,Inputs!$B$43-B329)/(IF(Inputs!$B$38="pvp",15,MAX(0.1,Skills!D4-IF(Skills!E4=TRUE,Inputs!$B$32,0)))*(1-IF(AND(ArtifactsInput!$M$27,Inputs!$B$4="Chapter Hunt"),CHOOSE(ArtifactsInput!$N$27+1,20,24,28,32,36,40),0)/100)))+1)),0)</f>
        <v/>
      </c>
      <c r="S295">
        <f>IFERROR(O295/N295,0)</f>
        <v/>
      </c>
      <c r="T295">
        <f>IF(C295,(H295*N295*IF(AND(Inputs!$B$38&lt;&gt;"pvp",Inputs!$B$43&gt;0),((Skills!G4*((R295-1)*IF(Skills!H4&gt;0,Skills!I4/Skills!H4,1)+IF(Skills!H4&gt;0,MIN(Skills!I4,MAX(0,MAX(0,Inputs!$B$43-B329)-((R295-1)*(IF(Inputs!$B$38="pvp",15,MAX(0.1,Skills!D4-IF(Skills!E4=TRUE,Inputs!$B$32,0)))*(1-IF(AND(ArtifactsInput!$M$27,Inputs!$B$4="Chapter Hunt"),CHOOSE(ArtifactsInput!$N$27+1,20,24,28,32,36,40),0)/100)))))/Skills!H4,1)))/Inputs!$B$43),G295*Q295))*IF(Inputs!$B$38="pvp",1,1+((Inputs!$B$20+1)+0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
        <f>290*U294/1000</f>
        <v/>
      </c>
      <c r="V295">
        <f>IF(C295,(H295*N295*IF(AND(Inputs!$B$38&lt;&gt;"pvp",Inputs!$B$43&gt;0),((Skills!G4*((R295-1)*IF(Skills!H4&gt;0,Skills!I4/Skills!H4,1)+IF(Skills!H4&gt;0,MIN(Skills!I4,MAX(0,MAX(0,Inputs!$B$43-B329)-((R295-1)*(IF(Inputs!$B$38="pvp",15,MAX(0.1,Skills!D4-IF(Skills!E4=TRUE,Inputs!$B$32,0)))*(1-IF(AND(ArtifactsInput!$M$27,Inputs!$B$4="Chapter Hunt"),CHOOSE(ArtifactsInput!$N$27+1,20,24,28,32,36,40),0)/100)))))/Skills!H4,1)))/Inputs!$B$43),G295*Q295))*IF(Inputs!$B$38="pvp",1,(1+(Inputs!$B$21+Skills!Q4+(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
      <c r="A296">
        <f>Skills!A5</f>
        <v/>
      </c>
      <c r="B296">
        <f>Skills!B5</f>
        <v/>
      </c>
      <c r="C296">
        <f>Inputs!$B$3&gt;=45</f>
        <v/>
      </c>
      <c r="D296">
        <f>IF(Skills!C5=1,60+Inputs!$B$25+Inputs!$B$29,IF(Skills!C5=2,90+Inputs!$B$26+Inputs!$B$29,IF(Skills!C5=3,120+Inputs!$B$27+Inputs!$B$29,MAX(0,(Inputs!$B$3-100)*3)+Inputs!$B$28+Inputs!$B$29)))</f>
        <v/>
      </c>
      <c r="E296">
        <f>INDEX(FactorTable!$B$2:$Y$301, MATCH(ROUND(MIN(300,MAX(1,D296)),0), FactorTable!$A$2:$A$301,0), Skills!M5+1)</f>
        <v/>
      </c>
      <c r="F296">
        <f>IF(Skills!N5=TRUE,(Skills!L5/10)*(E296/1000),Skills!L5/10)+Skills!O5</f>
        <v/>
      </c>
      <c r="G296">
        <f>Skills!G5*IF(Skills!H5&gt;0,Skills!I5/Skills!H5,1)</f>
        <v/>
      </c>
      <c r="H296">
        <f>1-(1-Skills!J5/100)^Skills!K5</f>
        <v/>
      </c>
      <c r="I296" t="inlineStr">
        <is>
          <t>1</t>
        </is>
      </c>
      <c r="J296">
        <f>((Inputs!$B$6*(1+Inputs!$B$7/100))+(((Inputs!$B$12*(1+Inputs!$B$13/100))-(Inputs!$B$12*(1+Inputs!$B$13/100)))+0.25*(Inputs!$B$14-Inputs!$B$14))*(1+Inputs!$B$7/100))*(F296/100)</f>
        <v/>
      </c>
      <c r="K296">
        <f>J296*(1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307=TRUE,F307,0)/100)*(1+(IF(Skills!A5="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f>
        <v/>
      </c>
      <c r="L296">
        <f>K296*(MIN(Inputs!$B$22+((C313=TRUE)*(F313-Calc!F22)),(Inputs!$B$23+0+(IF(ArtifactsInput!$M$15,CHOOSE(ArtifactsInput!$N$15+1,25,30,35,40,45,50)/100*(Inputs!$B$11-Inputs!$B$11),0))))/100+(Inputs!$B$23+0+(IF(ArtifactsInput!$M$15,CHOOSE(ArtifactsInput!$N$15+1,25,30,35,40,45,50)/100*(Inputs!$B$11-Inputs!$B$11),0)))/100)/2</f>
        <v/>
      </c>
      <c r="M296">
        <f>L296*(1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
        <f>L296*(1-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
        <f>(1-Summary!$B$11)*T296+Summary!$B$11*V296</f>
        <v/>
      </c>
      <c r="P296">
        <f>IF(B332=0,0,O296/B332)</f>
        <v/>
      </c>
      <c r="Q296">
        <f>IFERROR(1/(IF(Inputs!$B$38="pvp",15,MAX(0.1,Skills!D5-IF(Skills!E5=TRUE,Inputs!$B$32,0)))*(1-IF(AND(ArtifactsInput!$M$27,Inputs!$B$4="Chapter Hunt"),CHOOSE(ArtifactsInput!$N$27+1,20,24,28,32,36,40),0)/100)),0)</f>
        <v/>
      </c>
      <c r="R296">
        <f>IF(AND(Inputs!$B$38&lt;&gt;"pvp",Inputs!$B$43&gt;0),IF(MAX(0,Inputs!$B$43-B329)&lt;=0,0,(INT(MAX(0,Inputs!$B$43-B329)/(IF(Inputs!$B$38="pvp",15,MAX(0.1,Skills!D5-IF(Skills!E5=TRUE,Inputs!$B$32,0)))*(1-IF(AND(ArtifactsInput!$M$27,Inputs!$B$4="Chapter Hunt"),CHOOSE(ArtifactsInput!$N$27+1,20,24,28,32,36,40),0)/100)))+1)),0)</f>
        <v/>
      </c>
      <c r="S296">
        <f>IFERROR(O296/N296,0)</f>
        <v/>
      </c>
      <c r="T296">
        <f>IF(C296,(H296*N296*IF(AND(Inputs!$B$38&lt;&gt;"pvp",Inputs!$B$43&gt;0),((Skills!G5*((R296-1)*IF(Skills!H5&gt;0,Skills!I5/Skills!H5,1)+IF(Skills!H5&gt;0,MIN(Skills!I5,MAX(0,MAX(0,Inputs!$B$43-B329)-((R296-1)*(IF(Inputs!$B$38="pvp",15,MAX(0.1,Skills!D5-IF(Skills!E5=TRUE,Inputs!$B$32,0)))*(1-IF(AND(ArtifactsInput!$M$27,Inputs!$B$4="Chapter Hunt"),CHOOSE(ArtifactsInput!$N$27+1,20,24,28,32,36,40),0)/100)))))/Skills!H5,1)))/Inputs!$B$43),G296*Q296))*IF(Inputs!$B$38="pvp",1,1+((Inputs!$B$20+1)+0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296*(1-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6">
        <f>IF(C296,(H296*N296*IF(AND(Inputs!$B$38&lt;&gt;"pvp",Inputs!$B$43&gt;0),((Skills!G5*((R296-1)*IF(Skills!H5&gt;0,Skills!I5/Skills!H5,1)+IF(Skills!H5&gt;0,MIN(Skills!I5,MAX(0,MAX(0,Inputs!$B$43-B329)-((R296-1)*(IF(Inputs!$B$38="pvp",15,MAX(0.1,Skills!D5-IF(Skills!E5=TRUE,Inputs!$B$32,0)))*(1-IF(AND(ArtifactsInput!$M$27,Inputs!$B$4="Chapter Hunt"),CHOOSE(ArtifactsInput!$N$27+1,20,24,28,32,36,40),0)/100)))))/Skills!H5,1)))/Inputs!$B$43),G296*Q296))*IF(Inputs!$B$38="pvp",1,(1+(Inputs!$B$21+Skills!Q5+(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
      <c r="A297">
        <f>Skills!A6</f>
        <v/>
      </c>
      <c r="B297">
        <f>Skills!B6</f>
        <v/>
      </c>
      <c r="C297">
        <f>Inputs!$B$3&gt;=63</f>
        <v/>
      </c>
      <c r="D297">
        <f>IF(Skills!C6=1,60+Inputs!$B$25+Inputs!$B$29,IF(Skills!C6=2,90+Inputs!$B$26+Inputs!$B$29,IF(Skills!C6=3,120+Inputs!$B$27+Inputs!$B$29,MAX(0,(Inputs!$B$3-100)*3)+Inputs!$B$28+Inputs!$B$29)))</f>
        <v/>
      </c>
      <c r="E297">
        <f>INDEX(FactorTable!$B$2:$Y$301, MATCH(ROUND(MIN(300,MAX(1,D297)),0), FactorTable!$A$2:$A$301,0), Skills!M6+1)</f>
        <v/>
      </c>
      <c r="F297">
        <f>IF(Skills!N6=TRUE,(Skills!L6/10)*(E297/1000),Skills!L6/10)+Skills!O6</f>
        <v/>
      </c>
      <c r="G297">
        <f>Skills!G6*IF(Skills!H6&gt;0,Skills!I6/Skills!H6,1)</f>
        <v/>
      </c>
      <c r="H297">
        <f>1-(1-Skills!J6/100)^Skills!K6</f>
        <v/>
      </c>
      <c r="I297" t="inlineStr">
        <is>
          <t>1</t>
        </is>
      </c>
      <c r="J297">
        <f>((Inputs!$B$6*(1+Inputs!$B$7/100))+(((Inputs!$B$12*(1+Inputs!$B$13/100))-(Inputs!$B$12*(1+Inputs!$B$13/100)))+0.25*(Inputs!$B$14-Inputs!$B$14))*(1+Inputs!$B$7/100))*(F297/100)</f>
        <v/>
      </c>
      <c r="K297">
        <f>J297*(1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306=TRUE,F306,0)/100)*(1+(IF(Skills!A6="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f>
        <v/>
      </c>
      <c r="L297">
        <f>K297*(MIN(Inputs!$B$22+((C313=TRUE)*(F313-Calc!F22)),(Inputs!$B$23+0+(IF(ArtifactsInput!$M$15,CHOOSE(ArtifactsInput!$N$15+1,25,30,35,40,45,50)/100*(Inputs!$B$11-Inputs!$B$11),0))))/100+(Inputs!$B$23+0+(IF(ArtifactsInput!$M$15,CHOOSE(ArtifactsInput!$N$15+1,25,30,35,40,45,50)/100*(Inputs!$B$11-Inputs!$B$11),0)))/100)/2</f>
        <v/>
      </c>
      <c r="M297">
        <f>L297*(1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
        <f>L297*(1-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
        <f>(1-Summary!$B$11)*T297+Summary!$B$11*V297</f>
        <v/>
      </c>
      <c r="P297">
        <f>IF(B332=0,0,O297/B332)</f>
        <v/>
      </c>
      <c r="Q297">
        <f>IFERROR(1/(IF(Inputs!$B$38="pvp",15,MAX(0.1,Skills!D6-IF(Skills!E6=TRUE,Inputs!$B$32,0)))*(1-IF(AND(ArtifactsInput!$M$27,Inputs!$B$4="Chapter Hunt"),CHOOSE(ArtifactsInput!$N$27+1,20,24,28,32,36,40),0)/100)),0)</f>
        <v/>
      </c>
      <c r="R297">
        <f>IF(AND(Inputs!$B$38&lt;&gt;"pvp",Inputs!$B$43&gt;0),IF(MAX(0,Inputs!$B$43-B329)&lt;=0,0,(INT(MAX(0,Inputs!$B$43-B329)/(IF(Inputs!$B$38="pvp",15,MAX(0.1,Skills!D6-IF(Skills!E6=TRUE,Inputs!$B$32,0)))*(1-IF(AND(ArtifactsInput!$M$27,Inputs!$B$4="Chapter Hunt"),CHOOSE(ArtifactsInput!$N$27+1,20,24,28,32,36,40),0)/100)))+1)),0)</f>
        <v/>
      </c>
      <c r="S297">
        <f>IFERROR(O297/N297,0)</f>
        <v/>
      </c>
      <c r="T297">
        <f>IF(C297,(H297*N297*IF(AND(Inputs!$B$38&lt;&gt;"pvp",Inputs!$B$43&gt;0),((Skills!G6*((R297-1)*IF(Skills!H6&gt;0,Skills!I6/Skills!H6,1)+IF(Skills!H6&gt;0,MIN(Skills!I6,MAX(0,MAX(0,Inputs!$B$43-B329)-((R297-1)*(IF(Inputs!$B$38="pvp",15,MAX(0.1,Skills!D6-IF(Skills!E6=TRUE,Inputs!$B$32,0)))*(1-IF(AND(ArtifactsInput!$M$27,Inputs!$B$4="Chapter Hunt"),CHOOSE(ArtifactsInput!$N$27+1,20,24,28,32,36,40),0)/100)))))/Skills!H6,1)))/Inputs!$B$43),G297*Q297))*IF(Inputs!$B$38="pvp",1,1+((Inputs!$B$20+1)+0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
        <f>IF(C297,(H297*N297*IF(AND(Inputs!$B$38&lt;&gt;"pvp",Inputs!$B$43&gt;0),((Skills!G6*((R297-1)*IF(Skills!H6&gt;0,Skills!I6/Skills!H6,1)+IF(Skills!H6&gt;0,MIN(Skills!I6,MAX(0,MAX(0,Inputs!$B$43-B329)-((R297-1)*(IF(Inputs!$B$38="pvp",15,MAX(0.1,Skills!D6-IF(Skills!E6=TRUE,Inputs!$B$32,0)))*(1-IF(AND(ArtifactsInput!$M$27,Inputs!$B$4="Chapter Hunt"),CHOOSE(ArtifactsInput!$N$27+1,20,24,28,32,36,40),0)/100)))))/Skills!H6,1)))/Inputs!$B$43),G297*Q297))*IF(Inputs!$B$38="pvp",1,(1+(Inputs!$B$21+Skills!Q6+(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
      <c r="A298">
        <f>Skills!A7</f>
        <v/>
      </c>
      <c r="B298">
        <f>Skills!B7</f>
        <v/>
      </c>
      <c r="C298">
        <f>Inputs!$B$3&gt;=66</f>
        <v/>
      </c>
      <c r="D298">
        <f>IF(Skills!C7=1,60+Inputs!$B$25+Inputs!$B$29,IF(Skills!C7=2,90+Inputs!$B$26+Inputs!$B$29,IF(Skills!C7=3,120+Inputs!$B$27+Inputs!$B$29,MAX(0,(Inputs!$B$3-100)*3)+Inputs!$B$28+Inputs!$B$29)))</f>
        <v/>
      </c>
      <c r="E298">
        <f>INDEX(FactorTable!$B$2:$Y$301, MATCH(ROUND(MIN(300,MAX(1,D298)),0), FactorTable!$A$2:$A$301,0), Skills!M7+1)</f>
        <v/>
      </c>
      <c r="F298">
        <f>IF(Skills!N7=TRUE,(Skills!L7/10)*(E298/1000),Skills!L7/10)+Skills!O7</f>
        <v/>
      </c>
      <c r="G298">
        <f>Skills!G7*IF(Skills!H7&gt;0,Skills!I7/Skills!H7,1)</f>
        <v/>
      </c>
      <c r="H298">
        <f>1-(1-Skills!J7/100)^Skills!K7</f>
        <v/>
      </c>
      <c r="I298" t="inlineStr">
        <is>
          <t>1</t>
        </is>
      </c>
      <c r="J298">
        <f>((Inputs!$B$6*(1+Inputs!$B$7/100))+(((Inputs!$B$12*(1+Inputs!$B$13/100))-(Inputs!$B$12*(1+Inputs!$B$13/100)))+0.25*(Inputs!$B$14-Inputs!$B$14))*(1+Inputs!$B$7/100))*(F298/100)</f>
        <v/>
      </c>
      <c r="K298">
        <f>J298*(1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306=TRUE,F306,0)/100)*(1+(IF(Skills!A7="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f>
        <v/>
      </c>
      <c r="L298">
        <f>K298*(MIN(Inputs!$B$22+((C313=TRUE)*(F313-Calc!F22)),(Inputs!$B$23+0+(IF(ArtifactsInput!$M$15,CHOOSE(ArtifactsInput!$N$15+1,25,30,35,40,45,50)/100*(Inputs!$B$11-Inputs!$B$11),0))))/100+(Inputs!$B$23+0+(IF(ArtifactsInput!$M$15,CHOOSE(ArtifactsInput!$N$15+1,25,30,35,40,45,50)/100*(Inputs!$B$11-Inputs!$B$11),0)))/100)/2</f>
        <v/>
      </c>
      <c r="M298">
        <f>L298*(1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
        <f>L298*(1-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
        <f>(1-Summary!$B$11)*T298+Summary!$B$11*V298</f>
        <v/>
      </c>
      <c r="P298">
        <f>IF(B332=0,0,O298/B332)</f>
        <v/>
      </c>
      <c r="Q298">
        <f>IFERROR(1/(IF(Inputs!$B$38="pvp",15,MAX(0.1,Skills!D7-IF(Skills!E7=TRUE,Inputs!$B$32,0)))*(1-IF(AND(ArtifactsInput!$M$27,Inputs!$B$4="Chapter Hunt"),CHOOSE(ArtifactsInput!$N$27+1,20,24,28,32,36,40),0)/100)),0)</f>
        <v/>
      </c>
      <c r="R298">
        <f>IF(AND(Inputs!$B$38&lt;&gt;"pvp",Inputs!$B$43&gt;0),IF(MAX(0,Inputs!$B$43-B329)&lt;=0,0,(INT(MAX(0,Inputs!$B$43-B329)/(IF(Inputs!$B$38="pvp",15,MAX(0.1,Skills!D7-IF(Skills!E7=TRUE,Inputs!$B$32,0)))*(1-IF(AND(ArtifactsInput!$M$27,Inputs!$B$4="Chapter Hunt"),CHOOSE(ArtifactsInput!$N$27+1,20,24,28,32,36,40),0)/100)))+1)),0)</f>
        <v/>
      </c>
      <c r="S298">
        <f>IFERROR(O298/N298,0)</f>
        <v/>
      </c>
      <c r="T298">
        <f>IF(C298,(H298*N298*IF(AND(Inputs!$B$38&lt;&gt;"pvp",Inputs!$B$43&gt;0),((Skills!G7*((R298-1)*IF(Skills!H7&gt;0,Skills!I7/Skills!H7,1)+IF(Skills!H7&gt;0,MIN(Skills!I7,MAX(0,MAX(0,Inputs!$B$43-B329)-((R298-1)*(IF(Inputs!$B$38="pvp",15,MAX(0.1,Skills!D7-IF(Skills!E7=TRUE,Inputs!$B$32,0)))*(1-IF(AND(ArtifactsInput!$M$27,Inputs!$B$4="Chapter Hunt"),CHOOSE(ArtifactsInput!$N$27+1,20,24,28,32,36,40),0)/100)))))/Skills!H7,1)))/Inputs!$B$43),G298*Q298))*IF(Inputs!$B$38="pvp",1,1+((Inputs!$B$20+1)+0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8">
        <f>IF(C298,(H298*N298*IF(AND(Inputs!$B$38&lt;&gt;"pvp",Inputs!$B$43&gt;0),((Skills!G7*((R298-1)*IF(Skills!H7&gt;0,Skills!I7/Skills!H7,1)+IF(Skills!H7&gt;0,MIN(Skills!I7,MAX(0,MAX(0,Inputs!$B$43-B329)-((R298-1)*(IF(Inputs!$B$38="pvp",15,MAX(0.1,Skills!D7-IF(Skills!E7=TRUE,Inputs!$B$32,0)))*(1-IF(AND(ArtifactsInput!$M$27,Inputs!$B$4="Chapter Hunt"),CHOOSE(ArtifactsInput!$N$27+1,20,24,28,32,36,40),0)/100)))))/Skills!H7,1)))/Inputs!$B$43),G298*Q298))*IF(Inputs!$B$38="pvp",1,(1+(Inputs!$B$21+Skills!Q7+(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
      <c r="A299">
        <f>Skills!A8</f>
        <v/>
      </c>
      <c r="B299">
        <f>Skills!B8</f>
        <v/>
      </c>
      <c r="C299">
        <f>Inputs!$B$3&gt;=100</f>
        <v/>
      </c>
      <c r="D299">
        <f>IF(Skills!C8=1,60+Inputs!$B$25+Inputs!$B$29,IF(Skills!C8=2,90+Inputs!$B$26+Inputs!$B$29,IF(Skills!C8=3,120+Inputs!$B$27+Inputs!$B$29,MAX(0,(Inputs!$B$3-100)*3)+Inputs!$B$28+Inputs!$B$29)))</f>
        <v/>
      </c>
      <c r="E299">
        <f>INDEX(FactorTable!$B$2:$Y$301, MATCH(ROUND(MIN(300,MAX(1,D299)),0), FactorTable!$A$2:$A$301,0), Skills!M8+1)</f>
        <v/>
      </c>
      <c r="F299">
        <f>IF(Skills!N8=TRUE,(Skills!L8/10)*(E299/1000),Skills!L8/10)+Skills!O8</f>
        <v/>
      </c>
      <c r="G299">
        <f>Skills!G8*IF(Skills!H8&gt;0,Skills!I8/Skills!H8,1)</f>
        <v/>
      </c>
      <c r="H299">
        <f>1-(1-Skills!J8/100)^Skills!K8</f>
        <v/>
      </c>
      <c r="I299" t="inlineStr">
        <is>
          <t>1</t>
        </is>
      </c>
      <c r="J299">
        <f>((Inputs!$B$6*(1+Inputs!$B$7/100))+(((Inputs!$B$12*(1+Inputs!$B$13/100))-(Inputs!$B$12*(1+Inputs!$B$13/100)))+0.25*(Inputs!$B$14-Inputs!$B$14))*(1+Inputs!$B$7/100))*(F299/100)</f>
        <v/>
      </c>
      <c r="K299">
        <f>J299*(1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f>
        <v/>
      </c>
      <c r="L299">
        <f>K299*(MIN(Inputs!$B$22+((C313=TRUE)*(F313-Calc!F22)),(Inputs!$B$23+0+(IF(ArtifactsInput!$M$15,CHOOSE(ArtifactsInput!$N$15+1,25,30,35,40,45,50)/100*(Inputs!$B$11-Inputs!$B$11),0))))/100+(Inputs!$B$23+0+(IF(ArtifactsInput!$M$15,CHOOSE(ArtifactsInput!$N$15+1,25,30,35,40,45,50)/100*(Inputs!$B$11-Inputs!$B$11),0)))/100)/2</f>
        <v/>
      </c>
      <c r="M299">
        <f>L299*(1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
        <f>L299*(1-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
        <f>(1-Summary!$B$11)*T299+Summary!$B$11*V299</f>
        <v/>
      </c>
      <c r="P299">
        <f>IF(B332=0,0,O299/B332)</f>
        <v/>
      </c>
      <c r="Q299">
        <f>IFERROR(1/(IF(Inputs!$B$38="pvp",15,MAX(0.1,Skills!D8-IF(Skills!E8=TRUE,Inputs!$B$32,0)))*(1-IF(AND(ArtifactsInput!$M$27,Inputs!$B$4="Chapter Hunt"),CHOOSE(ArtifactsInput!$N$27+1,20,24,28,32,36,40),0)/100)),0)</f>
        <v/>
      </c>
      <c r="R299">
        <f>IF(AND(Inputs!$B$38&lt;&gt;"pvp",Inputs!$B$43&gt;0),IF(MAX(0,Inputs!$B$43-B329)&lt;=0,0,(INT(MAX(0,Inputs!$B$43-B329)/(IF(Inputs!$B$38="pvp",15,MAX(0.1,Skills!D8-IF(Skills!E8=TRUE,Inputs!$B$32,0)))*(1-IF(AND(ArtifactsInput!$M$27,Inputs!$B$4="Chapter Hunt"),CHOOSE(ArtifactsInput!$N$27+1,20,24,28,32,36,40),0)/100)))+1)),0)</f>
        <v/>
      </c>
      <c r="S299">
        <f>IFERROR(O299/N299,0)</f>
        <v/>
      </c>
      <c r="T299">
        <f>IF(C299,(H299*N299*IF(AND(Inputs!$B$38&lt;&gt;"pvp",Inputs!$B$43&gt;0),((Skills!G8*((R299-1)*IF(Skills!H8&gt;0,Skills!I8/Skills!H8,1)+IF(Skills!H8&gt;0,MIN(Skills!I8,MAX(0,MAX(0,Inputs!$B$43-B329)-((R299-1)*(IF(Inputs!$B$38="pvp",15,MAX(0.1,Skills!D8-IF(Skills!E8=TRUE,Inputs!$B$32,0)))*(1-IF(AND(ArtifactsInput!$M$27,Inputs!$B$4="Chapter Hunt"),CHOOSE(ArtifactsInput!$N$27+1,20,24,28,32,36,40),0)/100)))))/Skills!H8,1)))/Inputs!$B$43),G299*Q299))*IF(Inputs!$B$38="pvp",1,1+((Inputs!$B$20+1)+0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
        <f>IF(C299,(H299*N299*IF(AND(Inputs!$B$38&lt;&gt;"pvp",Inputs!$B$43&gt;0),((Skills!G8*((R299-1)*IF(Skills!H8&gt;0,Skills!I8/Skills!H8,1)+IF(Skills!H8&gt;0,MIN(Skills!I8,MAX(0,MAX(0,Inputs!$B$43-B329)-((R299-1)*(IF(Inputs!$B$38="pvp",15,MAX(0.1,Skills!D8-IF(Skills!E8=TRUE,Inputs!$B$32,0)))*(1-IF(AND(ArtifactsInput!$M$27,Inputs!$B$4="Chapter Hunt"),CHOOSE(ArtifactsInput!$N$27+1,20,24,28,32,36,40),0)/100)))))/Skills!H8,1)))/Inputs!$B$43),G299*Q299))*IF(Inputs!$B$38="pvp",1,(1+(Inputs!$B$21+Skills!Q8+(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
      <c r="A300">
        <f>Skills!A9</f>
        <v/>
      </c>
      <c r="B300">
        <f>Skills!B9</f>
        <v/>
      </c>
      <c r="C300">
        <f>Inputs!$B$3&gt;=103</f>
        <v/>
      </c>
      <c r="D300">
        <f>IF(Skills!C9=1,60+Inputs!$B$25+Inputs!$B$29,IF(Skills!C9=2,90+Inputs!$B$26+Inputs!$B$29,IF(Skills!C9=3,120+Inputs!$B$27+Inputs!$B$29,MAX(0,(Inputs!$B$3-100)*3)+Inputs!$B$28+Inputs!$B$29)))</f>
        <v/>
      </c>
      <c r="E300">
        <f>INDEX(FactorTable!$B$2:$Y$301, MATCH(ROUND(MIN(300,MAX(1,D300)),0), FactorTable!$A$2:$A$301,0), Skills!M9+1)</f>
        <v/>
      </c>
      <c r="F300">
        <f>IF(Skills!N9=TRUE,(Skills!L9/10)*(E300/1000),Skills!L9/10)+Skills!O9</f>
        <v/>
      </c>
      <c r="G300">
        <f>Skills!G9*IF(Skills!H9&gt;0,Skills!I9/Skills!H9,1)</f>
        <v/>
      </c>
      <c r="H300">
        <f>1-(1-Skills!J9/100)^Skills!K9</f>
        <v/>
      </c>
      <c r="I300" t="inlineStr">
        <is>
          <t>1</t>
        </is>
      </c>
      <c r="J300">
        <f>((Inputs!$B$6*(1+Inputs!$B$7/100))+(((Inputs!$B$12*(1+Inputs!$B$13/100))-(Inputs!$B$12*(1+Inputs!$B$13/100)))+0.25*(Inputs!$B$14-Inputs!$B$14))*(1+Inputs!$B$7/100))*(F300/100)</f>
        <v/>
      </c>
      <c r="K300">
        <f>J300*(1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f>
        <v/>
      </c>
      <c r="L300">
        <f>K300*(MIN(Inputs!$B$22+((C313=TRUE)*(F313-Calc!F22)),(Inputs!$B$23+0+(IF(ArtifactsInput!$M$15,CHOOSE(ArtifactsInput!$N$15+1,25,30,35,40,45,50)/100*(Inputs!$B$11-Inputs!$B$11),0))))/100+(Inputs!$B$23+0+(IF(ArtifactsInput!$M$15,CHOOSE(ArtifactsInput!$N$15+1,25,30,35,40,45,50)/100*(Inputs!$B$11-Inputs!$B$11),0)))/100)/2</f>
        <v/>
      </c>
      <c r="M300">
        <f>L300*(1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
        <f>L300*(1-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
        <f>(1-Summary!$B$11)*T300+Summary!$B$11*V300</f>
        <v/>
      </c>
      <c r="P300">
        <f>IF(B332=0,0,O300/B332)</f>
        <v/>
      </c>
      <c r="Q300">
        <f>IFERROR(1/(IF(Inputs!$B$38="pvp",15,MAX(0.1,Skills!D9-IF(Skills!E9=TRUE,Inputs!$B$32,0)))*(1-IF(AND(ArtifactsInput!$M$27,Inputs!$B$4="Chapter Hunt"),CHOOSE(ArtifactsInput!$N$27+1,20,24,28,32,36,40),0)/100)),0)</f>
        <v/>
      </c>
      <c r="R300">
        <f>IF(AND(Inputs!$B$38&lt;&gt;"pvp",Inputs!$B$43&gt;0),IF(MAX(0,Inputs!$B$43-B329)&lt;=0,0,(INT(MAX(0,Inputs!$B$43-B329)/(IF(Inputs!$B$38="pvp",15,MAX(0.1,Skills!D9-IF(Skills!E9=TRUE,Inputs!$B$32,0)))*(1-IF(AND(ArtifactsInput!$M$27,Inputs!$B$4="Chapter Hunt"),CHOOSE(ArtifactsInput!$N$27+1,20,24,28,32,36,40),0)/100)))+1)),0)</f>
        <v/>
      </c>
      <c r="S300">
        <f>IFERROR(O300/N300,0)</f>
        <v/>
      </c>
      <c r="T300">
        <f>IF(C300,(H300*N300*IF(AND(Inputs!$B$38&lt;&gt;"pvp",Inputs!$B$43&gt;0),((Skills!G9*((R300-1)*IF(Skills!H9&gt;0,Skills!I9/Skills!H9,1)+IF(Skills!H9&gt;0,MIN(Skills!I9,MAX(0,MAX(0,Inputs!$B$43-B329)-((R300-1)*(IF(Inputs!$B$38="pvp",15,MAX(0.1,Skills!D9-IF(Skills!E9=TRUE,Inputs!$B$32,0)))*(1-IF(AND(ArtifactsInput!$M$27,Inputs!$B$4="Chapter Hunt"),CHOOSE(ArtifactsInput!$N$27+1,20,24,28,32,36,40),0)/100)))))/Skills!H9,1)))/Inputs!$B$43),G300*Q300))*IF(Inputs!$B$38="pvp",1,1+((Inputs!$B$20+1)+0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300*(1-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
        <f>IF(C300,(H300*N300*IF(AND(Inputs!$B$38&lt;&gt;"pvp",Inputs!$B$43&gt;0),((Skills!G9*((R300-1)*IF(Skills!H9&gt;0,Skills!I9/Skills!H9,1)+IF(Skills!H9&gt;0,MIN(Skills!I9,MAX(0,MAX(0,Inputs!$B$43-B329)-((R300-1)*(IF(Inputs!$B$38="pvp",15,MAX(0.1,Skills!D9-IF(Skills!E9=TRUE,Inputs!$B$32,0)))*(1-IF(AND(ArtifactsInput!$M$27,Inputs!$B$4="Chapter Hunt"),CHOOSE(ArtifactsInput!$N$27+1,20,24,28,32,36,40),0)/100)))))/Skills!H9,1)))/Inputs!$B$43),G300*Q300))*IF(Inputs!$B$38="pvp",1,(1+(Inputs!$B$21+Skills!Q9+(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
      <c r="A301">
        <f>Skills!A10</f>
        <v/>
      </c>
      <c r="B301">
        <f>Skills!B10</f>
        <v/>
      </c>
      <c r="C301">
        <f>Inputs!$B$3&gt;=113</f>
        <v/>
      </c>
      <c r="D301">
        <f>IF(Skills!C10=1,60+Inputs!$B$25+Inputs!$B$29,IF(Skills!C10=2,90+Inputs!$B$26+Inputs!$B$29,IF(Skills!C10=3,120+Inputs!$B$27+Inputs!$B$29,MAX(0,(Inputs!$B$3-100)*3)+Inputs!$B$28+Inputs!$B$29)))</f>
        <v/>
      </c>
      <c r="E301">
        <f>INDEX(FactorTable!$B$2:$Y$301, MATCH(ROUND(MIN(300,MAX(1,D301)),0), FactorTable!$A$2:$A$301,0), Skills!M10+1)</f>
        <v/>
      </c>
      <c r="F301">
        <f>IF(Skills!N10=TRUE,(Skills!L10/10)*(E301/1000),Skills!L10/10)+Skills!O10</f>
        <v/>
      </c>
      <c r="G301">
        <f>Skills!G10*IF(Skills!H10&gt;0,Skills!I10/Skills!H10,1)</f>
        <v/>
      </c>
      <c r="H301">
        <f>1-(1-Skills!J10/100)^Skills!K10</f>
        <v/>
      </c>
      <c r="I301" t="inlineStr">
        <is>
          <t>1</t>
        </is>
      </c>
      <c r="J301">
        <f>((Inputs!$B$6*(1+Inputs!$B$7/100))+(((Inputs!$B$12*(1+Inputs!$B$13/100))-(Inputs!$B$12*(1+Inputs!$B$13/100)))+0.25*(Inputs!$B$14-Inputs!$B$14))*(1+Inputs!$B$7/100))*(F301/100)</f>
        <v/>
      </c>
      <c r="K301">
        <f>J301*(1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f>
        <v/>
      </c>
      <c r="L301">
        <f>K301*(MIN(Inputs!$B$22+((C313=TRUE)*(F313-Calc!F22)),(Inputs!$B$23+0+(IF(ArtifactsInput!$M$15,CHOOSE(ArtifactsInput!$N$15+1,25,30,35,40,45,50)/100*(Inputs!$B$11-Inputs!$B$11),0))))/100+(Inputs!$B$23+0+(IF(ArtifactsInput!$M$15,CHOOSE(ArtifactsInput!$N$15+1,25,30,35,40,45,50)/100*(Inputs!$B$11-Inputs!$B$11),0)))/100)/2</f>
        <v/>
      </c>
      <c r="M301">
        <f>L301*(1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
        <f>L301*(1-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
        <f>(1-Summary!$B$11)*T301+Summary!$B$11*V301</f>
        <v/>
      </c>
      <c r="P301">
        <f>IF(B332=0,0,O301/B332)</f>
        <v/>
      </c>
      <c r="Q301">
        <f>IFERROR(1/(IF(Inputs!$B$38="pvp",15,MAX(0.1,Skills!D10-IF(Skills!E10=TRUE,Inputs!$B$32,0)))*(1-IF(AND(ArtifactsInput!$M$27,Inputs!$B$4="Chapter Hunt"),CHOOSE(ArtifactsInput!$N$27+1,20,24,28,32,36,40),0)/100)),0)</f>
        <v/>
      </c>
      <c r="R301">
        <f>IF(AND(Inputs!$B$38&lt;&gt;"pvp",Inputs!$B$43&gt;0),IF(MAX(0,Inputs!$B$43-B329)&lt;=0,0,(INT(MAX(0,Inputs!$B$43-B329)/(IF(Inputs!$B$38="pvp",15,MAX(0.1,Skills!D10-IF(Skills!E10=TRUE,Inputs!$B$32,0)))*(1-IF(AND(ArtifactsInput!$M$27,Inputs!$B$4="Chapter Hunt"),CHOOSE(ArtifactsInput!$N$27+1,20,24,28,32,36,40),0)/100)))+1)),0)</f>
        <v/>
      </c>
      <c r="S301">
        <f>IFERROR(O301/N301,0)</f>
        <v/>
      </c>
      <c r="T301">
        <f>IF(C301,(H301*N301*IF(AND(Inputs!$B$38&lt;&gt;"pvp",Inputs!$B$43&gt;0),((Skills!G10*((R301-1)*IF(Skills!H10&gt;0,Skills!I10/Skills!H10,1)+IF(Skills!H10&gt;0,MIN(Skills!I10,MAX(0,MAX(0,Inputs!$B$43-B329)-((R301-1)*(IF(Inputs!$B$38="pvp",15,MAX(0.1,Skills!D10-IF(Skills!E10=TRUE,Inputs!$B$32,0)))*(1-IF(AND(ArtifactsInput!$M$27,Inputs!$B$4="Chapter Hunt"),CHOOSE(ArtifactsInput!$N$27+1,20,24,28,32,36,40),0)/100)))))/Skills!H10,1)))/Inputs!$B$43),G301*Q301))*IF(Inputs!$B$38="pvp",1,1+((Inputs!$B$20+1)+0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
        <f>IF(C301,(H301*N301*IF(AND(Inputs!$B$38&lt;&gt;"pvp",Inputs!$B$43&gt;0),((Skills!G10*((R301-1)*IF(Skills!H10&gt;0,Skills!I10/Skills!H10,1)+IF(Skills!H10&gt;0,MIN(Skills!I10,MAX(0,MAX(0,Inputs!$B$43-B329)-((R301-1)*(IF(Inputs!$B$38="pvp",15,MAX(0.1,Skills!D10-IF(Skills!E10=TRUE,Inputs!$B$32,0)))*(1-IF(AND(ArtifactsInput!$M$27,Inputs!$B$4="Chapter Hunt"),CHOOSE(ArtifactsInput!$N$27+1,20,24,28,32,36,40),0)/100)))))/Skills!H10,1)))/Inputs!$B$43),G301*Q301))*IF(Inputs!$B$38="pvp",1,(1+(Inputs!$B$21+Skills!Q10+(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
      <c r="A302">
        <f>Skills!A11</f>
        <v/>
      </c>
      <c r="B302">
        <f>Skills!B11</f>
        <v/>
      </c>
      <c r="C302">
        <f>Inputs!$B$3&gt;=107</f>
        <v/>
      </c>
      <c r="D302">
        <f>IF(Skills!C11=1,60+Inputs!$B$25+Inputs!$B$29,IF(Skills!C11=2,90+Inputs!$B$26+Inputs!$B$29,IF(Skills!C11=3,120+Inputs!$B$27+Inputs!$B$29,MAX(0,(Inputs!$B$3-100)*3)+Inputs!$B$28+Inputs!$B$29)))</f>
        <v/>
      </c>
      <c r="E302">
        <f>INDEX(FactorTable!$B$2:$Y$301, MATCH(ROUND(MIN(300,MAX(1,D302)),0), FactorTable!$A$2:$A$301,0), Skills!M11+1)</f>
        <v/>
      </c>
      <c r="F302">
        <f>IF(Skills!N11=TRUE,(Skills!L11/10)*(E302/1000),Skills!L11/10)+Skills!O11</f>
        <v/>
      </c>
      <c r="G302">
        <f>Skills!G11*IF(Skills!H11&gt;0,Skills!I11/Skills!H11,1)</f>
        <v/>
      </c>
      <c r="H302">
        <f>1-(1-Skills!J11/100)^Skills!K11</f>
        <v/>
      </c>
      <c r="I302" t="inlineStr">
        <is>
          <t>1</t>
        </is>
      </c>
      <c r="J302">
        <f>((Inputs!$B$6*(1+Inputs!$B$7/100))+(((Inputs!$B$12*(1+Inputs!$B$13/100))-(Inputs!$B$12*(1+Inputs!$B$13/100)))+0.25*(Inputs!$B$14-Inputs!$B$14))*(1+Inputs!$B$7/100))*(F302/100)</f>
        <v/>
      </c>
      <c r="K302">
        <f>J302*(1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f>
        <v/>
      </c>
      <c r="L302">
        <f>K302*(MIN(Inputs!$B$22+((C313=TRUE)*(F313-Calc!F22)),(Inputs!$B$23+0+(IF(ArtifactsInput!$M$15,CHOOSE(ArtifactsInput!$N$15+1,25,30,35,40,45,50)/100*(Inputs!$B$11-Inputs!$B$11),0))))/100+(Inputs!$B$23+0+(IF(ArtifactsInput!$M$15,CHOOSE(ArtifactsInput!$N$15+1,25,30,35,40,45,50)/100*(Inputs!$B$11-Inputs!$B$11),0)))/100)/2</f>
        <v/>
      </c>
      <c r="M302">
        <f>L302*(1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
        <f>L302*(1-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
        <f>(1-Summary!$B$11)*T302+Summary!$B$11*V302</f>
        <v/>
      </c>
      <c r="P302">
        <f>IF(B332=0,0,O302/B332)</f>
        <v/>
      </c>
      <c r="Q302">
        <f>IFERROR(1/(IF(Inputs!$B$38="pvp",15,MAX(0.1,Skills!D11-IF(Skills!E11=TRUE,Inputs!$B$32,0)))*(1-IF(AND(ArtifactsInput!$M$27,Inputs!$B$4="Chapter Hunt"),CHOOSE(ArtifactsInput!$N$27+1,20,24,28,32,36,40),0)/100)),0)</f>
        <v/>
      </c>
      <c r="R302">
        <f>IF(AND(Inputs!$B$38&lt;&gt;"pvp",Inputs!$B$43&gt;0),IF(MAX(0,Inputs!$B$43-B329)&lt;=0,0,(INT(MAX(0,Inputs!$B$43-B329)/(IF(Inputs!$B$38="pvp",15,MAX(0.1,Skills!D11-IF(Skills!E11=TRUE,Inputs!$B$32,0)))*(1-IF(AND(ArtifactsInput!$M$27,Inputs!$B$4="Chapter Hunt"),CHOOSE(ArtifactsInput!$N$27+1,20,24,28,32,36,40),0)/100)))+1)),0)</f>
        <v/>
      </c>
      <c r="S302">
        <f>IFERROR(O302/N302,0)</f>
        <v/>
      </c>
      <c r="T302">
        <f>IF(C302,(H302*N302*IF(AND(Inputs!$B$38&lt;&gt;"pvp",Inputs!$B$43&gt;0),((Skills!G11*((R302-1)*IF(Skills!H11&gt;0,Skills!I11/Skills!H11,1)+IF(Skills!H11&gt;0,MIN(Skills!I11,MAX(0,MAX(0,Inputs!$B$43-B329)-((R302-1)*(IF(Inputs!$B$38="pvp",15,MAX(0.1,Skills!D11-IF(Skills!E11=TRUE,Inputs!$B$32,0)))*(1-IF(AND(ArtifactsInput!$M$27,Inputs!$B$4="Chapter Hunt"),CHOOSE(ArtifactsInput!$N$27+1,20,24,28,32,36,40),0)/100)))))/Skills!H11,1)))/Inputs!$B$43),G302*Q302))*IF(Inputs!$B$38="pvp",1,1+((Inputs!$B$20+1)+0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2">
        <f>IF(C302,(H302*N302*IF(AND(Inputs!$B$38&lt;&gt;"pvp",Inputs!$B$43&gt;0),((Skills!G11*((R302-1)*IF(Skills!H11&gt;0,Skills!I11/Skills!H11,1)+IF(Skills!H11&gt;0,MIN(Skills!I11,MAX(0,MAX(0,Inputs!$B$43-B329)-((R302-1)*(IF(Inputs!$B$38="pvp",15,MAX(0.1,Skills!D11-IF(Skills!E11=TRUE,Inputs!$B$32,0)))*(1-IF(AND(ArtifactsInput!$M$27,Inputs!$B$4="Chapter Hunt"),CHOOSE(ArtifactsInput!$N$27+1,20,24,28,32,36,40),0)/100)))))/Skills!H11,1)))/Inputs!$B$43),G302*Q302))*IF(Inputs!$B$38="pvp",1,(1+(Inputs!$B$21+Skills!Q11+(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
      <c r="A303">
        <f>Skills!A12</f>
        <v/>
      </c>
      <c r="B303">
        <f>Skills!B12</f>
        <v/>
      </c>
      <c r="C303">
        <f>Inputs!$B$3&gt;=110</f>
        <v/>
      </c>
      <c r="D303">
        <f>IF(Skills!C12=1,60+Inputs!$B$25+Inputs!$B$29,IF(Skills!C12=2,90+Inputs!$B$26+Inputs!$B$29,IF(Skills!C12=3,120+Inputs!$B$27+Inputs!$B$29,MAX(0,(Inputs!$B$3-100)*3)+Inputs!$B$28+Inputs!$B$29)))</f>
        <v/>
      </c>
      <c r="E303">
        <f>INDEX(FactorTable!$B$2:$Y$301, MATCH(ROUND(MIN(300,MAX(1,D303)),0), FactorTable!$A$2:$A$301,0), Skills!M12+1)</f>
        <v/>
      </c>
      <c r="F303">
        <f>IF(Skills!N12=TRUE,(Skills!L12/10)*(E303/1000),Skills!L12/10)+Skills!O12</f>
        <v/>
      </c>
      <c r="G303">
        <f>Skills!G12*IF(Skills!H12&gt;0,Skills!I12/Skills!H12,1)</f>
        <v/>
      </c>
      <c r="H303">
        <f>1-(1-Skills!J12/100)^Skills!K12</f>
        <v/>
      </c>
      <c r="I303" t="inlineStr">
        <is>
          <t>1</t>
        </is>
      </c>
      <c r="J303">
        <f>((Inputs!$B$6*(1+Inputs!$B$7/100))+(((Inputs!$B$12*(1+Inputs!$B$13/100))-(Inputs!$B$12*(1+Inputs!$B$13/100)))+0.25*(Inputs!$B$14-Inputs!$B$14))*(1+Inputs!$B$7/100))*(F303/100)</f>
        <v/>
      </c>
      <c r="K303">
        <f>J303*(1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f>
        <v/>
      </c>
      <c r="L303">
        <f>K303*(MIN(Inputs!$B$22+((C313=TRUE)*(F313-Calc!F22)),(Inputs!$B$23+0+(IF(ArtifactsInput!$M$15,CHOOSE(ArtifactsInput!$N$15+1,25,30,35,40,45,50)/100*(Inputs!$B$11-Inputs!$B$11),0))))/100+(Inputs!$B$23+0+(IF(ArtifactsInput!$M$15,CHOOSE(ArtifactsInput!$N$15+1,25,30,35,40,45,50)/100*(Inputs!$B$11-Inputs!$B$11),0)))/100)/2</f>
        <v/>
      </c>
      <c r="M303">
        <f>L303*(1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
        <f>L303*(1-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
        <f>(1-Summary!$B$11)*T303+Summary!$B$11*V303</f>
        <v/>
      </c>
      <c r="P303">
        <f>IF(B332=0,0,O303/B332)</f>
        <v/>
      </c>
      <c r="Q303">
        <f>IFERROR(1/(IF(Inputs!$B$38="pvp",15,MAX(0.1,Skills!D12-IF(Skills!E12=TRUE,Inputs!$B$32,0)))*(1-IF(AND(ArtifactsInput!$M$27,Inputs!$B$4="Chapter Hunt"),CHOOSE(ArtifactsInput!$N$27+1,20,24,28,32,36,40),0)/100)),0)</f>
        <v/>
      </c>
      <c r="R303">
        <f>IF(AND(Inputs!$B$38&lt;&gt;"pvp",Inputs!$B$43&gt;0),IF(MAX(0,Inputs!$B$43-B329)&lt;=0,0,(INT(MAX(0,Inputs!$B$43-B329)/(IF(Inputs!$B$38="pvp",15,MAX(0.1,Skills!D12-IF(Skills!E12=TRUE,Inputs!$B$32,0)))*(1-IF(AND(ArtifactsInput!$M$27,Inputs!$B$4="Chapter Hunt"),CHOOSE(ArtifactsInput!$N$27+1,20,24,28,32,36,40),0)/100)))+1)),0)</f>
        <v/>
      </c>
      <c r="S303">
        <f>IFERROR(O303/N303,0)</f>
        <v/>
      </c>
      <c r="T303">
        <f>IF(C303,(H303*N303*IF(AND(Inputs!$B$38&lt;&gt;"pvp",Inputs!$B$43&gt;0),((Skills!G12*((R303-1)*IF(Skills!H12&gt;0,Skills!I12/Skills!H12,1)+IF(Skills!H12&gt;0,MIN(Skills!I12,MAX(0,MAX(0,Inputs!$B$43-B329)-((R303-1)*(IF(Inputs!$B$38="pvp",15,MAX(0.1,Skills!D12-IF(Skills!E12=TRUE,Inputs!$B$32,0)))*(1-IF(AND(ArtifactsInput!$M$27,Inputs!$B$4="Chapter Hunt"),CHOOSE(ArtifactsInput!$N$27+1,20,24,28,32,36,40),0)/100)))))/Skills!H12,1)))/Inputs!$B$43),G303*Q303))*IF(Inputs!$B$38="pvp",1,1+((Inputs!$B$20+1)+0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
        <f>IF(C303,(H303*N303*IF(AND(Inputs!$B$38&lt;&gt;"pvp",Inputs!$B$43&gt;0),((Skills!G12*((R303-1)*IF(Skills!H12&gt;0,Skills!I12/Skills!H12,1)+IF(Skills!H12&gt;0,MIN(Skills!I12,MAX(0,MAX(0,Inputs!$B$43-B329)-((R303-1)*(IF(Inputs!$B$38="pvp",15,MAX(0.1,Skills!D12-IF(Skills!E12=TRUE,Inputs!$B$32,0)))*(1-IF(AND(ArtifactsInput!$M$27,Inputs!$B$4="Chapter Hunt"),CHOOSE(ArtifactsInput!$N$27+1,20,24,28,32,36,40),0)/100)))))/Skills!H12,1)))/Inputs!$B$43),G303*Q303))*IF(Inputs!$B$38="pvp",1,(1+(Inputs!$B$21+Skills!Q12+(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
      <c r="A304">
        <f>Skills!A13</f>
        <v/>
      </c>
      <c r="B304">
        <f>Skills!B13</f>
        <v/>
      </c>
      <c r="C304">
        <f>Inputs!$B$3&gt;=110</f>
        <v/>
      </c>
      <c r="D304">
        <f>IF(Skills!C13=1,60+Inputs!$B$25+Inputs!$B$29,IF(Skills!C13=2,90+Inputs!$B$26+Inputs!$B$29,IF(Skills!C13=3,120+Inputs!$B$27+Inputs!$B$29,MAX(0,(Inputs!$B$3-100)*3)+Inputs!$B$28+Inputs!$B$29)))</f>
        <v/>
      </c>
      <c r="E304">
        <f>INDEX(FactorTable!$B$2:$Y$301, MATCH(ROUND(MIN(300,MAX(1,D304)),0), FactorTable!$A$2:$A$301,0), Skills!M13+1)</f>
        <v/>
      </c>
      <c r="F304">
        <f>IF(Skills!N13=TRUE,(Skills!L13/10)*(E304/1000),Skills!L13/10)+Skills!O13</f>
        <v/>
      </c>
      <c r="G304">
        <f>Skills!G13*IF(Skills!H13&gt;0,Skills!I13/Skills!H13,1)</f>
        <v/>
      </c>
      <c r="H304">
        <f>1-(1-Skills!J13/100)^Skills!K13</f>
        <v/>
      </c>
      <c r="I304" t="inlineStr">
        <is>
          <t>1</t>
        </is>
      </c>
      <c r="J304">
        <f>((Inputs!$B$6*(1+Inputs!$B$7/100))+(((Inputs!$B$12*(1+Inputs!$B$13/100))-(Inputs!$B$12*(1+Inputs!$B$13/100)))+0.25*(Inputs!$B$14-Inputs!$B$14))*(1+Inputs!$B$7/100))*(F304/100)</f>
        <v/>
      </c>
      <c r="K304">
        <f>J304*(1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f>
        <v/>
      </c>
      <c r="L304">
        <f>K304*(MIN(Inputs!$B$22+((C313=TRUE)*(F313-Calc!F22)),(Inputs!$B$23+0+(IF(ArtifactsInput!$M$15,CHOOSE(ArtifactsInput!$N$15+1,25,30,35,40,45,50)/100*(Inputs!$B$11-Inputs!$B$11),0))))/100+(Inputs!$B$23+0+(IF(ArtifactsInput!$M$15,CHOOSE(ArtifactsInput!$N$15+1,25,30,35,40,45,50)/100*(Inputs!$B$11-Inputs!$B$11),0)))/100)/2</f>
        <v/>
      </c>
      <c r="M304">
        <f>L304*(1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
        <f>L304*(1-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
        <f>(1-Summary!$B$11)*T304+Summary!$B$11*V304</f>
        <v/>
      </c>
      <c r="P304">
        <f>IF(B332=0,0,O304/B332)</f>
        <v/>
      </c>
      <c r="Q304">
        <f>IFERROR(1/(IF(Inputs!$B$38="pvp",15,MAX(0.1,Skills!D13-IF(Skills!E13=TRUE,Inputs!$B$32,0)))*(1-IF(AND(ArtifactsInput!$M$27,Inputs!$B$4="Chapter Hunt"),CHOOSE(ArtifactsInput!$N$27+1,20,24,28,32,36,40),0)/100)),0)</f>
        <v/>
      </c>
      <c r="R304">
        <f>IF(AND(Inputs!$B$38&lt;&gt;"pvp",Inputs!$B$43&gt;0),IF(MAX(0,Inputs!$B$43-B329)&lt;=0,0,(INT(MAX(0,Inputs!$B$43-B329)/(IF(Inputs!$B$38="pvp",15,MAX(0.1,Skills!D13-IF(Skills!E13=TRUE,Inputs!$B$32,0)))*(1-IF(AND(ArtifactsInput!$M$27,Inputs!$B$4="Chapter Hunt"),CHOOSE(ArtifactsInput!$N$27+1,20,24,28,32,36,40),0)/100)))+1)),0)</f>
        <v/>
      </c>
      <c r="S304">
        <f>IFERROR(O304/N304,0)</f>
        <v/>
      </c>
      <c r="T304">
        <f>IF(C304,(H304*N304*IF(AND(Inputs!$B$38&lt;&gt;"pvp",Inputs!$B$43&gt;0),((Skills!G13*((R304-1)*IF(Skills!H13&gt;0,Skills!I13/Skills!H13,1)+IF(Skills!H13&gt;0,MIN(Skills!I13,MAX(0,MAX(0,Inputs!$B$43-B329)-((R304-1)*(IF(Inputs!$B$38="pvp",15,MAX(0.1,Skills!D13-IF(Skills!E13=TRUE,Inputs!$B$32,0)))*(1-IF(AND(ArtifactsInput!$M$27,Inputs!$B$4="Chapter Hunt"),CHOOSE(ArtifactsInput!$N$27+1,20,24,28,32,36,40),0)/100)))))/Skills!H13,1)))/Inputs!$B$43),G304*Q304))*IF(Inputs!$B$38="pvp",1,1+((Inputs!$B$20+1)+0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
        <f>IF(C304,(H304*N304*IF(AND(Inputs!$B$38&lt;&gt;"pvp",Inputs!$B$43&gt;0),((Skills!G13*((R304-1)*IF(Skills!H13&gt;0,Skills!I13/Skills!H13,1)+IF(Skills!H13&gt;0,MIN(Skills!I13,MAX(0,MAX(0,Inputs!$B$43-B329)-((R304-1)*(IF(Inputs!$B$38="pvp",15,MAX(0.1,Skills!D13-IF(Skills!E13=TRUE,Inputs!$B$32,0)))*(1-IF(AND(ArtifactsInput!$M$27,Inputs!$B$4="Chapter Hunt"),CHOOSE(ArtifactsInput!$N$27+1,20,24,28,32,36,40),0)/100)))))/Skills!H13,1)))/Inputs!$B$43),G304*Q304))*IF(Inputs!$B$38="pvp",1,(1+(Inputs!$B$21+Skills!Q13+(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
      <c r="A305">
        <f>Skills!A14</f>
        <v/>
      </c>
      <c r="B305">
        <f>Skills!B14</f>
        <v/>
      </c>
      <c r="C305">
        <f>Inputs!$B$3&gt;=125</f>
        <v/>
      </c>
      <c r="D305">
        <f>IF(Skills!C14=1,60+Inputs!$B$25+Inputs!$B$29,IF(Skills!C14=2,90+Inputs!$B$26+Inputs!$B$29,IF(Skills!C14=3,120+Inputs!$B$27+Inputs!$B$29,MAX(0,(Inputs!$B$3-100)*3)+Inputs!$B$28+Inputs!$B$29)))</f>
        <v/>
      </c>
      <c r="E305">
        <f>INDEX(FactorTable!$B$2:$Y$301, MATCH(ROUND(MIN(300,MAX(1,D305)),0), FactorTable!$A$2:$A$301,0), Skills!M14+1)</f>
        <v/>
      </c>
      <c r="F305">
        <f>IF(Skills!N14=TRUE,(Skills!L14/10)*(E305/1000),Skills!L14/10)+Skills!O14</f>
        <v/>
      </c>
      <c r="G305">
        <f>Skills!G14*IF(Skills!H14&gt;0,Skills!I14/Skills!H14,1)</f>
        <v/>
      </c>
      <c r="H305">
        <f>1-(1-Skills!J14/100)^Skills!K14</f>
        <v/>
      </c>
      <c r="I305" t="inlineStr">
        <is>
          <t>1</t>
        </is>
      </c>
      <c r="J305">
        <f>((Inputs!$B$6*(1+Inputs!$B$7/100))+(((Inputs!$B$12*(1+Inputs!$B$13/100))-(Inputs!$B$12*(1+Inputs!$B$13/100)))+0.25*(Inputs!$B$14-Inputs!$B$14))*(1+Inputs!$B$7/100))*(F305/100)</f>
        <v/>
      </c>
      <c r="K305">
        <f>J305*(1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f>
        <v/>
      </c>
      <c r="L305">
        <f>K305*(MIN(Inputs!$B$22+((C313=TRUE)*(F313-Calc!F22)),(Inputs!$B$23+0+(IF(ArtifactsInput!$M$15,CHOOSE(ArtifactsInput!$N$15+1,25,30,35,40,45,50)/100*(Inputs!$B$11-Inputs!$B$11),0))))/100+(Inputs!$B$23+0+(IF(ArtifactsInput!$M$15,CHOOSE(ArtifactsInput!$N$15+1,25,30,35,40,45,50)/100*(Inputs!$B$11-Inputs!$B$11),0)))/100)/2</f>
        <v/>
      </c>
      <c r="M305">
        <f>L305*(1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
        <f>L305*(1-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
        <f>(1-Summary!$B$11)*T305+Summary!$B$11*V305</f>
        <v/>
      </c>
      <c r="P305">
        <f>IF(B332=0,0,O305/B332)</f>
        <v/>
      </c>
      <c r="Q305" t="n">
        <v>0</v>
      </c>
      <c r="R305" t="n">
        <v>0</v>
      </c>
      <c r="S305">
        <f>IFERROR(O305/N305,0)</f>
        <v/>
      </c>
      <c r="T305">
        <f>IF(C305,(H305*N305*(B326+IF(AND(Inputs!$B$38&lt;&gt;"pvp",Inputs!$B$43&gt;0),((Skills!G8*((R299-1)*IF(Skills!H8&gt;0,Skills!I8/Skills!H8,1)+IF(Skills!H8&gt;0,MIN(Skills!I8,MAX(0,MAX(0,Inputs!$B$43-B329)-((R299-1)*(IF(Inputs!$B$38="pvp",15,MAX(0.1,Skills!D8-IF(Skills!E8=TRUE,Inputs!$B$32,0)))*(1-IF(AND(ArtifactsInput!$M$27,Inputs!$B$4="Chapter Hunt"),CHOOSE(ArtifactsInput!$N$27+1,20,24,28,32,36,40),0)/100)))))/Skills!H8,1)))/Inputs!$B$43),G299*Q299)+IF(AND(Inputs!$B$38&lt;&gt;"pvp",Inputs!$B$43&gt;0),((Skills!G11*((R302-1)*IF(Skills!H11&gt;0,Skills!I11/Skills!H11,1)+IF(Skills!H11&gt;0,MIN(Skills!I11,MAX(0,MAX(0,Inputs!$B$43-B329)-((R302-1)*(IF(Inputs!$B$38="pvp",15,MAX(0.1,Skills!D11-IF(Skills!E11=TRUE,Inputs!$B$32,0)))*(1-IF(AND(ArtifactsInput!$M$27,Inputs!$B$4="Chapter Hunt"),CHOOSE(ArtifactsInput!$N$27+1,20,24,28,32,36,40),0)/100)))))/Skills!H11,1)))/Inputs!$B$43),G302*Q302)))*IF(Inputs!$B$38="pvp",1,1+((Inputs!$B$20+1)+0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
        <f>IF(C305,(H305*N305*(B326+IF(AND(Inputs!$B$38&lt;&gt;"pvp",Inputs!$B$43&gt;0),((Skills!G8*((R299-1)*IF(Skills!H8&gt;0,Skills!I8/Skills!H8,1)+IF(Skills!H8&gt;0,MIN(Skills!I8,MAX(0,MAX(0,Inputs!$B$43-B329)-((R299-1)*(IF(Inputs!$B$38="pvp",15,MAX(0.1,Skills!D8-IF(Skills!E8=TRUE,Inputs!$B$32,0)))*(1-IF(AND(ArtifactsInput!$M$27,Inputs!$B$4="Chapter Hunt"),CHOOSE(ArtifactsInput!$N$27+1,20,24,28,32,36,40),0)/100)))))/Skills!H8,1)))/Inputs!$B$43),G299*Q299)+IF(AND(Inputs!$B$38&lt;&gt;"pvp",Inputs!$B$43&gt;0),((Skills!G11*((R302-1)*IF(Skills!H11&gt;0,Skills!I11/Skills!H11,1)+IF(Skills!H11&gt;0,MIN(Skills!I11,MAX(0,MAX(0,Inputs!$B$43-B329)-((R302-1)*(IF(Inputs!$B$38="pvp",15,MAX(0.1,Skills!D11-IF(Skills!E11=TRUE,Inputs!$B$32,0)))*(1-IF(AND(ArtifactsInput!$M$27,Inputs!$B$4="Chapter Hunt"),CHOOSE(ArtifactsInput!$N$27+1,20,24,28,32,36,40),0)/100)))))/Skills!H11,1)))/Inputs!$B$43),G302*Q302)))*IF(Inputs!$B$38="pvp",1,(1+(Inputs!$B$21+Skills!Q14+(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
      <c r="A306">
        <f>Skills!A15</f>
        <v/>
      </c>
      <c r="B306">
        <f>Skills!B15</f>
        <v/>
      </c>
      <c r="C306">
        <f>Inputs!$B$3&gt;=100</f>
        <v/>
      </c>
      <c r="D306">
        <f>IF(Skills!C15=1,60+Inputs!$B$25+Inputs!$B$29,IF(Skills!C15=2,90+Inputs!$B$26+Inputs!$B$29,IF(Skills!C15=3,120+Inputs!$B$27+Inputs!$B$29,MAX(0,(Inputs!$B$3-100)*3)+Inputs!$B$28+Inputs!$B$29)))</f>
        <v/>
      </c>
      <c r="E306">
        <f>INDEX(FactorTable!$B$2:$Y$301, MATCH(ROUND(MIN(300,MAX(1,D306)),0), FactorTable!$A$2:$A$301,0), Skills!M15+1)</f>
        <v/>
      </c>
      <c r="F306">
        <f>IF(Skills!N15=TRUE,(Skills!L15/10)*(E306/1000),Skills!L15/10)+Skills!O15</f>
        <v/>
      </c>
      <c r="G306" t="inlineStr"/>
      <c r="H306" t="inlineStr"/>
      <c r="I306" t="inlineStr">
        <is>
          <t>1</t>
        </is>
      </c>
      <c r="J306" t="inlineStr"/>
      <c r="K306" t="inlineStr"/>
      <c r="L306" t="inlineStr"/>
      <c r="M306" t="inlineStr"/>
      <c r="N306" t="inlineStr"/>
      <c r="O306" t="inlineStr"/>
      <c r="P306" t="inlineStr"/>
      <c r="Q306" t="inlineStr"/>
      <c r="R306" t="inlineStr"/>
      <c r="S306" t="inlineStr"/>
    </row>
    <row r="307">
      <c r="A307">
        <f>Skills!A16</f>
        <v/>
      </c>
      <c r="B307">
        <f>Skills!B16</f>
        <v/>
      </c>
      <c r="C307">
        <f>Inputs!$B$3&gt;=120</f>
        <v/>
      </c>
      <c r="D307">
        <f>IF(Skills!C16=1,60+Inputs!$B$25+Inputs!$B$29,IF(Skills!C16=2,90+Inputs!$B$26+Inputs!$B$29,IF(Skills!C16=3,120+Inputs!$B$27+Inputs!$B$29,MAX(0,(Inputs!$B$3-100)*3)+Inputs!$B$28+Inputs!$B$29)))</f>
        <v/>
      </c>
      <c r="E307">
        <f>INDEX(FactorTable!$B$2:$Y$301, MATCH(ROUND(MIN(300,MAX(1,D307)),0), FactorTable!$A$2:$A$301,0), Skills!M16+1)</f>
        <v/>
      </c>
      <c r="F307">
        <f>IF(Skills!N16=TRUE,(Skills!L16/10)*(E307/1000),Skills!L16/10)+Skills!O16</f>
        <v/>
      </c>
      <c r="G307" t="inlineStr"/>
      <c r="H307" t="inlineStr"/>
      <c r="I307" t="inlineStr">
        <is>
          <t>1</t>
        </is>
      </c>
      <c r="J307" t="inlineStr"/>
      <c r="K307" t="inlineStr"/>
      <c r="L307" t="inlineStr"/>
      <c r="M307" t="inlineStr"/>
      <c r="N307" t="inlineStr"/>
      <c r="O307" t="inlineStr"/>
      <c r="P307" t="inlineStr"/>
      <c r="Q307" t="inlineStr"/>
      <c r="R307" t="inlineStr"/>
      <c r="S307" t="inlineStr"/>
    </row>
    <row r="308">
      <c r="A308">
        <f>Skills!A17</f>
        <v/>
      </c>
      <c r="B308">
        <f>Skills!B17</f>
        <v/>
      </c>
      <c r="C308">
        <f>Inputs!$B$3&gt;=66</f>
        <v/>
      </c>
      <c r="D308">
        <f>IF(Skills!C17=1,60+Inputs!$B$25+Inputs!$B$29,IF(Skills!C17=2,90+Inputs!$B$26+Inputs!$B$29,IF(Skills!C17=3,120+Inputs!$B$27+Inputs!$B$29,MAX(0,(Inputs!$B$3-100)*3)+Inputs!$B$28+Inputs!$B$29)))</f>
        <v/>
      </c>
      <c r="E308">
        <f>INDEX(FactorTable!$B$2:$Y$301, MATCH(ROUND(MIN(300,MAX(1,D308)),0), FactorTable!$A$2:$A$301,0), Skills!M17+1)</f>
        <v/>
      </c>
      <c r="F308">
        <f>IF(Skills!N17=TRUE,(Skills!L17/10)*(E308/1000),Skills!L17/10)+Skills!O17</f>
        <v/>
      </c>
      <c r="G308">
        <f>Skills!G17*IF(Skills!H17&gt;0,Skills!I17/Skills!H17,1)</f>
        <v/>
      </c>
      <c r="H308">
        <f>1-(1-Skills!J17/100)^Skills!K17</f>
        <v/>
      </c>
      <c r="I308" t="inlineStr">
        <is>
          <t>1</t>
        </is>
      </c>
      <c r="J308" t="inlineStr"/>
      <c r="K308" t="inlineStr"/>
      <c r="L308" t="inlineStr"/>
      <c r="M308" t="inlineStr"/>
      <c r="N308" t="inlineStr"/>
      <c r="O308">
        <f>(1-Summary!$B$11)*T308+Summary!$B$11*V308</f>
        <v/>
      </c>
      <c r="P308">
        <f>IF(B332=0,0,O308/B332)</f>
        <v/>
      </c>
      <c r="Q308" t="n">
        <v>0</v>
      </c>
      <c r="R308" t="n">
        <v>0</v>
      </c>
      <c r="S308">
        <f>IFERROR(O308/N308,0)</f>
        <v/>
      </c>
      <c r="T308" t="n">
        <v>0</v>
      </c>
      <c r="V308" t="n">
        <v>0</v>
      </c>
    </row>
    <row r="309">
      <c r="A309">
        <f>Skills!A18</f>
        <v/>
      </c>
      <c r="B309">
        <f>Skills!B18</f>
        <v/>
      </c>
      <c r="C309">
        <f>Inputs!$B$3&gt;=115</f>
        <v/>
      </c>
      <c r="D309">
        <f>IF(Skills!C18=1,60+Inputs!$B$25+Inputs!$B$29,IF(Skills!C18=2,90+Inputs!$B$26+Inputs!$B$29,IF(Skills!C18=3,120+Inputs!$B$27+Inputs!$B$29,MAX(0,(Inputs!$B$3-100)*3)+Inputs!$B$28+Inputs!$B$29)))</f>
        <v/>
      </c>
      <c r="E309">
        <f>INDEX(FactorTable!$B$2:$Y$301, MATCH(ROUND(MIN(300,MAX(1,D309)),0), FactorTable!$A$2:$A$301,0), Skills!M18+1)</f>
        <v/>
      </c>
      <c r="F309">
        <f>IF(Skills!N18=TRUE,(Skills!L18/10)*(E309/1000),Skills!L18/10)+Skills!O18</f>
        <v/>
      </c>
      <c r="G309">
        <f>Skills!G18*IF(Skills!H18&gt;0,Skills!I18/Skills!H18,1)</f>
        <v/>
      </c>
      <c r="H309">
        <f>1-(1-Skills!J18/100)^Skills!K18</f>
        <v/>
      </c>
      <c r="I309" t="inlineStr">
        <is>
          <t>1</t>
        </is>
      </c>
      <c r="J309" t="inlineStr"/>
      <c r="K309" t="inlineStr"/>
      <c r="L309" t="inlineStr"/>
      <c r="M309" t="inlineStr"/>
      <c r="N309" t="inlineStr"/>
      <c r="O309">
        <f>(1-Summary!$B$11)*T309+Summary!$B$11*V309</f>
        <v/>
      </c>
      <c r="P309">
        <f>IF(B332=0,0,O309/B332)</f>
        <v/>
      </c>
      <c r="Q309">
        <f>IFERROR(1/(IF(Inputs!$B$38="pvp",15,MAX(0.1,Skills!D18-IF(Skills!E18=TRUE,Inputs!$B$32,0)))*(1-IF(AND(ArtifactsInput!$M$27,Inputs!$B$4="Chapter Hunt"),CHOOSE(ArtifactsInput!$N$27+1,20,24,28,32,36,40),0)/100)),0)</f>
        <v/>
      </c>
      <c r="R309">
        <f>IF(AND(Inputs!$B$38&lt;&gt;"pvp",Inputs!$B$43&gt;0),IF(Inputs!$B$43&lt;=0,0,(INT(Inputs!$B$43/(IF(Inputs!$B$38="pvp",15,MAX(0.1,Skills!D18-IF(Skills!E18=TRUE,Inputs!$B$32,0)))*(1-IF(AND(ArtifactsInput!$M$27,Inputs!$B$4="Chapter Hunt"),CHOOSE(ArtifactsInput!$N$27+1,20,24,28,32,36,40),0)/100)))+1)),0)</f>
        <v/>
      </c>
      <c r="S309">
        <f>IFERROR(O309/N309,0)</f>
        <v/>
      </c>
      <c r="T309" t="n">
        <v>0</v>
      </c>
      <c r="V309" t="n">
        <v>0</v>
      </c>
    </row>
    <row r="310">
      <c r="A310">
        <f>Skills!A19</f>
        <v/>
      </c>
      <c r="B310">
        <f>Skills!B19</f>
        <v/>
      </c>
      <c r="C310">
        <f>Inputs!$B$3&gt;=15</f>
        <v/>
      </c>
      <c r="D310">
        <f>IF(Skills!C19=1,60+Inputs!$B$25+Inputs!$B$29,IF(Skills!C19=2,90+Inputs!$B$26+Inputs!$B$29,IF(Skills!C19=3,120+Inputs!$B$27+Inputs!$B$29,MAX(0,(Inputs!$B$3-100)*3)+Inputs!$B$28+Inputs!$B$29)))</f>
        <v/>
      </c>
      <c r="E310">
        <f>INDEX(FactorTable!$B$2:$Y$301, MATCH(ROUND(MIN(300,MAX(1,D310)),0), FactorTable!$A$2:$A$301,0), Skills!M19+1)</f>
        <v/>
      </c>
      <c r="F310">
        <f>IF(Skills!N19=TRUE,(Skills!L19/10)*(E310/1000),Skills!L19/10)+Skills!O19</f>
        <v/>
      </c>
      <c r="G310">
        <f>Skills!G19*IF(Skills!H19&gt;0,Skills!I19/Skills!H19,1)</f>
        <v/>
      </c>
      <c r="H310">
        <f>1-(1-Skills!J19/100)^Skills!K19</f>
        <v/>
      </c>
      <c r="I310" t="inlineStr">
        <is>
          <t>1</t>
        </is>
      </c>
      <c r="J310" t="inlineStr"/>
      <c r="K310" t="inlineStr"/>
      <c r="L310" t="inlineStr"/>
      <c r="M310" t="inlineStr"/>
      <c r="N310" t="inlineStr"/>
      <c r="O310">
        <f>(1-Summary!$B$11)*T310+Summary!$B$11*V310</f>
        <v/>
      </c>
      <c r="P310">
        <f>IF(B332=0,0,O310/B332)</f>
        <v/>
      </c>
      <c r="Q310" t="n">
        <v>0</v>
      </c>
      <c r="R310" t="n">
        <v>0</v>
      </c>
      <c r="S310">
        <f>IFERROR(O310/N310,0)</f>
        <v/>
      </c>
      <c r="T310" t="n">
        <v>0</v>
      </c>
      <c r="V310" t="n">
        <v>0</v>
      </c>
    </row>
    <row r="311">
      <c r="A311">
        <f>Skills!A20</f>
        <v/>
      </c>
      <c r="B311">
        <f>Skills!B20</f>
        <v/>
      </c>
      <c r="C311">
        <f>Inputs!$B$3&gt;=10</f>
        <v/>
      </c>
      <c r="D311">
        <f>IF(Skills!C20=1,60+Inputs!$B$25+Inputs!$B$29,IF(Skills!C20=2,90+Inputs!$B$26+Inputs!$B$29,IF(Skills!C20=3,120+Inputs!$B$27+Inputs!$B$29,MAX(0,(Inputs!$B$3-100)*3)+Inputs!$B$28+Inputs!$B$29)))</f>
        <v/>
      </c>
      <c r="E311">
        <f>INDEX(FactorTable!$B$2:$Y$301, MATCH(ROUND(MIN(300,MAX(1,D311)),0), FactorTable!$A$2:$A$301,0), Skills!M20+1)</f>
        <v/>
      </c>
      <c r="F311">
        <f>IF(Skills!N20=TRUE,(Skills!L20/10)*(E311/1000),Skills!L20/10)+Skills!O20</f>
        <v/>
      </c>
      <c r="G311">
        <f>Skills!G20*IF(Skills!H20&gt;0,Skills!I20/Skills!H20,1)</f>
        <v/>
      </c>
      <c r="H311">
        <f>1-(1-Skills!J20/100)^Skills!K20</f>
        <v/>
      </c>
      <c r="I311" t="inlineStr">
        <is>
          <t>1</t>
        </is>
      </c>
      <c r="J311" t="inlineStr"/>
      <c r="K311" t="inlineStr"/>
      <c r="L311" t="inlineStr"/>
      <c r="M311" t="inlineStr"/>
      <c r="N311" t="inlineStr"/>
      <c r="O311">
        <f>(1-Summary!$B$11)*T311+Summary!$B$11*V311</f>
        <v/>
      </c>
      <c r="P311">
        <f>IF(B332=0,0,O311/B332)</f>
        <v/>
      </c>
      <c r="Q311" t="n">
        <v>0</v>
      </c>
      <c r="R311" t="n">
        <v>0</v>
      </c>
      <c r="S311">
        <f>IFERROR(O311/N311,0)</f>
        <v/>
      </c>
      <c r="T311" t="n">
        <v>0</v>
      </c>
      <c r="V311" t="n">
        <v>0</v>
      </c>
    </row>
    <row r="312">
      <c r="A312">
        <f>Skills!A21</f>
        <v/>
      </c>
      <c r="B312">
        <f>Skills!B21</f>
        <v/>
      </c>
      <c r="C312">
        <f>Inputs!$B$3&gt;=33</f>
        <v/>
      </c>
      <c r="D312">
        <f>IF(Skills!C21=1,60+Inputs!$B$25+Inputs!$B$29,IF(Skills!C21=2,90+Inputs!$B$26+Inputs!$B$29,IF(Skills!C21=3,120+Inputs!$B$27+Inputs!$B$29,MAX(0,(Inputs!$B$3-100)*3)+Inputs!$B$28+Inputs!$B$29)))</f>
        <v/>
      </c>
      <c r="E312">
        <f>INDEX(FactorTable!$B$2:$Y$301, MATCH(ROUND(MIN(300,MAX(1,D312)),0), FactorTable!$A$2:$A$301,0), Skills!M21+1)</f>
        <v/>
      </c>
      <c r="F312">
        <f>IF(Skills!N21=TRUE,(Skills!L21/10)*(E312/1000),Skills!L21/10)+Skills!O21</f>
        <v/>
      </c>
      <c r="G312">
        <f>Skills!G21*IF(Skills!H21&gt;0,Skills!I21/Skills!H21,1)</f>
        <v/>
      </c>
      <c r="H312">
        <f>1-(1-Skills!J21/100)^Skills!K21</f>
        <v/>
      </c>
      <c r="I312" t="inlineStr">
        <is>
          <t>1</t>
        </is>
      </c>
      <c r="J312" t="inlineStr"/>
      <c r="K312" t="inlineStr"/>
      <c r="L312" t="inlineStr"/>
      <c r="M312" t="inlineStr"/>
      <c r="N312" t="inlineStr"/>
      <c r="O312">
        <f>(1-Summary!$B$11)*T312+Summary!$B$11*V312</f>
        <v/>
      </c>
      <c r="P312">
        <f>IF(B332=0,0,O312/B332)</f>
        <v/>
      </c>
      <c r="Q312" t="n">
        <v>0</v>
      </c>
      <c r="R312" t="n">
        <v>0</v>
      </c>
      <c r="S312">
        <f>IFERROR(O312/N312,0)</f>
        <v/>
      </c>
      <c r="T312" t="n">
        <v>0</v>
      </c>
      <c r="V312" t="n">
        <v>0</v>
      </c>
    </row>
    <row r="313">
      <c r="A313">
        <f>Skills!A22</f>
        <v/>
      </c>
      <c r="B313">
        <f>Skills!B22</f>
        <v/>
      </c>
      <c r="C313">
        <f>Inputs!$B$3&gt;=43</f>
        <v/>
      </c>
      <c r="D313">
        <f>IF(Skills!C22=1,60+Inputs!$B$25+Inputs!$B$29,IF(Skills!C22=2,90+Inputs!$B$26+Inputs!$B$29,IF(Skills!C22=3,120+Inputs!$B$27+Inputs!$B$29,MAX(0,(Inputs!$B$3-100)*3)+Inputs!$B$28+Inputs!$B$29)))</f>
        <v/>
      </c>
      <c r="E313">
        <f>INDEX(FactorTable!$B$2:$Y$301, MATCH(ROUND(MIN(300,MAX(1,D313)),0), FactorTable!$A$2:$A$301,0), Skills!M22+1)</f>
        <v/>
      </c>
      <c r="F313">
        <f>IF(Skills!N22=TRUE,(Skills!L22/10)*(E313/1000),Skills!L22/10)+Skills!O22</f>
        <v/>
      </c>
      <c r="G313">
        <f>Skills!G22*IF(Skills!H22&gt;0,Skills!I22/Skills!H22,1)</f>
        <v/>
      </c>
      <c r="H313">
        <f>1-(1-Skills!J22/100)^Skills!K22</f>
        <v/>
      </c>
      <c r="I313" t="inlineStr">
        <is>
          <t>1</t>
        </is>
      </c>
      <c r="J313" t="inlineStr"/>
      <c r="K313" t="inlineStr"/>
      <c r="L313" t="inlineStr"/>
      <c r="M313" t="inlineStr"/>
      <c r="N313" t="inlineStr"/>
      <c r="O313">
        <f>(1-Summary!$B$11)*T313+Summary!$B$11*V313</f>
        <v/>
      </c>
      <c r="P313">
        <f>IF(B332=0,0,O313/B332)</f>
        <v/>
      </c>
      <c r="Q313" t="n">
        <v>0</v>
      </c>
      <c r="R313" t="n">
        <v>0</v>
      </c>
      <c r="S313">
        <f>IFERROR(O313/N313,0)</f>
        <v/>
      </c>
      <c r="T313" t="n">
        <v>0</v>
      </c>
      <c r="V313" t="n">
        <v>0</v>
      </c>
    </row>
    <row r="314">
      <c r="A314">
        <f>Skills!A23</f>
        <v/>
      </c>
      <c r="B314">
        <f>Skills!B23</f>
        <v/>
      </c>
      <c r="C314">
        <f>Inputs!$B$3&gt;=38</f>
        <v/>
      </c>
      <c r="D314">
        <f>IF(Skills!C23=1,60+Inputs!$B$25+Inputs!$B$29,IF(Skills!C23=2,90+Inputs!$B$26+Inputs!$B$29,IF(Skills!C23=3,120+Inputs!$B$27+Inputs!$B$29,MAX(0,(Inputs!$B$3-100)*3)+Inputs!$B$28+Inputs!$B$29)))</f>
        <v/>
      </c>
      <c r="E314">
        <f>INDEX(FactorTable!$B$2:$Y$301, MATCH(ROUND(MIN(300,MAX(1,D314)),0), FactorTable!$A$2:$A$301,0), Skills!M23+1)</f>
        <v/>
      </c>
      <c r="F314">
        <f>IF(Skills!N23=TRUE,(Skills!L23/10)*(E314/1000),Skills!L23/10)+Skills!O23</f>
        <v/>
      </c>
      <c r="G314">
        <f>Skills!G23*IF(Skills!H23&gt;0,Skills!I23/Skills!H23,1)</f>
        <v/>
      </c>
      <c r="H314">
        <f>1-(1-Skills!J23/100)^Skills!K23</f>
        <v/>
      </c>
      <c r="I314" t="inlineStr">
        <is>
          <t>1</t>
        </is>
      </c>
      <c r="J314" t="inlineStr"/>
      <c r="K314" t="inlineStr"/>
      <c r="L314" t="inlineStr"/>
      <c r="M314" t="inlineStr"/>
      <c r="N314" t="inlineStr"/>
      <c r="O314">
        <f>(1-Summary!$B$11)*T314+Summary!$B$11*V314</f>
        <v/>
      </c>
      <c r="P314">
        <f>IF(B332=0,0,O314/B332)</f>
        <v/>
      </c>
      <c r="Q314" t="n">
        <v>0</v>
      </c>
      <c r="R314" t="n">
        <v>0</v>
      </c>
      <c r="S314">
        <f>IFERROR(O314/N314,0)</f>
        <v/>
      </c>
      <c r="T314" t="n">
        <v>0</v>
      </c>
      <c r="V314" t="n">
        <v>0</v>
      </c>
    </row>
    <row r="315">
      <c r="A315">
        <f>Skills!A24</f>
        <v/>
      </c>
      <c r="B315">
        <f>Skills!B24</f>
        <v/>
      </c>
      <c r="C315">
        <f>Inputs!$B$3&gt;=40</f>
        <v/>
      </c>
      <c r="D315">
        <f>IF(Skills!C24=1,60+Inputs!$B$25+Inputs!$B$29,IF(Skills!C24=2,90+Inputs!$B$26+Inputs!$B$29,IF(Skills!C24=3,120+Inputs!$B$27+Inputs!$B$29,MAX(0,(Inputs!$B$3-100)*3)+Inputs!$B$28+Inputs!$B$29)))</f>
        <v/>
      </c>
      <c r="E315">
        <f>INDEX(FactorTable!$B$2:$Y$301, MATCH(ROUND(MIN(300,MAX(1,D315)),0), FactorTable!$A$2:$A$301,0), Skills!M24+1)</f>
        <v/>
      </c>
      <c r="F315">
        <f>IF(Skills!N24=TRUE,(Skills!L24/10)*(E315/1000),Skills!L24/10)+Skills!O24</f>
        <v/>
      </c>
      <c r="G315">
        <f>Skills!G24*IF(Skills!H24&gt;0,Skills!I24/Skills!H24,1)</f>
        <v/>
      </c>
      <c r="H315">
        <f>1-(1-Skills!J24/100)^Skills!K24</f>
        <v/>
      </c>
      <c r="I315" t="inlineStr">
        <is>
          <t>1</t>
        </is>
      </c>
      <c r="J315" t="inlineStr"/>
      <c r="K315" t="inlineStr"/>
      <c r="L315" t="inlineStr"/>
      <c r="M315" t="inlineStr"/>
      <c r="N315" t="inlineStr"/>
      <c r="O315">
        <f>(1-Summary!$B$11)*T315+Summary!$B$11*V315</f>
        <v/>
      </c>
      <c r="P315">
        <f>IF(B332=0,0,O315/B332)</f>
        <v/>
      </c>
      <c r="Q315" t="n">
        <v>0</v>
      </c>
      <c r="R315" t="n">
        <v>0</v>
      </c>
      <c r="S315">
        <f>IFERROR(O315/N315,0)</f>
        <v/>
      </c>
      <c r="T315" t="n">
        <v>0</v>
      </c>
      <c r="V315" t="n">
        <v>0</v>
      </c>
    </row>
    <row r="316">
      <c r="A316">
        <f>Skills!A25</f>
        <v/>
      </c>
      <c r="B316">
        <f>Skills!B25</f>
        <v/>
      </c>
      <c r="C316">
        <f>Inputs!$B$3&gt;=72</f>
        <v/>
      </c>
      <c r="D316">
        <f>IF(Skills!C25=1,60+Inputs!$B$25+Inputs!$B$29,IF(Skills!C25=2,90+Inputs!$B$26+Inputs!$B$29,IF(Skills!C25=3,120+Inputs!$B$27+Inputs!$B$29,MAX(0,(Inputs!$B$3-100)*3)+Inputs!$B$28+Inputs!$B$29)))</f>
        <v/>
      </c>
      <c r="E316">
        <f>INDEX(FactorTable!$B$2:$Y$301, MATCH(ROUND(MIN(300,MAX(1,D316)),0), FactorTable!$A$2:$A$301,0), Skills!M25+1)</f>
        <v/>
      </c>
      <c r="F316">
        <f>IF(Skills!N25=TRUE,(Skills!L25/10)*(E316/1000),Skills!L25/10)+Skills!O25</f>
        <v/>
      </c>
      <c r="G316">
        <f>Skills!G25*IF(Skills!H25&gt;0,Skills!I25/Skills!H25,1)</f>
        <v/>
      </c>
      <c r="H316">
        <f>1-(1-Skills!J25/100)^Skills!K25</f>
        <v/>
      </c>
      <c r="I316" t="inlineStr">
        <is>
          <t>1</t>
        </is>
      </c>
      <c r="J316" t="inlineStr"/>
      <c r="K316" t="inlineStr"/>
      <c r="L316" t="inlineStr"/>
      <c r="M316" t="inlineStr"/>
      <c r="N316" t="inlineStr"/>
      <c r="O316">
        <f>(1-Summary!$B$11)*T316+Summary!$B$11*V316</f>
        <v/>
      </c>
      <c r="P316">
        <f>IF(B332=0,0,O316/B332)</f>
        <v/>
      </c>
      <c r="Q316" t="n">
        <v>0</v>
      </c>
      <c r="R316" t="n">
        <v>0</v>
      </c>
      <c r="S316">
        <f>IFERROR(O316/N316,0)</f>
        <v/>
      </c>
      <c r="T316" t="n">
        <v>0</v>
      </c>
      <c r="V316" t="n">
        <v>0</v>
      </c>
    </row>
    <row r="317">
      <c r="A317">
        <f>Skills!A26</f>
        <v/>
      </c>
      <c r="B317">
        <f>Skills!B26</f>
        <v/>
      </c>
      <c r="C317">
        <f>Inputs!$B$3&gt;=75</f>
        <v/>
      </c>
      <c r="D317">
        <f>IF(Skills!C26=1,60+Inputs!$B$25+Inputs!$B$29,IF(Skills!C26=2,90+Inputs!$B$26+Inputs!$B$29,IF(Skills!C26=3,120+Inputs!$B$27+Inputs!$B$29,MAX(0,(Inputs!$B$3-100)*3)+Inputs!$B$28+Inputs!$B$29)))</f>
        <v/>
      </c>
      <c r="E317">
        <f>INDEX(FactorTable!$B$2:$Y$301, MATCH(ROUND(MIN(300,MAX(1,D317)),0), FactorTable!$A$2:$A$301,0), Skills!M26+1)</f>
        <v/>
      </c>
      <c r="F317">
        <f>IF(Skills!N26=TRUE,(Skills!L26/10)*(E317/1000),Skills!L26/10)+Skills!O26</f>
        <v/>
      </c>
      <c r="G317">
        <f>Skills!G26*IF(Skills!H26&gt;0,Skills!I26/Skills!H26,1)</f>
        <v/>
      </c>
      <c r="H317">
        <f>1-(1-Skills!J26/100)^Skills!K26</f>
        <v/>
      </c>
      <c r="I317" t="inlineStr">
        <is>
          <t>1</t>
        </is>
      </c>
      <c r="J317" t="inlineStr"/>
      <c r="K317" t="inlineStr"/>
      <c r="L317" t="inlineStr"/>
      <c r="M317" t="inlineStr"/>
      <c r="N317" t="inlineStr"/>
      <c r="O317">
        <f>(1-Summary!$B$11)*T317+Summary!$B$11*V317</f>
        <v/>
      </c>
      <c r="P317">
        <f>IF(B332=0,0,O317/B332)</f>
        <v/>
      </c>
      <c r="Q317" t="n">
        <v>0</v>
      </c>
      <c r="R317" t="n">
        <v>0</v>
      </c>
      <c r="S317">
        <f>IFERROR(O317/N317,0)</f>
        <v/>
      </c>
      <c r="T317" t="n">
        <v>0</v>
      </c>
      <c r="V317" t="n">
        <v>0</v>
      </c>
    </row>
    <row r="318">
      <c r="A318">
        <f>Skills!A27</f>
        <v/>
      </c>
      <c r="B318">
        <f>Skills!B27</f>
        <v/>
      </c>
      <c r="C318">
        <f>Inputs!$B$3&gt;=117</f>
        <v/>
      </c>
      <c r="D318">
        <f>IF(Skills!C27=1,60+Inputs!$B$25+Inputs!$B$29,IF(Skills!C27=2,90+Inputs!$B$26+Inputs!$B$29,IF(Skills!C27=3,120+Inputs!$B$27+Inputs!$B$29,MAX(0,(Inputs!$B$3-100)*3)+Inputs!$B$28+Inputs!$B$29)))</f>
        <v/>
      </c>
      <c r="E318">
        <f>INDEX(FactorTable!$B$2:$Y$301, MATCH(ROUND(MIN(300,MAX(1,D318)),0), FactorTable!$A$2:$A$301,0), Skills!M27+1)</f>
        <v/>
      </c>
      <c r="F318">
        <f>IF(Skills!N27=TRUE,(Skills!L27/10)*(E318/1000),Skills!L27/10)+Skills!O27</f>
        <v/>
      </c>
      <c r="G318">
        <f>Skills!G27*IF(Skills!H27&gt;0,Skills!I27/Skills!H27,1)</f>
        <v/>
      </c>
      <c r="H318">
        <f>1-(1-Skills!J27/100)^Skills!K27</f>
        <v/>
      </c>
      <c r="I318" t="inlineStr">
        <is>
          <t>1</t>
        </is>
      </c>
      <c r="J318" t="inlineStr"/>
      <c r="K318" t="inlineStr"/>
      <c r="L318" t="inlineStr"/>
      <c r="M318" t="inlineStr"/>
      <c r="N318" t="inlineStr"/>
      <c r="O318">
        <f>(1-Summary!$B$11)*T318+Summary!$B$11*V318</f>
        <v/>
      </c>
      <c r="P318">
        <f>IF(B332=0,0,O318/B332)</f>
        <v/>
      </c>
      <c r="Q318" t="n">
        <v>0</v>
      </c>
      <c r="R318" t="n">
        <v>0</v>
      </c>
      <c r="S318">
        <f>IFERROR(O318/N318,0)</f>
        <v/>
      </c>
      <c r="T318" t="n">
        <v>0</v>
      </c>
      <c r="V318" t="n">
        <v>0</v>
      </c>
    </row>
    <row r="319">
      <c r="A319">
        <f>Skills!A28</f>
        <v/>
      </c>
      <c r="B319">
        <f>Skills!B28</f>
        <v/>
      </c>
      <c r="C319">
        <f>TRUE</f>
        <v/>
      </c>
      <c r="D319">
        <f>IF(Skills!C28=1,60+Inputs!$B$25+Inputs!$B$29,IF(Skills!C28=2,90+Inputs!$B$26+Inputs!$B$29,IF(Skills!C28=3,120+Inputs!$B$27+Inputs!$B$29,MAX(0,(Inputs!$B$3-100)*3)+Inputs!$B$28+Inputs!$B$29)))</f>
        <v/>
      </c>
      <c r="E319">
        <f>INDEX(FactorTable!$B$2:$Y$301, MATCH(ROUND(MIN(300,MAX(1,D319)),0), FactorTable!$A$2:$A$301,0), Skills!M28+1)</f>
        <v/>
      </c>
      <c r="F319">
        <f>IF(Skills!N28=TRUE,(Skills!L28/10)*(E319/1000),Skills!L28/10)+Skills!O28</f>
        <v/>
      </c>
      <c r="G319">
        <f>Skills!G28*IF(Skills!H28&gt;0,Skills!I28/Skills!H28,1)</f>
        <v/>
      </c>
      <c r="H319">
        <f>1-(1-Skills!J28/100)^Skills!K28</f>
        <v/>
      </c>
      <c r="I319" t="inlineStr">
        <is>
          <t>1</t>
        </is>
      </c>
      <c r="J319" t="inlineStr"/>
      <c r="K319" t="inlineStr"/>
      <c r="L319" t="inlineStr"/>
      <c r="M319" t="inlineStr"/>
      <c r="N319" t="inlineStr"/>
      <c r="O319">
        <f>(1-Summary!$B$11)*T319+Summary!$B$11*V319</f>
        <v/>
      </c>
      <c r="P319">
        <f>IF(B332=0,0,O319/B332)</f>
        <v/>
      </c>
      <c r="Q319">
        <f>IFERROR(1/(IF(Inputs!$B$38="pvp",15,MAX(0.1,Skills!D28-IF(Skills!E28=TRUE,Inputs!$B$32,0)))*(1-IF(AND(ArtifactsInput!$M$27,Inputs!$B$4="Chapter Hunt"),CHOOSE(ArtifactsInput!$N$27+1,20,24,28,32,36,40),0)/100)),0)</f>
        <v/>
      </c>
      <c r="R319">
        <f>IF(AND(Inputs!$B$38&lt;&gt;"pvp",Inputs!$B$43&gt;0),IF(Inputs!$B$43&lt;=0,0,(INT(Inputs!$B$43/(IF(Inputs!$B$38="pvp",15,MAX(0.1,Skills!D28-IF(Skills!E28=TRUE,Inputs!$B$32,0)))*(1-IF(AND(ArtifactsInput!$M$27,Inputs!$B$4="Chapter Hunt"),CHOOSE(ArtifactsInput!$N$27+1,20,24,28,32,36,40),0)/100)))+1)),0)</f>
        <v/>
      </c>
      <c r="S319">
        <f>IFERROR(O319/N319,0)</f>
        <v/>
      </c>
      <c r="T319" t="n">
        <v>0</v>
      </c>
      <c r="V319" t="n">
        <v>0</v>
      </c>
    </row>
    <row r="321">
      <c r="A321" t="inlineStr">
        <is>
          <t>Attack% Bucket Multiplier</t>
        </is>
      </c>
      <c r="B321">
        <f>(1+(((C308=TRUE)*F308*5/7)+((C315=TRUE)*(F315-Calc!F24))+(IF(ArtifactsInput!$M$21,CHOOSE(ArtifactsInput!$N$21+1,25,30,35,40,45,50)*(IF(OR(Inputs!$B$4="Chapter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2">
      <c r="A322" t="inlineStr">
        <is>
          <t>Global Crit Rate Bonus %</t>
        </is>
      </c>
      <c r="B322" t="n">
        <v>0</v>
      </c>
    </row>
    <row r="323">
      <c r="A323" t="inlineStr">
        <is>
          <t>Attack Speed Buff Bonus % (Nimble Feet, duty-cycle averaged)</t>
        </is>
      </c>
      <c r="B323">
        <f>((C319=TRUE)*F319*IF(AND(Inputs!$B$38&lt;&gt;"pvp",Inputs!$B$43&gt;0),(((R319-1)*(Skills!T28*(1+Inputs!$B$34/100))+MIN((Skills!T28*(1+Inputs!$B$34/100)),MAX(0,Inputs!$B$43-((R319-1)*Skills!D28))))/Inputs!$B$43),IF(Inputs!$B$38="pvp",MIN((Skills!T28*(1+Inputs!$B$34/100)),15)/15,(Skills!T28*(1+Inputs!$B$34/100))/Skills!D28)))</f>
        <v/>
      </c>
    </row>
    <row r="324">
      <c r="A324" t="inlineStr">
        <is>
          <t>Actions Per Second</t>
        </is>
      </c>
      <c r="B324">
        <f>1+MIN(150,150*(1-(1-(Inputs!$B$11+((C311=TRUE)*(F311-Calc!F20))+((C312=TRUE)*(F312-Calc!F21)))/150)*(1-B323/150)))/100</f>
        <v/>
      </c>
    </row>
    <row r="325">
      <c r="A325" t="inlineStr">
        <is>
          <t>Skill + Buff Cast Rate</t>
        </is>
      </c>
      <c r="B325">
        <f>IF(AND(Inputs!$B$38&lt;&gt;"pvp",Inputs!$B$43&gt;0),SUMPRODUCT((Skills!E2:E28=TRUE)*(C293:C319=TRUE)*R293:R319*Skills!F2:F28)/Inputs!$B$43,SUMPRODUCT((Skills!E2:E28=TRUE)*(C293:C319=TRUE)*Q293:Q319*Skills!F2:F28))</f>
        <v/>
      </c>
    </row>
    <row r="326">
      <c r="A326" t="inlineStr">
        <is>
          <t>Eight-Legs Easton Casts Per Second</t>
        </is>
      </c>
      <c r="B326">
        <f>MAX(0,B324-B325)</f>
        <v/>
      </c>
    </row>
    <row r="327">
      <c r="A327" t="inlineStr">
        <is>
          <t>Global Critical Damage Bonus % (unused)</t>
        </is>
      </c>
      <c r="B327" t="n">
        <v>0</v>
      </c>
    </row>
    <row r="328">
      <c r="A328" t="inlineStr">
        <is>
          <t>Global Final Damage Bonus % (Jolly Roger + Ahoy Mateys - Final Damage proc)</t>
        </is>
      </c>
      <c r="B328">
        <f>((C309=TRUE)*F309*IF(AND(Inputs!$B$38&lt;&gt;"pvp",Inputs!$B$43&gt;0),(((R309-1)*(Skills!T18*(1+Inputs!$B$34/100))+MIN((Skills!T18*(1+Inputs!$B$34/100)),MAX(0,Inputs!$B$43-((R309-1)*Skills!D18))))/Inputs!$B$43),IF(Inputs!$B$38="pvp",MIN((Skills!T18*(1+Inputs!$B$34/100)),15)/15,(Skills!T18*(1+Inputs!$B$34/100))/Skills!D18)))+IF(Inputs!$B$3&gt;=122,20*IF(Inputs!$B$38="pvp",MIN((20*(1+Inputs!$B$34/100)),15)/15,(20*(1+Inputs!$B$34/100))/Skills!D4),0)</f>
        <v/>
      </c>
    </row>
    <row r="329">
      <c r="A329" t="inlineStr">
        <is>
          <t>Buff-Casting Startup Delay (s, fixed-duration only)</t>
        </is>
      </c>
      <c r="B329">
        <f>IF(AND(Inputs!$B$38&lt;&gt;"pvp",Inputs!$B$43&gt;0),SUMPRODUCT((Skills!T2:T28&gt;0)*(Skills!E2:E28=TRUE)*(C293:C319=TRUE))/B324,0)</f>
        <v/>
      </c>
    </row>
    <row r="330">
      <c r="A330" t="inlineStr">
        <is>
          <t>Boss-Only Total DPS (this block's swept value)</t>
        </is>
      </c>
      <c r="B330">
        <f>SUM(T293:T319)</f>
        <v/>
      </c>
    </row>
    <row r="331">
      <c r="A331" t="inlineStr">
        <is>
          <t>Normal-Only Total DPS (this block's swept value)</t>
        </is>
      </c>
      <c r="B331">
        <f>SUM(V293:V319)</f>
        <v/>
      </c>
    </row>
    <row r="332">
      <c r="A332" s="6" t="inlineStr">
        <is>
          <t>TOTAL DPS</t>
        </is>
      </c>
      <c r="B332" s="6">
        <f>SUM(O293:O319)</f>
        <v/>
      </c>
    </row>
    <row r="335">
      <c r="A335" s="6" t="inlineStr">
        <is>
          <t>Stat: NORMAL_DAMAGE %</t>
        </is>
      </c>
    </row>
    <row r="336">
      <c r="A336" s="5" t="inlineStr">
        <is>
          <t>Key</t>
        </is>
      </c>
      <c r="B336" s="5" t="inlineStr">
        <is>
          <t>Name</t>
        </is>
      </c>
      <c r="C336" s="5" t="inlineStr">
        <is>
          <t>Unlocked</t>
        </is>
      </c>
      <c r="D336" s="5" t="inlineStr">
        <is>
          <t>InputLevel</t>
        </is>
      </c>
      <c r="E336" s="5" t="inlineStr">
        <is>
          <t>Factor</t>
        </is>
      </c>
      <c r="F336" s="5" t="inlineStr">
        <is>
          <t>CoefficientPercent</t>
        </is>
      </c>
      <c r="G336" s="5" t="inlineStr">
        <is>
          <t>EffectiveHits</t>
        </is>
      </c>
      <c r="H336" s="5" t="inlineStr">
        <is>
          <t>ProcProbability</t>
        </is>
      </c>
      <c r="I336" s="5" t="inlineStr">
        <is>
          <t>MapleHeroMultiplier</t>
        </is>
      </c>
      <c r="J336" s="5" t="inlineStr">
        <is>
          <t>BaseDamage</t>
        </is>
      </c>
      <c r="K336" s="5" t="inlineStr">
        <is>
          <t>BaseHitDamage</t>
        </is>
      </c>
      <c r="L336" s="5" t="inlineStr">
        <is>
          <t>NonCritAvg</t>
        </is>
      </c>
      <c r="M336" s="5" t="inlineStr">
        <is>
          <t>CritAvg</t>
        </is>
      </c>
      <c r="N336" s="5" t="inlineStr">
        <is>
          <t>ExpectedDamage(perHit)</t>
        </is>
      </c>
      <c r="O336" s="5" t="inlineStr">
        <is>
          <t>DPS</t>
        </is>
      </c>
      <c r="P336" s="5" t="inlineStr">
        <is>
          <t>% of Total</t>
        </is>
      </c>
      <c r="Q336" s="5" t="inlineStr">
        <is>
          <t>InvCooldown</t>
        </is>
      </c>
      <c r="R336" s="5" t="inlineStr">
        <is>
          <t>CastsInFight</t>
        </is>
      </c>
      <c r="S336" s="5" t="inlineStr">
        <is>
          <t>HitRate(perSec)</t>
        </is>
      </c>
      <c r="U336" t="inlineStr">
        <is>
          <t>helpers</t>
        </is>
      </c>
    </row>
    <row r="337">
      <c r="A337">
        <f>Skills!A2</f>
        <v/>
      </c>
      <c r="B337">
        <f>Skills!B2</f>
        <v/>
      </c>
      <c r="C337">
        <f>Inputs!$B$3&gt;=100</f>
        <v/>
      </c>
      <c r="D337" t="inlineStr"/>
      <c r="E337" t="inlineStr"/>
      <c r="F337">
        <f>U339+Skills!O2</f>
        <v/>
      </c>
      <c r="G337">
        <f>Skills!G2*IF(Skills!H2&gt;0,Skills!I2/Skills!H2,1)</f>
        <v/>
      </c>
      <c r="H337">
        <f>1-(1-Skills!J2/100)^Skills!K2</f>
        <v/>
      </c>
      <c r="I337" t="inlineStr">
        <is>
          <t>1</t>
        </is>
      </c>
      <c r="J337">
        <f>((Inputs!$B$6*(1+Inputs!$B$7/100))+(((Inputs!$B$12*(1+Inputs!$B$13/100))-(Inputs!$B$12*(1+Inputs!$B$13/100)))+0.25*(Inputs!$B$14-Inputs!$B$14))*(1+Inputs!$B$7/100))*(F337/100)</f>
        <v/>
      </c>
      <c r="K337">
        <f>J337*(1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337)</f>
        <v/>
      </c>
      <c r="L337">
        <f>K337*(MIN(Inputs!$B$22+((C357=TRUE)*(F357-Calc!F22)),(Inputs!$B$23+0+(IF(ArtifactsInput!$M$15,CHOOSE(ArtifactsInput!$N$15+1,25,30,35,40,45,50)/100*(Inputs!$B$11-Inputs!$B$11),0))))/100+(Inputs!$B$23+0+(IF(ArtifactsInput!$M$15,CHOOSE(ArtifactsInput!$N$15+1,25,30,35,40,45,50)/100*(Inputs!$B$11-Inputs!$B$11),0)))/100)/2</f>
        <v/>
      </c>
      <c r="M337">
        <f>L337*(1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7">
        <f>L337*(1-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337*(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7">
        <f>(1-Summary!$B$11)*T337+Summary!$B$11*V337</f>
        <v/>
      </c>
      <c r="P337">
        <f>IF(B376=0,0,O337/B376)</f>
        <v/>
      </c>
      <c r="Q337" t="n">
        <v>0</v>
      </c>
      <c r="R337" t="n">
        <v>0</v>
      </c>
      <c r="S337">
        <f>IFERROR(O337/N337,0)</f>
        <v/>
      </c>
      <c r="T337">
        <f>IF(C337,(Skills!G2*N337*B370)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337*(1-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337*(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337*(1-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337*(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7">
        <f>MAX(0,(Inputs!$B$3-100)*3)+Inputs!$B$28+Inputs!$B$29</f>
        <v/>
      </c>
      <c r="V337">
        <f>IF(C337,(Skills!G2*N337*B370)*IF(Inputs!$B$38="pvp",1,(1+((Inputs!$B$21+1)+Skills!Q2+(IF(ArtifactsInput!$M$33,CHOOSE(ArtifactsInput!$N$33+1,30,36,42,48,54,60),0))+(IF(AND(ArtifactsInput!$M$35,Inputs!$B$4&lt;&gt;"Chapter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8">
      <c r="A338">
        <f>Skills!A3</f>
        <v/>
      </c>
      <c r="B338">
        <f>Skills!B3</f>
        <v/>
      </c>
      <c r="C338">
        <f>Inputs!$B$3&gt;=35</f>
        <v/>
      </c>
      <c r="D338">
        <f>IF(Skills!C3=1,60+Inputs!$B$25+Inputs!$B$29,IF(Skills!C3=2,90+Inputs!$B$26+Inputs!$B$29,IF(Skills!C3=3,120+Inputs!$B$27+Inputs!$B$29,MAX(0,(Inputs!$B$3-100)*3)+Inputs!$B$28+Inputs!$B$29)))</f>
        <v/>
      </c>
      <c r="E338">
        <f>INDEX(FactorTable!$B$2:$Y$301, MATCH(ROUND(MIN(300,MAX(1,D338)),0), FactorTable!$A$2:$A$301,0), Skills!M3+1)</f>
        <v/>
      </c>
      <c r="F338">
        <f>IF(Skills!N3=TRUE,(Skills!L3/10)*(E338/1000),Skills!L3/10)+Skills!O3</f>
        <v/>
      </c>
      <c r="G338">
        <f>Skills!G3*IF(Skills!H3&gt;0,Skills!I3/Skills!H3,1)</f>
        <v/>
      </c>
      <c r="H338">
        <f>1-(1-Skills!J3/100)^Skills!K3</f>
        <v/>
      </c>
      <c r="I338" t="inlineStr">
        <is>
          <t>1</t>
        </is>
      </c>
      <c r="J338">
        <f>((Inputs!$B$6*(1+Inputs!$B$7/100))+(((Inputs!$B$12*(1+Inputs!$B$13/100))-(Inputs!$B$12*(1+Inputs!$B$13/100)))+0.25*(Inputs!$B$14-Inputs!$B$14))*(1+Inputs!$B$7/100))*(F338/100)</f>
        <v/>
      </c>
      <c r="K338">
        <f>J338*(1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350=TRUE,F350,0)/100)*(1+(IF(Skills!A3="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338)</f>
        <v/>
      </c>
      <c r="L338">
        <f>K338*(MIN(Inputs!$B$22+((C357=TRUE)*(F357-Calc!F22)),(Inputs!$B$23+0+(IF(ArtifactsInput!$M$15,CHOOSE(ArtifactsInput!$N$15+1,25,30,35,40,45,50)/100*(Inputs!$B$11-Inputs!$B$11),0))))/100+(Inputs!$B$23+0+(IF(ArtifactsInput!$M$15,CHOOSE(ArtifactsInput!$N$15+1,25,30,35,40,45,50)/100*(Inputs!$B$11-Inputs!$B$11),0)))/100)/2</f>
        <v/>
      </c>
      <c r="M338">
        <f>L338*(1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8">
        <f>L338*(1-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338*(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8">
        <f>(1-Summary!$B$11)*T338+Summary!$B$11*V338</f>
        <v/>
      </c>
      <c r="P338">
        <f>IF(B376=0,0,O338/B376)</f>
        <v/>
      </c>
      <c r="Q338">
        <f>IFERROR(1/(IF(Inputs!$B$38="pvp",15,MAX(0.1,Skills!D3-IF(Skills!E3=TRUE,Inputs!$B$32,0)))*(1-IF(AND(ArtifactsInput!$M$27,Inputs!$B$4="Chapter Hunt"),CHOOSE(ArtifactsInput!$N$27+1,20,24,28,32,36,40),0)/100)),0)</f>
        <v/>
      </c>
      <c r="R338">
        <f>IF(AND(Inputs!$B$38&lt;&gt;"pvp",Inputs!$B$43&gt;0),IF(MAX(0,Inputs!$B$43-B373)&lt;=0,0,(INT(MAX(0,Inputs!$B$43-B373)/(IF(Inputs!$B$38="pvp",15,MAX(0.1,Skills!D3-IF(Skills!E3=TRUE,Inputs!$B$32,0)))*(1-IF(AND(ArtifactsInput!$M$27,Inputs!$B$4="Chapter Hunt"),CHOOSE(ArtifactsInput!$N$27+1,20,24,28,32,36,40),0)/100)))+1)),0)</f>
        <v/>
      </c>
      <c r="S338">
        <f>IFERROR(O338/N338,0)</f>
        <v/>
      </c>
      <c r="T338">
        <f>IF(C338,(H338*N338*IF(AND(Inputs!$B$38&lt;&gt;"pvp",Inputs!$B$43&gt;0),((Skills!G3*((R338-1)*IF(Skills!H3&gt;0,Skills!I3/Skills!H3,1)+IF(Skills!H3&gt;0,MIN(Skills!I3,MAX(0,MAX(0,Inputs!$B$43-B373)-((R338-1)*(IF(Inputs!$B$38="pvp",15,MAX(0.1,Skills!D3-IF(Skills!E3=TRUE,Inputs!$B$32,0)))*(1-IF(AND(ArtifactsInput!$M$27,Inputs!$B$4="Chapter Hunt"),CHOOSE(ArtifactsInput!$N$27+1,20,24,28,32,36,40),0)/100)))))/Skills!H3,1)))/Inputs!$B$43),G338*Q338)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338*(1-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338*(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338*(1-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338*(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8">
        <f>INDEX(FactorTable!$B$2:$Y$301, MATCH(ROUND(MIN(300,MAX(1,U337)),0), FactorTable!$A$2:$A$301,0), 22)</f>
        <v/>
      </c>
      <c r="V338">
        <f>IF(C338,(H338*N338*IF(AND(Inputs!$B$38&lt;&gt;"pvp",Inputs!$B$43&gt;0),((Skills!G3*((R338-1)*IF(Skills!H3&gt;0,Skills!I3/Skills!H3,1)+IF(Skills!H3&gt;0,MIN(Skills!I3,MAX(0,MAX(0,Inputs!$B$43-B373)-((R338-1)*(IF(Inputs!$B$38="pvp",15,MAX(0.1,Skills!D3-IF(Skills!E3=TRUE,Inputs!$B$32,0)))*(1-IF(AND(ArtifactsInput!$M$27,Inputs!$B$4="Chapter Hunt"),CHOOSE(ArtifactsInput!$N$27+1,20,24,28,32,36,40),0)/100)))))/Skills!H3,1)))/Inputs!$B$43),G338*Q338))*IF(Inputs!$B$38="pvp",1,(1+((Inputs!$B$21+1)+Skills!Q3+(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9">
      <c r="A339">
        <f>Skills!A4</f>
        <v/>
      </c>
      <c r="B339">
        <f>Skills!B4</f>
        <v/>
      </c>
      <c r="C339">
        <f>Inputs!$B$3&gt;=40</f>
        <v/>
      </c>
      <c r="D339">
        <f>IF(Skills!C4=1,60+Inputs!$B$25+Inputs!$B$29,IF(Skills!C4=2,90+Inputs!$B$26+Inputs!$B$29,IF(Skills!C4=3,120+Inputs!$B$27+Inputs!$B$29,MAX(0,(Inputs!$B$3-100)*3)+Inputs!$B$28+Inputs!$B$29)))</f>
        <v/>
      </c>
      <c r="E339">
        <f>INDEX(FactorTable!$B$2:$Y$301, MATCH(ROUND(MIN(300,MAX(1,D339)),0), FactorTable!$A$2:$A$301,0), Skills!M4+1)</f>
        <v/>
      </c>
      <c r="F339">
        <f>IF(Skills!N4=TRUE,(Skills!L4/10)*(E339/1000),Skills!L4/10)+Skills!O4</f>
        <v/>
      </c>
      <c r="G339">
        <f>Skills!G4*IF(Skills!H4&gt;0,Skills!I4/Skills!H4,1)</f>
        <v/>
      </c>
      <c r="H339">
        <f>1-(1-Skills!J4/100)^Skills!K4</f>
        <v/>
      </c>
      <c r="I339" t="inlineStr">
        <is>
          <t>1</t>
        </is>
      </c>
      <c r="J339">
        <f>((Inputs!$B$6*(1+Inputs!$B$7/100))+(((Inputs!$B$12*(1+Inputs!$B$13/100))-(Inputs!$B$12*(1+Inputs!$B$13/100)))+0.25*(Inputs!$B$14-Inputs!$B$14))*(1+Inputs!$B$7/100))*(F339/100)</f>
        <v/>
      </c>
      <c r="K339">
        <f>J339*(1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351=TRUE,F351,0)/100)*(1+(IF(Skills!A4="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339)</f>
        <v/>
      </c>
      <c r="L339">
        <f>K339*(MIN(Inputs!$B$22+((C357=TRUE)*(F357-Calc!F22)),(Inputs!$B$23+0+(IF(ArtifactsInput!$M$15,CHOOSE(ArtifactsInput!$N$15+1,25,30,35,40,45,50)/100*(Inputs!$B$11-Inputs!$B$11),0))))/100+(Inputs!$B$23+0+(IF(ArtifactsInput!$M$15,CHOOSE(ArtifactsInput!$N$15+1,25,30,35,40,45,50)/100*(Inputs!$B$11-Inputs!$B$11),0)))/100)/2</f>
        <v/>
      </c>
      <c r="M339">
        <f>L339*(1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9">
        <f>L339*(1-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339*(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9">
        <f>(1-Summary!$B$11)*T339+Summary!$B$11*V339</f>
        <v/>
      </c>
      <c r="P339">
        <f>IF(B376=0,0,O339/B376)</f>
        <v/>
      </c>
      <c r="Q339">
        <f>IFERROR(1/(IF(Inputs!$B$38="pvp",15,MAX(0.1,Skills!D4-IF(Skills!E4=TRUE,Inputs!$B$32,0)))*(1-IF(AND(ArtifactsInput!$M$27,Inputs!$B$4="Chapter Hunt"),CHOOSE(ArtifactsInput!$N$27+1,20,24,28,32,36,40),0)/100)),0)</f>
        <v/>
      </c>
      <c r="R339">
        <f>IF(AND(Inputs!$B$38&lt;&gt;"pvp",Inputs!$B$43&gt;0),IF(MAX(0,Inputs!$B$43-B373)&lt;=0,0,(INT(MAX(0,Inputs!$B$43-B373)/(IF(Inputs!$B$38="pvp",15,MAX(0.1,Skills!D4-IF(Skills!E4=TRUE,Inputs!$B$32,0)))*(1-IF(AND(ArtifactsInput!$M$27,Inputs!$B$4="Chapter Hunt"),CHOOSE(ArtifactsInput!$N$27+1,20,24,28,32,36,40),0)/100)))+1)),0)</f>
        <v/>
      </c>
      <c r="S339">
        <f>IFERROR(O339/N339,0)</f>
        <v/>
      </c>
      <c r="T339">
        <f>IF(C339,(H339*N339*IF(AND(Inputs!$B$38&lt;&gt;"pvp",Inputs!$B$43&gt;0),((Skills!G4*((R339-1)*IF(Skills!H4&gt;0,Skills!I4/Skills!H4,1)+IF(Skills!H4&gt;0,MIN(Skills!I4,MAX(0,MAX(0,Inputs!$B$43-B373)-((R339-1)*(IF(Inputs!$B$38="pvp",15,MAX(0.1,Skills!D4-IF(Skills!E4=TRUE,Inputs!$B$32,0)))*(1-IF(AND(ArtifactsInput!$M$27,Inputs!$B$4="Chapter Hunt"),CHOOSE(ArtifactsInput!$N$27+1,20,24,28,32,36,40),0)/100)))))/Skills!H4,1)))/Inputs!$B$43),G339*Q339)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339*(1-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339*(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339*(1-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339*(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9">
        <f>290*U338/1000</f>
        <v/>
      </c>
      <c r="V339">
        <f>IF(C339,(H339*N339*IF(AND(Inputs!$B$38&lt;&gt;"pvp",Inputs!$B$43&gt;0),((Skills!G4*((R339-1)*IF(Skills!H4&gt;0,Skills!I4/Skills!H4,1)+IF(Skills!H4&gt;0,MIN(Skills!I4,MAX(0,MAX(0,Inputs!$B$43-B373)-((R339-1)*(IF(Inputs!$B$38="pvp",15,MAX(0.1,Skills!D4-IF(Skills!E4=TRUE,Inputs!$B$32,0)))*(1-IF(AND(ArtifactsInput!$M$27,Inputs!$B$4="Chapter Hunt"),CHOOSE(ArtifactsInput!$N$27+1,20,24,28,32,36,40),0)/100)))))/Skills!H4,1)))/Inputs!$B$43),G339*Q339))*IF(Inputs!$B$38="pvp",1,(1+((Inputs!$B$21+1)+Skills!Q4+(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0">
      <c r="A340">
        <f>Skills!A5</f>
        <v/>
      </c>
      <c r="B340">
        <f>Skills!B5</f>
        <v/>
      </c>
      <c r="C340">
        <f>Inputs!$B$3&gt;=45</f>
        <v/>
      </c>
      <c r="D340">
        <f>IF(Skills!C5=1,60+Inputs!$B$25+Inputs!$B$29,IF(Skills!C5=2,90+Inputs!$B$26+Inputs!$B$29,IF(Skills!C5=3,120+Inputs!$B$27+Inputs!$B$29,MAX(0,(Inputs!$B$3-100)*3)+Inputs!$B$28+Inputs!$B$29)))</f>
        <v/>
      </c>
      <c r="E340">
        <f>INDEX(FactorTable!$B$2:$Y$301, MATCH(ROUND(MIN(300,MAX(1,D340)),0), FactorTable!$A$2:$A$301,0), Skills!M5+1)</f>
        <v/>
      </c>
      <c r="F340">
        <f>IF(Skills!N5=TRUE,(Skills!L5/10)*(E340/1000),Skills!L5/10)+Skills!O5</f>
        <v/>
      </c>
      <c r="G340">
        <f>Skills!G5*IF(Skills!H5&gt;0,Skills!I5/Skills!H5,1)</f>
        <v/>
      </c>
      <c r="H340">
        <f>1-(1-Skills!J5/100)^Skills!K5</f>
        <v/>
      </c>
      <c r="I340" t="inlineStr">
        <is>
          <t>1</t>
        </is>
      </c>
      <c r="J340">
        <f>((Inputs!$B$6*(1+Inputs!$B$7/100))+(((Inputs!$B$12*(1+Inputs!$B$13/100))-(Inputs!$B$12*(1+Inputs!$B$13/100)))+0.25*(Inputs!$B$14-Inputs!$B$14))*(1+Inputs!$B$7/100))*(F340/100)</f>
        <v/>
      </c>
      <c r="K340">
        <f>J340*(1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351=TRUE,F351,0)/100)*(1+(IF(Skills!A5="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340)</f>
        <v/>
      </c>
      <c r="L340">
        <f>K340*(MIN(Inputs!$B$22+((C357=TRUE)*(F357-Calc!F22)),(Inputs!$B$23+0+(IF(ArtifactsInput!$M$15,CHOOSE(ArtifactsInput!$N$15+1,25,30,35,40,45,50)/100*(Inputs!$B$11-Inputs!$B$11),0))))/100+(Inputs!$B$23+0+(IF(ArtifactsInput!$M$15,CHOOSE(ArtifactsInput!$N$15+1,25,30,35,40,45,50)/100*(Inputs!$B$11-Inputs!$B$11),0)))/100)/2</f>
        <v/>
      </c>
      <c r="M340">
        <f>L340*(1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0">
        <f>L340*(1-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340*(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0">
        <f>(1-Summary!$B$11)*T340+Summary!$B$11*V340</f>
        <v/>
      </c>
      <c r="P340">
        <f>IF(B376=0,0,O340/B376)</f>
        <v/>
      </c>
      <c r="Q340">
        <f>IFERROR(1/(IF(Inputs!$B$38="pvp",15,MAX(0.1,Skills!D5-IF(Skills!E5=TRUE,Inputs!$B$32,0)))*(1-IF(AND(ArtifactsInput!$M$27,Inputs!$B$4="Chapter Hunt"),CHOOSE(ArtifactsInput!$N$27+1,20,24,28,32,36,40),0)/100)),0)</f>
        <v/>
      </c>
      <c r="R340">
        <f>IF(AND(Inputs!$B$38&lt;&gt;"pvp",Inputs!$B$43&gt;0),IF(MAX(0,Inputs!$B$43-B373)&lt;=0,0,(INT(MAX(0,Inputs!$B$43-B373)/(IF(Inputs!$B$38="pvp",15,MAX(0.1,Skills!D5-IF(Skills!E5=TRUE,Inputs!$B$32,0)))*(1-IF(AND(ArtifactsInput!$M$27,Inputs!$B$4="Chapter Hunt"),CHOOSE(ArtifactsInput!$N$27+1,20,24,28,32,36,40),0)/100)))+1)),0)</f>
        <v/>
      </c>
      <c r="S340">
        <f>IFERROR(O340/N340,0)</f>
        <v/>
      </c>
      <c r="T340">
        <f>IF(C340,(H340*N340*IF(AND(Inputs!$B$38&lt;&gt;"pvp",Inputs!$B$43&gt;0),((Skills!G5*((R340-1)*IF(Skills!H5&gt;0,Skills!I5/Skills!H5,1)+IF(Skills!H5&gt;0,MIN(Skills!I5,MAX(0,MAX(0,Inputs!$B$43-B373)-((R340-1)*(IF(Inputs!$B$38="pvp",15,MAX(0.1,Skills!D5-IF(Skills!E5=TRUE,Inputs!$B$32,0)))*(1-IF(AND(ArtifactsInput!$M$27,Inputs!$B$4="Chapter Hunt"),CHOOSE(ArtifactsInput!$N$27+1,20,24,28,32,36,40),0)/100)))))/Skills!H5,1)))/Inputs!$B$43),G340*Q340)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340*(1-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340*(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340*(1-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340*(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0">
        <f>IF(C340,(H340*N340*IF(AND(Inputs!$B$38&lt;&gt;"pvp",Inputs!$B$43&gt;0),((Skills!G5*((R340-1)*IF(Skills!H5&gt;0,Skills!I5/Skills!H5,1)+IF(Skills!H5&gt;0,MIN(Skills!I5,MAX(0,MAX(0,Inputs!$B$43-B373)-((R340-1)*(IF(Inputs!$B$38="pvp",15,MAX(0.1,Skills!D5-IF(Skills!E5=TRUE,Inputs!$B$32,0)))*(1-IF(AND(ArtifactsInput!$M$27,Inputs!$B$4="Chapter Hunt"),CHOOSE(ArtifactsInput!$N$27+1,20,24,28,32,36,40),0)/100)))))/Skills!H5,1)))/Inputs!$B$43),G340*Q340))*IF(Inputs!$B$38="pvp",1,(1+((Inputs!$B$21+1)+Skills!Q5+(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1">
      <c r="A341">
        <f>Skills!A6</f>
        <v/>
      </c>
      <c r="B341">
        <f>Skills!B6</f>
        <v/>
      </c>
      <c r="C341">
        <f>Inputs!$B$3&gt;=63</f>
        <v/>
      </c>
      <c r="D341">
        <f>IF(Skills!C6=1,60+Inputs!$B$25+Inputs!$B$29,IF(Skills!C6=2,90+Inputs!$B$26+Inputs!$B$29,IF(Skills!C6=3,120+Inputs!$B$27+Inputs!$B$29,MAX(0,(Inputs!$B$3-100)*3)+Inputs!$B$28+Inputs!$B$29)))</f>
        <v/>
      </c>
      <c r="E341">
        <f>INDEX(FactorTable!$B$2:$Y$301, MATCH(ROUND(MIN(300,MAX(1,D341)),0), FactorTable!$A$2:$A$301,0), Skills!M6+1)</f>
        <v/>
      </c>
      <c r="F341">
        <f>IF(Skills!N6=TRUE,(Skills!L6/10)*(E341/1000),Skills!L6/10)+Skills!O6</f>
        <v/>
      </c>
      <c r="G341">
        <f>Skills!G6*IF(Skills!H6&gt;0,Skills!I6/Skills!H6,1)</f>
        <v/>
      </c>
      <c r="H341">
        <f>1-(1-Skills!J6/100)^Skills!K6</f>
        <v/>
      </c>
      <c r="I341" t="inlineStr">
        <is>
          <t>1</t>
        </is>
      </c>
      <c r="J341">
        <f>((Inputs!$B$6*(1+Inputs!$B$7/100))+(((Inputs!$B$12*(1+Inputs!$B$13/100))-(Inputs!$B$12*(1+Inputs!$B$13/100)))+0.25*(Inputs!$B$14-Inputs!$B$14))*(1+Inputs!$B$7/100))*(F341/100)</f>
        <v/>
      </c>
      <c r="K341">
        <f>J341*(1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350=TRUE,F350,0)/100)*(1+(IF(Skills!A6="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341)</f>
        <v/>
      </c>
      <c r="L341">
        <f>K341*(MIN(Inputs!$B$22+((C357=TRUE)*(F357-Calc!F22)),(Inputs!$B$23+0+(IF(ArtifactsInput!$M$15,CHOOSE(ArtifactsInput!$N$15+1,25,30,35,40,45,50)/100*(Inputs!$B$11-Inputs!$B$11),0))))/100+(Inputs!$B$23+0+(IF(ArtifactsInput!$M$15,CHOOSE(ArtifactsInput!$N$15+1,25,30,35,40,45,50)/100*(Inputs!$B$11-Inputs!$B$11),0)))/100)/2</f>
        <v/>
      </c>
      <c r="M341">
        <f>L341*(1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1">
        <f>L341*(1-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1">
        <f>(1-Summary!$B$11)*T341+Summary!$B$11*V341</f>
        <v/>
      </c>
      <c r="P341">
        <f>IF(B376=0,0,O341/B376)</f>
        <v/>
      </c>
      <c r="Q341">
        <f>IFERROR(1/(IF(Inputs!$B$38="pvp",15,MAX(0.1,Skills!D6-IF(Skills!E6=TRUE,Inputs!$B$32,0)))*(1-IF(AND(ArtifactsInput!$M$27,Inputs!$B$4="Chapter Hunt"),CHOOSE(ArtifactsInput!$N$27+1,20,24,28,32,36,40),0)/100)),0)</f>
        <v/>
      </c>
      <c r="R341">
        <f>IF(AND(Inputs!$B$38&lt;&gt;"pvp",Inputs!$B$43&gt;0),IF(MAX(0,Inputs!$B$43-B373)&lt;=0,0,(INT(MAX(0,Inputs!$B$43-B373)/(IF(Inputs!$B$38="pvp",15,MAX(0.1,Skills!D6-IF(Skills!E6=TRUE,Inputs!$B$32,0)))*(1-IF(AND(ArtifactsInput!$M$27,Inputs!$B$4="Chapter Hunt"),CHOOSE(ArtifactsInput!$N$27+1,20,24,28,32,36,40),0)/100)))+1)),0)</f>
        <v/>
      </c>
      <c r="S341">
        <f>IFERROR(O341/N341,0)</f>
        <v/>
      </c>
      <c r="T341">
        <f>IF(C341,(H341*N341*IF(AND(Inputs!$B$38&lt;&gt;"pvp",Inputs!$B$43&gt;0),((Skills!G6*((R341-1)*IF(Skills!H6&gt;0,Skills!I6/Skills!H6,1)+IF(Skills!H6&gt;0,MIN(Skills!I6,MAX(0,MAX(0,Inputs!$B$43-B373)-((R341-1)*(IF(Inputs!$B$38="pvp",15,MAX(0.1,Skills!D6-IF(Skills!E6=TRUE,Inputs!$B$32,0)))*(1-IF(AND(ArtifactsInput!$M$27,Inputs!$B$4="Chapter Hunt"),CHOOSE(ArtifactsInput!$N$27+1,20,24,28,32,36,40),0)/100)))))/Skills!H6,1)))/Inputs!$B$43),G341*Q341)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341*(1-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341*(1-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1">
        <f>IF(C341,(H341*N341*IF(AND(Inputs!$B$38&lt;&gt;"pvp",Inputs!$B$43&gt;0),((Skills!G6*((R341-1)*IF(Skills!H6&gt;0,Skills!I6/Skills!H6,1)+IF(Skills!H6&gt;0,MIN(Skills!I6,MAX(0,MAX(0,Inputs!$B$43-B373)-((R341-1)*(IF(Inputs!$B$38="pvp",15,MAX(0.1,Skills!D6-IF(Skills!E6=TRUE,Inputs!$B$32,0)))*(1-IF(AND(ArtifactsInput!$M$27,Inputs!$B$4="Chapter Hunt"),CHOOSE(ArtifactsInput!$N$27+1,20,24,28,32,36,40),0)/100)))))/Skills!H6,1)))/Inputs!$B$43),G341*Q341))*IF(Inputs!$B$38="pvp",1,(1+((Inputs!$B$21+1)+Skills!Q6+(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2">
      <c r="A342">
        <f>Skills!A7</f>
        <v/>
      </c>
      <c r="B342">
        <f>Skills!B7</f>
        <v/>
      </c>
      <c r="C342">
        <f>Inputs!$B$3&gt;=66</f>
        <v/>
      </c>
      <c r="D342">
        <f>IF(Skills!C7=1,60+Inputs!$B$25+Inputs!$B$29,IF(Skills!C7=2,90+Inputs!$B$26+Inputs!$B$29,IF(Skills!C7=3,120+Inputs!$B$27+Inputs!$B$29,MAX(0,(Inputs!$B$3-100)*3)+Inputs!$B$28+Inputs!$B$29)))</f>
        <v/>
      </c>
      <c r="E342">
        <f>INDEX(FactorTable!$B$2:$Y$301, MATCH(ROUND(MIN(300,MAX(1,D342)),0), FactorTable!$A$2:$A$301,0), Skills!M7+1)</f>
        <v/>
      </c>
      <c r="F342">
        <f>IF(Skills!N7=TRUE,(Skills!L7/10)*(E342/1000),Skills!L7/10)+Skills!O7</f>
        <v/>
      </c>
      <c r="G342">
        <f>Skills!G7*IF(Skills!H7&gt;0,Skills!I7/Skills!H7,1)</f>
        <v/>
      </c>
      <c r="H342">
        <f>1-(1-Skills!J7/100)^Skills!K7</f>
        <v/>
      </c>
      <c r="I342" t="inlineStr">
        <is>
          <t>1</t>
        </is>
      </c>
      <c r="J342">
        <f>((Inputs!$B$6*(1+Inputs!$B$7/100))+(((Inputs!$B$12*(1+Inputs!$B$13/100))-(Inputs!$B$12*(1+Inputs!$B$13/100)))+0.25*(Inputs!$B$14-Inputs!$B$14))*(1+Inputs!$B$7/100))*(F342/100)</f>
        <v/>
      </c>
      <c r="K342">
        <f>J342*(1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350=TRUE,F350,0)/100)*(1+(IF(Skills!A7="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342)</f>
        <v/>
      </c>
      <c r="L342">
        <f>K342*(MIN(Inputs!$B$22+((C357=TRUE)*(F357-Calc!F22)),(Inputs!$B$23+0+(IF(ArtifactsInput!$M$15,CHOOSE(ArtifactsInput!$N$15+1,25,30,35,40,45,50)/100*(Inputs!$B$11-Inputs!$B$11),0))))/100+(Inputs!$B$23+0+(IF(ArtifactsInput!$M$15,CHOOSE(ArtifactsInput!$N$15+1,25,30,35,40,45,50)/100*(Inputs!$B$11-Inputs!$B$11),0)))/100)/2</f>
        <v/>
      </c>
      <c r="M342">
        <f>L342*(1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2">
        <f>L342*(1-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342*(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2">
        <f>(1-Summary!$B$11)*T342+Summary!$B$11*V342</f>
        <v/>
      </c>
      <c r="P342">
        <f>IF(B376=0,0,O342/B376)</f>
        <v/>
      </c>
      <c r="Q342">
        <f>IFERROR(1/(IF(Inputs!$B$38="pvp",15,MAX(0.1,Skills!D7-IF(Skills!E7=TRUE,Inputs!$B$32,0)))*(1-IF(AND(ArtifactsInput!$M$27,Inputs!$B$4="Chapter Hunt"),CHOOSE(ArtifactsInput!$N$27+1,20,24,28,32,36,40),0)/100)),0)</f>
        <v/>
      </c>
      <c r="R342">
        <f>IF(AND(Inputs!$B$38&lt;&gt;"pvp",Inputs!$B$43&gt;0),IF(MAX(0,Inputs!$B$43-B373)&lt;=0,0,(INT(MAX(0,Inputs!$B$43-B373)/(IF(Inputs!$B$38="pvp",15,MAX(0.1,Skills!D7-IF(Skills!E7=TRUE,Inputs!$B$32,0)))*(1-IF(AND(ArtifactsInput!$M$27,Inputs!$B$4="Chapter Hunt"),CHOOSE(ArtifactsInput!$N$27+1,20,24,28,32,36,40),0)/100)))+1)),0)</f>
        <v/>
      </c>
      <c r="S342">
        <f>IFERROR(O342/N342,0)</f>
        <v/>
      </c>
      <c r="T342">
        <f>IF(C342,(H342*N342*IF(AND(Inputs!$B$38&lt;&gt;"pvp",Inputs!$B$43&gt;0),((Skills!G7*((R342-1)*IF(Skills!H7&gt;0,Skills!I7/Skills!H7,1)+IF(Skills!H7&gt;0,MIN(Skills!I7,MAX(0,MAX(0,Inputs!$B$43-B373)-((R342-1)*(IF(Inputs!$B$38="pvp",15,MAX(0.1,Skills!D7-IF(Skills!E7=TRUE,Inputs!$B$32,0)))*(1-IF(AND(ArtifactsInput!$M$27,Inputs!$B$4="Chapter Hunt"),CHOOSE(ArtifactsInput!$N$27+1,20,24,28,32,36,40),0)/100)))))/Skills!H7,1)))/Inputs!$B$43),G342*Q342)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342*(1-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342*(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342*(1-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342*(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2">
        <f>IF(C342,(H342*N342*IF(AND(Inputs!$B$38&lt;&gt;"pvp",Inputs!$B$43&gt;0),((Skills!G7*((R342-1)*IF(Skills!H7&gt;0,Skills!I7/Skills!H7,1)+IF(Skills!H7&gt;0,MIN(Skills!I7,MAX(0,MAX(0,Inputs!$B$43-B373)-((R342-1)*(IF(Inputs!$B$38="pvp",15,MAX(0.1,Skills!D7-IF(Skills!E7=TRUE,Inputs!$B$32,0)))*(1-IF(AND(ArtifactsInput!$M$27,Inputs!$B$4="Chapter Hunt"),CHOOSE(ArtifactsInput!$N$27+1,20,24,28,32,36,40),0)/100)))))/Skills!H7,1)))/Inputs!$B$43),G342*Q342))*IF(Inputs!$B$38="pvp",1,(1+((Inputs!$B$21+1)+Skills!Q7+(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3">
      <c r="A343">
        <f>Skills!A8</f>
        <v/>
      </c>
      <c r="B343">
        <f>Skills!B8</f>
        <v/>
      </c>
      <c r="C343">
        <f>Inputs!$B$3&gt;=100</f>
        <v/>
      </c>
      <c r="D343">
        <f>IF(Skills!C8=1,60+Inputs!$B$25+Inputs!$B$29,IF(Skills!C8=2,90+Inputs!$B$26+Inputs!$B$29,IF(Skills!C8=3,120+Inputs!$B$27+Inputs!$B$29,MAX(0,(Inputs!$B$3-100)*3)+Inputs!$B$28+Inputs!$B$29)))</f>
        <v/>
      </c>
      <c r="E343">
        <f>INDEX(FactorTable!$B$2:$Y$301, MATCH(ROUND(MIN(300,MAX(1,D343)),0), FactorTable!$A$2:$A$301,0), Skills!M8+1)</f>
        <v/>
      </c>
      <c r="F343">
        <f>IF(Skills!N8=TRUE,(Skills!L8/10)*(E343/1000),Skills!L8/10)+Skills!O8</f>
        <v/>
      </c>
      <c r="G343">
        <f>Skills!G8*IF(Skills!H8&gt;0,Skills!I8/Skills!H8,1)</f>
        <v/>
      </c>
      <c r="H343">
        <f>1-(1-Skills!J8/100)^Skills!K8</f>
        <v/>
      </c>
      <c r="I343" t="inlineStr">
        <is>
          <t>1</t>
        </is>
      </c>
      <c r="J343">
        <f>((Inputs!$B$6*(1+Inputs!$B$7/100))+(((Inputs!$B$12*(1+Inputs!$B$13/100))-(Inputs!$B$12*(1+Inputs!$B$13/100)))+0.25*(Inputs!$B$14-Inputs!$B$14))*(1+Inputs!$B$7/100))*(F343/100)</f>
        <v/>
      </c>
      <c r="K343">
        <f>J343*(1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343)</f>
        <v/>
      </c>
      <c r="L343">
        <f>K343*(MIN(Inputs!$B$22+((C357=TRUE)*(F357-Calc!F22)),(Inputs!$B$23+0+(IF(ArtifactsInput!$M$15,CHOOSE(ArtifactsInput!$N$15+1,25,30,35,40,45,50)/100*(Inputs!$B$11-Inputs!$B$11),0))))/100+(Inputs!$B$23+0+(IF(ArtifactsInput!$M$15,CHOOSE(ArtifactsInput!$N$15+1,25,30,35,40,45,50)/100*(Inputs!$B$11-Inputs!$B$11),0)))/100)/2</f>
        <v/>
      </c>
      <c r="M343">
        <f>L343*(1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3">
        <f>L343*(1-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343*(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3">
        <f>(1-Summary!$B$11)*T343+Summary!$B$11*V343</f>
        <v/>
      </c>
      <c r="P343">
        <f>IF(B376=0,0,O343/B376)</f>
        <v/>
      </c>
      <c r="Q343">
        <f>IFERROR(1/(IF(Inputs!$B$38="pvp",15,MAX(0.1,Skills!D8-IF(Skills!E8=TRUE,Inputs!$B$32,0)))*(1-IF(AND(ArtifactsInput!$M$27,Inputs!$B$4="Chapter Hunt"),CHOOSE(ArtifactsInput!$N$27+1,20,24,28,32,36,40),0)/100)),0)</f>
        <v/>
      </c>
      <c r="R343">
        <f>IF(AND(Inputs!$B$38&lt;&gt;"pvp",Inputs!$B$43&gt;0),IF(MAX(0,Inputs!$B$43-B373)&lt;=0,0,(INT(MAX(0,Inputs!$B$43-B373)/(IF(Inputs!$B$38="pvp",15,MAX(0.1,Skills!D8-IF(Skills!E8=TRUE,Inputs!$B$32,0)))*(1-IF(AND(ArtifactsInput!$M$27,Inputs!$B$4="Chapter Hunt"),CHOOSE(ArtifactsInput!$N$27+1,20,24,28,32,36,40),0)/100)))+1)),0)</f>
        <v/>
      </c>
      <c r="S343">
        <f>IFERROR(O343/N343,0)</f>
        <v/>
      </c>
      <c r="T343">
        <f>IF(C343,(H343*N343*IF(AND(Inputs!$B$38&lt;&gt;"pvp",Inputs!$B$43&gt;0),((Skills!G8*((R343-1)*IF(Skills!H8&gt;0,Skills!I8/Skills!H8,1)+IF(Skills!H8&gt;0,MIN(Skills!I8,MAX(0,MAX(0,Inputs!$B$43-B373)-((R343-1)*(IF(Inputs!$B$38="pvp",15,MAX(0.1,Skills!D8-IF(Skills!E8=TRUE,Inputs!$B$32,0)))*(1-IF(AND(ArtifactsInput!$M$27,Inputs!$B$4="Chapter Hunt"),CHOOSE(ArtifactsInput!$N$27+1,20,24,28,32,36,40),0)/100)))))/Skills!H8,1)))/Inputs!$B$43),G343*Q343)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343*(1-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343*(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343*(1-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343*(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3">
        <f>IF(C343,(H343*N343*IF(AND(Inputs!$B$38&lt;&gt;"pvp",Inputs!$B$43&gt;0),((Skills!G8*((R343-1)*IF(Skills!H8&gt;0,Skills!I8/Skills!H8,1)+IF(Skills!H8&gt;0,MIN(Skills!I8,MAX(0,MAX(0,Inputs!$B$43-B373)-((R343-1)*(IF(Inputs!$B$38="pvp",15,MAX(0.1,Skills!D8-IF(Skills!E8=TRUE,Inputs!$B$32,0)))*(1-IF(AND(ArtifactsInput!$M$27,Inputs!$B$4="Chapter Hunt"),CHOOSE(ArtifactsInput!$N$27+1,20,24,28,32,36,40),0)/100)))))/Skills!H8,1)))/Inputs!$B$43),G343*Q343))*IF(Inputs!$B$38="pvp",1,(1+((Inputs!$B$21+1)+Skills!Q8+(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4">
      <c r="A344">
        <f>Skills!A9</f>
        <v/>
      </c>
      <c r="B344">
        <f>Skills!B9</f>
        <v/>
      </c>
      <c r="C344">
        <f>Inputs!$B$3&gt;=103</f>
        <v/>
      </c>
      <c r="D344">
        <f>IF(Skills!C9=1,60+Inputs!$B$25+Inputs!$B$29,IF(Skills!C9=2,90+Inputs!$B$26+Inputs!$B$29,IF(Skills!C9=3,120+Inputs!$B$27+Inputs!$B$29,MAX(0,(Inputs!$B$3-100)*3)+Inputs!$B$28+Inputs!$B$29)))</f>
        <v/>
      </c>
      <c r="E344">
        <f>INDEX(FactorTable!$B$2:$Y$301, MATCH(ROUND(MIN(300,MAX(1,D344)),0), FactorTable!$A$2:$A$301,0), Skills!M9+1)</f>
        <v/>
      </c>
      <c r="F344">
        <f>IF(Skills!N9=TRUE,(Skills!L9/10)*(E344/1000),Skills!L9/10)+Skills!O9</f>
        <v/>
      </c>
      <c r="G344">
        <f>Skills!G9*IF(Skills!H9&gt;0,Skills!I9/Skills!H9,1)</f>
        <v/>
      </c>
      <c r="H344">
        <f>1-(1-Skills!J9/100)^Skills!K9</f>
        <v/>
      </c>
      <c r="I344" t="inlineStr">
        <is>
          <t>1</t>
        </is>
      </c>
      <c r="J344">
        <f>((Inputs!$B$6*(1+Inputs!$B$7/100))+(((Inputs!$B$12*(1+Inputs!$B$13/100))-(Inputs!$B$12*(1+Inputs!$B$13/100)))+0.25*(Inputs!$B$14-Inputs!$B$14))*(1+Inputs!$B$7/100))*(F344/100)</f>
        <v/>
      </c>
      <c r="K344">
        <f>J344*(1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344)</f>
        <v/>
      </c>
      <c r="L344">
        <f>K344*(MIN(Inputs!$B$22+((C357=TRUE)*(F357-Calc!F22)),(Inputs!$B$23+0+(IF(ArtifactsInput!$M$15,CHOOSE(ArtifactsInput!$N$15+1,25,30,35,40,45,50)/100*(Inputs!$B$11-Inputs!$B$11),0))))/100+(Inputs!$B$23+0+(IF(ArtifactsInput!$M$15,CHOOSE(ArtifactsInput!$N$15+1,25,30,35,40,45,50)/100*(Inputs!$B$11-Inputs!$B$11),0)))/100)/2</f>
        <v/>
      </c>
      <c r="M344">
        <f>L344*(1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4">
        <f>L344*(1-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344*(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4">
        <f>(1-Summary!$B$11)*T344+Summary!$B$11*V344</f>
        <v/>
      </c>
      <c r="P344">
        <f>IF(B376=0,0,O344/B376)</f>
        <v/>
      </c>
      <c r="Q344">
        <f>IFERROR(1/(IF(Inputs!$B$38="pvp",15,MAX(0.1,Skills!D9-IF(Skills!E9=TRUE,Inputs!$B$32,0)))*(1-IF(AND(ArtifactsInput!$M$27,Inputs!$B$4="Chapter Hunt"),CHOOSE(ArtifactsInput!$N$27+1,20,24,28,32,36,40),0)/100)),0)</f>
        <v/>
      </c>
      <c r="R344">
        <f>IF(AND(Inputs!$B$38&lt;&gt;"pvp",Inputs!$B$43&gt;0),IF(MAX(0,Inputs!$B$43-B373)&lt;=0,0,(INT(MAX(0,Inputs!$B$43-B373)/(IF(Inputs!$B$38="pvp",15,MAX(0.1,Skills!D9-IF(Skills!E9=TRUE,Inputs!$B$32,0)))*(1-IF(AND(ArtifactsInput!$M$27,Inputs!$B$4="Chapter Hunt"),CHOOSE(ArtifactsInput!$N$27+1,20,24,28,32,36,40),0)/100)))+1)),0)</f>
        <v/>
      </c>
      <c r="S344">
        <f>IFERROR(O344/N344,0)</f>
        <v/>
      </c>
      <c r="T344">
        <f>IF(C344,(H344*N344*IF(AND(Inputs!$B$38&lt;&gt;"pvp",Inputs!$B$43&gt;0),((Skills!G9*((R344-1)*IF(Skills!H9&gt;0,Skills!I9/Skills!H9,1)+IF(Skills!H9&gt;0,MIN(Skills!I9,MAX(0,MAX(0,Inputs!$B$43-B373)-((R344-1)*(IF(Inputs!$B$38="pvp",15,MAX(0.1,Skills!D9-IF(Skills!E9=TRUE,Inputs!$B$32,0)))*(1-IF(AND(ArtifactsInput!$M$27,Inputs!$B$4="Chapter Hunt"),CHOOSE(ArtifactsInput!$N$27+1,20,24,28,32,36,40),0)/100)))))/Skills!H9,1)))/Inputs!$B$43),G344*Q344)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344*(1-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344*(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344*(1-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344*(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4">
        <f>IF(C344,(H344*N344*IF(AND(Inputs!$B$38&lt;&gt;"pvp",Inputs!$B$43&gt;0),((Skills!G9*((R344-1)*IF(Skills!H9&gt;0,Skills!I9/Skills!H9,1)+IF(Skills!H9&gt;0,MIN(Skills!I9,MAX(0,MAX(0,Inputs!$B$43-B373)-((R344-1)*(IF(Inputs!$B$38="pvp",15,MAX(0.1,Skills!D9-IF(Skills!E9=TRUE,Inputs!$B$32,0)))*(1-IF(AND(ArtifactsInput!$M$27,Inputs!$B$4="Chapter Hunt"),CHOOSE(ArtifactsInput!$N$27+1,20,24,28,32,36,40),0)/100)))))/Skills!H9,1)))/Inputs!$B$43),G344*Q344))*IF(Inputs!$B$38="pvp",1,(1+((Inputs!$B$21+1)+Skills!Q9+(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5">
      <c r="A345">
        <f>Skills!A10</f>
        <v/>
      </c>
      <c r="B345">
        <f>Skills!B10</f>
        <v/>
      </c>
      <c r="C345">
        <f>Inputs!$B$3&gt;=113</f>
        <v/>
      </c>
      <c r="D345">
        <f>IF(Skills!C10=1,60+Inputs!$B$25+Inputs!$B$29,IF(Skills!C10=2,90+Inputs!$B$26+Inputs!$B$29,IF(Skills!C10=3,120+Inputs!$B$27+Inputs!$B$29,MAX(0,(Inputs!$B$3-100)*3)+Inputs!$B$28+Inputs!$B$29)))</f>
        <v/>
      </c>
      <c r="E345">
        <f>INDEX(FactorTable!$B$2:$Y$301, MATCH(ROUND(MIN(300,MAX(1,D345)),0), FactorTable!$A$2:$A$301,0), Skills!M10+1)</f>
        <v/>
      </c>
      <c r="F345">
        <f>IF(Skills!N10=TRUE,(Skills!L10/10)*(E345/1000),Skills!L10/10)+Skills!O10</f>
        <v/>
      </c>
      <c r="G345">
        <f>Skills!G10*IF(Skills!H10&gt;0,Skills!I10/Skills!H10,1)</f>
        <v/>
      </c>
      <c r="H345">
        <f>1-(1-Skills!J10/100)^Skills!K10</f>
        <v/>
      </c>
      <c r="I345" t="inlineStr">
        <is>
          <t>1</t>
        </is>
      </c>
      <c r="J345">
        <f>((Inputs!$B$6*(1+Inputs!$B$7/100))+(((Inputs!$B$12*(1+Inputs!$B$13/100))-(Inputs!$B$12*(1+Inputs!$B$13/100)))+0.25*(Inputs!$B$14-Inputs!$B$14))*(1+Inputs!$B$7/100))*(F345/100)</f>
        <v/>
      </c>
      <c r="K345">
        <f>J345*(1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345)</f>
        <v/>
      </c>
      <c r="L345">
        <f>K345*(MIN(Inputs!$B$22+((C357=TRUE)*(F357-Calc!F22)),(Inputs!$B$23+0+(IF(ArtifactsInput!$M$15,CHOOSE(ArtifactsInput!$N$15+1,25,30,35,40,45,50)/100*(Inputs!$B$11-Inputs!$B$11),0))))/100+(Inputs!$B$23+0+(IF(ArtifactsInput!$M$15,CHOOSE(ArtifactsInput!$N$15+1,25,30,35,40,45,50)/100*(Inputs!$B$11-Inputs!$B$11),0)))/100)/2</f>
        <v/>
      </c>
      <c r="M345">
        <f>L345*(1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5">
        <f>L345*(1-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345*(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5">
        <f>(1-Summary!$B$11)*T345+Summary!$B$11*V345</f>
        <v/>
      </c>
      <c r="P345">
        <f>IF(B376=0,0,O345/B376)</f>
        <v/>
      </c>
      <c r="Q345">
        <f>IFERROR(1/(IF(Inputs!$B$38="pvp",15,MAX(0.1,Skills!D10-IF(Skills!E10=TRUE,Inputs!$B$32,0)))*(1-IF(AND(ArtifactsInput!$M$27,Inputs!$B$4="Chapter Hunt"),CHOOSE(ArtifactsInput!$N$27+1,20,24,28,32,36,40),0)/100)),0)</f>
        <v/>
      </c>
      <c r="R345">
        <f>IF(AND(Inputs!$B$38&lt;&gt;"pvp",Inputs!$B$43&gt;0),IF(MAX(0,Inputs!$B$43-B373)&lt;=0,0,(INT(MAX(0,Inputs!$B$43-B373)/(IF(Inputs!$B$38="pvp",15,MAX(0.1,Skills!D10-IF(Skills!E10=TRUE,Inputs!$B$32,0)))*(1-IF(AND(ArtifactsInput!$M$27,Inputs!$B$4="Chapter Hunt"),CHOOSE(ArtifactsInput!$N$27+1,20,24,28,32,36,40),0)/100)))+1)),0)</f>
        <v/>
      </c>
      <c r="S345">
        <f>IFERROR(O345/N345,0)</f>
        <v/>
      </c>
      <c r="T345">
        <f>IF(C345,(H345*N345*IF(AND(Inputs!$B$38&lt;&gt;"pvp",Inputs!$B$43&gt;0),((Skills!G10*((R345-1)*IF(Skills!H10&gt;0,Skills!I10/Skills!H10,1)+IF(Skills!H10&gt;0,MIN(Skills!I10,MAX(0,MAX(0,Inputs!$B$43-B373)-((R345-1)*(IF(Inputs!$B$38="pvp",15,MAX(0.1,Skills!D10-IF(Skills!E10=TRUE,Inputs!$B$32,0)))*(1-IF(AND(ArtifactsInput!$M$27,Inputs!$B$4="Chapter Hunt"),CHOOSE(ArtifactsInput!$N$27+1,20,24,28,32,36,40),0)/100)))))/Skills!H10,1)))/Inputs!$B$43),G345*Q345)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345*(1-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345*(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345*(1-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345*(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5">
        <f>IF(C345,(H345*N345*IF(AND(Inputs!$B$38&lt;&gt;"pvp",Inputs!$B$43&gt;0),((Skills!G10*((R345-1)*IF(Skills!H10&gt;0,Skills!I10/Skills!H10,1)+IF(Skills!H10&gt;0,MIN(Skills!I10,MAX(0,MAX(0,Inputs!$B$43-B373)-((R345-1)*(IF(Inputs!$B$38="pvp",15,MAX(0.1,Skills!D10-IF(Skills!E10=TRUE,Inputs!$B$32,0)))*(1-IF(AND(ArtifactsInput!$M$27,Inputs!$B$4="Chapter Hunt"),CHOOSE(ArtifactsInput!$N$27+1,20,24,28,32,36,40),0)/100)))))/Skills!H10,1)))/Inputs!$B$43),G345*Q345))*IF(Inputs!$B$38="pvp",1,(1+((Inputs!$B$21+1)+Skills!Q10+(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6">
      <c r="A346">
        <f>Skills!A11</f>
        <v/>
      </c>
      <c r="B346">
        <f>Skills!B11</f>
        <v/>
      </c>
      <c r="C346">
        <f>Inputs!$B$3&gt;=107</f>
        <v/>
      </c>
      <c r="D346">
        <f>IF(Skills!C11=1,60+Inputs!$B$25+Inputs!$B$29,IF(Skills!C11=2,90+Inputs!$B$26+Inputs!$B$29,IF(Skills!C11=3,120+Inputs!$B$27+Inputs!$B$29,MAX(0,(Inputs!$B$3-100)*3)+Inputs!$B$28+Inputs!$B$29)))</f>
        <v/>
      </c>
      <c r="E346">
        <f>INDEX(FactorTable!$B$2:$Y$301, MATCH(ROUND(MIN(300,MAX(1,D346)),0), FactorTable!$A$2:$A$301,0), Skills!M11+1)</f>
        <v/>
      </c>
      <c r="F346">
        <f>IF(Skills!N11=TRUE,(Skills!L11/10)*(E346/1000),Skills!L11/10)+Skills!O11</f>
        <v/>
      </c>
      <c r="G346">
        <f>Skills!G11*IF(Skills!H11&gt;0,Skills!I11/Skills!H11,1)</f>
        <v/>
      </c>
      <c r="H346">
        <f>1-(1-Skills!J11/100)^Skills!K11</f>
        <v/>
      </c>
      <c r="I346" t="inlineStr">
        <is>
          <t>1</t>
        </is>
      </c>
      <c r="J346">
        <f>((Inputs!$B$6*(1+Inputs!$B$7/100))+(((Inputs!$B$12*(1+Inputs!$B$13/100))-(Inputs!$B$12*(1+Inputs!$B$13/100)))+0.25*(Inputs!$B$14-Inputs!$B$14))*(1+Inputs!$B$7/100))*(F346/100)</f>
        <v/>
      </c>
      <c r="K346">
        <f>J346*(1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346)</f>
        <v/>
      </c>
      <c r="L346">
        <f>K346*(MIN(Inputs!$B$22+((C357=TRUE)*(F357-Calc!F22)),(Inputs!$B$23+0+(IF(ArtifactsInput!$M$15,CHOOSE(ArtifactsInput!$N$15+1,25,30,35,40,45,50)/100*(Inputs!$B$11-Inputs!$B$11),0))))/100+(Inputs!$B$23+0+(IF(ArtifactsInput!$M$15,CHOOSE(ArtifactsInput!$N$15+1,25,30,35,40,45,50)/100*(Inputs!$B$11-Inputs!$B$11),0)))/100)/2</f>
        <v/>
      </c>
      <c r="M346">
        <f>L346*(1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6">
        <f>L346*(1-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346*(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6">
        <f>(1-Summary!$B$11)*T346+Summary!$B$11*V346</f>
        <v/>
      </c>
      <c r="P346">
        <f>IF(B376=0,0,O346/B376)</f>
        <v/>
      </c>
      <c r="Q346">
        <f>IFERROR(1/(IF(Inputs!$B$38="pvp",15,MAX(0.1,Skills!D11-IF(Skills!E11=TRUE,Inputs!$B$32,0)))*(1-IF(AND(ArtifactsInput!$M$27,Inputs!$B$4="Chapter Hunt"),CHOOSE(ArtifactsInput!$N$27+1,20,24,28,32,36,40),0)/100)),0)</f>
        <v/>
      </c>
      <c r="R346">
        <f>IF(AND(Inputs!$B$38&lt;&gt;"pvp",Inputs!$B$43&gt;0),IF(MAX(0,Inputs!$B$43-B373)&lt;=0,0,(INT(MAX(0,Inputs!$B$43-B373)/(IF(Inputs!$B$38="pvp",15,MAX(0.1,Skills!D11-IF(Skills!E11=TRUE,Inputs!$B$32,0)))*(1-IF(AND(ArtifactsInput!$M$27,Inputs!$B$4="Chapter Hunt"),CHOOSE(ArtifactsInput!$N$27+1,20,24,28,32,36,40),0)/100)))+1)),0)</f>
        <v/>
      </c>
      <c r="S346">
        <f>IFERROR(O346/N346,0)</f>
        <v/>
      </c>
      <c r="T346">
        <f>IF(C346,(H346*N346*IF(AND(Inputs!$B$38&lt;&gt;"pvp",Inputs!$B$43&gt;0),((Skills!G11*((R346-1)*IF(Skills!H11&gt;0,Skills!I11/Skills!H11,1)+IF(Skills!H11&gt;0,MIN(Skills!I11,MAX(0,MAX(0,Inputs!$B$43-B373)-((R346-1)*(IF(Inputs!$B$38="pvp",15,MAX(0.1,Skills!D11-IF(Skills!E11=TRUE,Inputs!$B$32,0)))*(1-IF(AND(ArtifactsInput!$M$27,Inputs!$B$4="Chapter Hunt"),CHOOSE(ArtifactsInput!$N$27+1,20,24,28,32,36,40),0)/100)))))/Skills!H11,1)))/Inputs!$B$43),G346*Q346)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346*(1-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346*(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346*(1-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346*(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6">
        <f>IF(C346,(H346*N346*IF(AND(Inputs!$B$38&lt;&gt;"pvp",Inputs!$B$43&gt;0),((Skills!G11*((R346-1)*IF(Skills!H11&gt;0,Skills!I11/Skills!H11,1)+IF(Skills!H11&gt;0,MIN(Skills!I11,MAX(0,MAX(0,Inputs!$B$43-B373)-((R346-1)*(IF(Inputs!$B$38="pvp",15,MAX(0.1,Skills!D11-IF(Skills!E11=TRUE,Inputs!$B$32,0)))*(1-IF(AND(ArtifactsInput!$M$27,Inputs!$B$4="Chapter Hunt"),CHOOSE(ArtifactsInput!$N$27+1,20,24,28,32,36,40),0)/100)))))/Skills!H11,1)))/Inputs!$B$43),G346*Q346))*IF(Inputs!$B$38="pvp",1,(1+((Inputs!$B$21+1)+Skills!Q11+(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7">
      <c r="A347">
        <f>Skills!A12</f>
        <v/>
      </c>
      <c r="B347">
        <f>Skills!B12</f>
        <v/>
      </c>
      <c r="C347">
        <f>Inputs!$B$3&gt;=110</f>
        <v/>
      </c>
      <c r="D347">
        <f>IF(Skills!C12=1,60+Inputs!$B$25+Inputs!$B$29,IF(Skills!C12=2,90+Inputs!$B$26+Inputs!$B$29,IF(Skills!C12=3,120+Inputs!$B$27+Inputs!$B$29,MAX(0,(Inputs!$B$3-100)*3)+Inputs!$B$28+Inputs!$B$29)))</f>
        <v/>
      </c>
      <c r="E347">
        <f>INDEX(FactorTable!$B$2:$Y$301, MATCH(ROUND(MIN(300,MAX(1,D347)),0), FactorTable!$A$2:$A$301,0), Skills!M12+1)</f>
        <v/>
      </c>
      <c r="F347">
        <f>IF(Skills!N12=TRUE,(Skills!L12/10)*(E347/1000),Skills!L12/10)+Skills!O12</f>
        <v/>
      </c>
      <c r="G347">
        <f>Skills!G12*IF(Skills!H12&gt;0,Skills!I12/Skills!H12,1)</f>
        <v/>
      </c>
      <c r="H347">
        <f>1-(1-Skills!J12/100)^Skills!K12</f>
        <v/>
      </c>
      <c r="I347" t="inlineStr">
        <is>
          <t>1</t>
        </is>
      </c>
      <c r="J347">
        <f>((Inputs!$B$6*(1+Inputs!$B$7/100))+(((Inputs!$B$12*(1+Inputs!$B$13/100))-(Inputs!$B$12*(1+Inputs!$B$13/100)))+0.25*(Inputs!$B$14-Inputs!$B$14))*(1+Inputs!$B$7/100))*(F347/100)</f>
        <v/>
      </c>
      <c r="K347">
        <f>J347*(1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347)</f>
        <v/>
      </c>
      <c r="L347">
        <f>K347*(MIN(Inputs!$B$22+((C357=TRUE)*(F357-Calc!F22)),(Inputs!$B$23+0+(IF(ArtifactsInput!$M$15,CHOOSE(ArtifactsInput!$N$15+1,25,30,35,40,45,50)/100*(Inputs!$B$11-Inputs!$B$11),0))))/100+(Inputs!$B$23+0+(IF(ArtifactsInput!$M$15,CHOOSE(ArtifactsInput!$N$15+1,25,30,35,40,45,50)/100*(Inputs!$B$11-Inputs!$B$11),0)))/100)/2</f>
        <v/>
      </c>
      <c r="M347">
        <f>L347*(1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7">
        <f>L347*(1-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347*(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7">
        <f>(1-Summary!$B$11)*T347+Summary!$B$11*V347</f>
        <v/>
      </c>
      <c r="P347">
        <f>IF(B376=0,0,O347/B376)</f>
        <v/>
      </c>
      <c r="Q347">
        <f>IFERROR(1/(IF(Inputs!$B$38="pvp",15,MAX(0.1,Skills!D12-IF(Skills!E12=TRUE,Inputs!$B$32,0)))*(1-IF(AND(ArtifactsInput!$M$27,Inputs!$B$4="Chapter Hunt"),CHOOSE(ArtifactsInput!$N$27+1,20,24,28,32,36,40),0)/100)),0)</f>
        <v/>
      </c>
      <c r="R347">
        <f>IF(AND(Inputs!$B$38&lt;&gt;"pvp",Inputs!$B$43&gt;0),IF(MAX(0,Inputs!$B$43-B373)&lt;=0,0,(INT(MAX(0,Inputs!$B$43-B373)/(IF(Inputs!$B$38="pvp",15,MAX(0.1,Skills!D12-IF(Skills!E12=TRUE,Inputs!$B$32,0)))*(1-IF(AND(ArtifactsInput!$M$27,Inputs!$B$4="Chapter Hunt"),CHOOSE(ArtifactsInput!$N$27+1,20,24,28,32,36,40),0)/100)))+1)),0)</f>
        <v/>
      </c>
      <c r="S347">
        <f>IFERROR(O347/N347,0)</f>
        <v/>
      </c>
      <c r="T347">
        <f>IF(C347,(H347*N347*IF(AND(Inputs!$B$38&lt;&gt;"pvp",Inputs!$B$43&gt;0),((Skills!G12*((R347-1)*IF(Skills!H12&gt;0,Skills!I12/Skills!H12,1)+IF(Skills!H12&gt;0,MIN(Skills!I12,MAX(0,MAX(0,Inputs!$B$43-B373)-((R347-1)*(IF(Inputs!$B$38="pvp",15,MAX(0.1,Skills!D12-IF(Skills!E12=TRUE,Inputs!$B$32,0)))*(1-IF(AND(ArtifactsInput!$M$27,Inputs!$B$4="Chapter Hunt"),CHOOSE(ArtifactsInput!$N$27+1,20,24,28,32,36,40),0)/100)))))/Skills!H12,1)))/Inputs!$B$43),G347*Q347)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347*(1-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347*(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347*(1-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347*(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7">
        <f>IF(C347,(H347*N347*IF(AND(Inputs!$B$38&lt;&gt;"pvp",Inputs!$B$43&gt;0),((Skills!G12*((R347-1)*IF(Skills!H12&gt;0,Skills!I12/Skills!H12,1)+IF(Skills!H12&gt;0,MIN(Skills!I12,MAX(0,MAX(0,Inputs!$B$43-B373)-((R347-1)*(IF(Inputs!$B$38="pvp",15,MAX(0.1,Skills!D12-IF(Skills!E12=TRUE,Inputs!$B$32,0)))*(1-IF(AND(ArtifactsInput!$M$27,Inputs!$B$4="Chapter Hunt"),CHOOSE(ArtifactsInput!$N$27+1,20,24,28,32,36,40),0)/100)))))/Skills!H12,1)))/Inputs!$B$43),G347*Q347))*IF(Inputs!$B$38="pvp",1,(1+((Inputs!$B$21+1)+Skills!Q12+(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8">
      <c r="A348">
        <f>Skills!A13</f>
        <v/>
      </c>
      <c r="B348">
        <f>Skills!B13</f>
        <v/>
      </c>
      <c r="C348">
        <f>Inputs!$B$3&gt;=110</f>
        <v/>
      </c>
      <c r="D348">
        <f>IF(Skills!C13=1,60+Inputs!$B$25+Inputs!$B$29,IF(Skills!C13=2,90+Inputs!$B$26+Inputs!$B$29,IF(Skills!C13=3,120+Inputs!$B$27+Inputs!$B$29,MAX(0,(Inputs!$B$3-100)*3)+Inputs!$B$28+Inputs!$B$29)))</f>
        <v/>
      </c>
      <c r="E348">
        <f>INDEX(FactorTable!$B$2:$Y$301, MATCH(ROUND(MIN(300,MAX(1,D348)),0), FactorTable!$A$2:$A$301,0), Skills!M13+1)</f>
        <v/>
      </c>
      <c r="F348">
        <f>IF(Skills!N13=TRUE,(Skills!L13/10)*(E348/1000),Skills!L13/10)+Skills!O13</f>
        <v/>
      </c>
      <c r="G348">
        <f>Skills!G13*IF(Skills!H13&gt;0,Skills!I13/Skills!H13,1)</f>
        <v/>
      </c>
      <c r="H348">
        <f>1-(1-Skills!J13/100)^Skills!K13</f>
        <v/>
      </c>
      <c r="I348" t="inlineStr">
        <is>
          <t>1</t>
        </is>
      </c>
      <c r="J348">
        <f>((Inputs!$B$6*(1+Inputs!$B$7/100))+(((Inputs!$B$12*(1+Inputs!$B$13/100))-(Inputs!$B$12*(1+Inputs!$B$13/100)))+0.25*(Inputs!$B$14-Inputs!$B$14))*(1+Inputs!$B$7/100))*(F348/100)</f>
        <v/>
      </c>
      <c r="K348">
        <f>J348*(1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348)</f>
        <v/>
      </c>
      <c r="L348">
        <f>K348*(MIN(Inputs!$B$22+((C357=TRUE)*(F357-Calc!F22)),(Inputs!$B$23+0+(IF(ArtifactsInput!$M$15,CHOOSE(ArtifactsInput!$N$15+1,25,30,35,40,45,50)/100*(Inputs!$B$11-Inputs!$B$11),0))))/100+(Inputs!$B$23+0+(IF(ArtifactsInput!$M$15,CHOOSE(ArtifactsInput!$N$15+1,25,30,35,40,45,50)/100*(Inputs!$B$11-Inputs!$B$11),0)))/100)/2</f>
        <v/>
      </c>
      <c r="M348">
        <f>L348*(1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8">
        <f>L348*(1-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348*(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8">
        <f>(1-Summary!$B$11)*T348+Summary!$B$11*V348</f>
        <v/>
      </c>
      <c r="P348">
        <f>IF(B376=0,0,O348/B376)</f>
        <v/>
      </c>
      <c r="Q348">
        <f>IFERROR(1/(IF(Inputs!$B$38="pvp",15,MAX(0.1,Skills!D13-IF(Skills!E13=TRUE,Inputs!$B$32,0)))*(1-IF(AND(ArtifactsInput!$M$27,Inputs!$B$4="Chapter Hunt"),CHOOSE(ArtifactsInput!$N$27+1,20,24,28,32,36,40),0)/100)),0)</f>
        <v/>
      </c>
      <c r="R348">
        <f>IF(AND(Inputs!$B$38&lt;&gt;"pvp",Inputs!$B$43&gt;0),IF(MAX(0,Inputs!$B$43-B373)&lt;=0,0,(INT(MAX(0,Inputs!$B$43-B373)/(IF(Inputs!$B$38="pvp",15,MAX(0.1,Skills!D13-IF(Skills!E13=TRUE,Inputs!$B$32,0)))*(1-IF(AND(ArtifactsInput!$M$27,Inputs!$B$4="Chapter Hunt"),CHOOSE(ArtifactsInput!$N$27+1,20,24,28,32,36,40),0)/100)))+1)),0)</f>
        <v/>
      </c>
      <c r="S348">
        <f>IFERROR(O348/N348,0)</f>
        <v/>
      </c>
      <c r="T348">
        <f>IF(C348,(H348*N348*IF(AND(Inputs!$B$38&lt;&gt;"pvp",Inputs!$B$43&gt;0),((Skills!G13*((R348-1)*IF(Skills!H13&gt;0,Skills!I13/Skills!H13,1)+IF(Skills!H13&gt;0,MIN(Skills!I13,MAX(0,MAX(0,Inputs!$B$43-B373)-((R348-1)*(IF(Inputs!$B$38="pvp",15,MAX(0.1,Skills!D13-IF(Skills!E13=TRUE,Inputs!$B$32,0)))*(1-IF(AND(ArtifactsInput!$M$27,Inputs!$B$4="Chapter Hunt"),CHOOSE(ArtifactsInput!$N$27+1,20,24,28,32,36,40),0)/100)))))/Skills!H13,1)))/Inputs!$B$43),G348*Q348)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348*(1-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348*(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348*(1-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348*(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8">
        <f>IF(C348,(H348*N348*IF(AND(Inputs!$B$38&lt;&gt;"pvp",Inputs!$B$43&gt;0),((Skills!G13*((R348-1)*IF(Skills!H13&gt;0,Skills!I13/Skills!H13,1)+IF(Skills!H13&gt;0,MIN(Skills!I13,MAX(0,MAX(0,Inputs!$B$43-B373)-((R348-1)*(IF(Inputs!$B$38="pvp",15,MAX(0.1,Skills!D13-IF(Skills!E13=TRUE,Inputs!$B$32,0)))*(1-IF(AND(ArtifactsInput!$M$27,Inputs!$B$4="Chapter Hunt"),CHOOSE(ArtifactsInput!$N$27+1,20,24,28,32,36,40),0)/100)))))/Skills!H13,1)))/Inputs!$B$43),G348*Q348))*IF(Inputs!$B$38="pvp",1,(1+((Inputs!$B$21+1)+Skills!Q13+(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9">
      <c r="A349">
        <f>Skills!A14</f>
        <v/>
      </c>
      <c r="B349">
        <f>Skills!B14</f>
        <v/>
      </c>
      <c r="C349">
        <f>Inputs!$B$3&gt;=125</f>
        <v/>
      </c>
      <c r="D349">
        <f>IF(Skills!C14=1,60+Inputs!$B$25+Inputs!$B$29,IF(Skills!C14=2,90+Inputs!$B$26+Inputs!$B$29,IF(Skills!C14=3,120+Inputs!$B$27+Inputs!$B$29,MAX(0,(Inputs!$B$3-100)*3)+Inputs!$B$28+Inputs!$B$29)))</f>
        <v/>
      </c>
      <c r="E349">
        <f>INDEX(FactorTable!$B$2:$Y$301, MATCH(ROUND(MIN(300,MAX(1,D349)),0), FactorTable!$A$2:$A$301,0), Skills!M14+1)</f>
        <v/>
      </c>
      <c r="F349">
        <f>IF(Skills!N14=TRUE,(Skills!L14/10)*(E349/1000),Skills!L14/10)+Skills!O14</f>
        <v/>
      </c>
      <c r="G349">
        <f>Skills!G14*IF(Skills!H14&gt;0,Skills!I14/Skills!H14,1)</f>
        <v/>
      </c>
      <c r="H349">
        <f>1-(1-Skills!J14/100)^Skills!K14</f>
        <v/>
      </c>
      <c r="I349" t="inlineStr">
        <is>
          <t>1</t>
        </is>
      </c>
      <c r="J349">
        <f>((Inputs!$B$6*(1+Inputs!$B$7/100))+(((Inputs!$B$12*(1+Inputs!$B$13/100))-(Inputs!$B$12*(1+Inputs!$B$13/100)))+0.25*(Inputs!$B$14-Inputs!$B$14))*(1+Inputs!$B$7/100))*(F349/100)</f>
        <v/>
      </c>
      <c r="K349">
        <f>J349*(1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349)</f>
        <v/>
      </c>
      <c r="L349">
        <f>K349*(MIN(Inputs!$B$22+((C357=TRUE)*(F357-Calc!F22)),(Inputs!$B$23+0+(IF(ArtifactsInput!$M$15,CHOOSE(ArtifactsInput!$N$15+1,25,30,35,40,45,50)/100*(Inputs!$B$11-Inputs!$B$11),0))))/100+(Inputs!$B$23+0+(IF(ArtifactsInput!$M$15,CHOOSE(ArtifactsInput!$N$15+1,25,30,35,40,45,50)/100*(Inputs!$B$11-Inputs!$B$11),0)))/100)/2</f>
        <v/>
      </c>
      <c r="M349">
        <f>L349*(1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9">
        <f>L349*(1-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349*(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9">
        <f>(1-Summary!$B$11)*T349+Summary!$B$11*V349</f>
        <v/>
      </c>
      <c r="P349">
        <f>IF(B376=0,0,O349/B376)</f>
        <v/>
      </c>
      <c r="Q349" t="n">
        <v>0</v>
      </c>
      <c r="R349" t="n">
        <v>0</v>
      </c>
      <c r="S349">
        <f>IFERROR(O349/N349,0)</f>
        <v/>
      </c>
      <c r="T349">
        <f>IF(C349,(H349*N349*(B370+IF(AND(Inputs!$B$38&lt;&gt;"pvp",Inputs!$B$43&gt;0),((Skills!G8*((R343-1)*IF(Skills!H8&gt;0,Skills!I8/Skills!H8,1)+IF(Skills!H8&gt;0,MIN(Skills!I8,MAX(0,MAX(0,Inputs!$B$43-B373)-((R343-1)*(IF(Inputs!$B$38="pvp",15,MAX(0.1,Skills!D8-IF(Skills!E8=TRUE,Inputs!$B$32,0)))*(1-IF(AND(ArtifactsInput!$M$27,Inputs!$B$4="Chapter Hunt"),CHOOSE(ArtifactsInput!$N$27+1,20,24,28,32,36,40),0)/100)))))/Skills!H8,1)))/Inputs!$B$43),G343*Q343)+IF(AND(Inputs!$B$38&lt;&gt;"pvp",Inputs!$B$43&gt;0),((Skills!G11*((R346-1)*IF(Skills!H11&gt;0,Skills!I11/Skills!H11,1)+IF(Skills!H11&gt;0,MIN(Skills!I11,MAX(0,MAX(0,Inputs!$B$43-B373)-((R346-1)*(IF(Inputs!$B$38="pvp",15,MAX(0.1,Skills!D11-IF(Skills!E11=TRUE,Inputs!$B$32,0)))*(1-IF(AND(ArtifactsInput!$M$27,Inputs!$B$4="Chapter Hunt"),CHOOSE(ArtifactsInput!$N$27+1,20,24,28,32,36,40),0)/100)))))/Skills!H11,1)))/Inputs!$B$43),G346*Q346)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349*(1-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349*(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349*(1-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349*(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9">
        <f>IF(C349,(H349*N349*(B370+IF(AND(Inputs!$B$38&lt;&gt;"pvp",Inputs!$B$43&gt;0),((Skills!G8*((R343-1)*IF(Skills!H8&gt;0,Skills!I8/Skills!H8,1)+IF(Skills!H8&gt;0,MIN(Skills!I8,MAX(0,MAX(0,Inputs!$B$43-B373)-((R343-1)*(IF(Inputs!$B$38="pvp",15,MAX(0.1,Skills!D8-IF(Skills!E8=TRUE,Inputs!$B$32,0)))*(1-IF(AND(ArtifactsInput!$M$27,Inputs!$B$4="Chapter Hunt"),CHOOSE(ArtifactsInput!$N$27+1,20,24,28,32,36,40),0)/100)))))/Skills!H8,1)))/Inputs!$B$43),G343*Q343)+IF(AND(Inputs!$B$38&lt;&gt;"pvp",Inputs!$B$43&gt;0),((Skills!G11*((R346-1)*IF(Skills!H11&gt;0,Skills!I11/Skills!H11,1)+IF(Skills!H11&gt;0,MIN(Skills!I11,MAX(0,MAX(0,Inputs!$B$43-B373)-((R346-1)*(IF(Inputs!$B$38="pvp",15,MAX(0.1,Skills!D11-IF(Skills!E11=TRUE,Inputs!$B$32,0)))*(1-IF(AND(ArtifactsInput!$M$27,Inputs!$B$4="Chapter Hunt"),CHOOSE(ArtifactsInput!$N$27+1,20,24,28,32,36,40),0)/100)))))/Skills!H11,1)))/Inputs!$B$43),G346*Q346)))*IF(Inputs!$B$38="pvp",1,(1+((Inputs!$B$21+1)+Skills!Q14+(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0">
      <c r="A350">
        <f>Skills!A15</f>
        <v/>
      </c>
      <c r="B350">
        <f>Skills!B15</f>
        <v/>
      </c>
      <c r="C350">
        <f>Inputs!$B$3&gt;=100</f>
        <v/>
      </c>
      <c r="D350">
        <f>IF(Skills!C15=1,60+Inputs!$B$25+Inputs!$B$29,IF(Skills!C15=2,90+Inputs!$B$26+Inputs!$B$29,IF(Skills!C15=3,120+Inputs!$B$27+Inputs!$B$29,MAX(0,(Inputs!$B$3-100)*3)+Inputs!$B$28+Inputs!$B$29)))</f>
        <v/>
      </c>
      <c r="E350">
        <f>INDEX(FactorTable!$B$2:$Y$301, MATCH(ROUND(MIN(300,MAX(1,D350)),0), FactorTable!$A$2:$A$301,0), Skills!M15+1)</f>
        <v/>
      </c>
      <c r="F350">
        <f>IF(Skills!N15=TRUE,(Skills!L15/10)*(E350/1000),Skills!L15/10)+Skills!O15</f>
        <v/>
      </c>
      <c r="G350" t="inlineStr"/>
      <c r="H350" t="inlineStr"/>
      <c r="I350" t="inlineStr">
        <is>
          <t>1</t>
        </is>
      </c>
      <c r="J350" t="inlineStr"/>
      <c r="K350" t="inlineStr"/>
      <c r="L350" t="inlineStr"/>
      <c r="M350" t="inlineStr"/>
      <c r="N350" t="inlineStr"/>
      <c r="O350" t="inlineStr"/>
      <c r="P350" t="inlineStr"/>
      <c r="Q350" t="inlineStr"/>
      <c r="R350" t="inlineStr"/>
      <c r="S350" t="inlineStr"/>
    </row>
    <row r="351">
      <c r="A351">
        <f>Skills!A16</f>
        <v/>
      </c>
      <c r="B351">
        <f>Skills!B16</f>
        <v/>
      </c>
      <c r="C351">
        <f>Inputs!$B$3&gt;=120</f>
        <v/>
      </c>
      <c r="D351">
        <f>IF(Skills!C16=1,60+Inputs!$B$25+Inputs!$B$29,IF(Skills!C16=2,90+Inputs!$B$26+Inputs!$B$29,IF(Skills!C16=3,120+Inputs!$B$27+Inputs!$B$29,MAX(0,(Inputs!$B$3-100)*3)+Inputs!$B$28+Inputs!$B$29)))</f>
        <v/>
      </c>
      <c r="E351">
        <f>INDEX(FactorTable!$B$2:$Y$301, MATCH(ROUND(MIN(300,MAX(1,D351)),0), FactorTable!$A$2:$A$301,0), Skills!M16+1)</f>
        <v/>
      </c>
      <c r="F351">
        <f>IF(Skills!N16=TRUE,(Skills!L16/10)*(E351/1000),Skills!L16/10)+Skills!O16</f>
        <v/>
      </c>
      <c r="G351" t="inlineStr"/>
      <c r="H351" t="inlineStr"/>
      <c r="I351" t="inlineStr">
        <is>
          <t>1</t>
        </is>
      </c>
      <c r="J351" t="inlineStr"/>
      <c r="K351" t="inlineStr"/>
      <c r="L351" t="inlineStr"/>
      <c r="M351" t="inlineStr"/>
      <c r="N351" t="inlineStr"/>
      <c r="O351" t="inlineStr"/>
      <c r="P351" t="inlineStr"/>
      <c r="Q351" t="inlineStr"/>
      <c r="R351" t="inlineStr"/>
      <c r="S351" t="inlineStr"/>
    </row>
    <row r="352">
      <c r="A352">
        <f>Skills!A17</f>
        <v/>
      </c>
      <c r="B352">
        <f>Skills!B17</f>
        <v/>
      </c>
      <c r="C352">
        <f>Inputs!$B$3&gt;=66</f>
        <v/>
      </c>
      <c r="D352">
        <f>IF(Skills!C17=1,60+Inputs!$B$25+Inputs!$B$29,IF(Skills!C17=2,90+Inputs!$B$26+Inputs!$B$29,IF(Skills!C17=3,120+Inputs!$B$27+Inputs!$B$29,MAX(0,(Inputs!$B$3-100)*3)+Inputs!$B$28+Inputs!$B$29)))</f>
        <v/>
      </c>
      <c r="E352">
        <f>INDEX(FactorTable!$B$2:$Y$301, MATCH(ROUND(MIN(300,MAX(1,D352)),0), FactorTable!$A$2:$A$301,0), Skills!M17+1)</f>
        <v/>
      </c>
      <c r="F352">
        <f>IF(Skills!N17=TRUE,(Skills!L17/10)*(E352/1000),Skills!L17/10)+Skills!O17</f>
        <v/>
      </c>
      <c r="G352">
        <f>Skills!G17*IF(Skills!H17&gt;0,Skills!I17/Skills!H17,1)</f>
        <v/>
      </c>
      <c r="H352">
        <f>1-(1-Skills!J17/100)^Skills!K17</f>
        <v/>
      </c>
      <c r="I352" t="inlineStr">
        <is>
          <t>1</t>
        </is>
      </c>
      <c r="J352" t="inlineStr"/>
      <c r="K352" t="inlineStr"/>
      <c r="L352" t="inlineStr"/>
      <c r="M352" t="inlineStr"/>
      <c r="N352" t="inlineStr"/>
      <c r="O352">
        <f>(1-Summary!$B$11)*T352+Summary!$B$11*V352</f>
        <v/>
      </c>
      <c r="P352">
        <f>IF(B376=0,0,O352/B376)</f>
        <v/>
      </c>
      <c r="Q352" t="n">
        <v>0</v>
      </c>
      <c r="R352" t="n">
        <v>0</v>
      </c>
      <c r="S352">
        <f>IFERROR(O352/N352,0)</f>
        <v/>
      </c>
      <c r="T352" t="n">
        <v>0</v>
      </c>
      <c r="V352" t="n">
        <v>0</v>
      </c>
    </row>
    <row r="353">
      <c r="A353">
        <f>Skills!A18</f>
        <v/>
      </c>
      <c r="B353">
        <f>Skills!B18</f>
        <v/>
      </c>
      <c r="C353">
        <f>Inputs!$B$3&gt;=115</f>
        <v/>
      </c>
      <c r="D353">
        <f>IF(Skills!C18=1,60+Inputs!$B$25+Inputs!$B$29,IF(Skills!C18=2,90+Inputs!$B$26+Inputs!$B$29,IF(Skills!C18=3,120+Inputs!$B$27+Inputs!$B$29,MAX(0,(Inputs!$B$3-100)*3)+Inputs!$B$28+Inputs!$B$29)))</f>
        <v/>
      </c>
      <c r="E353">
        <f>INDEX(FactorTable!$B$2:$Y$301, MATCH(ROUND(MIN(300,MAX(1,D353)),0), FactorTable!$A$2:$A$301,0), Skills!M18+1)</f>
        <v/>
      </c>
      <c r="F353">
        <f>IF(Skills!N18=TRUE,(Skills!L18/10)*(E353/1000),Skills!L18/10)+Skills!O18</f>
        <v/>
      </c>
      <c r="G353">
        <f>Skills!G18*IF(Skills!H18&gt;0,Skills!I18/Skills!H18,1)</f>
        <v/>
      </c>
      <c r="H353">
        <f>1-(1-Skills!J18/100)^Skills!K18</f>
        <v/>
      </c>
      <c r="I353" t="inlineStr">
        <is>
          <t>1</t>
        </is>
      </c>
      <c r="J353" t="inlineStr"/>
      <c r="K353" t="inlineStr"/>
      <c r="L353" t="inlineStr"/>
      <c r="M353" t="inlineStr"/>
      <c r="N353" t="inlineStr"/>
      <c r="O353">
        <f>(1-Summary!$B$11)*T353+Summary!$B$11*V353</f>
        <v/>
      </c>
      <c r="P353">
        <f>IF(B376=0,0,O353/B376)</f>
        <v/>
      </c>
      <c r="Q353">
        <f>IFERROR(1/(IF(Inputs!$B$38="pvp",15,MAX(0.1,Skills!D18-IF(Skills!E18=TRUE,Inputs!$B$32,0)))*(1-IF(AND(ArtifactsInput!$M$27,Inputs!$B$4="Chapter Hunt"),CHOOSE(ArtifactsInput!$N$27+1,20,24,28,32,36,40),0)/100)),0)</f>
        <v/>
      </c>
      <c r="R353">
        <f>IF(AND(Inputs!$B$38&lt;&gt;"pvp",Inputs!$B$43&gt;0),IF(Inputs!$B$43&lt;=0,0,(INT(Inputs!$B$43/(IF(Inputs!$B$38="pvp",15,MAX(0.1,Skills!D18-IF(Skills!E18=TRUE,Inputs!$B$32,0)))*(1-IF(AND(ArtifactsInput!$M$27,Inputs!$B$4="Chapter Hunt"),CHOOSE(ArtifactsInput!$N$27+1,20,24,28,32,36,40),0)/100)))+1)),0)</f>
        <v/>
      </c>
      <c r="S353">
        <f>IFERROR(O353/N353,0)</f>
        <v/>
      </c>
      <c r="T353" t="n">
        <v>0</v>
      </c>
      <c r="V353" t="n">
        <v>0</v>
      </c>
    </row>
    <row r="354">
      <c r="A354">
        <f>Skills!A19</f>
        <v/>
      </c>
      <c r="B354">
        <f>Skills!B19</f>
        <v/>
      </c>
      <c r="C354">
        <f>Inputs!$B$3&gt;=15</f>
        <v/>
      </c>
      <c r="D354">
        <f>IF(Skills!C19=1,60+Inputs!$B$25+Inputs!$B$29,IF(Skills!C19=2,90+Inputs!$B$26+Inputs!$B$29,IF(Skills!C19=3,120+Inputs!$B$27+Inputs!$B$29,MAX(0,(Inputs!$B$3-100)*3)+Inputs!$B$28+Inputs!$B$29)))</f>
        <v/>
      </c>
      <c r="E354">
        <f>INDEX(FactorTable!$B$2:$Y$301, MATCH(ROUND(MIN(300,MAX(1,D354)),0), FactorTable!$A$2:$A$301,0), Skills!M19+1)</f>
        <v/>
      </c>
      <c r="F354">
        <f>IF(Skills!N19=TRUE,(Skills!L19/10)*(E354/1000),Skills!L19/10)+Skills!O19</f>
        <v/>
      </c>
      <c r="G354">
        <f>Skills!G19*IF(Skills!H19&gt;0,Skills!I19/Skills!H19,1)</f>
        <v/>
      </c>
      <c r="H354">
        <f>1-(1-Skills!J19/100)^Skills!K19</f>
        <v/>
      </c>
      <c r="I354" t="inlineStr">
        <is>
          <t>1</t>
        </is>
      </c>
      <c r="J354" t="inlineStr"/>
      <c r="K354" t="inlineStr"/>
      <c r="L354" t="inlineStr"/>
      <c r="M354" t="inlineStr"/>
      <c r="N354" t="inlineStr"/>
      <c r="O354">
        <f>(1-Summary!$B$11)*T354+Summary!$B$11*V354</f>
        <v/>
      </c>
      <c r="P354">
        <f>IF(B376=0,0,O354/B376)</f>
        <v/>
      </c>
      <c r="Q354" t="n">
        <v>0</v>
      </c>
      <c r="R354" t="n">
        <v>0</v>
      </c>
      <c r="S354">
        <f>IFERROR(O354/N354,0)</f>
        <v/>
      </c>
      <c r="T354" t="n">
        <v>0</v>
      </c>
      <c r="V354" t="n">
        <v>0</v>
      </c>
    </row>
    <row r="355">
      <c r="A355">
        <f>Skills!A20</f>
        <v/>
      </c>
      <c r="B355">
        <f>Skills!B20</f>
        <v/>
      </c>
      <c r="C355">
        <f>Inputs!$B$3&gt;=10</f>
        <v/>
      </c>
      <c r="D355">
        <f>IF(Skills!C20=1,60+Inputs!$B$25+Inputs!$B$29,IF(Skills!C20=2,90+Inputs!$B$26+Inputs!$B$29,IF(Skills!C20=3,120+Inputs!$B$27+Inputs!$B$29,MAX(0,(Inputs!$B$3-100)*3)+Inputs!$B$28+Inputs!$B$29)))</f>
        <v/>
      </c>
      <c r="E355">
        <f>INDEX(FactorTable!$B$2:$Y$301, MATCH(ROUND(MIN(300,MAX(1,D355)),0), FactorTable!$A$2:$A$301,0), Skills!M20+1)</f>
        <v/>
      </c>
      <c r="F355">
        <f>IF(Skills!N20=TRUE,(Skills!L20/10)*(E355/1000),Skills!L20/10)+Skills!O20</f>
        <v/>
      </c>
      <c r="G355">
        <f>Skills!G20*IF(Skills!H20&gt;0,Skills!I20/Skills!H20,1)</f>
        <v/>
      </c>
      <c r="H355">
        <f>1-(1-Skills!J20/100)^Skills!K20</f>
        <v/>
      </c>
      <c r="I355" t="inlineStr">
        <is>
          <t>1</t>
        </is>
      </c>
      <c r="J355" t="inlineStr"/>
      <c r="K355" t="inlineStr"/>
      <c r="L355" t="inlineStr"/>
      <c r="M355" t="inlineStr"/>
      <c r="N355" t="inlineStr"/>
      <c r="O355">
        <f>(1-Summary!$B$11)*T355+Summary!$B$11*V355</f>
        <v/>
      </c>
      <c r="P355">
        <f>IF(B376=0,0,O355/B376)</f>
        <v/>
      </c>
      <c r="Q355" t="n">
        <v>0</v>
      </c>
      <c r="R355" t="n">
        <v>0</v>
      </c>
      <c r="S355">
        <f>IFERROR(O355/N355,0)</f>
        <v/>
      </c>
      <c r="T355" t="n">
        <v>0</v>
      </c>
      <c r="V355" t="n">
        <v>0</v>
      </c>
    </row>
    <row r="356">
      <c r="A356">
        <f>Skills!A21</f>
        <v/>
      </c>
      <c r="B356">
        <f>Skills!B21</f>
        <v/>
      </c>
      <c r="C356">
        <f>Inputs!$B$3&gt;=33</f>
        <v/>
      </c>
      <c r="D356">
        <f>IF(Skills!C21=1,60+Inputs!$B$25+Inputs!$B$29,IF(Skills!C21=2,90+Inputs!$B$26+Inputs!$B$29,IF(Skills!C21=3,120+Inputs!$B$27+Inputs!$B$29,MAX(0,(Inputs!$B$3-100)*3)+Inputs!$B$28+Inputs!$B$29)))</f>
        <v/>
      </c>
      <c r="E356">
        <f>INDEX(FactorTable!$B$2:$Y$301, MATCH(ROUND(MIN(300,MAX(1,D356)),0), FactorTable!$A$2:$A$301,0), Skills!M21+1)</f>
        <v/>
      </c>
      <c r="F356">
        <f>IF(Skills!N21=TRUE,(Skills!L21/10)*(E356/1000),Skills!L21/10)+Skills!O21</f>
        <v/>
      </c>
      <c r="G356">
        <f>Skills!G21*IF(Skills!H21&gt;0,Skills!I21/Skills!H21,1)</f>
        <v/>
      </c>
      <c r="H356">
        <f>1-(1-Skills!J21/100)^Skills!K21</f>
        <v/>
      </c>
      <c r="I356" t="inlineStr">
        <is>
          <t>1</t>
        </is>
      </c>
      <c r="J356" t="inlineStr"/>
      <c r="K356" t="inlineStr"/>
      <c r="L356" t="inlineStr"/>
      <c r="M356" t="inlineStr"/>
      <c r="N356" t="inlineStr"/>
      <c r="O356">
        <f>(1-Summary!$B$11)*T356+Summary!$B$11*V356</f>
        <v/>
      </c>
      <c r="P356">
        <f>IF(B376=0,0,O356/B376)</f>
        <v/>
      </c>
      <c r="Q356" t="n">
        <v>0</v>
      </c>
      <c r="R356" t="n">
        <v>0</v>
      </c>
      <c r="S356">
        <f>IFERROR(O356/N356,0)</f>
        <v/>
      </c>
      <c r="T356" t="n">
        <v>0</v>
      </c>
      <c r="V356" t="n">
        <v>0</v>
      </c>
    </row>
    <row r="357">
      <c r="A357">
        <f>Skills!A22</f>
        <v/>
      </c>
      <c r="B357">
        <f>Skills!B22</f>
        <v/>
      </c>
      <c r="C357">
        <f>Inputs!$B$3&gt;=43</f>
        <v/>
      </c>
      <c r="D357">
        <f>IF(Skills!C22=1,60+Inputs!$B$25+Inputs!$B$29,IF(Skills!C22=2,90+Inputs!$B$26+Inputs!$B$29,IF(Skills!C22=3,120+Inputs!$B$27+Inputs!$B$29,MAX(0,(Inputs!$B$3-100)*3)+Inputs!$B$28+Inputs!$B$29)))</f>
        <v/>
      </c>
      <c r="E357">
        <f>INDEX(FactorTable!$B$2:$Y$301, MATCH(ROUND(MIN(300,MAX(1,D357)),0), FactorTable!$A$2:$A$301,0), Skills!M22+1)</f>
        <v/>
      </c>
      <c r="F357">
        <f>IF(Skills!N22=TRUE,(Skills!L22/10)*(E357/1000),Skills!L22/10)+Skills!O22</f>
        <v/>
      </c>
      <c r="G357">
        <f>Skills!G22*IF(Skills!H22&gt;0,Skills!I22/Skills!H22,1)</f>
        <v/>
      </c>
      <c r="H357">
        <f>1-(1-Skills!J22/100)^Skills!K22</f>
        <v/>
      </c>
      <c r="I357" t="inlineStr">
        <is>
          <t>1</t>
        </is>
      </c>
      <c r="J357" t="inlineStr"/>
      <c r="K357" t="inlineStr"/>
      <c r="L357" t="inlineStr"/>
      <c r="M357" t="inlineStr"/>
      <c r="N357" t="inlineStr"/>
      <c r="O357">
        <f>(1-Summary!$B$11)*T357+Summary!$B$11*V357</f>
        <v/>
      </c>
      <c r="P357">
        <f>IF(B376=0,0,O357/B376)</f>
        <v/>
      </c>
      <c r="Q357" t="n">
        <v>0</v>
      </c>
      <c r="R357" t="n">
        <v>0</v>
      </c>
      <c r="S357">
        <f>IFERROR(O357/N357,0)</f>
        <v/>
      </c>
      <c r="T357" t="n">
        <v>0</v>
      </c>
      <c r="V357" t="n">
        <v>0</v>
      </c>
    </row>
    <row r="358">
      <c r="A358">
        <f>Skills!A23</f>
        <v/>
      </c>
      <c r="B358">
        <f>Skills!B23</f>
        <v/>
      </c>
      <c r="C358">
        <f>Inputs!$B$3&gt;=38</f>
        <v/>
      </c>
      <c r="D358">
        <f>IF(Skills!C23=1,60+Inputs!$B$25+Inputs!$B$29,IF(Skills!C23=2,90+Inputs!$B$26+Inputs!$B$29,IF(Skills!C23=3,120+Inputs!$B$27+Inputs!$B$29,MAX(0,(Inputs!$B$3-100)*3)+Inputs!$B$28+Inputs!$B$29)))</f>
        <v/>
      </c>
      <c r="E358">
        <f>INDEX(FactorTable!$B$2:$Y$301, MATCH(ROUND(MIN(300,MAX(1,D358)),0), FactorTable!$A$2:$A$301,0), Skills!M23+1)</f>
        <v/>
      </c>
      <c r="F358">
        <f>IF(Skills!N23=TRUE,(Skills!L23/10)*(E358/1000),Skills!L23/10)+Skills!O23</f>
        <v/>
      </c>
      <c r="G358">
        <f>Skills!G23*IF(Skills!H23&gt;0,Skills!I23/Skills!H23,1)</f>
        <v/>
      </c>
      <c r="H358">
        <f>1-(1-Skills!J23/100)^Skills!K23</f>
        <v/>
      </c>
      <c r="I358" t="inlineStr">
        <is>
          <t>1</t>
        </is>
      </c>
      <c r="J358" t="inlineStr"/>
      <c r="K358" t="inlineStr"/>
      <c r="L358" t="inlineStr"/>
      <c r="M358" t="inlineStr"/>
      <c r="N358" t="inlineStr"/>
      <c r="O358">
        <f>(1-Summary!$B$11)*T358+Summary!$B$11*V358</f>
        <v/>
      </c>
      <c r="P358">
        <f>IF(B376=0,0,O358/B376)</f>
        <v/>
      </c>
      <c r="Q358" t="n">
        <v>0</v>
      </c>
      <c r="R358" t="n">
        <v>0</v>
      </c>
      <c r="S358">
        <f>IFERROR(O358/N358,0)</f>
        <v/>
      </c>
      <c r="T358" t="n">
        <v>0</v>
      </c>
      <c r="V358" t="n">
        <v>0</v>
      </c>
    </row>
    <row r="359">
      <c r="A359">
        <f>Skills!A24</f>
        <v/>
      </c>
      <c r="B359">
        <f>Skills!B24</f>
        <v/>
      </c>
      <c r="C359">
        <f>Inputs!$B$3&gt;=40</f>
        <v/>
      </c>
      <c r="D359">
        <f>IF(Skills!C24=1,60+Inputs!$B$25+Inputs!$B$29,IF(Skills!C24=2,90+Inputs!$B$26+Inputs!$B$29,IF(Skills!C24=3,120+Inputs!$B$27+Inputs!$B$29,MAX(0,(Inputs!$B$3-100)*3)+Inputs!$B$28+Inputs!$B$29)))</f>
        <v/>
      </c>
      <c r="E359">
        <f>INDEX(FactorTable!$B$2:$Y$301, MATCH(ROUND(MIN(300,MAX(1,D359)),0), FactorTable!$A$2:$A$301,0), Skills!M24+1)</f>
        <v/>
      </c>
      <c r="F359">
        <f>IF(Skills!N24=TRUE,(Skills!L24/10)*(E359/1000),Skills!L24/10)+Skills!O24</f>
        <v/>
      </c>
      <c r="G359">
        <f>Skills!G24*IF(Skills!H24&gt;0,Skills!I24/Skills!H24,1)</f>
        <v/>
      </c>
      <c r="H359">
        <f>1-(1-Skills!J24/100)^Skills!K24</f>
        <v/>
      </c>
      <c r="I359" t="inlineStr">
        <is>
          <t>1</t>
        </is>
      </c>
      <c r="J359" t="inlineStr"/>
      <c r="K359" t="inlineStr"/>
      <c r="L359" t="inlineStr"/>
      <c r="M359" t="inlineStr"/>
      <c r="N359" t="inlineStr"/>
      <c r="O359">
        <f>(1-Summary!$B$11)*T359+Summary!$B$11*V359</f>
        <v/>
      </c>
      <c r="P359">
        <f>IF(B376=0,0,O359/B376)</f>
        <v/>
      </c>
      <c r="Q359" t="n">
        <v>0</v>
      </c>
      <c r="R359" t="n">
        <v>0</v>
      </c>
      <c r="S359">
        <f>IFERROR(O359/N359,0)</f>
        <v/>
      </c>
      <c r="T359" t="n">
        <v>0</v>
      </c>
      <c r="V359" t="n">
        <v>0</v>
      </c>
    </row>
    <row r="360">
      <c r="A360">
        <f>Skills!A25</f>
        <v/>
      </c>
      <c r="B360">
        <f>Skills!B25</f>
        <v/>
      </c>
      <c r="C360">
        <f>Inputs!$B$3&gt;=72</f>
        <v/>
      </c>
      <c r="D360">
        <f>IF(Skills!C25=1,60+Inputs!$B$25+Inputs!$B$29,IF(Skills!C25=2,90+Inputs!$B$26+Inputs!$B$29,IF(Skills!C25=3,120+Inputs!$B$27+Inputs!$B$29,MAX(0,(Inputs!$B$3-100)*3)+Inputs!$B$28+Inputs!$B$29)))</f>
        <v/>
      </c>
      <c r="E360">
        <f>INDEX(FactorTable!$B$2:$Y$301, MATCH(ROUND(MIN(300,MAX(1,D360)),0), FactorTable!$A$2:$A$301,0), Skills!M25+1)</f>
        <v/>
      </c>
      <c r="F360">
        <f>IF(Skills!N25=TRUE,(Skills!L25/10)*(E360/1000),Skills!L25/10)+Skills!O25</f>
        <v/>
      </c>
      <c r="G360">
        <f>Skills!G25*IF(Skills!H25&gt;0,Skills!I25/Skills!H25,1)</f>
        <v/>
      </c>
      <c r="H360">
        <f>1-(1-Skills!J25/100)^Skills!K25</f>
        <v/>
      </c>
      <c r="I360" t="inlineStr">
        <is>
          <t>1</t>
        </is>
      </c>
      <c r="J360" t="inlineStr"/>
      <c r="K360" t="inlineStr"/>
      <c r="L360" t="inlineStr"/>
      <c r="M360" t="inlineStr"/>
      <c r="N360" t="inlineStr"/>
      <c r="O360">
        <f>(1-Summary!$B$11)*T360+Summary!$B$11*V360</f>
        <v/>
      </c>
      <c r="P360">
        <f>IF(B376=0,0,O360/B376)</f>
        <v/>
      </c>
      <c r="Q360" t="n">
        <v>0</v>
      </c>
      <c r="R360" t="n">
        <v>0</v>
      </c>
      <c r="S360">
        <f>IFERROR(O360/N360,0)</f>
        <v/>
      </c>
      <c r="T360" t="n">
        <v>0</v>
      </c>
      <c r="V360" t="n">
        <v>0</v>
      </c>
    </row>
    <row r="361">
      <c r="A361">
        <f>Skills!A26</f>
        <v/>
      </c>
      <c r="B361">
        <f>Skills!B26</f>
        <v/>
      </c>
      <c r="C361">
        <f>Inputs!$B$3&gt;=75</f>
        <v/>
      </c>
      <c r="D361">
        <f>IF(Skills!C26=1,60+Inputs!$B$25+Inputs!$B$29,IF(Skills!C26=2,90+Inputs!$B$26+Inputs!$B$29,IF(Skills!C26=3,120+Inputs!$B$27+Inputs!$B$29,MAX(0,(Inputs!$B$3-100)*3)+Inputs!$B$28+Inputs!$B$29)))</f>
        <v/>
      </c>
      <c r="E361">
        <f>INDEX(FactorTable!$B$2:$Y$301, MATCH(ROUND(MIN(300,MAX(1,D361)),0), FactorTable!$A$2:$A$301,0), Skills!M26+1)</f>
        <v/>
      </c>
      <c r="F361">
        <f>IF(Skills!N26=TRUE,(Skills!L26/10)*(E361/1000),Skills!L26/10)+Skills!O26</f>
        <v/>
      </c>
      <c r="G361">
        <f>Skills!G26*IF(Skills!H26&gt;0,Skills!I26/Skills!H26,1)</f>
        <v/>
      </c>
      <c r="H361">
        <f>1-(1-Skills!J26/100)^Skills!K26</f>
        <v/>
      </c>
      <c r="I361" t="inlineStr">
        <is>
          <t>1</t>
        </is>
      </c>
      <c r="J361" t="inlineStr"/>
      <c r="K361" t="inlineStr"/>
      <c r="L361" t="inlineStr"/>
      <c r="M361" t="inlineStr"/>
      <c r="N361" t="inlineStr"/>
      <c r="O361">
        <f>(1-Summary!$B$11)*T361+Summary!$B$11*V361</f>
        <v/>
      </c>
      <c r="P361">
        <f>IF(B376=0,0,O361/B376)</f>
        <v/>
      </c>
      <c r="Q361" t="n">
        <v>0</v>
      </c>
      <c r="R361" t="n">
        <v>0</v>
      </c>
      <c r="S361">
        <f>IFERROR(O361/N361,0)</f>
        <v/>
      </c>
      <c r="T361" t="n">
        <v>0</v>
      </c>
      <c r="V361" t="n">
        <v>0</v>
      </c>
    </row>
    <row r="362">
      <c r="A362">
        <f>Skills!A27</f>
        <v/>
      </c>
      <c r="B362">
        <f>Skills!B27</f>
        <v/>
      </c>
      <c r="C362">
        <f>Inputs!$B$3&gt;=117</f>
        <v/>
      </c>
      <c r="D362">
        <f>IF(Skills!C27=1,60+Inputs!$B$25+Inputs!$B$29,IF(Skills!C27=2,90+Inputs!$B$26+Inputs!$B$29,IF(Skills!C27=3,120+Inputs!$B$27+Inputs!$B$29,MAX(0,(Inputs!$B$3-100)*3)+Inputs!$B$28+Inputs!$B$29)))</f>
        <v/>
      </c>
      <c r="E362">
        <f>INDEX(FactorTable!$B$2:$Y$301, MATCH(ROUND(MIN(300,MAX(1,D362)),0), FactorTable!$A$2:$A$301,0), Skills!M27+1)</f>
        <v/>
      </c>
      <c r="F362">
        <f>IF(Skills!N27=TRUE,(Skills!L27/10)*(E362/1000),Skills!L27/10)+Skills!O27</f>
        <v/>
      </c>
      <c r="G362">
        <f>Skills!G27*IF(Skills!H27&gt;0,Skills!I27/Skills!H27,1)</f>
        <v/>
      </c>
      <c r="H362">
        <f>1-(1-Skills!J27/100)^Skills!K27</f>
        <v/>
      </c>
      <c r="I362" t="inlineStr">
        <is>
          <t>1</t>
        </is>
      </c>
      <c r="J362" t="inlineStr"/>
      <c r="K362" t="inlineStr"/>
      <c r="L362" t="inlineStr"/>
      <c r="M362" t="inlineStr"/>
      <c r="N362" t="inlineStr"/>
      <c r="O362">
        <f>(1-Summary!$B$11)*T362+Summary!$B$11*V362</f>
        <v/>
      </c>
      <c r="P362">
        <f>IF(B376=0,0,O362/B376)</f>
        <v/>
      </c>
      <c r="Q362" t="n">
        <v>0</v>
      </c>
      <c r="R362" t="n">
        <v>0</v>
      </c>
      <c r="S362">
        <f>IFERROR(O362/N362,0)</f>
        <v/>
      </c>
      <c r="T362" t="n">
        <v>0</v>
      </c>
      <c r="V362" t="n">
        <v>0</v>
      </c>
    </row>
    <row r="363">
      <c r="A363">
        <f>Skills!A28</f>
        <v/>
      </c>
      <c r="B363">
        <f>Skills!B28</f>
        <v/>
      </c>
      <c r="C363">
        <f>TRUE</f>
        <v/>
      </c>
      <c r="D363">
        <f>IF(Skills!C28=1,60+Inputs!$B$25+Inputs!$B$29,IF(Skills!C28=2,90+Inputs!$B$26+Inputs!$B$29,IF(Skills!C28=3,120+Inputs!$B$27+Inputs!$B$29,MAX(0,(Inputs!$B$3-100)*3)+Inputs!$B$28+Inputs!$B$29)))</f>
        <v/>
      </c>
      <c r="E363">
        <f>INDEX(FactorTable!$B$2:$Y$301, MATCH(ROUND(MIN(300,MAX(1,D363)),0), FactorTable!$A$2:$A$301,0), Skills!M28+1)</f>
        <v/>
      </c>
      <c r="F363">
        <f>IF(Skills!N28=TRUE,(Skills!L28/10)*(E363/1000),Skills!L28/10)+Skills!O28</f>
        <v/>
      </c>
      <c r="G363">
        <f>Skills!G28*IF(Skills!H28&gt;0,Skills!I28/Skills!H28,1)</f>
        <v/>
      </c>
      <c r="H363">
        <f>1-(1-Skills!J28/100)^Skills!K28</f>
        <v/>
      </c>
      <c r="I363" t="inlineStr">
        <is>
          <t>1</t>
        </is>
      </c>
      <c r="J363" t="inlineStr"/>
      <c r="K363" t="inlineStr"/>
      <c r="L363" t="inlineStr"/>
      <c r="M363" t="inlineStr"/>
      <c r="N363" t="inlineStr"/>
      <c r="O363">
        <f>(1-Summary!$B$11)*T363+Summary!$B$11*V363</f>
        <v/>
      </c>
      <c r="P363">
        <f>IF(B376=0,0,O363/B376)</f>
        <v/>
      </c>
      <c r="Q363">
        <f>IFERROR(1/(IF(Inputs!$B$38="pvp",15,MAX(0.1,Skills!D28-IF(Skills!E28=TRUE,Inputs!$B$32,0)))*(1-IF(AND(ArtifactsInput!$M$27,Inputs!$B$4="Chapter Hunt"),CHOOSE(ArtifactsInput!$N$27+1,20,24,28,32,36,40),0)/100)),0)</f>
        <v/>
      </c>
      <c r="R363">
        <f>IF(AND(Inputs!$B$38&lt;&gt;"pvp",Inputs!$B$43&gt;0),IF(Inputs!$B$43&lt;=0,0,(INT(Inputs!$B$43/(IF(Inputs!$B$38="pvp",15,MAX(0.1,Skills!D28-IF(Skills!E28=TRUE,Inputs!$B$32,0)))*(1-IF(AND(ArtifactsInput!$M$27,Inputs!$B$4="Chapter Hunt"),CHOOSE(ArtifactsInput!$N$27+1,20,24,28,32,36,40),0)/100)))+1)),0)</f>
        <v/>
      </c>
      <c r="S363">
        <f>IFERROR(O363/N363,0)</f>
        <v/>
      </c>
      <c r="T363" t="n">
        <v>0</v>
      </c>
      <c r="V363" t="n">
        <v>0</v>
      </c>
    </row>
    <row r="365">
      <c r="A365" t="inlineStr">
        <is>
          <t>Attack% Bucket Multiplier</t>
        </is>
      </c>
      <c r="B365">
        <f>(1+(((C352=TRUE)*F352*5/7)+((C359=TRUE)*(F359-Calc!F24))+(IF(ArtifactsInput!$M$21,CHOOSE(ArtifactsInput!$N$21+1,25,30,35,40,45,50)*(IF(OR(Inputs!$B$4="Chapter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66">
      <c r="A366" t="inlineStr">
        <is>
          <t>Global Crit Rate Bonus %</t>
        </is>
      </c>
      <c r="B366" t="n">
        <v>0</v>
      </c>
    </row>
    <row r="367">
      <c r="A367" t="inlineStr">
        <is>
          <t>Attack Speed Buff Bonus % (Nimble Feet, duty-cycle averaged)</t>
        </is>
      </c>
      <c r="B367">
        <f>((C363=TRUE)*F363*IF(AND(Inputs!$B$38&lt;&gt;"pvp",Inputs!$B$43&gt;0),(((R363-1)*(Skills!T28*(1+Inputs!$B$34/100))+MIN((Skills!T28*(1+Inputs!$B$34/100)),MAX(0,Inputs!$B$43-((R363-1)*Skills!D28))))/Inputs!$B$43),IF(Inputs!$B$38="pvp",MIN((Skills!T28*(1+Inputs!$B$34/100)),15)/15,(Skills!T28*(1+Inputs!$B$34/100))/Skills!D28)))</f>
        <v/>
      </c>
    </row>
    <row r="368">
      <c r="A368" t="inlineStr">
        <is>
          <t>Actions Per Second</t>
        </is>
      </c>
      <c r="B368">
        <f>1+MIN(150,150*(1-(1-(Inputs!$B$11+((C355=TRUE)*(F355-Calc!F20))+((C356=TRUE)*(F356-Calc!F21)))/150)*(1-B367/150)))/100</f>
        <v/>
      </c>
    </row>
    <row r="369">
      <c r="A369" t="inlineStr">
        <is>
          <t>Skill + Buff Cast Rate</t>
        </is>
      </c>
      <c r="B369">
        <f>IF(AND(Inputs!$B$38&lt;&gt;"pvp",Inputs!$B$43&gt;0),SUMPRODUCT((Skills!E2:E28=TRUE)*(C337:C363=TRUE)*R337:R363*Skills!F2:F28)/Inputs!$B$43,SUMPRODUCT((Skills!E2:E28=TRUE)*(C337:C363=TRUE)*Q337:Q363*Skills!F2:F28))</f>
        <v/>
      </c>
    </row>
    <row r="370">
      <c r="A370" t="inlineStr">
        <is>
          <t>Eight-Legs Easton Casts Per Second</t>
        </is>
      </c>
      <c r="B370">
        <f>MAX(0,B368-B369)</f>
        <v/>
      </c>
    </row>
    <row r="371">
      <c r="A371" t="inlineStr">
        <is>
          <t>Global Critical Damage Bonus % (unused)</t>
        </is>
      </c>
      <c r="B371" t="n">
        <v>0</v>
      </c>
    </row>
    <row r="372">
      <c r="A372" t="inlineStr">
        <is>
          <t>Global Final Damage Bonus % (Jolly Roger + Ahoy Mateys - Final Damage proc)</t>
        </is>
      </c>
      <c r="B372">
        <f>((C353=TRUE)*F353*IF(AND(Inputs!$B$38&lt;&gt;"pvp",Inputs!$B$43&gt;0),(((R353-1)*(Skills!T18*(1+Inputs!$B$34/100))+MIN((Skills!T18*(1+Inputs!$B$34/100)),MAX(0,Inputs!$B$43-((R353-1)*Skills!D18))))/Inputs!$B$43),IF(Inputs!$B$38="pvp",MIN((Skills!T18*(1+Inputs!$B$34/100)),15)/15,(Skills!T18*(1+Inputs!$B$34/100))/Skills!D18)))+IF(Inputs!$B$3&gt;=122,20*IF(Inputs!$B$38="pvp",MIN((20*(1+Inputs!$B$34/100)),15)/15,(20*(1+Inputs!$B$34/100))/Skills!D4),0)</f>
        <v/>
      </c>
    </row>
    <row r="373">
      <c r="A373" t="inlineStr">
        <is>
          <t>Buff-Casting Startup Delay (s, fixed-duration only)</t>
        </is>
      </c>
      <c r="B373">
        <f>IF(AND(Inputs!$B$38&lt;&gt;"pvp",Inputs!$B$43&gt;0),SUMPRODUCT((Skills!T2:T28&gt;0)*(Skills!E2:E28=TRUE)*(C337:C363=TRUE))/B368,0)</f>
        <v/>
      </c>
    </row>
    <row r="374">
      <c r="A374" t="inlineStr">
        <is>
          <t>Boss-Only Total DPS (this block's swept value)</t>
        </is>
      </c>
      <c r="B374">
        <f>SUM(T337:T363)</f>
        <v/>
      </c>
    </row>
    <row r="375">
      <c r="A375" t="inlineStr">
        <is>
          <t>Normal-Only Total DPS (this block's swept value)</t>
        </is>
      </c>
      <c r="B375">
        <f>SUM(V337:V363)</f>
        <v/>
      </c>
    </row>
    <row r="376">
      <c r="A376" s="6" t="inlineStr">
        <is>
          <t>TOTAL DPS</t>
        </is>
      </c>
      <c r="B376" s="6">
        <f>SUM(O337:O363)</f>
        <v/>
      </c>
    </row>
    <row r="379">
      <c r="A379" s="6" t="inlineStr">
        <is>
          <t>Stat: FINAL_DAMAGE % (multiplicative source)</t>
        </is>
      </c>
    </row>
    <row r="380">
      <c r="A380" s="5" t="inlineStr">
        <is>
          <t>Key</t>
        </is>
      </c>
      <c r="B380" s="5" t="inlineStr">
        <is>
          <t>Name</t>
        </is>
      </c>
      <c r="C380" s="5" t="inlineStr">
        <is>
          <t>Unlocked</t>
        </is>
      </c>
      <c r="D380" s="5" t="inlineStr">
        <is>
          <t>InputLevel</t>
        </is>
      </c>
      <c r="E380" s="5" t="inlineStr">
        <is>
          <t>Factor</t>
        </is>
      </c>
      <c r="F380" s="5" t="inlineStr">
        <is>
          <t>CoefficientPercent</t>
        </is>
      </c>
      <c r="G380" s="5" t="inlineStr">
        <is>
          <t>EffectiveHits</t>
        </is>
      </c>
      <c r="H380" s="5" t="inlineStr">
        <is>
          <t>ProcProbability</t>
        </is>
      </c>
      <c r="I380" s="5" t="inlineStr">
        <is>
          <t>MapleHeroMultiplier</t>
        </is>
      </c>
      <c r="J380" s="5" t="inlineStr">
        <is>
          <t>BaseDamage</t>
        </is>
      </c>
      <c r="K380" s="5" t="inlineStr">
        <is>
          <t>BaseHitDamage</t>
        </is>
      </c>
      <c r="L380" s="5" t="inlineStr">
        <is>
          <t>NonCritAvg</t>
        </is>
      </c>
      <c r="M380" s="5" t="inlineStr">
        <is>
          <t>CritAvg</t>
        </is>
      </c>
      <c r="N380" s="5" t="inlineStr">
        <is>
          <t>ExpectedDamage(perHit)</t>
        </is>
      </c>
      <c r="O380" s="5" t="inlineStr">
        <is>
          <t>DPS</t>
        </is>
      </c>
      <c r="P380" s="5" t="inlineStr">
        <is>
          <t>% of Total</t>
        </is>
      </c>
      <c r="Q380" s="5" t="inlineStr">
        <is>
          <t>InvCooldown</t>
        </is>
      </c>
      <c r="R380" s="5" t="inlineStr">
        <is>
          <t>CastsInFight</t>
        </is>
      </c>
      <c r="S380" s="5" t="inlineStr">
        <is>
          <t>HitRate(perSec)</t>
        </is>
      </c>
      <c r="U380" t="inlineStr">
        <is>
          <t>helpers</t>
        </is>
      </c>
    </row>
    <row r="381">
      <c r="A381">
        <f>Skills!A2</f>
        <v/>
      </c>
      <c r="B381">
        <f>Skills!B2</f>
        <v/>
      </c>
      <c r="C381">
        <f>Inputs!$B$3&gt;=100</f>
        <v/>
      </c>
      <c r="D381" t="inlineStr"/>
      <c r="E381" t="inlineStr"/>
      <c r="F381">
        <f>U383+Skills!O2</f>
        <v/>
      </c>
      <c r="G381">
        <f>Skills!G2*IF(Skills!H2&gt;0,Skills!I2/Skills!H2,1)</f>
        <v/>
      </c>
      <c r="H381">
        <f>1-(1-Skills!J2/100)^Skills!K2</f>
        <v/>
      </c>
      <c r="I381" t="inlineStr">
        <is>
          <t>1</t>
        </is>
      </c>
      <c r="J381">
        <f>((Inputs!$B$6*(1+Inputs!$B$7/100))+(((Inputs!$B$12*(1+Inputs!$B$13/100))-(Inputs!$B$12*(1+Inputs!$B$13/100)))+0.25*(Inputs!$B$14-Inputs!$B$14))*(1+Inputs!$B$7/100))*(F381/100)</f>
        <v/>
      </c>
      <c r="K381">
        <f>J381*(1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381)</f>
        <v/>
      </c>
      <c r="L381">
        <f>K381*(MIN(Inputs!$B$22+((C401=TRUE)*(F401-Calc!F22)),(Inputs!$B$23+0+(IF(ArtifactsInput!$M$15,CHOOSE(ArtifactsInput!$N$15+1,25,30,35,40,45,50)/100*(Inputs!$B$11-Inputs!$B$11),0))))/100+(Inputs!$B$23+0+(IF(ArtifactsInput!$M$15,CHOOSE(ArtifactsInput!$N$15+1,25,30,35,40,45,50)/100*(Inputs!$B$11-Inputs!$B$11),0)))/100)/2</f>
        <v/>
      </c>
      <c r="M381">
        <f>L381*(1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1">
        <f>L381*(1-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1">
        <f>(1-Summary!$B$11)*T381+Summary!$B$11*V381</f>
        <v/>
      </c>
      <c r="P381">
        <f>IF(B420=0,0,O381/B420)</f>
        <v/>
      </c>
      <c r="Q381" t="n">
        <v>0</v>
      </c>
      <c r="R381" t="n">
        <v>0</v>
      </c>
      <c r="S381">
        <f>IFERROR(O381/N381,0)</f>
        <v/>
      </c>
      <c r="T381">
        <f>IF(C381,(Skills!G2*N381*B414)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381*(1-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381*(1-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1">
        <f>MAX(0,(Inputs!$B$3-100)*3)+Inputs!$B$28+Inputs!$B$29</f>
        <v/>
      </c>
      <c r="V381">
        <f>IF(C381,(Skills!G2*N381*B414)*IF(Inputs!$B$38="pvp",1,(1+(Inputs!$B$21+Skills!Q2+(IF(ArtifactsInput!$M$33,CHOOSE(ArtifactsInput!$N$33+1,30,36,42,48,54,60),0))+(IF(AND(ArtifactsInput!$M$35,Inputs!$B$4&lt;&gt;"Chapter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2">
      <c r="A382">
        <f>Skills!A3</f>
        <v/>
      </c>
      <c r="B382">
        <f>Skills!B3</f>
        <v/>
      </c>
      <c r="C382">
        <f>Inputs!$B$3&gt;=35</f>
        <v/>
      </c>
      <c r="D382">
        <f>IF(Skills!C3=1,60+Inputs!$B$25+Inputs!$B$29,IF(Skills!C3=2,90+Inputs!$B$26+Inputs!$B$29,IF(Skills!C3=3,120+Inputs!$B$27+Inputs!$B$29,MAX(0,(Inputs!$B$3-100)*3)+Inputs!$B$28+Inputs!$B$29)))</f>
        <v/>
      </c>
      <c r="E382">
        <f>INDEX(FactorTable!$B$2:$Y$301, MATCH(ROUND(MIN(300,MAX(1,D382)),0), FactorTable!$A$2:$A$301,0), Skills!M3+1)</f>
        <v/>
      </c>
      <c r="F382">
        <f>IF(Skills!N3=TRUE,(Skills!L3/10)*(E382/1000),Skills!L3/10)+Skills!O3</f>
        <v/>
      </c>
      <c r="G382">
        <f>Skills!G3*IF(Skills!H3&gt;0,Skills!I3/Skills!H3,1)</f>
        <v/>
      </c>
      <c r="H382">
        <f>1-(1-Skills!J3/100)^Skills!K3</f>
        <v/>
      </c>
      <c r="I382" t="inlineStr">
        <is>
          <t>1</t>
        </is>
      </c>
      <c r="J382">
        <f>((Inputs!$B$6*(1+Inputs!$B$7/100))+(((Inputs!$B$12*(1+Inputs!$B$13/100))-(Inputs!$B$12*(1+Inputs!$B$13/100)))+0.25*(Inputs!$B$14-Inputs!$B$14))*(1+Inputs!$B$7/100))*(F382/100)</f>
        <v/>
      </c>
      <c r="K382">
        <f>J382*(1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394=TRUE,F394,0)/100)*(1+(IF(Skills!A3="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382)</f>
        <v/>
      </c>
      <c r="L382">
        <f>K382*(MIN(Inputs!$B$22+((C401=TRUE)*(F401-Calc!F22)),(Inputs!$B$23+0+(IF(ArtifactsInput!$M$15,CHOOSE(ArtifactsInput!$N$15+1,25,30,35,40,45,50)/100*(Inputs!$B$11-Inputs!$B$11),0))))/100+(Inputs!$B$23+0+(IF(ArtifactsInput!$M$15,CHOOSE(ArtifactsInput!$N$15+1,25,30,35,40,45,50)/100*(Inputs!$B$11-Inputs!$B$11),0)))/100)/2</f>
        <v/>
      </c>
      <c r="M382">
        <f>L382*(1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2">
        <f>L382*(1-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382*(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2">
        <f>(1-Summary!$B$11)*T382+Summary!$B$11*V382</f>
        <v/>
      </c>
      <c r="P382">
        <f>IF(B420=0,0,O382/B420)</f>
        <v/>
      </c>
      <c r="Q382">
        <f>IFERROR(1/(IF(Inputs!$B$38="pvp",15,MAX(0.1,Skills!D3-IF(Skills!E3=TRUE,Inputs!$B$32,0)))*(1-IF(AND(ArtifactsInput!$M$27,Inputs!$B$4="Chapter Hunt"),CHOOSE(ArtifactsInput!$N$27+1,20,24,28,32,36,40),0)/100)),0)</f>
        <v/>
      </c>
      <c r="R382">
        <f>IF(AND(Inputs!$B$38&lt;&gt;"pvp",Inputs!$B$43&gt;0),IF(MAX(0,Inputs!$B$43-B417)&lt;=0,0,(INT(MAX(0,Inputs!$B$43-B417)/(IF(Inputs!$B$38="pvp",15,MAX(0.1,Skills!D3-IF(Skills!E3=TRUE,Inputs!$B$32,0)))*(1-IF(AND(ArtifactsInput!$M$27,Inputs!$B$4="Chapter Hunt"),CHOOSE(ArtifactsInput!$N$27+1,20,24,28,32,36,40),0)/100)))+1)),0)</f>
        <v/>
      </c>
      <c r="S382">
        <f>IFERROR(O382/N382,0)</f>
        <v/>
      </c>
      <c r="T382">
        <f>IF(C382,(H382*N382*IF(AND(Inputs!$B$38&lt;&gt;"pvp",Inputs!$B$43&gt;0),((Skills!G3*((R382-1)*IF(Skills!H3&gt;0,Skills!I3/Skills!H3,1)+IF(Skills!H3&gt;0,MIN(Skills!I3,MAX(0,MAX(0,Inputs!$B$43-B417)-((R382-1)*(IF(Inputs!$B$38="pvp",15,MAX(0.1,Skills!D3-IF(Skills!E3=TRUE,Inputs!$B$32,0)))*(1-IF(AND(ArtifactsInput!$M$27,Inputs!$B$4="Chapter Hunt"),CHOOSE(ArtifactsInput!$N$27+1,20,24,28,32,36,40),0)/100)))))/Skills!H3,1)))/Inputs!$B$43),G382*Q382)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382*(1-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382*(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382*(1-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382*(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2">
        <f>INDEX(FactorTable!$B$2:$Y$301, MATCH(ROUND(MIN(300,MAX(1,U381)),0), FactorTable!$A$2:$A$301,0), 22)</f>
        <v/>
      </c>
      <c r="V382">
        <f>IF(C382,(H382*N382*IF(AND(Inputs!$B$38&lt;&gt;"pvp",Inputs!$B$43&gt;0),((Skills!G3*((R382-1)*IF(Skills!H3&gt;0,Skills!I3/Skills!H3,1)+IF(Skills!H3&gt;0,MIN(Skills!I3,MAX(0,MAX(0,Inputs!$B$43-B417)-((R382-1)*(IF(Inputs!$B$38="pvp",15,MAX(0.1,Skills!D3-IF(Skills!E3=TRUE,Inputs!$B$32,0)))*(1-IF(AND(ArtifactsInput!$M$27,Inputs!$B$4="Chapter Hunt"),CHOOSE(ArtifactsInput!$N$27+1,20,24,28,32,36,40),0)/100)))))/Skills!H3,1)))/Inputs!$B$43),G382*Q382))*IF(Inputs!$B$38="pvp",1,(1+(Inputs!$B$21+Skills!Q3+(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3">
      <c r="A383">
        <f>Skills!A4</f>
        <v/>
      </c>
      <c r="B383">
        <f>Skills!B4</f>
        <v/>
      </c>
      <c r="C383">
        <f>Inputs!$B$3&gt;=40</f>
        <v/>
      </c>
      <c r="D383">
        <f>IF(Skills!C4=1,60+Inputs!$B$25+Inputs!$B$29,IF(Skills!C4=2,90+Inputs!$B$26+Inputs!$B$29,IF(Skills!C4=3,120+Inputs!$B$27+Inputs!$B$29,MAX(0,(Inputs!$B$3-100)*3)+Inputs!$B$28+Inputs!$B$29)))</f>
        <v/>
      </c>
      <c r="E383">
        <f>INDEX(FactorTable!$B$2:$Y$301, MATCH(ROUND(MIN(300,MAX(1,D383)),0), FactorTable!$A$2:$A$301,0), Skills!M4+1)</f>
        <v/>
      </c>
      <c r="F383">
        <f>IF(Skills!N4=TRUE,(Skills!L4/10)*(E383/1000),Skills!L4/10)+Skills!O4</f>
        <v/>
      </c>
      <c r="G383">
        <f>Skills!G4*IF(Skills!H4&gt;0,Skills!I4/Skills!H4,1)</f>
        <v/>
      </c>
      <c r="H383">
        <f>1-(1-Skills!J4/100)^Skills!K4</f>
        <v/>
      </c>
      <c r="I383" t="inlineStr">
        <is>
          <t>1</t>
        </is>
      </c>
      <c r="J383">
        <f>((Inputs!$B$6*(1+Inputs!$B$7/100))+(((Inputs!$B$12*(1+Inputs!$B$13/100))-(Inputs!$B$12*(1+Inputs!$B$13/100)))+0.25*(Inputs!$B$14-Inputs!$B$14))*(1+Inputs!$B$7/100))*(F383/100)</f>
        <v/>
      </c>
      <c r="K383">
        <f>J383*(1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395=TRUE,F395,0)/100)*(1+(IF(Skills!A4="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383)</f>
        <v/>
      </c>
      <c r="L383">
        <f>K383*(MIN(Inputs!$B$22+((C401=TRUE)*(F401-Calc!F22)),(Inputs!$B$23+0+(IF(ArtifactsInput!$M$15,CHOOSE(ArtifactsInput!$N$15+1,25,30,35,40,45,50)/100*(Inputs!$B$11-Inputs!$B$11),0))))/100+(Inputs!$B$23+0+(IF(ArtifactsInput!$M$15,CHOOSE(ArtifactsInput!$N$15+1,25,30,35,40,45,50)/100*(Inputs!$B$11-Inputs!$B$11),0)))/100)/2</f>
        <v/>
      </c>
      <c r="M383">
        <f>L383*(1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3">
        <f>L383*(1-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383*(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3">
        <f>(1-Summary!$B$11)*T383+Summary!$B$11*V383</f>
        <v/>
      </c>
      <c r="P383">
        <f>IF(B420=0,0,O383/B420)</f>
        <v/>
      </c>
      <c r="Q383">
        <f>IFERROR(1/(IF(Inputs!$B$38="pvp",15,MAX(0.1,Skills!D4-IF(Skills!E4=TRUE,Inputs!$B$32,0)))*(1-IF(AND(ArtifactsInput!$M$27,Inputs!$B$4="Chapter Hunt"),CHOOSE(ArtifactsInput!$N$27+1,20,24,28,32,36,40),0)/100)),0)</f>
        <v/>
      </c>
      <c r="R383">
        <f>IF(AND(Inputs!$B$38&lt;&gt;"pvp",Inputs!$B$43&gt;0),IF(MAX(0,Inputs!$B$43-B417)&lt;=0,0,(INT(MAX(0,Inputs!$B$43-B417)/(IF(Inputs!$B$38="pvp",15,MAX(0.1,Skills!D4-IF(Skills!E4=TRUE,Inputs!$B$32,0)))*(1-IF(AND(ArtifactsInput!$M$27,Inputs!$B$4="Chapter Hunt"),CHOOSE(ArtifactsInput!$N$27+1,20,24,28,32,36,40),0)/100)))+1)),0)</f>
        <v/>
      </c>
      <c r="S383">
        <f>IFERROR(O383/N383,0)</f>
        <v/>
      </c>
      <c r="T383">
        <f>IF(C383,(H383*N383*IF(AND(Inputs!$B$38&lt;&gt;"pvp",Inputs!$B$43&gt;0),((Skills!G4*((R383-1)*IF(Skills!H4&gt;0,Skills!I4/Skills!H4,1)+IF(Skills!H4&gt;0,MIN(Skills!I4,MAX(0,MAX(0,Inputs!$B$43-B417)-((R383-1)*(IF(Inputs!$B$38="pvp",15,MAX(0.1,Skills!D4-IF(Skills!E4=TRUE,Inputs!$B$32,0)))*(1-IF(AND(ArtifactsInput!$M$27,Inputs!$B$4="Chapter Hunt"),CHOOSE(ArtifactsInput!$N$27+1,20,24,28,32,36,40),0)/100)))))/Skills!H4,1)))/Inputs!$B$43),G383*Q383)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383*(1-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383*(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383*(1-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383*(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3">
        <f>290*U382/1000</f>
        <v/>
      </c>
      <c r="V383">
        <f>IF(C383,(H383*N383*IF(AND(Inputs!$B$38&lt;&gt;"pvp",Inputs!$B$43&gt;0),((Skills!G4*((R383-1)*IF(Skills!H4&gt;0,Skills!I4/Skills!H4,1)+IF(Skills!H4&gt;0,MIN(Skills!I4,MAX(0,MAX(0,Inputs!$B$43-B417)-((R383-1)*(IF(Inputs!$B$38="pvp",15,MAX(0.1,Skills!D4-IF(Skills!E4=TRUE,Inputs!$B$32,0)))*(1-IF(AND(ArtifactsInput!$M$27,Inputs!$B$4="Chapter Hunt"),CHOOSE(ArtifactsInput!$N$27+1,20,24,28,32,36,40),0)/100)))))/Skills!H4,1)))/Inputs!$B$43),G383*Q383))*IF(Inputs!$B$38="pvp",1,(1+(Inputs!$B$21+Skills!Q4+(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4">
      <c r="A384">
        <f>Skills!A5</f>
        <v/>
      </c>
      <c r="B384">
        <f>Skills!B5</f>
        <v/>
      </c>
      <c r="C384">
        <f>Inputs!$B$3&gt;=45</f>
        <v/>
      </c>
      <c r="D384">
        <f>IF(Skills!C5=1,60+Inputs!$B$25+Inputs!$B$29,IF(Skills!C5=2,90+Inputs!$B$26+Inputs!$B$29,IF(Skills!C5=3,120+Inputs!$B$27+Inputs!$B$29,MAX(0,(Inputs!$B$3-100)*3)+Inputs!$B$28+Inputs!$B$29)))</f>
        <v/>
      </c>
      <c r="E384">
        <f>INDEX(FactorTable!$B$2:$Y$301, MATCH(ROUND(MIN(300,MAX(1,D384)),0), FactorTable!$A$2:$A$301,0), Skills!M5+1)</f>
        <v/>
      </c>
      <c r="F384">
        <f>IF(Skills!N5=TRUE,(Skills!L5/10)*(E384/1000),Skills!L5/10)+Skills!O5</f>
        <v/>
      </c>
      <c r="G384">
        <f>Skills!G5*IF(Skills!H5&gt;0,Skills!I5/Skills!H5,1)</f>
        <v/>
      </c>
      <c r="H384">
        <f>1-(1-Skills!J5/100)^Skills!K5</f>
        <v/>
      </c>
      <c r="I384" t="inlineStr">
        <is>
          <t>1</t>
        </is>
      </c>
      <c r="J384">
        <f>((Inputs!$B$6*(1+Inputs!$B$7/100))+(((Inputs!$B$12*(1+Inputs!$B$13/100))-(Inputs!$B$12*(1+Inputs!$B$13/100)))+0.25*(Inputs!$B$14-Inputs!$B$14))*(1+Inputs!$B$7/100))*(F384/100)</f>
        <v/>
      </c>
      <c r="K384">
        <f>J384*(1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395=TRUE,F395,0)/100)*(1+(IF(Skills!A5="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384)</f>
        <v/>
      </c>
      <c r="L384">
        <f>K384*(MIN(Inputs!$B$22+((C401=TRUE)*(F401-Calc!F22)),(Inputs!$B$23+0+(IF(ArtifactsInput!$M$15,CHOOSE(ArtifactsInput!$N$15+1,25,30,35,40,45,50)/100*(Inputs!$B$11-Inputs!$B$11),0))))/100+(Inputs!$B$23+0+(IF(ArtifactsInput!$M$15,CHOOSE(ArtifactsInput!$N$15+1,25,30,35,40,45,50)/100*(Inputs!$B$11-Inputs!$B$11),0)))/100)/2</f>
        <v/>
      </c>
      <c r="M384">
        <f>L384*(1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4">
        <f>L384*(1-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384*(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4">
        <f>(1-Summary!$B$11)*T384+Summary!$B$11*V384</f>
        <v/>
      </c>
      <c r="P384">
        <f>IF(B420=0,0,O384/B420)</f>
        <v/>
      </c>
      <c r="Q384">
        <f>IFERROR(1/(IF(Inputs!$B$38="pvp",15,MAX(0.1,Skills!D5-IF(Skills!E5=TRUE,Inputs!$B$32,0)))*(1-IF(AND(ArtifactsInput!$M$27,Inputs!$B$4="Chapter Hunt"),CHOOSE(ArtifactsInput!$N$27+1,20,24,28,32,36,40),0)/100)),0)</f>
        <v/>
      </c>
      <c r="R384">
        <f>IF(AND(Inputs!$B$38&lt;&gt;"pvp",Inputs!$B$43&gt;0),IF(MAX(0,Inputs!$B$43-B417)&lt;=0,0,(INT(MAX(0,Inputs!$B$43-B417)/(IF(Inputs!$B$38="pvp",15,MAX(0.1,Skills!D5-IF(Skills!E5=TRUE,Inputs!$B$32,0)))*(1-IF(AND(ArtifactsInput!$M$27,Inputs!$B$4="Chapter Hunt"),CHOOSE(ArtifactsInput!$N$27+1,20,24,28,32,36,40),0)/100)))+1)),0)</f>
        <v/>
      </c>
      <c r="S384">
        <f>IFERROR(O384/N384,0)</f>
        <v/>
      </c>
      <c r="T384">
        <f>IF(C384,(H384*N384*IF(AND(Inputs!$B$38&lt;&gt;"pvp",Inputs!$B$43&gt;0),((Skills!G5*((R384-1)*IF(Skills!H5&gt;0,Skills!I5/Skills!H5,1)+IF(Skills!H5&gt;0,MIN(Skills!I5,MAX(0,MAX(0,Inputs!$B$43-B417)-((R384-1)*(IF(Inputs!$B$38="pvp",15,MAX(0.1,Skills!D5-IF(Skills!E5=TRUE,Inputs!$B$32,0)))*(1-IF(AND(ArtifactsInput!$M$27,Inputs!$B$4="Chapter Hunt"),CHOOSE(ArtifactsInput!$N$27+1,20,24,28,32,36,40),0)/100)))))/Skills!H5,1)))/Inputs!$B$43),G384*Q384)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384*(1-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384*(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384*(1-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384*(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4">
        <f>IF(C384,(H384*N384*IF(AND(Inputs!$B$38&lt;&gt;"pvp",Inputs!$B$43&gt;0),((Skills!G5*((R384-1)*IF(Skills!H5&gt;0,Skills!I5/Skills!H5,1)+IF(Skills!H5&gt;0,MIN(Skills!I5,MAX(0,MAX(0,Inputs!$B$43-B417)-((R384-1)*(IF(Inputs!$B$38="pvp",15,MAX(0.1,Skills!D5-IF(Skills!E5=TRUE,Inputs!$B$32,0)))*(1-IF(AND(ArtifactsInput!$M$27,Inputs!$B$4="Chapter Hunt"),CHOOSE(ArtifactsInput!$N$27+1,20,24,28,32,36,40),0)/100)))))/Skills!H5,1)))/Inputs!$B$43),G384*Q384))*IF(Inputs!$B$38="pvp",1,(1+(Inputs!$B$21+Skills!Q5+(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5">
      <c r="A385">
        <f>Skills!A6</f>
        <v/>
      </c>
      <c r="B385">
        <f>Skills!B6</f>
        <v/>
      </c>
      <c r="C385">
        <f>Inputs!$B$3&gt;=63</f>
        <v/>
      </c>
      <c r="D385">
        <f>IF(Skills!C6=1,60+Inputs!$B$25+Inputs!$B$29,IF(Skills!C6=2,90+Inputs!$B$26+Inputs!$B$29,IF(Skills!C6=3,120+Inputs!$B$27+Inputs!$B$29,MAX(0,(Inputs!$B$3-100)*3)+Inputs!$B$28+Inputs!$B$29)))</f>
        <v/>
      </c>
      <c r="E385">
        <f>INDEX(FactorTable!$B$2:$Y$301, MATCH(ROUND(MIN(300,MAX(1,D385)),0), FactorTable!$A$2:$A$301,0), Skills!M6+1)</f>
        <v/>
      </c>
      <c r="F385">
        <f>IF(Skills!N6=TRUE,(Skills!L6/10)*(E385/1000),Skills!L6/10)+Skills!O6</f>
        <v/>
      </c>
      <c r="G385">
        <f>Skills!G6*IF(Skills!H6&gt;0,Skills!I6/Skills!H6,1)</f>
        <v/>
      </c>
      <c r="H385">
        <f>1-(1-Skills!J6/100)^Skills!K6</f>
        <v/>
      </c>
      <c r="I385" t="inlineStr">
        <is>
          <t>1</t>
        </is>
      </c>
      <c r="J385">
        <f>((Inputs!$B$6*(1+Inputs!$B$7/100))+(((Inputs!$B$12*(1+Inputs!$B$13/100))-(Inputs!$B$12*(1+Inputs!$B$13/100)))+0.25*(Inputs!$B$14-Inputs!$B$14))*(1+Inputs!$B$7/100))*(F385/100)</f>
        <v/>
      </c>
      <c r="K385">
        <f>J385*(1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394=TRUE,F394,0)/100)*(1+(IF(Skills!A6="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385)</f>
        <v/>
      </c>
      <c r="L385">
        <f>K385*(MIN(Inputs!$B$22+((C401=TRUE)*(F401-Calc!F22)),(Inputs!$B$23+0+(IF(ArtifactsInput!$M$15,CHOOSE(ArtifactsInput!$N$15+1,25,30,35,40,45,50)/100*(Inputs!$B$11-Inputs!$B$11),0))))/100+(Inputs!$B$23+0+(IF(ArtifactsInput!$M$15,CHOOSE(ArtifactsInput!$N$15+1,25,30,35,40,45,50)/100*(Inputs!$B$11-Inputs!$B$11),0)))/100)/2</f>
        <v/>
      </c>
      <c r="M385">
        <f>L385*(1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5">
        <f>L385*(1-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385*(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5">
        <f>(1-Summary!$B$11)*T385+Summary!$B$11*V385</f>
        <v/>
      </c>
      <c r="P385">
        <f>IF(B420=0,0,O385/B420)</f>
        <v/>
      </c>
      <c r="Q385">
        <f>IFERROR(1/(IF(Inputs!$B$38="pvp",15,MAX(0.1,Skills!D6-IF(Skills!E6=TRUE,Inputs!$B$32,0)))*(1-IF(AND(ArtifactsInput!$M$27,Inputs!$B$4="Chapter Hunt"),CHOOSE(ArtifactsInput!$N$27+1,20,24,28,32,36,40),0)/100)),0)</f>
        <v/>
      </c>
      <c r="R385">
        <f>IF(AND(Inputs!$B$38&lt;&gt;"pvp",Inputs!$B$43&gt;0),IF(MAX(0,Inputs!$B$43-B417)&lt;=0,0,(INT(MAX(0,Inputs!$B$43-B417)/(IF(Inputs!$B$38="pvp",15,MAX(0.1,Skills!D6-IF(Skills!E6=TRUE,Inputs!$B$32,0)))*(1-IF(AND(ArtifactsInput!$M$27,Inputs!$B$4="Chapter Hunt"),CHOOSE(ArtifactsInput!$N$27+1,20,24,28,32,36,40),0)/100)))+1)),0)</f>
        <v/>
      </c>
      <c r="S385">
        <f>IFERROR(O385/N385,0)</f>
        <v/>
      </c>
      <c r="T385">
        <f>IF(C385,(H385*N385*IF(AND(Inputs!$B$38&lt;&gt;"pvp",Inputs!$B$43&gt;0),((Skills!G6*((R385-1)*IF(Skills!H6&gt;0,Skills!I6/Skills!H6,1)+IF(Skills!H6&gt;0,MIN(Skills!I6,MAX(0,MAX(0,Inputs!$B$43-B417)-((R385-1)*(IF(Inputs!$B$38="pvp",15,MAX(0.1,Skills!D6-IF(Skills!E6=TRUE,Inputs!$B$32,0)))*(1-IF(AND(ArtifactsInput!$M$27,Inputs!$B$4="Chapter Hunt"),CHOOSE(ArtifactsInput!$N$27+1,20,24,28,32,36,40),0)/100)))))/Skills!H6,1)))/Inputs!$B$43),G385*Q385)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385*(1-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385*(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385*(1-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385*(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5">
        <f>IF(C385,(H385*N385*IF(AND(Inputs!$B$38&lt;&gt;"pvp",Inputs!$B$43&gt;0),((Skills!G6*((R385-1)*IF(Skills!H6&gt;0,Skills!I6/Skills!H6,1)+IF(Skills!H6&gt;0,MIN(Skills!I6,MAX(0,MAX(0,Inputs!$B$43-B417)-((R385-1)*(IF(Inputs!$B$38="pvp",15,MAX(0.1,Skills!D6-IF(Skills!E6=TRUE,Inputs!$B$32,0)))*(1-IF(AND(ArtifactsInput!$M$27,Inputs!$B$4="Chapter Hunt"),CHOOSE(ArtifactsInput!$N$27+1,20,24,28,32,36,40),0)/100)))))/Skills!H6,1)))/Inputs!$B$43),G385*Q385))*IF(Inputs!$B$38="pvp",1,(1+(Inputs!$B$21+Skills!Q6+(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6">
      <c r="A386">
        <f>Skills!A7</f>
        <v/>
      </c>
      <c r="B386">
        <f>Skills!B7</f>
        <v/>
      </c>
      <c r="C386">
        <f>Inputs!$B$3&gt;=66</f>
        <v/>
      </c>
      <c r="D386">
        <f>IF(Skills!C7=1,60+Inputs!$B$25+Inputs!$B$29,IF(Skills!C7=2,90+Inputs!$B$26+Inputs!$B$29,IF(Skills!C7=3,120+Inputs!$B$27+Inputs!$B$29,MAX(0,(Inputs!$B$3-100)*3)+Inputs!$B$28+Inputs!$B$29)))</f>
        <v/>
      </c>
      <c r="E386">
        <f>INDEX(FactorTable!$B$2:$Y$301, MATCH(ROUND(MIN(300,MAX(1,D386)),0), FactorTable!$A$2:$A$301,0), Skills!M7+1)</f>
        <v/>
      </c>
      <c r="F386">
        <f>IF(Skills!N7=TRUE,(Skills!L7/10)*(E386/1000),Skills!L7/10)+Skills!O7</f>
        <v/>
      </c>
      <c r="G386">
        <f>Skills!G7*IF(Skills!H7&gt;0,Skills!I7/Skills!H7,1)</f>
        <v/>
      </c>
      <c r="H386">
        <f>1-(1-Skills!J7/100)^Skills!K7</f>
        <v/>
      </c>
      <c r="I386" t="inlineStr">
        <is>
          <t>1</t>
        </is>
      </c>
      <c r="J386">
        <f>((Inputs!$B$6*(1+Inputs!$B$7/100))+(((Inputs!$B$12*(1+Inputs!$B$13/100))-(Inputs!$B$12*(1+Inputs!$B$13/100)))+0.25*(Inputs!$B$14-Inputs!$B$14))*(1+Inputs!$B$7/100))*(F386/100)</f>
        <v/>
      </c>
      <c r="K386">
        <f>J386*(1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394=TRUE,F394,0)/100)*(1+(IF(Skills!A7="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386)</f>
        <v/>
      </c>
      <c r="L386">
        <f>K386*(MIN(Inputs!$B$22+((C401=TRUE)*(F401-Calc!F22)),(Inputs!$B$23+0+(IF(ArtifactsInput!$M$15,CHOOSE(ArtifactsInput!$N$15+1,25,30,35,40,45,50)/100*(Inputs!$B$11-Inputs!$B$11),0))))/100+(Inputs!$B$23+0+(IF(ArtifactsInput!$M$15,CHOOSE(ArtifactsInput!$N$15+1,25,30,35,40,45,50)/100*(Inputs!$B$11-Inputs!$B$11),0)))/100)/2</f>
        <v/>
      </c>
      <c r="M386">
        <f>L386*(1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6">
        <f>L386*(1-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386*(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6">
        <f>(1-Summary!$B$11)*T386+Summary!$B$11*V386</f>
        <v/>
      </c>
      <c r="P386">
        <f>IF(B420=0,0,O386/B420)</f>
        <v/>
      </c>
      <c r="Q386">
        <f>IFERROR(1/(IF(Inputs!$B$38="pvp",15,MAX(0.1,Skills!D7-IF(Skills!E7=TRUE,Inputs!$B$32,0)))*(1-IF(AND(ArtifactsInput!$M$27,Inputs!$B$4="Chapter Hunt"),CHOOSE(ArtifactsInput!$N$27+1,20,24,28,32,36,40),0)/100)),0)</f>
        <v/>
      </c>
      <c r="R386">
        <f>IF(AND(Inputs!$B$38&lt;&gt;"pvp",Inputs!$B$43&gt;0),IF(MAX(0,Inputs!$B$43-B417)&lt;=0,0,(INT(MAX(0,Inputs!$B$43-B417)/(IF(Inputs!$B$38="pvp",15,MAX(0.1,Skills!D7-IF(Skills!E7=TRUE,Inputs!$B$32,0)))*(1-IF(AND(ArtifactsInput!$M$27,Inputs!$B$4="Chapter Hunt"),CHOOSE(ArtifactsInput!$N$27+1,20,24,28,32,36,40),0)/100)))+1)),0)</f>
        <v/>
      </c>
      <c r="S386">
        <f>IFERROR(O386/N386,0)</f>
        <v/>
      </c>
      <c r="T386">
        <f>IF(C386,(H386*N386*IF(AND(Inputs!$B$38&lt;&gt;"pvp",Inputs!$B$43&gt;0),((Skills!G7*((R386-1)*IF(Skills!H7&gt;0,Skills!I7/Skills!H7,1)+IF(Skills!H7&gt;0,MIN(Skills!I7,MAX(0,MAX(0,Inputs!$B$43-B417)-((R386-1)*(IF(Inputs!$B$38="pvp",15,MAX(0.1,Skills!D7-IF(Skills!E7=TRUE,Inputs!$B$32,0)))*(1-IF(AND(ArtifactsInput!$M$27,Inputs!$B$4="Chapter Hunt"),CHOOSE(ArtifactsInput!$N$27+1,20,24,28,32,36,40),0)/100)))))/Skills!H7,1)))/Inputs!$B$43),G386*Q386)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386*(1-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386*(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386*(1-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386*(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6">
        <f>IF(C386,(H386*N386*IF(AND(Inputs!$B$38&lt;&gt;"pvp",Inputs!$B$43&gt;0),((Skills!G7*((R386-1)*IF(Skills!H7&gt;0,Skills!I7/Skills!H7,1)+IF(Skills!H7&gt;0,MIN(Skills!I7,MAX(0,MAX(0,Inputs!$B$43-B417)-((R386-1)*(IF(Inputs!$B$38="pvp",15,MAX(0.1,Skills!D7-IF(Skills!E7=TRUE,Inputs!$B$32,0)))*(1-IF(AND(ArtifactsInput!$M$27,Inputs!$B$4="Chapter Hunt"),CHOOSE(ArtifactsInput!$N$27+1,20,24,28,32,36,40),0)/100)))))/Skills!H7,1)))/Inputs!$B$43),G386*Q386))*IF(Inputs!$B$38="pvp",1,(1+(Inputs!$B$21+Skills!Q7+(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7">
      <c r="A387">
        <f>Skills!A8</f>
        <v/>
      </c>
      <c r="B387">
        <f>Skills!B8</f>
        <v/>
      </c>
      <c r="C387">
        <f>Inputs!$B$3&gt;=100</f>
        <v/>
      </c>
      <c r="D387">
        <f>IF(Skills!C8=1,60+Inputs!$B$25+Inputs!$B$29,IF(Skills!C8=2,90+Inputs!$B$26+Inputs!$B$29,IF(Skills!C8=3,120+Inputs!$B$27+Inputs!$B$29,MAX(0,(Inputs!$B$3-100)*3)+Inputs!$B$28+Inputs!$B$29)))</f>
        <v/>
      </c>
      <c r="E387">
        <f>INDEX(FactorTable!$B$2:$Y$301, MATCH(ROUND(MIN(300,MAX(1,D387)),0), FactorTable!$A$2:$A$301,0), Skills!M8+1)</f>
        <v/>
      </c>
      <c r="F387">
        <f>IF(Skills!N8=TRUE,(Skills!L8/10)*(E387/1000),Skills!L8/10)+Skills!O8</f>
        <v/>
      </c>
      <c r="G387">
        <f>Skills!G8*IF(Skills!H8&gt;0,Skills!I8/Skills!H8,1)</f>
        <v/>
      </c>
      <c r="H387">
        <f>1-(1-Skills!J8/100)^Skills!K8</f>
        <v/>
      </c>
      <c r="I387" t="inlineStr">
        <is>
          <t>1</t>
        </is>
      </c>
      <c r="J387">
        <f>((Inputs!$B$6*(1+Inputs!$B$7/100))+(((Inputs!$B$12*(1+Inputs!$B$13/100))-(Inputs!$B$12*(1+Inputs!$B$13/100)))+0.25*(Inputs!$B$14-Inputs!$B$14))*(1+Inputs!$B$7/100))*(F387/100)</f>
        <v/>
      </c>
      <c r="K387">
        <f>J387*(1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387)</f>
        <v/>
      </c>
      <c r="L387">
        <f>K387*(MIN(Inputs!$B$22+((C401=TRUE)*(F401-Calc!F22)),(Inputs!$B$23+0+(IF(ArtifactsInput!$M$15,CHOOSE(ArtifactsInput!$N$15+1,25,30,35,40,45,50)/100*(Inputs!$B$11-Inputs!$B$11),0))))/100+(Inputs!$B$23+0+(IF(ArtifactsInput!$M$15,CHOOSE(ArtifactsInput!$N$15+1,25,30,35,40,45,50)/100*(Inputs!$B$11-Inputs!$B$11),0)))/100)/2</f>
        <v/>
      </c>
      <c r="M387">
        <f>L387*(1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7">
        <f>L387*(1-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387*(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7">
        <f>(1-Summary!$B$11)*T387+Summary!$B$11*V387</f>
        <v/>
      </c>
      <c r="P387">
        <f>IF(B420=0,0,O387/B420)</f>
        <v/>
      </c>
      <c r="Q387">
        <f>IFERROR(1/(IF(Inputs!$B$38="pvp",15,MAX(0.1,Skills!D8-IF(Skills!E8=TRUE,Inputs!$B$32,0)))*(1-IF(AND(ArtifactsInput!$M$27,Inputs!$B$4="Chapter Hunt"),CHOOSE(ArtifactsInput!$N$27+1,20,24,28,32,36,40),0)/100)),0)</f>
        <v/>
      </c>
      <c r="R387">
        <f>IF(AND(Inputs!$B$38&lt;&gt;"pvp",Inputs!$B$43&gt;0),IF(MAX(0,Inputs!$B$43-B417)&lt;=0,0,(INT(MAX(0,Inputs!$B$43-B417)/(IF(Inputs!$B$38="pvp",15,MAX(0.1,Skills!D8-IF(Skills!E8=TRUE,Inputs!$B$32,0)))*(1-IF(AND(ArtifactsInput!$M$27,Inputs!$B$4="Chapter Hunt"),CHOOSE(ArtifactsInput!$N$27+1,20,24,28,32,36,40),0)/100)))+1)),0)</f>
        <v/>
      </c>
      <c r="S387">
        <f>IFERROR(O387/N387,0)</f>
        <v/>
      </c>
      <c r="T387">
        <f>IF(C387,(H387*N387*IF(AND(Inputs!$B$38&lt;&gt;"pvp",Inputs!$B$43&gt;0),((Skills!G8*((R387-1)*IF(Skills!H8&gt;0,Skills!I8/Skills!H8,1)+IF(Skills!H8&gt;0,MIN(Skills!I8,MAX(0,MAX(0,Inputs!$B$43-B417)-((R387-1)*(IF(Inputs!$B$38="pvp",15,MAX(0.1,Skills!D8-IF(Skills!E8=TRUE,Inputs!$B$32,0)))*(1-IF(AND(ArtifactsInput!$M$27,Inputs!$B$4="Chapter Hunt"),CHOOSE(ArtifactsInput!$N$27+1,20,24,28,32,36,40),0)/100)))))/Skills!H8,1)))/Inputs!$B$43),G387*Q387)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387*(1-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387*(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387*(1-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387*(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7">
        <f>IF(C387,(H387*N387*IF(AND(Inputs!$B$38&lt;&gt;"pvp",Inputs!$B$43&gt;0),((Skills!G8*((R387-1)*IF(Skills!H8&gt;0,Skills!I8/Skills!H8,1)+IF(Skills!H8&gt;0,MIN(Skills!I8,MAX(0,MAX(0,Inputs!$B$43-B417)-((R387-1)*(IF(Inputs!$B$38="pvp",15,MAX(0.1,Skills!D8-IF(Skills!E8=TRUE,Inputs!$B$32,0)))*(1-IF(AND(ArtifactsInput!$M$27,Inputs!$B$4="Chapter Hunt"),CHOOSE(ArtifactsInput!$N$27+1,20,24,28,32,36,40),0)/100)))))/Skills!H8,1)))/Inputs!$B$43),G387*Q387))*IF(Inputs!$B$38="pvp",1,(1+(Inputs!$B$21+Skills!Q8+(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8">
      <c r="A388">
        <f>Skills!A9</f>
        <v/>
      </c>
      <c r="B388">
        <f>Skills!B9</f>
        <v/>
      </c>
      <c r="C388">
        <f>Inputs!$B$3&gt;=103</f>
        <v/>
      </c>
      <c r="D388">
        <f>IF(Skills!C9=1,60+Inputs!$B$25+Inputs!$B$29,IF(Skills!C9=2,90+Inputs!$B$26+Inputs!$B$29,IF(Skills!C9=3,120+Inputs!$B$27+Inputs!$B$29,MAX(0,(Inputs!$B$3-100)*3)+Inputs!$B$28+Inputs!$B$29)))</f>
        <v/>
      </c>
      <c r="E388">
        <f>INDEX(FactorTable!$B$2:$Y$301, MATCH(ROUND(MIN(300,MAX(1,D388)),0), FactorTable!$A$2:$A$301,0), Skills!M9+1)</f>
        <v/>
      </c>
      <c r="F388">
        <f>IF(Skills!N9=TRUE,(Skills!L9/10)*(E388/1000),Skills!L9/10)+Skills!O9</f>
        <v/>
      </c>
      <c r="G388">
        <f>Skills!G9*IF(Skills!H9&gt;0,Skills!I9/Skills!H9,1)</f>
        <v/>
      </c>
      <c r="H388">
        <f>1-(1-Skills!J9/100)^Skills!K9</f>
        <v/>
      </c>
      <c r="I388" t="inlineStr">
        <is>
          <t>1</t>
        </is>
      </c>
      <c r="J388">
        <f>((Inputs!$B$6*(1+Inputs!$B$7/100))+(((Inputs!$B$12*(1+Inputs!$B$13/100))-(Inputs!$B$12*(1+Inputs!$B$13/100)))+0.25*(Inputs!$B$14-Inputs!$B$14))*(1+Inputs!$B$7/100))*(F388/100)</f>
        <v/>
      </c>
      <c r="K388">
        <f>J388*(1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388)</f>
        <v/>
      </c>
      <c r="L388">
        <f>K388*(MIN(Inputs!$B$22+((C401=TRUE)*(F401-Calc!F22)),(Inputs!$B$23+0+(IF(ArtifactsInput!$M$15,CHOOSE(ArtifactsInput!$N$15+1,25,30,35,40,45,50)/100*(Inputs!$B$11-Inputs!$B$11),0))))/100+(Inputs!$B$23+0+(IF(ArtifactsInput!$M$15,CHOOSE(ArtifactsInput!$N$15+1,25,30,35,40,45,50)/100*(Inputs!$B$11-Inputs!$B$11),0)))/100)/2</f>
        <v/>
      </c>
      <c r="M388">
        <f>L388*(1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8">
        <f>L388*(1-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388*(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8">
        <f>(1-Summary!$B$11)*T388+Summary!$B$11*V388</f>
        <v/>
      </c>
      <c r="P388">
        <f>IF(B420=0,0,O388/B420)</f>
        <v/>
      </c>
      <c r="Q388">
        <f>IFERROR(1/(IF(Inputs!$B$38="pvp",15,MAX(0.1,Skills!D9-IF(Skills!E9=TRUE,Inputs!$B$32,0)))*(1-IF(AND(ArtifactsInput!$M$27,Inputs!$B$4="Chapter Hunt"),CHOOSE(ArtifactsInput!$N$27+1,20,24,28,32,36,40),0)/100)),0)</f>
        <v/>
      </c>
      <c r="R388">
        <f>IF(AND(Inputs!$B$38&lt;&gt;"pvp",Inputs!$B$43&gt;0),IF(MAX(0,Inputs!$B$43-B417)&lt;=0,0,(INT(MAX(0,Inputs!$B$43-B417)/(IF(Inputs!$B$38="pvp",15,MAX(0.1,Skills!D9-IF(Skills!E9=TRUE,Inputs!$B$32,0)))*(1-IF(AND(ArtifactsInput!$M$27,Inputs!$B$4="Chapter Hunt"),CHOOSE(ArtifactsInput!$N$27+1,20,24,28,32,36,40),0)/100)))+1)),0)</f>
        <v/>
      </c>
      <c r="S388">
        <f>IFERROR(O388/N388,0)</f>
        <v/>
      </c>
      <c r="T388">
        <f>IF(C388,(H388*N388*IF(AND(Inputs!$B$38&lt;&gt;"pvp",Inputs!$B$43&gt;0),((Skills!G9*((R388-1)*IF(Skills!H9&gt;0,Skills!I9/Skills!H9,1)+IF(Skills!H9&gt;0,MIN(Skills!I9,MAX(0,MAX(0,Inputs!$B$43-B417)-((R388-1)*(IF(Inputs!$B$38="pvp",15,MAX(0.1,Skills!D9-IF(Skills!E9=TRUE,Inputs!$B$32,0)))*(1-IF(AND(ArtifactsInput!$M$27,Inputs!$B$4="Chapter Hunt"),CHOOSE(ArtifactsInput!$N$27+1,20,24,28,32,36,40),0)/100)))))/Skills!H9,1)))/Inputs!$B$43),G388*Q388)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388*(1-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388*(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388*(1-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388*(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8">
        <f>IF(C388,(H388*N388*IF(AND(Inputs!$B$38&lt;&gt;"pvp",Inputs!$B$43&gt;0),((Skills!G9*((R388-1)*IF(Skills!H9&gt;0,Skills!I9/Skills!H9,1)+IF(Skills!H9&gt;0,MIN(Skills!I9,MAX(0,MAX(0,Inputs!$B$43-B417)-((R388-1)*(IF(Inputs!$B$38="pvp",15,MAX(0.1,Skills!D9-IF(Skills!E9=TRUE,Inputs!$B$32,0)))*(1-IF(AND(ArtifactsInput!$M$27,Inputs!$B$4="Chapter Hunt"),CHOOSE(ArtifactsInput!$N$27+1,20,24,28,32,36,40),0)/100)))))/Skills!H9,1)))/Inputs!$B$43),G388*Q388))*IF(Inputs!$B$38="pvp",1,(1+(Inputs!$B$21+Skills!Q9+(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9">
      <c r="A389">
        <f>Skills!A10</f>
        <v/>
      </c>
      <c r="B389">
        <f>Skills!B10</f>
        <v/>
      </c>
      <c r="C389">
        <f>Inputs!$B$3&gt;=113</f>
        <v/>
      </c>
      <c r="D389">
        <f>IF(Skills!C10=1,60+Inputs!$B$25+Inputs!$B$29,IF(Skills!C10=2,90+Inputs!$B$26+Inputs!$B$29,IF(Skills!C10=3,120+Inputs!$B$27+Inputs!$B$29,MAX(0,(Inputs!$B$3-100)*3)+Inputs!$B$28+Inputs!$B$29)))</f>
        <v/>
      </c>
      <c r="E389">
        <f>INDEX(FactorTable!$B$2:$Y$301, MATCH(ROUND(MIN(300,MAX(1,D389)),0), FactorTable!$A$2:$A$301,0), Skills!M10+1)</f>
        <v/>
      </c>
      <c r="F389">
        <f>IF(Skills!N10=TRUE,(Skills!L10/10)*(E389/1000),Skills!L10/10)+Skills!O10</f>
        <v/>
      </c>
      <c r="G389">
        <f>Skills!G10*IF(Skills!H10&gt;0,Skills!I10/Skills!H10,1)</f>
        <v/>
      </c>
      <c r="H389">
        <f>1-(1-Skills!J10/100)^Skills!K10</f>
        <v/>
      </c>
      <c r="I389" t="inlineStr">
        <is>
          <t>1</t>
        </is>
      </c>
      <c r="J389">
        <f>((Inputs!$B$6*(1+Inputs!$B$7/100))+(((Inputs!$B$12*(1+Inputs!$B$13/100))-(Inputs!$B$12*(1+Inputs!$B$13/100)))+0.25*(Inputs!$B$14-Inputs!$B$14))*(1+Inputs!$B$7/100))*(F389/100)</f>
        <v/>
      </c>
      <c r="K389">
        <f>J389*(1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389)</f>
        <v/>
      </c>
      <c r="L389">
        <f>K389*(MIN(Inputs!$B$22+((C401=TRUE)*(F401-Calc!F22)),(Inputs!$B$23+0+(IF(ArtifactsInput!$M$15,CHOOSE(ArtifactsInput!$N$15+1,25,30,35,40,45,50)/100*(Inputs!$B$11-Inputs!$B$11),0))))/100+(Inputs!$B$23+0+(IF(ArtifactsInput!$M$15,CHOOSE(ArtifactsInput!$N$15+1,25,30,35,40,45,50)/100*(Inputs!$B$11-Inputs!$B$11),0)))/100)/2</f>
        <v/>
      </c>
      <c r="M389">
        <f>L389*(1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9">
        <f>L389*(1-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389*(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9">
        <f>(1-Summary!$B$11)*T389+Summary!$B$11*V389</f>
        <v/>
      </c>
      <c r="P389">
        <f>IF(B420=0,0,O389/B420)</f>
        <v/>
      </c>
      <c r="Q389">
        <f>IFERROR(1/(IF(Inputs!$B$38="pvp",15,MAX(0.1,Skills!D10-IF(Skills!E10=TRUE,Inputs!$B$32,0)))*(1-IF(AND(ArtifactsInput!$M$27,Inputs!$B$4="Chapter Hunt"),CHOOSE(ArtifactsInput!$N$27+1,20,24,28,32,36,40),0)/100)),0)</f>
        <v/>
      </c>
      <c r="R389">
        <f>IF(AND(Inputs!$B$38&lt;&gt;"pvp",Inputs!$B$43&gt;0),IF(MAX(0,Inputs!$B$43-B417)&lt;=0,0,(INT(MAX(0,Inputs!$B$43-B417)/(IF(Inputs!$B$38="pvp",15,MAX(0.1,Skills!D10-IF(Skills!E10=TRUE,Inputs!$B$32,0)))*(1-IF(AND(ArtifactsInput!$M$27,Inputs!$B$4="Chapter Hunt"),CHOOSE(ArtifactsInput!$N$27+1,20,24,28,32,36,40),0)/100)))+1)),0)</f>
        <v/>
      </c>
      <c r="S389">
        <f>IFERROR(O389/N389,0)</f>
        <v/>
      </c>
      <c r="T389">
        <f>IF(C389,(H389*N389*IF(AND(Inputs!$B$38&lt;&gt;"pvp",Inputs!$B$43&gt;0),((Skills!G10*((R389-1)*IF(Skills!H10&gt;0,Skills!I10/Skills!H10,1)+IF(Skills!H10&gt;0,MIN(Skills!I10,MAX(0,MAX(0,Inputs!$B$43-B417)-((R389-1)*(IF(Inputs!$B$38="pvp",15,MAX(0.1,Skills!D10-IF(Skills!E10=TRUE,Inputs!$B$32,0)))*(1-IF(AND(ArtifactsInput!$M$27,Inputs!$B$4="Chapter Hunt"),CHOOSE(ArtifactsInput!$N$27+1,20,24,28,32,36,40),0)/100)))))/Skills!H10,1)))/Inputs!$B$43),G389*Q389)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389*(1-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389*(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389*(1-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389*(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9">
        <f>IF(C389,(H389*N389*IF(AND(Inputs!$B$38&lt;&gt;"pvp",Inputs!$B$43&gt;0),((Skills!G10*((R389-1)*IF(Skills!H10&gt;0,Skills!I10/Skills!H10,1)+IF(Skills!H10&gt;0,MIN(Skills!I10,MAX(0,MAX(0,Inputs!$B$43-B417)-((R389-1)*(IF(Inputs!$B$38="pvp",15,MAX(0.1,Skills!D10-IF(Skills!E10=TRUE,Inputs!$B$32,0)))*(1-IF(AND(ArtifactsInput!$M$27,Inputs!$B$4="Chapter Hunt"),CHOOSE(ArtifactsInput!$N$27+1,20,24,28,32,36,40),0)/100)))))/Skills!H10,1)))/Inputs!$B$43),G389*Q389))*IF(Inputs!$B$38="pvp",1,(1+(Inputs!$B$21+Skills!Q10+(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0">
      <c r="A390">
        <f>Skills!A11</f>
        <v/>
      </c>
      <c r="B390">
        <f>Skills!B11</f>
        <v/>
      </c>
      <c r="C390">
        <f>Inputs!$B$3&gt;=107</f>
        <v/>
      </c>
      <c r="D390">
        <f>IF(Skills!C11=1,60+Inputs!$B$25+Inputs!$B$29,IF(Skills!C11=2,90+Inputs!$B$26+Inputs!$B$29,IF(Skills!C11=3,120+Inputs!$B$27+Inputs!$B$29,MAX(0,(Inputs!$B$3-100)*3)+Inputs!$B$28+Inputs!$B$29)))</f>
        <v/>
      </c>
      <c r="E390">
        <f>INDEX(FactorTable!$B$2:$Y$301, MATCH(ROUND(MIN(300,MAX(1,D390)),0), FactorTable!$A$2:$A$301,0), Skills!M11+1)</f>
        <v/>
      </c>
      <c r="F390">
        <f>IF(Skills!N11=TRUE,(Skills!L11/10)*(E390/1000),Skills!L11/10)+Skills!O11</f>
        <v/>
      </c>
      <c r="G390">
        <f>Skills!G11*IF(Skills!H11&gt;0,Skills!I11/Skills!H11,1)</f>
        <v/>
      </c>
      <c r="H390">
        <f>1-(1-Skills!J11/100)^Skills!K11</f>
        <v/>
      </c>
      <c r="I390" t="inlineStr">
        <is>
          <t>1</t>
        </is>
      </c>
      <c r="J390">
        <f>((Inputs!$B$6*(1+Inputs!$B$7/100))+(((Inputs!$B$12*(1+Inputs!$B$13/100))-(Inputs!$B$12*(1+Inputs!$B$13/100)))+0.25*(Inputs!$B$14-Inputs!$B$14))*(1+Inputs!$B$7/100))*(F390/100)</f>
        <v/>
      </c>
      <c r="K390">
        <f>J390*(1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390)</f>
        <v/>
      </c>
      <c r="L390">
        <f>K390*(MIN(Inputs!$B$22+((C401=TRUE)*(F401-Calc!F22)),(Inputs!$B$23+0+(IF(ArtifactsInput!$M$15,CHOOSE(ArtifactsInput!$N$15+1,25,30,35,40,45,50)/100*(Inputs!$B$11-Inputs!$B$11),0))))/100+(Inputs!$B$23+0+(IF(ArtifactsInput!$M$15,CHOOSE(ArtifactsInput!$N$15+1,25,30,35,40,45,50)/100*(Inputs!$B$11-Inputs!$B$11),0)))/100)/2</f>
        <v/>
      </c>
      <c r="M390">
        <f>L390*(1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0">
        <f>L390*(1-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390*(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0">
        <f>(1-Summary!$B$11)*T390+Summary!$B$11*V390</f>
        <v/>
      </c>
      <c r="P390">
        <f>IF(B420=0,0,O390/B420)</f>
        <v/>
      </c>
      <c r="Q390">
        <f>IFERROR(1/(IF(Inputs!$B$38="pvp",15,MAX(0.1,Skills!D11-IF(Skills!E11=TRUE,Inputs!$B$32,0)))*(1-IF(AND(ArtifactsInput!$M$27,Inputs!$B$4="Chapter Hunt"),CHOOSE(ArtifactsInput!$N$27+1,20,24,28,32,36,40),0)/100)),0)</f>
        <v/>
      </c>
      <c r="R390">
        <f>IF(AND(Inputs!$B$38&lt;&gt;"pvp",Inputs!$B$43&gt;0),IF(MAX(0,Inputs!$B$43-B417)&lt;=0,0,(INT(MAX(0,Inputs!$B$43-B417)/(IF(Inputs!$B$38="pvp",15,MAX(0.1,Skills!D11-IF(Skills!E11=TRUE,Inputs!$B$32,0)))*(1-IF(AND(ArtifactsInput!$M$27,Inputs!$B$4="Chapter Hunt"),CHOOSE(ArtifactsInput!$N$27+1,20,24,28,32,36,40),0)/100)))+1)),0)</f>
        <v/>
      </c>
      <c r="S390">
        <f>IFERROR(O390/N390,0)</f>
        <v/>
      </c>
      <c r="T390">
        <f>IF(C390,(H390*N390*IF(AND(Inputs!$B$38&lt;&gt;"pvp",Inputs!$B$43&gt;0),((Skills!G11*((R390-1)*IF(Skills!H11&gt;0,Skills!I11/Skills!H11,1)+IF(Skills!H11&gt;0,MIN(Skills!I11,MAX(0,MAX(0,Inputs!$B$43-B417)-((R390-1)*(IF(Inputs!$B$38="pvp",15,MAX(0.1,Skills!D11-IF(Skills!E11=TRUE,Inputs!$B$32,0)))*(1-IF(AND(ArtifactsInput!$M$27,Inputs!$B$4="Chapter Hunt"),CHOOSE(ArtifactsInput!$N$27+1,20,24,28,32,36,40),0)/100)))))/Skills!H11,1)))/Inputs!$B$43),G390*Q390)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390*(1-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390*(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390*(1-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390*(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0">
        <f>IF(C390,(H390*N390*IF(AND(Inputs!$B$38&lt;&gt;"pvp",Inputs!$B$43&gt;0),((Skills!G11*((R390-1)*IF(Skills!H11&gt;0,Skills!I11/Skills!H11,1)+IF(Skills!H11&gt;0,MIN(Skills!I11,MAX(0,MAX(0,Inputs!$B$43-B417)-((R390-1)*(IF(Inputs!$B$38="pvp",15,MAX(0.1,Skills!D11-IF(Skills!E11=TRUE,Inputs!$B$32,0)))*(1-IF(AND(ArtifactsInput!$M$27,Inputs!$B$4="Chapter Hunt"),CHOOSE(ArtifactsInput!$N$27+1,20,24,28,32,36,40),0)/100)))))/Skills!H11,1)))/Inputs!$B$43),G390*Q390))*IF(Inputs!$B$38="pvp",1,(1+(Inputs!$B$21+Skills!Q11+(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1">
      <c r="A391">
        <f>Skills!A12</f>
        <v/>
      </c>
      <c r="B391">
        <f>Skills!B12</f>
        <v/>
      </c>
      <c r="C391">
        <f>Inputs!$B$3&gt;=110</f>
        <v/>
      </c>
      <c r="D391">
        <f>IF(Skills!C12=1,60+Inputs!$B$25+Inputs!$B$29,IF(Skills!C12=2,90+Inputs!$B$26+Inputs!$B$29,IF(Skills!C12=3,120+Inputs!$B$27+Inputs!$B$29,MAX(0,(Inputs!$B$3-100)*3)+Inputs!$B$28+Inputs!$B$29)))</f>
        <v/>
      </c>
      <c r="E391">
        <f>INDEX(FactorTable!$B$2:$Y$301, MATCH(ROUND(MIN(300,MAX(1,D391)),0), FactorTable!$A$2:$A$301,0), Skills!M12+1)</f>
        <v/>
      </c>
      <c r="F391">
        <f>IF(Skills!N12=TRUE,(Skills!L12/10)*(E391/1000),Skills!L12/10)+Skills!O12</f>
        <v/>
      </c>
      <c r="G391">
        <f>Skills!G12*IF(Skills!H12&gt;0,Skills!I12/Skills!H12,1)</f>
        <v/>
      </c>
      <c r="H391">
        <f>1-(1-Skills!J12/100)^Skills!K12</f>
        <v/>
      </c>
      <c r="I391" t="inlineStr">
        <is>
          <t>1</t>
        </is>
      </c>
      <c r="J391">
        <f>((Inputs!$B$6*(1+Inputs!$B$7/100))+(((Inputs!$B$12*(1+Inputs!$B$13/100))-(Inputs!$B$12*(1+Inputs!$B$13/100)))+0.25*(Inputs!$B$14-Inputs!$B$14))*(1+Inputs!$B$7/100))*(F391/100)</f>
        <v/>
      </c>
      <c r="K391">
        <f>J391*(1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391)</f>
        <v/>
      </c>
      <c r="L391">
        <f>K391*(MIN(Inputs!$B$22+((C401=TRUE)*(F401-Calc!F22)),(Inputs!$B$23+0+(IF(ArtifactsInput!$M$15,CHOOSE(ArtifactsInput!$N$15+1,25,30,35,40,45,50)/100*(Inputs!$B$11-Inputs!$B$11),0))))/100+(Inputs!$B$23+0+(IF(ArtifactsInput!$M$15,CHOOSE(ArtifactsInput!$N$15+1,25,30,35,40,45,50)/100*(Inputs!$B$11-Inputs!$B$11),0)))/100)/2</f>
        <v/>
      </c>
      <c r="M391">
        <f>L391*(1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1">
        <f>L391*(1-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1">
        <f>(1-Summary!$B$11)*T391+Summary!$B$11*V391</f>
        <v/>
      </c>
      <c r="P391">
        <f>IF(B420=0,0,O391/B420)</f>
        <v/>
      </c>
      <c r="Q391">
        <f>IFERROR(1/(IF(Inputs!$B$38="pvp",15,MAX(0.1,Skills!D12-IF(Skills!E12=TRUE,Inputs!$B$32,0)))*(1-IF(AND(ArtifactsInput!$M$27,Inputs!$B$4="Chapter Hunt"),CHOOSE(ArtifactsInput!$N$27+1,20,24,28,32,36,40),0)/100)),0)</f>
        <v/>
      </c>
      <c r="R391">
        <f>IF(AND(Inputs!$B$38&lt;&gt;"pvp",Inputs!$B$43&gt;0),IF(MAX(0,Inputs!$B$43-B417)&lt;=0,0,(INT(MAX(0,Inputs!$B$43-B417)/(IF(Inputs!$B$38="pvp",15,MAX(0.1,Skills!D12-IF(Skills!E12=TRUE,Inputs!$B$32,0)))*(1-IF(AND(ArtifactsInput!$M$27,Inputs!$B$4="Chapter Hunt"),CHOOSE(ArtifactsInput!$N$27+1,20,24,28,32,36,40),0)/100)))+1)),0)</f>
        <v/>
      </c>
      <c r="S391">
        <f>IFERROR(O391/N391,0)</f>
        <v/>
      </c>
      <c r="T391">
        <f>IF(C391,(H391*N391*IF(AND(Inputs!$B$38&lt;&gt;"pvp",Inputs!$B$43&gt;0),((Skills!G12*((R391-1)*IF(Skills!H12&gt;0,Skills!I12/Skills!H12,1)+IF(Skills!H12&gt;0,MIN(Skills!I12,MAX(0,MAX(0,Inputs!$B$43-B417)-((R391-1)*(IF(Inputs!$B$38="pvp",15,MAX(0.1,Skills!D12-IF(Skills!E12=TRUE,Inputs!$B$32,0)))*(1-IF(AND(ArtifactsInput!$M$27,Inputs!$B$4="Chapter Hunt"),CHOOSE(ArtifactsInput!$N$27+1,20,24,28,32,36,40),0)/100)))))/Skills!H12,1)))/Inputs!$B$43),G391*Q391)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391*(1-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391*(1-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1">
        <f>IF(C391,(H391*N391*IF(AND(Inputs!$B$38&lt;&gt;"pvp",Inputs!$B$43&gt;0),((Skills!G12*((R391-1)*IF(Skills!H12&gt;0,Skills!I12/Skills!H12,1)+IF(Skills!H12&gt;0,MIN(Skills!I12,MAX(0,MAX(0,Inputs!$B$43-B417)-((R391-1)*(IF(Inputs!$B$38="pvp",15,MAX(0.1,Skills!D12-IF(Skills!E12=TRUE,Inputs!$B$32,0)))*(1-IF(AND(ArtifactsInput!$M$27,Inputs!$B$4="Chapter Hunt"),CHOOSE(ArtifactsInput!$N$27+1,20,24,28,32,36,40),0)/100)))))/Skills!H12,1)))/Inputs!$B$43),G391*Q391))*IF(Inputs!$B$38="pvp",1,(1+(Inputs!$B$21+Skills!Q12+(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2">
      <c r="A392">
        <f>Skills!A13</f>
        <v/>
      </c>
      <c r="B392">
        <f>Skills!B13</f>
        <v/>
      </c>
      <c r="C392">
        <f>Inputs!$B$3&gt;=110</f>
        <v/>
      </c>
      <c r="D392">
        <f>IF(Skills!C13=1,60+Inputs!$B$25+Inputs!$B$29,IF(Skills!C13=2,90+Inputs!$B$26+Inputs!$B$29,IF(Skills!C13=3,120+Inputs!$B$27+Inputs!$B$29,MAX(0,(Inputs!$B$3-100)*3)+Inputs!$B$28+Inputs!$B$29)))</f>
        <v/>
      </c>
      <c r="E392">
        <f>INDEX(FactorTable!$B$2:$Y$301, MATCH(ROUND(MIN(300,MAX(1,D392)),0), FactorTable!$A$2:$A$301,0), Skills!M13+1)</f>
        <v/>
      </c>
      <c r="F392">
        <f>IF(Skills!N13=TRUE,(Skills!L13/10)*(E392/1000),Skills!L13/10)+Skills!O13</f>
        <v/>
      </c>
      <c r="G392">
        <f>Skills!G13*IF(Skills!H13&gt;0,Skills!I13/Skills!H13,1)</f>
        <v/>
      </c>
      <c r="H392">
        <f>1-(1-Skills!J13/100)^Skills!K13</f>
        <v/>
      </c>
      <c r="I392" t="inlineStr">
        <is>
          <t>1</t>
        </is>
      </c>
      <c r="J392">
        <f>((Inputs!$B$6*(1+Inputs!$B$7/100))+(((Inputs!$B$12*(1+Inputs!$B$13/100))-(Inputs!$B$12*(1+Inputs!$B$13/100)))+0.25*(Inputs!$B$14-Inputs!$B$14))*(1+Inputs!$B$7/100))*(F392/100)</f>
        <v/>
      </c>
      <c r="K392">
        <f>J392*(1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392)</f>
        <v/>
      </c>
      <c r="L392">
        <f>K392*(MIN(Inputs!$B$22+((C401=TRUE)*(F401-Calc!F22)),(Inputs!$B$23+0+(IF(ArtifactsInput!$M$15,CHOOSE(ArtifactsInput!$N$15+1,25,30,35,40,45,50)/100*(Inputs!$B$11-Inputs!$B$11),0))))/100+(Inputs!$B$23+0+(IF(ArtifactsInput!$M$15,CHOOSE(ArtifactsInput!$N$15+1,25,30,35,40,45,50)/100*(Inputs!$B$11-Inputs!$B$11),0)))/100)/2</f>
        <v/>
      </c>
      <c r="M392">
        <f>L392*(1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2">
        <f>L392*(1-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392*(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2">
        <f>(1-Summary!$B$11)*T392+Summary!$B$11*V392</f>
        <v/>
      </c>
      <c r="P392">
        <f>IF(B420=0,0,O392/B420)</f>
        <v/>
      </c>
      <c r="Q392">
        <f>IFERROR(1/(IF(Inputs!$B$38="pvp",15,MAX(0.1,Skills!D13-IF(Skills!E13=TRUE,Inputs!$B$32,0)))*(1-IF(AND(ArtifactsInput!$M$27,Inputs!$B$4="Chapter Hunt"),CHOOSE(ArtifactsInput!$N$27+1,20,24,28,32,36,40),0)/100)),0)</f>
        <v/>
      </c>
      <c r="R392">
        <f>IF(AND(Inputs!$B$38&lt;&gt;"pvp",Inputs!$B$43&gt;0),IF(MAX(0,Inputs!$B$43-B417)&lt;=0,0,(INT(MAX(0,Inputs!$B$43-B417)/(IF(Inputs!$B$38="pvp",15,MAX(0.1,Skills!D13-IF(Skills!E13=TRUE,Inputs!$B$32,0)))*(1-IF(AND(ArtifactsInput!$M$27,Inputs!$B$4="Chapter Hunt"),CHOOSE(ArtifactsInput!$N$27+1,20,24,28,32,36,40),0)/100)))+1)),0)</f>
        <v/>
      </c>
      <c r="S392">
        <f>IFERROR(O392/N392,0)</f>
        <v/>
      </c>
      <c r="T392">
        <f>IF(C392,(H392*N392*IF(AND(Inputs!$B$38&lt;&gt;"pvp",Inputs!$B$43&gt;0),((Skills!G13*((R392-1)*IF(Skills!H13&gt;0,Skills!I13/Skills!H13,1)+IF(Skills!H13&gt;0,MIN(Skills!I13,MAX(0,MAX(0,Inputs!$B$43-B417)-((R392-1)*(IF(Inputs!$B$38="pvp",15,MAX(0.1,Skills!D13-IF(Skills!E13=TRUE,Inputs!$B$32,0)))*(1-IF(AND(ArtifactsInput!$M$27,Inputs!$B$4="Chapter Hunt"),CHOOSE(ArtifactsInput!$N$27+1,20,24,28,32,36,40),0)/100)))))/Skills!H13,1)))/Inputs!$B$43),G392*Q392)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392*(1-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392*(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392*(1-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392*(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2">
        <f>IF(C392,(H392*N392*IF(AND(Inputs!$B$38&lt;&gt;"pvp",Inputs!$B$43&gt;0),((Skills!G13*((R392-1)*IF(Skills!H13&gt;0,Skills!I13/Skills!H13,1)+IF(Skills!H13&gt;0,MIN(Skills!I13,MAX(0,MAX(0,Inputs!$B$43-B417)-((R392-1)*(IF(Inputs!$B$38="pvp",15,MAX(0.1,Skills!D13-IF(Skills!E13=TRUE,Inputs!$B$32,0)))*(1-IF(AND(ArtifactsInput!$M$27,Inputs!$B$4="Chapter Hunt"),CHOOSE(ArtifactsInput!$N$27+1,20,24,28,32,36,40),0)/100)))))/Skills!H13,1)))/Inputs!$B$43),G392*Q392))*IF(Inputs!$B$38="pvp",1,(1+(Inputs!$B$21+Skills!Q13+(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3">
      <c r="A393">
        <f>Skills!A14</f>
        <v/>
      </c>
      <c r="B393">
        <f>Skills!B14</f>
        <v/>
      </c>
      <c r="C393">
        <f>Inputs!$B$3&gt;=125</f>
        <v/>
      </c>
      <c r="D393">
        <f>IF(Skills!C14=1,60+Inputs!$B$25+Inputs!$B$29,IF(Skills!C14=2,90+Inputs!$B$26+Inputs!$B$29,IF(Skills!C14=3,120+Inputs!$B$27+Inputs!$B$29,MAX(0,(Inputs!$B$3-100)*3)+Inputs!$B$28+Inputs!$B$29)))</f>
        <v/>
      </c>
      <c r="E393">
        <f>INDEX(FactorTable!$B$2:$Y$301, MATCH(ROUND(MIN(300,MAX(1,D393)),0), FactorTable!$A$2:$A$301,0), Skills!M14+1)</f>
        <v/>
      </c>
      <c r="F393">
        <f>IF(Skills!N14=TRUE,(Skills!L14/10)*(E393/1000),Skills!L14/10)+Skills!O14</f>
        <v/>
      </c>
      <c r="G393">
        <f>Skills!G14*IF(Skills!H14&gt;0,Skills!I14/Skills!H14,1)</f>
        <v/>
      </c>
      <c r="H393">
        <f>1-(1-Skills!J14/100)^Skills!K14</f>
        <v/>
      </c>
      <c r="I393" t="inlineStr">
        <is>
          <t>1</t>
        </is>
      </c>
      <c r="J393">
        <f>((Inputs!$B$6*(1+Inputs!$B$7/100))+(((Inputs!$B$12*(1+Inputs!$B$13/100))-(Inputs!$B$12*(1+Inputs!$B$13/100)))+0.25*(Inputs!$B$14-Inputs!$B$14))*(1+Inputs!$B$7/100))*(F393/100)</f>
        <v/>
      </c>
      <c r="K393">
        <f>J393*(1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393)</f>
        <v/>
      </c>
      <c r="L393">
        <f>K393*(MIN(Inputs!$B$22+((C401=TRUE)*(F401-Calc!F22)),(Inputs!$B$23+0+(IF(ArtifactsInput!$M$15,CHOOSE(ArtifactsInput!$N$15+1,25,30,35,40,45,50)/100*(Inputs!$B$11-Inputs!$B$11),0))))/100+(Inputs!$B$23+0+(IF(ArtifactsInput!$M$15,CHOOSE(ArtifactsInput!$N$15+1,25,30,35,40,45,50)/100*(Inputs!$B$11-Inputs!$B$11),0)))/100)/2</f>
        <v/>
      </c>
      <c r="M393">
        <f>L393*(1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3">
        <f>L393*(1-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393*(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3">
        <f>(1-Summary!$B$11)*T393+Summary!$B$11*V393</f>
        <v/>
      </c>
      <c r="P393">
        <f>IF(B420=0,0,O393/B420)</f>
        <v/>
      </c>
      <c r="Q393" t="n">
        <v>0</v>
      </c>
      <c r="R393" t="n">
        <v>0</v>
      </c>
      <c r="S393">
        <f>IFERROR(O393/N393,0)</f>
        <v/>
      </c>
      <c r="T393">
        <f>IF(C393,(H393*N393*(B414+IF(AND(Inputs!$B$38&lt;&gt;"pvp",Inputs!$B$43&gt;0),((Skills!G8*((R387-1)*IF(Skills!H8&gt;0,Skills!I8/Skills!H8,1)+IF(Skills!H8&gt;0,MIN(Skills!I8,MAX(0,MAX(0,Inputs!$B$43-B417)-((R387-1)*(IF(Inputs!$B$38="pvp",15,MAX(0.1,Skills!D8-IF(Skills!E8=TRUE,Inputs!$B$32,0)))*(1-IF(AND(ArtifactsInput!$M$27,Inputs!$B$4="Chapter Hunt"),CHOOSE(ArtifactsInput!$N$27+1,20,24,28,32,36,40),0)/100)))))/Skills!H8,1)))/Inputs!$B$43),G387*Q387)+IF(AND(Inputs!$B$38&lt;&gt;"pvp",Inputs!$B$43&gt;0),((Skills!G11*((R390-1)*IF(Skills!H11&gt;0,Skills!I11/Skills!H11,1)+IF(Skills!H11&gt;0,MIN(Skills!I11,MAX(0,MAX(0,Inputs!$B$43-B417)-((R390-1)*(IF(Inputs!$B$38="pvp",15,MAX(0.1,Skills!D11-IF(Skills!E11=TRUE,Inputs!$B$32,0)))*(1-IF(AND(ArtifactsInput!$M$27,Inputs!$B$4="Chapter Hunt"),CHOOSE(ArtifactsInput!$N$27+1,20,24,28,32,36,40),0)/100)))))/Skills!H11,1)))/Inputs!$B$43),G390*Q390)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393*(1-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393*(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393*(1-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393*(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3">
        <f>IF(C393,(H393*N393*(B414+IF(AND(Inputs!$B$38&lt;&gt;"pvp",Inputs!$B$43&gt;0),((Skills!G8*((R387-1)*IF(Skills!H8&gt;0,Skills!I8/Skills!H8,1)+IF(Skills!H8&gt;0,MIN(Skills!I8,MAX(0,MAX(0,Inputs!$B$43-B417)-((R387-1)*(IF(Inputs!$B$38="pvp",15,MAX(0.1,Skills!D8-IF(Skills!E8=TRUE,Inputs!$B$32,0)))*(1-IF(AND(ArtifactsInput!$M$27,Inputs!$B$4="Chapter Hunt"),CHOOSE(ArtifactsInput!$N$27+1,20,24,28,32,36,40),0)/100)))))/Skills!H8,1)))/Inputs!$B$43),G387*Q387)+IF(AND(Inputs!$B$38&lt;&gt;"pvp",Inputs!$B$43&gt;0),((Skills!G11*((R390-1)*IF(Skills!H11&gt;0,Skills!I11/Skills!H11,1)+IF(Skills!H11&gt;0,MIN(Skills!I11,MAX(0,MAX(0,Inputs!$B$43-B417)-((R390-1)*(IF(Inputs!$B$38="pvp",15,MAX(0.1,Skills!D11-IF(Skills!E11=TRUE,Inputs!$B$32,0)))*(1-IF(AND(ArtifactsInput!$M$27,Inputs!$B$4="Chapter Hunt"),CHOOSE(ArtifactsInput!$N$27+1,20,24,28,32,36,40),0)/100)))))/Skills!H11,1)))/Inputs!$B$43),G390*Q390)))*IF(Inputs!$B$38="pvp",1,(1+(Inputs!$B$21+Skills!Q14+(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4">
      <c r="A394">
        <f>Skills!A15</f>
        <v/>
      </c>
      <c r="B394">
        <f>Skills!B15</f>
        <v/>
      </c>
      <c r="C394">
        <f>Inputs!$B$3&gt;=100</f>
        <v/>
      </c>
      <c r="D394">
        <f>IF(Skills!C15=1,60+Inputs!$B$25+Inputs!$B$29,IF(Skills!C15=2,90+Inputs!$B$26+Inputs!$B$29,IF(Skills!C15=3,120+Inputs!$B$27+Inputs!$B$29,MAX(0,(Inputs!$B$3-100)*3)+Inputs!$B$28+Inputs!$B$29)))</f>
        <v/>
      </c>
      <c r="E394">
        <f>INDEX(FactorTable!$B$2:$Y$301, MATCH(ROUND(MIN(300,MAX(1,D394)),0), FactorTable!$A$2:$A$301,0), Skills!M15+1)</f>
        <v/>
      </c>
      <c r="F394">
        <f>IF(Skills!N15=TRUE,(Skills!L15/10)*(E394/1000),Skills!L15/10)+Skills!O15</f>
        <v/>
      </c>
      <c r="G394" t="inlineStr"/>
      <c r="H394" t="inlineStr"/>
      <c r="I394" t="inlineStr">
        <is>
          <t>1</t>
        </is>
      </c>
      <c r="J394" t="inlineStr"/>
      <c r="K394" t="inlineStr"/>
      <c r="L394" t="inlineStr"/>
      <c r="M394" t="inlineStr"/>
      <c r="N394" t="inlineStr"/>
      <c r="O394" t="inlineStr"/>
      <c r="P394" t="inlineStr"/>
      <c r="Q394" t="inlineStr"/>
      <c r="R394" t="inlineStr"/>
      <c r="S394" t="inlineStr"/>
    </row>
    <row r="395">
      <c r="A395">
        <f>Skills!A16</f>
        <v/>
      </c>
      <c r="B395">
        <f>Skills!B16</f>
        <v/>
      </c>
      <c r="C395">
        <f>Inputs!$B$3&gt;=120</f>
        <v/>
      </c>
      <c r="D395">
        <f>IF(Skills!C16=1,60+Inputs!$B$25+Inputs!$B$29,IF(Skills!C16=2,90+Inputs!$B$26+Inputs!$B$29,IF(Skills!C16=3,120+Inputs!$B$27+Inputs!$B$29,MAX(0,(Inputs!$B$3-100)*3)+Inputs!$B$28+Inputs!$B$29)))</f>
        <v/>
      </c>
      <c r="E395">
        <f>INDEX(FactorTable!$B$2:$Y$301, MATCH(ROUND(MIN(300,MAX(1,D395)),0), FactorTable!$A$2:$A$301,0), Skills!M16+1)</f>
        <v/>
      </c>
      <c r="F395">
        <f>IF(Skills!N16=TRUE,(Skills!L16/10)*(E395/1000),Skills!L16/10)+Skills!O16</f>
        <v/>
      </c>
      <c r="G395" t="inlineStr"/>
      <c r="H395" t="inlineStr"/>
      <c r="I395" t="inlineStr">
        <is>
          <t>1</t>
        </is>
      </c>
      <c r="J395" t="inlineStr"/>
      <c r="K395" t="inlineStr"/>
      <c r="L395" t="inlineStr"/>
      <c r="M395" t="inlineStr"/>
      <c r="N395" t="inlineStr"/>
      <c r="O395" t="inlineStr"/>
      <c r="P395" t="inlineStr"/>
      <c r="Q395" t="inlineStr"/>
      <c r="R395" t="inlineStr"/>
      <c r="S395" t="inlineStr"/>
    </row>
    <row r="396">
      <c r="A396">
        <f>Skills!A17</f>
        <v/>
      </c>
      <c r="B396">
        <f>Skills!B17</f>
        <v/>
      </c>
      <c r="C396">
        <f>Inputs!$B$3&gt;=66</f>
        <v/>
      </c>
      <c r="D396">
        <f>IF(Skills!C17=1,60+Inputs!$B$25+Inputs!$B$29,IF(Skills!C17=2,90+Inputs!$B$26+Inputs!$B$29,IF(Skills!C17=3,120+Inputs!$B$27+Inputs!$B$29,MAX(0,(Inputs!$B$3-100)*3)+Inputs!$B$28+Inputs!$B$29)))</f>
        <v/>
      </c>
      <c r="E396">
        <f>INDEX(FactorTable!$B$2:$Y$301, MATCH(ROUND(MIN(300,MAX(1,D396)),0), FactorTable!$A$2:$A$301,0), Skills!M17+1)</f>
        <v/>
      </c>
      <c r="F396">
        <f>IF(Skills!N17=TRUE,(Skills!L17/10)*(E396/1000),Skills!L17/10)+Skills!O17</f>
        <v/>
      </c>
      <c r="G396">
        <f>Skills!G17*IF(Skills!H17&gt;0,Skills!I17/Skills!H17,1)</f>
        <v/>
      </c>
      <c r="H396">
        <f>1-(1-Skills!J17/100)^Skills!K17</f>
        <v/>
      </c>
      <c r="I396" t="inlineStr">
        <is>
          <t>1</t>
        </is>
      </c>
      <c r="J396" t="inlineStr"/>
      <c r="K396" t="inlineStr"/>
      <c r="L396" t="inlineStr"/>
      <c r="M396" t="inlineStr"/>
      <c r="N396" t="inlineStr"/>
      <c r="O396">
        <f>(1-Summary!$B$11)*T396+Summary!$B$11*V396</f>
        <v/>
      </c>
      <c r="P396">
        <f>IF(B420=0,0,O396/B420)</f>
        <v/>
      </c>
      <c r="Q396" t="n">
        <v>0</v>
      </c>
      <c r="R396" t="n">
        <v>0</v>
      </c>
      <c r="S396">
        <f>IFERROR(O396/N396,0)</f>
        <v/>
      </c>
      <c r="T396" t="n">
        <v>0</v>
      </c>
      <c r="V396" t="n">
        <v>0</v>
      </c>
    </row>
    <row r="397">
      <c r="A397">
        <f>Skills!A18</f>
        <v/>
      </c>
      <c r="B397">
        <f>Skills!B18</f>
        <v/>
      </c>
      <c r="C397">
        <f>Inputs!$B$3&gt;=115</f>
        <v/>
      </c>
      <c r="D397">
        <f>IF(Skills!C18=1,60+Inputs!$B$25+Inputs!$B$29,IF(Skills!C18=2,90+Inputs!$B$26+Inputs!$B$29,IF(Skills!C18=3,120+Inputs!$B$27+Inputs!$B$29,MAX(0,(Inputs!$B$3-100)*3)+Inputs!$B$28+Inputs!$B$29)))</f>
        <v/>
      </c>
      <c r="E397">
        <f>INDEX(FactorTable!$B$2:$Y$301, MATCH(ROUND(MIN(300,MAX(1,D397)),0), FactorTable!$A$2:$A$301,0), Skills!M18+1)</f>
        <v/>
      </c>
      <c r="F397">
        <f>IF(Skills!N18=TRUE,(Skills!L18/10)*(E397/1000),Skills!L18/10)+Skills!O18</f>
        <v/>
      </c>
      <c r="G397">
        <f>Skills!G18*IF(Skills!H18&gt;0,Skills!I18/Skills!H18,1)</f>
        <v/>
      </c>
      <c r="H397">
        <f>1-(1-Skills!J18/100)^Skills!K18</f>
        <v/>
      </c>
      <c r="I397" t="inlineStr">
        <is>
          <t>1</t>
        </is>
      </c>
      <c r="J397" t="inlineStr"/>
      <c r="K397" t="inlineStr"/>
      <c r="L397" t="inlineStr"/>
      <c r="M397" t="inlineStr"/>
      <c r="N397" t="inlineStr"/>
      <c r="O397">
        <f>(1-Summary!$B$11)*T397+Summary!$B$11*V397</f>
        <v/>
      </c>
      <c r="P397">
        <f>IF(B420=0,0,O397/B420)</f>
        <v/>
      </c>
      <c r="Q397">
        <f>IFERROR(1/(IF(Inputs!$B$38="pvp",15,MAX(0.1,Skills!D18-IF(Skills!E18=TRUE,Inputs!$B$32,0)))*(1-IF(AND(ArtifactsInput!$M$27,Inputs!$B$4="Chapter Hunt"),CHOOSE(ArtifactsInput!$N$27+1,20,24,28,32,36,40),0)/100)),0)</f>
        <v/>
      </c>
      <c r="R397">
        <f>IF(AND(Inputs!$B$38&lt;&gt;"pvp",Inputs!$B$43&gt;0),IF(Inputs!$B$43&lt;=0,0,(INT(Inputs!$B$43/(IF(Inputs!$B$38="pvp",15,MAX(0.1,Skills!D18-IF(Skills!E18=TRUE,Inputs!$B$32,0)))*(1-IF(AND(ArtifactsInput!$M$27,Inputs!$B$4="Chapter Hunt"),CHOOSE(ArtifactsInput!$N$27+1,20,24,28,32,36,40),0)/100)))+1)),0)</f>
        <v/>
      </c>
      <c r="S397">
        <f>IFERROR(O397/N397,0)</f>
        <v/>
      </c>
      <c r="T397" t="n">
        <v>0</v>
      </c>
      <c r="V397" t="n">
        <v>0</v>
      </c>
    </row>
    <row r="398">
      <c r="A398">
        <f>Skills!A19</f>
        <v/>
      </c>
      <c r="B398">
        <f>Skills!B19</f>
        <v/>
      </c>
      <c r="C398">
        <f>Inputs!$B$3&gt;=15</f>
        <v/>
      </c>
      <c r="D398">
        <f>IF(Skills!C19=1,60+Inputs!$B$25+Inputs!$B$29,IF(Skills!C19=2,90+Inputs!$B$26+Inputs!$B$29,IF(Skills!C19=3,120+Inputs!$B$27+Inputs!$B$29,MAX(0,(Inputs!$B$3-100)*3)+Inputs!$B$28+Inputs!$B$29)))</f>
        <v/>
      </c>
      <c r="E398">
        <f>INDEX(FactorTable!$B$2:$Y$301, MATCH(ROUND(MIN(300,MAX(1,D398)),0), FactorTable!$A$2:$A$301,0), Skills!M19+1)</f>
        <v/>
      </c>
      <c r="F398">
        <f>IF(Skills!N19=TRUE,(Skills!L19/10)*(E398/1000),Skills!L19/10)+Skills!O19</f>
        <v/>
      </c>
      <c r="G398">
        <f>Skills!G19*IF(Skills!H19&gt;0,Skills!I19/Skills!H19,1)</f>
        <v/>
      </c>
      <c r="H398">
        <f>1-(1-Skills!J19/100)^Skills!K19</f>
        <v/>
      </c>
      <c r="I398" t="inlineStr">
        <is>
          <t>1</t>
        </is>
      </c>
      <c r="J398" t="inlineStr"/>
      <c r="K398" t="inlineStr"/>
      <c r="L398" t="inlineStr"/>
      <c r="M398" t="inlineStr"/>
      <c r="N398" t="inlineStr"/>
      <c r="O398">
        <f>(1-Summary!$B$11)*T398+Summary!$B$11*V398</f>
        <v/>
      </c>
      <c r="P398">
        <f>IF(B420=0,0,O398/B420)</f>
        <v/>
      </c>
      <c r="Q398" t="n">
        <v>0</v>
      </c>
      <c r="R398" t="n">
        <v>0</v>
      </c>
      <c r="S398">
        <f>IFERROR(O398/N398,0)</f>
        <v/>
      </c>
      <c r="T398" t="n">
        <v>0</v>
      </c>
      <c r="V398" t="n">
        <v>0</v>
      </c>
    </row>
    <row r="399">
      <c r="A399">
        <f>Skills!A20</f>
        <v/>
      </c>
      <c r="B399">
        <f>Skills!B20</f>
        <v/>
      </c>
      <c r="C399">
        <f>Inputs!$B$3&gt;=10</f>
        <v/>
      </c>
      <c r="D399">
        <f>IF(Skills!C20=1,60+Inputs!$B$25+Inputs!$B$29,IF(Skills!C20=2,90+Inputs!$B$26+Inputs!$B$29,IF(Skills!C20=3,120+Inputs!$B$27+Inputs!$B$29,MAX(0,(Inputs!$B$3-100)*3)+Inputs!$B$28+Inputs!$B$29)))</f>
        <v/>
      </c>
      <c r="E399">
        <f>INDEX(FactorTable!$B$2:$Y$301, MATCH(ROUND(MIN(300,MAX(1,D399)),0), FactorTable!$A$2:$A$301,0), Skills!M20+1)</f>
        <v/>
      </c>
      <c r="F399">
        <f>IF(Skills!N20=TRUE,(Skills!L20/10)*(E399/1000),Skills!L20/10)+Skills!O20</f>
        <v/>
      </c>
      <c r="G399">
        <f>Skills!G20*IF(Skills!H20&gt;0,Skills!I20/Skills!H20,1)</f>
        <v/>
      </c>
      <c r="H399">
        <f>1-(1-Skills!J20/100)^Skills!K20</f>
        <v/>
      </c>
      <c r="I399" t="inlineStr">
        <is>
          <t>1</t>
        </is>
      </c>
      <c r="J399" t="inlineStr"/>
      <c r="K399" t="inlineStr"/>
      <c r="L399" t="inlineStr"/>
      <c r="M399" t="inlineStr"/>
      <c r="N399" t="inlineStr"/>
      <c r="O399">
        <f>(1-Summary!$B$11)*T399+Summary!$B$11*V399</f>
        <v/>
      </c>
      <c r="P399">
        <f>IF(B420=0,0,O399/B420)</f>
        <v/>
      </c>
      <c r="Q399" t="n">
        <v>0</v>
      </c>
      <c r="R399" t="n">
        <v>0</v>
      </c>
      <c r="S399">
        <f>IFERROR(O399/N399,0)</f>
        <v/>
      </c>
      <c r="T399" t="n">
        <v>0</v>
      </c>
      <c r="V399" t="n">
        <v>0</v>
      </c>
    </row>
    <row r="400">
      <c r="A400">
        <f>Skills!A21</f>
        <v/>
      </c>
      <c r="B400">
        <f>Skills!B21</f>
        <v/>
      </c>
      <c r="C400">
        <f>Inputs!$B$3&gt;=33</f>
        <v/>
      </c>
      <c r="D400">
        <f>IF(Skills!C21=1,60+Inputs!$B$25+Inputs!$B$29,IF(Skills!C21=2,90+Inputs!$B$26+Inputs!$B$29,IF(Skills!C21=3,120+Inputs!$B$27+Inputs!$B$29,MAX(0,(Inputs!$B$3-100)*3)+Inputs!$B$28+Inputs!$B$29)))</f>
        <v/>
      </c>
      <c r="E400">
        <f>INDEX(FactorTable!$B$2:$Y$301, MATCH(ROUND(MIN(300,MAX(1,D400)),0), FactorTable!$A$2:$A$301,0), Skills!M21+1)</f>
        <v/>
      </c>
      <c r="F400">
        <f>IF(Skills!N21=TRUE,(Skills!L21/10)*(E400/1000),Skills!L21/10)+Skills!O21</f>
        <v/>
      </c>
      <c r="G400">
        <f>Skills!G21*IF(Skills!H21&gt;0,Skills!I21/Skills!H21,1)</f>
        <v/>
      </c>
      <c r="H400">
        <f>1-(1-Skills!J21/100)^Skills!K21</f>
        <v/>
      </c>
      <c r="I400" t="inlineStr">
        <is>
          <t>1</t>
        </is>
      </c>
      <c r="J400" t="inlineStr"/>
      <c r="K400" t="inlineStr"/>
      <c r="L400" t="inlineStr"/>
      <c r="M400" t="inlineStr"/>
      <c r="N400" t="inlineStr"/>
      <c r="O400">
        <f>(1-Summary!$B$11)*T400+Summary!$B$11*V400</f>
        <v/>
      </c>
      <c r="P400">
        <f>IF(B420=0,0,O400/B420)</f>
        <v/>
      </c>
      <c r="Q400" t="n">
        <v>0</v>
      </c>
      <c r="R400" t="n">
        <v>0</v>
      </c>
      <c r="S400">
        <f>IFERROR(O400/N400,0)</f>
        <v/>
      </c>
      <c r="T400" t="n">
        <v>0</v>
      </c>
      <c r="V400" t="n">
        <v>0</v>
      </c>
    </row>
    <row r="401">
      <c r="A401">
        <f>Skills!A22</f>
        <v/>
      </c>
      <c r="B401">
        <f>Skills!B22</f>
        <v/>
      </c>
      <c r="C401">
        <f>Inputs!$B$3&gt;=43</f>
        <v/>
      </c>
      <c r="D401">
        <f>IF(Skills!C22=1,60+Inputs!$B$25+Inputs!$B$29,IF(Skills!C22=2,90+Inputs!$B$26+Inputs!$B$29,IF(Skills!C22=3,120+Inputs!$B$27+Inputs!$B$29,MAX(0,(Inputs!$B$3-100)*3)+Inputs!$B$28+Inputs!$B$29)))</f>
        <v/>
      </c>
      <c r="E401">
        <f>INDEX(FactorTable!$B$2:$Y$301, MATCH(ROUND(MIN(300,MAX(1,D401)),0), FactorTable!$A$2:$A$301,0), Skills!M22+1)</f>
        <v/>
      </c>
      <c r="F401">
        <f>IF(Skills!N22=TRUE,(Skills!L22/10)*(E401/1000),Skills!L22/10)+Skills!O22</f>
        <v/>
      </c>
      <c r="G401">
        <f>Skills!G22*IF(Skills!H22&gt;0,Skills!I22/Skills!H22,1)</f>
        <v/>
      </c>
      <c r="H401">
        <f>1-(1-Skills!J22/100)^Skills!K22</f>
        <v/>
      </c>
      <c r="I401" t="inlineStr">
        <is>
          <t>1</t>
        </is>
      </c>
      <c r="J401" t="inlineStr"/>
      <c r="K401" t="inlineStr"/>
      <c r="L401" t="inlineStr"/>
      <c r="M401" t="inlineStr"/>
      <c r="N401" t="inlineStr"/>
      <c r="O401">
        <f>(1-Summary!$B$11)*T401+Summary!$B$11*V401</f>
        <v/>
      </c>
      <c r="P401">
        <f>IF(B420=0,0,O401/B420)</f>
        <v/>
      </c>
      <c r="Q401" t="n">
        <v>0</v>
      </c>
      <c r="R401" t="n">
        <v>0</v>
      </c>
      <c r="S401">
        <f>IFERROR(O401/N401,0)</f>
        <v/>
      </c>
      <c r="T401" t="n">
        <v>0</v>
      </c>
      <c r="V401" t="n">
        <v>0</v>
      </c>
    </row>
    <row r="402">
      <c r="A402">
        <f>Skills!A23</f>
        <v/>
      </c>
      <c r="B402">
        <f>Skills!B23</f>
        <v/>
      </c>
      <c r="C402">
        <f>Inputs!$B$3&gt;=38</f>
        <v/>
      </c>
      <c r="D402">
        <f>IF(Skills!C23=1,60+Inputs!$B$25+Inputs!$B$29,IF(Skills!C23=2,90+Inputs!$B$26+Inputs!$B$29,IF(Skills!C23=3,120+Inputs!$B$27+Inputs!$B$29,MAX(0,(Inputs!$B$3-100)*3)+Inputs!$B$28+Inputs!$B$29)))</f>
        <v/>
      </c>
      <c r="E402">
        <f>INDEX(FactorTable!$B$2:$Y$301, MATCH(ROUND(MIN(300,MAX(1,D402)),0), FactorTable!$A$2:$A$301,0), Skills!M23+1)</f>
        <v/>
      </c>
      <c r="F402">
        <f>IF(Skills!N23=TRUE,(Skills!L23/10)*(E402/1000),Skills!L23/10)+Skills!O23</f>
        <v/>
      </c>
      <c r="G402">
        <f>Skills!G23*IF(Skills!H23&gt;0,Skills!I23/Skills!H23,1)</f>
        <v/>
      </c>
      <c r="H402">
        <f>1-(1-Skills!J23/100)^Skills!K23</f>
        <v/>
      </c>
      <c r="I402" t="inlineStr">
        <is>
          <t>1</t>
        </is>
      </c>
      <c r="J402" t="inlineStr"/>
      <c r="K402" t="inlineStr"/>
      <c r="L402" t="inlineStr"/>
      <c r="M402" t="inlineStr"/>
      <c r="N402" t="inlineStr"/>
      <c r="O402">
        <f>(1-Summary!$B$11)*T402+Summary!$B$11*V402</f>
        <v/>
      </c>
      <c r="P402">
        <f>IF(B420=0,0,O402/B420)</f>
        <v/>
      </c>
      <c r="Q402" t="n">
        <v>0</v>
      </c>
      <c r="R402" t="n">
        <v>0</v>
      </c>
      <c r="S402">
        <f>IFERROR(O402/N402,0)</f>
        <v/>
      </c>
      <c r="T402" t="n">
        <v>0</v>
      </c>
      <c r="V402" t="n">
        <v>0</v>
      </c>
    </row>
    <row r="403">
      <c r="A403">
        <f>Skills!A24</f>
        <v/>
      </c>
      <c r="B403">
        <f>Skills!B24</f>
        <v/>
      </c>
      <c r="C403">
        <f>Inputs!$B$3&gt;=40</f>
        <v/>
      </c>
      <c r="D403">
        <f>IF(Skills!C24=1,60+Inputs!$B$25+Inputs!$B$29,IF(Skills!C24=2,90+Inputs!$B$26+Inputs!$B$29,IF(Skills!C24=3,120+Inputs!$B$27+Inputs!$B$29,MAX(0,(Inputs!$B$3-100)*3)+Inputs!$B$28+Inputs!$B$29)))</f>
        <v/>
      </c>
      <c r="E403">
        <f>INDEX(FactorTable!$B$2:$Y$301, MATCH(ROUND(MIN(300,MAX(1,D403)),0), FactorTable!$A$2:$A$301,0), Skills!M24+1)</f>
        <v/>
      </c>
      <c r="F403">
        <f>IF(Skills!N24=TRUE,(Skills!L24/10)*(E403/1000),Skills!L24/10)+Skills!O24</f>
        <v/>
      </c>
      <c r="G403">
        <f>Skills!G24*IF(Skills!H24&gt;0,Skills!I24/Skills!H24,1)</f>
        <v/>
      </c>
      <c r="H403">
        <f>1-(1-Skills!J24/100)^Skills!K24</f>
        <v/>
      </c>
      <c r="I403" t="inlineStr">
        <is>
          <t>1</t>
        </is>
      </c>
      <c r="J403" t="inlineStr"/>
      <c r="K403" t="inlineStr"/>
      <c r="L403" t="inlineStr"/>
      <c r="M403" t="inlineStr"/>
      <c r="N403" t="inlineStr"/>
      <c r="O403">
        <f>(1-Summary!$B$11)*T403+Summary!$B$11*V403</f>
        <v/>
      </c>
      <c r="P403">
        <f>IF(B420=0,0,O403/B420)</f>
        <v/>
      </c>
      <c r="Q403" t="n">
        <v>0</v>
      </c>
      <c r="R403" t="n">
        <v>0</v>
      </c>
      <c r="S403">
        <f>IFERROR(O403/N403,0)</f>
        <v/>
      </c>
      <c r="T403" t="n">
        <v>0</v>
      </c>
      <c r="V403" t="n">
        <v>0</v>
      </c>
    </row>
    <row r="404">
      <c r="A404">
        <f>Skills!A25</f>
        <v/>
      </c>
      <c r="B404">
        <f>Skills!B25</f>
        <v/>
      </c>
      <c r="C404">
        <f>Inputs!$B$3&gt;=72</f>
        <v/>
      </c>
      <c r="D404">
        <f>IF(Skills!C25=1,60+Inputs!$B$25+Inputs!$B$29,IF(Skills!C25=2,90+Inputs!$B$26+Inputs!$B$29,IF(Skills!C25=3,120+Inputs!$B$27+Inputs!$B$29,MAX(0,(Inputs!$B$3-100)*3)+Inputs!$B$28+Inputs!$B$29)))</f>
        <v/>
      </c>
      <c r="E404">
        <f>INDEX(FactorTable!$B$2:$Y$301, MATCH(ROUND(MIN(300,MAX(1,D404)),0), FactorTable!$A$2:$A$301,0), Skills!M25+1)</f>
        <v/>
      </c>
      <c r="F404">
        <f>IF(Skills!N25=TRUE,(Skills!L25/10)*(E404/1000),Skills!L25/10)+Skills!O25</f>
        <v/>
      </c>
      <c r="G404">
        <f>Skills!G25*IF(Skills!H25&gt;0,Skills!I25/Skills!H25,1)</f>
        <v/>
      </c>
      <c r="H404">
        <f>1-(1-Skills!J25/100)^Skills!K25</f>
        <v/>
      </c>
      <c r="I404" t="inlineStr">
        <is>
          <t>1</t>
        </is>
      </c>
      <c r="J404" t="inlineStr"/>
      <c r="K404" t="inlineStr"/>
      <c r="L404" t="inlineStr"/>
      <c r="M404" t="inlineStr"/>
      <c r="N404" t="inlineStr"/>
      <c r="O404">
        <f>(1-Summary!$B$11)*T404+Summary!$B$11*V404</f>
        <v/>
      </c>
      <c r="P404">
        <f>IF(B420=0,0,O404/B420)</f>
        <v/>
      </c>
      <c r="Q404" t="n">
        <v>0</v>
      </c>
      <c r="R404" t="n">
        <v>0</v>
      </c>
      <c r="S404">
        <f>IFERROR(O404/N404,0)</f>
        <v/>
      </c>
      <c r="T404" t="n">
        <v>0</v>
      </c>
      <c r="V404" t="n">
        <v>0</v>
      </c>
    </row>
    <row r="405">
      <c r="A405">
        <f>Skills!A26</f>
        <v/>
      </c>
      <c r="B405">
        <f>Skills!B26</f>
        <v/>
      </c>
      <c r="C405">
        <f>Inputs!$B$3&gt;=75</f>
        <v/>
      </c>
      <c r="D405">
        <f>IF(Skills!C26=1,60+Inputs!$B$25+Inputs!$B$29,IF(Skills!C26=2,90+Inputs!$B$26+Inputs!$B$29,IF(Skills!C26=3,120+Inputs!$B$27+Inputs!$B$29,MAX(0,(Inputs!$B$3-100)*3)+Inputs!$B$28+Inputs!$B$29)))</f>
        <v/>
      </c>
      <c r="E405">
        <f>INDEX(FactorTable!$B$2:$Y$301, MATCH(ROUND(MIN(300,MAX(1,D405)),0), FactorTable!$A$2:$A$301,0), Skills!M26+1)</f>
        <v/>
      </c>
      <c r="F405">
        <f>IF(Skills!N26=TRUE,(Skills!L26/10)*(E405/1000),Skills!L26/10)+Skills!O26</f>
        <v/>
      </c>
      <c r="G405">
        <f>Skills!G26*IF(Skills!H26&gt;0,Skills!I26/Skills!H26,1)</f>
        <v/>
      </c>
      <c r="H405">
        <f>1-(1-Skills!J26/100)^Skills!K26</f>
        <v/>
      </c>
      <c r="I405" t="inlineStr">
        <is>
          <t>1</t>
        </is>
      </c>
      <c r="J405" t="inlineStr"/>
      <c r="K405" t="inlineStr"/>
      <c r="L405" t="inlineStr"/>
      <c r="M405" t="inlineStr"/>
      <c r="N405" t="inlineStr"/>
      <c r="O405">
        <f>(1-Summary!$B$11)*T405+Summary!$B$11*V405</f>
        <v/>
      </c>
      <c r="P405">
        <f>IF(B420=0,0,O405/B420)</f>
        <v/>
      </c>
      <c r="Q405" t="n">
        <v>0</v>
      </c>
      <c r="R405" t="n">
        <v>0</v>
      </c>
      <c r="S405">
        <f>IFERROR(O405/N405,0)</f>
        <v/>
      </c>
      <c r="T405" t="n">
        <v>0</v>
      </c>
      <c r="V405" t="n">
        <v>0</v>
      </c>
    </row>
    <row r="406">
      <c r="A406">
        <f>Skills!A27</f>
        <v/>
      </c>
      <c r="B406">
        <f>Skills!B27</f>
        <v/>
      </c>
      <c r="C406">
        <f>Inputs!$B$3&gt;=117</f>
        <v/>
      </c>
      <c r="D406">
        <f>IF(Skills!C27=1,60+Inputs!$B$25+Inputs!$B$29,IF(Skills!C27=2,90+Inputs!$B$26+Inputs!$B$29,IF(Skills!C27=3,120+Inputs!$B$27+Inputs!$B$29,MAX(0,(Inputs!$B$3-100)*3)+Inputs!$B$28+Inputs!$B$29)))</f>
        <v/>
      </c>
      <c r="E406">
        <f>INDEX(FactorTable!$B$2:$Y$301, MATCH(ROUND(MIN(300,MAX(1,D406)),0), FactorTable!$A$2:$A$301,0), Skills!M27+1)</f>
        <v/>
      </c>
      <c r="F406">
        <f>IF(Skills!N27=TRUE,(Skills!L27/10)*(E406/1000),Skills!L27/10)+Skills!O27</f>
        <v/>
      </c>
      <c r="G406">
        <f>Skills!G27*IF(Skills!H27&gt;0,Skills!I27/Skills!H27,1)</f>
        <v/>
      </c>
      <c r="H406">
        <f>1-(1-Skills!J27/100)^Skills!K27</f>
        <v/>
      </c>
      <c r="I406" t="inlineStr">
        <is>
          <t>1</t>
        </is>
      </c>
      <c r="J406" t="inlineStr"/>
      <c r="K406" t="inlineStr"/>
      <c r="L406" t="inlineStr"/>
      <c r="M406" t="inlineStr"/>
      <c r="N406" t="inlineStr"/>
      <c r="O406">
        <f>(1-Summary!$B$11)*T406+Summary!$B$11*V406</f>
        <v/>
      </c>
      <c r="P406">
        <f>IF(B420=0,0,O406/B420)</f>
        <v/>
      </c>
      <c r="Q406" t="n">
        <v>0</v>
      </c>
      <c r="R406" t="n">
        <v>0</v>
      </c>
      <c r="S406">
        <f>IFERROR(O406/N406,0)</f>
        <v/>
      </c>
      <c r="T406" t="n">
        <v>0</v>
      </c>
      <c r="V406" t="n">
        <v>0</v>
      </c>
    </row>
    <row r="407">
      <c r="A407">
        <f>Skills!A28</f>
        <v/>
      </c>
      <c r="B407">
        <f>Skills!B28</f>
        <v/>
      </c>
      <c r="C407">
        <f>TRUE</f>
        <v/>
      </c>
      <c r="D407">
        <f>IF(Skills!C28=1,60+Inputs!$B$25+Inputs!$B$29,IF(Skills!C28=2,90+Inputs!$B$26+Inputs!$B$29,IF(Skills!C28=3,120+Inputs!$B$27+Inputs!$B$29,MAX(0,(Inputs!$B$3-100)*3)+Inputs!$B$28+Inputs!$B$29)))</f>
        <v/>
      </c>
      <c r="E407">
        <f>INDEX(FactorTable!$B$2:$Y$301, MATCH(ROUND(MIN(300,MAX(1,D407)),0), FactorTable!$A$2:$A$301,0), Skills!M28+1)</f>
        <v/>
      </c>
      <c r="F407">
        <f>IF(Skills!N28=TRUE,(Skills!L28/10)*(E407/1000),Skills!L28/10)+Skills!O28</f>
        <v/>
      </c>
      <c r="G407">
        <f>Skills!G28*IF(Skills!H28&gt;0,Skills!I28/Skills!H28,1)</f>
        <v/>
      </c>
      <c r="H407">
        <f>1-(1-Skills!J28/100)^Skills!K28</f>
        <v/>
      </c>
      <c r="I407" t="inlineStr">
        <is>
          <t>1</t>
        </is>
      </c>
      <c r="J407" t="inlineStr"/>
      <c r="K407" t="inlineStr"/>
      <c r="L407" t="inlineStr"/>
      <c r="M407" t="inlineStr"/>
      <c r="N407" t="inlineStr"/>
      <c r="O407">
        <f>(1-Summary!$B$11)*T407+Summary!$B$11*V407</f>
        <v/>
      </c>
      <c r="P407">
        <f>IF(B420=0,0,O407/B420)</f>
        <v/>
      </c>
      <c r="Q407">
        <f>IFERROR(1/(IF(Inputs!$B$38="pvp",15,MAX(0.1,Skills!D28-IF(Skills!E28=TRUE,Inputs!$B$32,0)))*(1-IF(AND(ArtifactsInput!$M$27,Inputs!$B$4="Chapter Hunt"),CHOOSE(ArtifactsInput!$N$27+1,20,24,28,32,36,40),0)/100)),0)</f>
        <v/>
      </c>
      <c r="R407">
        <f>IF(AND(Inputs!$B$38&lt;&gt;"pvp",Inputs!$B$43&gt;0),IF(Inputs!$B$43&lt;=0,0,(INT(Inputs!$B$43/(IF(Inputs!$B$38="pvp",15,MAX(0.1,Skills!D28-IF(Skills!E28=TRUE,Inputs!$B$32,0)))*(1-IF(AND(ArtifactsInput!$M$27,Inputs!$B$4="Chapter Hunt"),CHOOSE(ArtifactsInput!$N$27+1,20,24,28,32,36,40),0)/100)))+1)),0)</f>
        <v/>
      </c>
      <c r="S407">
        <f>IFERROR(O407/N407,0)</f>
        <v/>
      </c>
      <c r="T407" t="n">
        <v>0</v>
      </c>
      <c r="V407" t="n">
        <v>0</v>
      </c>
    </row>
    <row r="409">
      <c r="A409" t="inlineStr">
        <is>
          <t>Attack% Bucket Multiplier</t>
        </is>
      </c>
      <c r="B409">
        <f>(1+(((C396=TRUE)*F396*5/7)+((C403=TRUE)*(F403-Calc!F24))+(IF(ArtifactsInput!$M$21,CHOOSE(ArtifactsInput!$N$21+1,25,30,35,40,45,50)*(IF(OR(Inputs!$B$4="Chapter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10">
      <c r="A410" t="inlineStr">
        <is>
          <t>Global Crit Rate Bonus %</t>
        </is>
      </c>
      <c r="B410" t="n">
        <v>0</v>
      </c>
    </row>
    <row r="411">
      <c r="A411" t="inlineStr">
        <is>
          <t>Attack Speed Buff Bonus % (Nimble Feet, duty-cycle averaged)</t>
        </is>
      </c>
      <c r="B411">
        <f>((C407=TRUE)*F407*IF(AND(Inputs!$B$38&lt;&gt;"pvp",Inputs!$B$43&gt;0),(((R407-1)*(Skills!T28*(1+Inputs!$B$34/100))+MIN((Skills!T28*(1+Inputs!$B$34/100)),MAX(0,Inputs!$B$43-((R407-1)*Skills!D28))))/Inputs!$B$43),IF(Inputs!$B$38="pvp",MIN((Skills!T28*(1+Inputs!$B$34/100)),15)/15,(Skills!T28*(1+Inputs!$B$34/100))/Skills!D28)))</f>
        <v/>
      </c>
    </row>
    <row r="412">
      <c r="A412" t="inlineStr">
        <is>
          <t>Actions Per Second</t>
        </is>
      </c>
      <c r="B412">
        <f>1+MIN(150,150*(1-(1-(Inputs!$B$11+((C399=TRUE)*(F399-Calc!F20))+((C400=TRUE)*(F400-Calc!F21)))/150)*(1-B411/150)))/100</f>
        <v/>
      </c>
    </row>
    <row r="413">
      <c r="A413" t="inlineStr">
        <is>
          <t>Skill + Buff Cast Rate</t>
        </is>
      </c>
      <c r="B413">
        <f>IF(AND(Inputs!$B$38&lt;&gt;"pvp",Inputs!$B$43&gt;0),SUMPRODUCT((Skills!E2:E28=TRUE)*(C381:C407=TRUE)*R381:R407*Skills!F2:F28)/Inputs!$B$43,SUMPRODUCT((Skills!E2:E28=TRUE)*(C381:C407=TRUE)*Q381:Q407*Skills!F2:F28))</f>
        <v/>
      </c>
    </row>
    <row r="414">
      <c r="A414" t="inlineStr">
        <is>
          <t>Eight-Legs Easton Casts Per Second</t>
        </is>
      </c>
      <c r="B414">
        <f>MAX(0,B412-B413)</f>
        <v/>
      </c>
    </row>
    <row r="415">
      <c r="A415" t="inlineStr">
        <is>
          <t>Global Critical Damage Bonus % (unused)</t>
        </is>
      </c>
      <c r="B415" t="n">
        <v>0</v>
      </c>
    </row>
    <row r="416">
      <c r="A416" t="inlineStr">
        <is>
          <t>Global Final Damage Bonus % (Jolly Roger + Ahoy Mateys - Final Damage proc)</t>
        </is>
      </c>
      <c r="B416">
        <f>((C397=TRUE)*F397*IF(AND(Inputs!$B$38&lt;&gt;"pvp",Inputs!$B$43&gt;0),(((R397-1)*(Skills!T18*(1+Inputs!$B$34/100))+MIN((Skills!T18*(1+Inputs!$B$34/100)),MAX(0,Inputs!$B$43-((R397-1)*Skills!D18))))/Inputs!$B$43),IF(Inputs!$B$38="pvp",MIN((Skills!T18*(1+Inputs!$B$34/100)),15)/15,(Skills!T18*(1+Inputs!$B$34/100))/Skills!D18)))+IF(Inputs!$B$3&gt;=122,20*IF(Inputs!$B$38="pvp",MIN((20*(1+Inputs!$B$34/100)),15)/15,(20*(1+Inputs!$B$34/100))/Skills!D4),0)</f>
        <v/>
      </c>
    </row>
    <row r="417">
      <c r="A417" t="inlineStr">
        <is>
          <t>Buff-Casting Startup Delay (s, fixed-duration only)</t>
        </is>
      </c>
      <c r="B417">
        <f>IF(AND(Inputs!$B$38&lt;&gt;"pvp",Inputs!$B$43&gt;0),SUMPRODUCT((Skills!T2:T28&gt;0)*(Skills!E2:E28=TRUE)*(C381:C407=TRUE))/B412,0)</f>
        <v/>
      </c>
    </row>
    <row r="418">
      <c r="A418" t="inlineStr">
        <is>
          <t>Boss-Only Total DPS (this block's swept value)</t>
        </is>
      </c>
      <c r="B418">
        <f>SUM(T381:T407)</f>
        <v/>
      </c>
    </row>
    <row r="419">
      <c r="A419" t="inlineStr">
        <is>
          <t>Normal-Only Total DPS (this block's swept value)</t>
        </is>
      </c>
      <c r="B419">
        <f>SUM(V381:V407)</f>
        <v/>
      </c>
    </row>
    <row r="420">
      <c r="A420" s="6" t="inlineStr">
        <is>
          <t>TOTAL DPS</t>
        </is>
      </c>
      <c r="B420" s="6">
        <f>SUM(O381:O407)</f>
        <v/>
      </c>
    </row>
    <row r="423">
      <c r="A423" s="6" t="inlineStr">
        <is>
          <t>Stat: MIN_DAMAGE %</t>
        </is>
      </c>
    </row>
    <row r="424">
      <c r="A424" s="5" t="inlineStr">
        <is>
          <t>Key</t>
        </is>
      </c>
      <c r="B424" s="5" t="inlineStr">
        <is>
          <t>Name</t>
        </is>
      </c>
      <c r="C424" s="5" t="inlineStr">
        <is>
          <t>Unlocked</t>
        </is>
      </c>
      <c r="D424" s="5" t="inlineStr">
        <is>
          <t>InputLevel</t>
        </is>
      </c>
      <c r="E424" s="5" t="inlineStr">
        <is>
          <t>Factor</t>
        </is>
      </c>
      <c r="F424" s="5" t="inlineStr">
        <is>
          <t>CoefficientPercent</t>
        </is>
      </c>
      <c r="G424" s="5" t="inlineStr">
        <is>
          <t>EffectiveHits</t>
        </is>
      </c>
      <c r="H424" s="5" t="inlineStr">
        <is>
          <t>ProcProbability</t>
        </is>
      </c>
      <c r="I424" s="5" t="inlineStr">
        <is>
          <t>MapleHeroMultiplier</t>
        </is>
      </c>
      <c r="J424" s="5" t="inlineStr">
        <is>
          <t>BaseDamage</t>
        </is>
      </c>
      <c r="K424" s="5" t="inlineStr">
        <is>
          <t>BaseHitDamage</t>
        </is>
      </c>
      <c r="L424" s="5" t="inlineStr">
        <is>
          <t>NonCritAvg</t>
        </is>
      </c>
      <c r="M424" s="5" t="inlineStr">
        <is>
          <t>CritAvg</t>
        </is>
      </c>
      <c r="N424" s="5" t="inlineStr">
        <is>
          <t>ExpectedDamage(perHit)</t>
        </is>
      </c>
      <c r="O424" s="5" t="inlineStr">
        <is>
          <t>DPS</t>
        </is>
      </c>
      <c r="P424" s="5" t="inlineStr">
        <is>
          <t>% of Total</t>
        </is>
      </c>
      <c r="Q424" s="5" t="inlineStr">
        <is>
          <t>InvCooldown</t>
        </is>
      </c>
      <c r="R424" s="5" t="inlineStr">
        <is>
          <t>CastsInFight</t>
        </is>
      </c>
      <c r="S424" s="5" t="inlineStr">
        <is>
          <t>HitRate(perSec)</t>
        </is>
      </c>
      <c r="U424" t="inlineStr">
        <is>
          <t>helpers</t>
        </is>
      </c>
    </row>
    <row r="425">
      <c r="A425">
        <f>Skills!A2</f>
        <v/>
      </c>
      <c r="B425">
        <f>Skills!B2</f>
        <v/>
      </c>
      <c r="C425">
        <f>Inputs!$B$3&gt;=100</f>
        <v/>
      </c>
      <c r="D425" t="inlineStr"/>
      <c r="E425" t="inlineStr"/>
      <c r="F425">
        <f>U427+Skills!O2</f>
        <v/>
      </c>
      <c r="G425">
        <f>Skills!G2*IF(Skills!H2&gt;0,Skills!I2/Skills!H2,1)</f>
        <v/>
      </c>
      <c r="H425">
        <f>1-(1-Skills!J2/100)^Skills!K2</f>
        <v/>
      </c>
      <c r="I425" t="inlineStr">
        <is>
          <t>1</t>
        </is>
      </c>
      <c r="J425">
        <f>((Inputs!$B$6*(1+Inputs!$B$7/100))+(((Inputs!$B$12*(1+Inputs!$B$13/100))-(Inputs!$B$12*(1+Inputs!$B$13/100)))+0.25*(Inputs!$B$14-Inputs!$B$14))*(1+Inputs!$B$7/100))*(F425/100)</f>
        <v/>
      </c>
      <c r="K425">
        <f>J425*(1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425)</f>
        <v/>
      </c>
      <c r="L425">
        <f>K425*(MIN((Inputs!$B$22+1)+((C445=TRUE)*(F445-Calc!F22)),(Inputs!$B$23+0+(IF(ArtifactsInput!$M$15,CHOOSE(ArtifactsInput!$N$15+1,25,30,35,40,45,50)/100*(Inputs!$B$11-Inputs!$B$11),0))))/100+(Inputs!$B$23+0+(IF(ArtifactsInput!$M$15,CHOOSE(ArtifactsInput!$N$15+1,25,30,35,40,45,50)/100*(Inputs!$B$11-Inputs!$B$11),0)))/100)/2</f>
        <v/>
      </c>
      <c r="M425">
        <f>L425*(1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5">
        <f>L425*(1-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425*(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5">
        <f>(1-Summary!$B$11)*T425+Summary!$B$11*V425</f>
        <v/>
      </c>
      <c r="P425">
        <f>IF(B464=0,0,O425/B464)</f>
        <v/>
      </c>
      <c r="Q425" t="n">
        <v>0</v>
      </c>
      <c r="R425" t="n">
        <v>0</v>
      </c>
      <c r="S425">
        <f>IFERROR(O425/N425,0)</f>
        <v/>
      </c>
      <c r="T425">
        <f>IF(C425,(Skills!G2*N425*B458)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425*(1-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425*(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425*(1-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425*(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5">
        <f>MAX(0,(Inputs!$B$3-100)*3)+Inputs!$B$28+Inputs!$B$29</f>
        <v/>
      </c>
      <c r="V425">
        <f>IF(C425,(Skills!G2*N425*B458)*IF(Inputs!$B$38="pvp",1,(1+(Inputs!$B$21+Skills!Q2+(IF(ArtifactsInput!$M$33,CHOOSE(ArtifactsInput!$N$33+1,30,36,42,48,54,60),0))+(IF(AND(ArtifactsInput!$M$35,Inputs!$B$4&lt;&gt;"Chapter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6">
      <c r="A426">
        <f>Skills!A3</f>
        <v/>
      </c>
      <c r="B426">
        <f>Skills!B3</f>
        <v/>
      </c>
      <c r="C426">
        <f>Inputs!$B$3&gt;=35</f>
        <v/>
      </c>
      <c r="D426">
        <f>IF(Skills!C3=1,60+Inputs!$B$25+Inputs!$B$29,IF(Skills!C3=2,90+Inputs!$B$26+Inputs!$B$29,IF(Skills!C3=3,120+Inputs!$B$27+Inputs!$B$29,MAX(0,(Inputs!$B$3-100)*3)+Inputs!$B$28+Inputs!$B$29)))</f>
        <v/>
      </c>
      <c r="E426">
        <f>INDEX(FactorTable!$B$2:$Y$301, MATCH(ROUND(MIN(300,MAX(1,D426)),0), FactorTable!$A$2:$A$301,0), Skills!M3+1)</f>
        <v/>
      </c>
      <c r="F426">
        <f>IF(Skills!N3=TRUE,(Skills!L3/10)*(E426/1000),Skills!L3/10)+Skills!O3</f>
        <v/>
      </c>
      <c r="G426">
        <f>Skills!G3*IF(Skills!H3&gt;0,Skills!I3/Skills!H3,1)</f>
        <v/>
      </c>
      <c r="H426">
        <f>1-(1-Skills!J3/100)^Skills!K3</f>
        <v/>
      </c>
      <c r="I426" t="inlineStr">
        <is>
          <t>1</t>
        </is>
      </c>
      <c r="J426">
        <f>((Inputs!$B$6*(1+Inputs!$B$7/100))+(((Inputs!$B$12*(1+Inputs!$B$13/100))-(Inputs!$B$12*(1+Inputs!$B$13/100)))+0.25*(Inputs!$B$14-Inputs!$B$14))*(1+Inputs!$B$7/100))*(F426/100)</f>
        <v/>
      </c>
      <c r="K426">
        <f>J426*(1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438=TRUE,F438,0)/100)*(1+(IF(Skills!A3="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426)</f>
        <v/>
      </c>
      <c r="L426">
        <f>K426*(MIN((Inputs!$B$22+1)+((C445=TRUE)*(F445-Calc!F22)),(Inputs!$B$23+0+(IF(ArtifactsInput!$M$15,CHOOSE(ArtifactsInput!$N$15+1,25,30,35,40,45,50)/100*(Inputs!$B$11-Inputs!$B$11),0))))/100+(Inputs!$B$23+0+(IF(ArtifactsInput!$M$15,CHOOSE(ArtifactsInput!$N$15+1,25,30,35,40,45,50)/100*(Inputs!$B$11-Inputs!$B$11),0)))/100)/2</f>
        <v/>
      </c>
      <c r="M426">
        <f>L426*(1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6">
        <f>L426*(1-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426*(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6">
        <f>(1-Summary!$B$11)*T426+Summary!$B$11*V426</f>
        <v/>
      </c>
      <c r="P426">
        <f>IF(B464=0,0,O426/B464)</f>
        <v/>
      </c>
      <c r="Q426">
        <f>IFERROR(1/(IF(Inputs!$B$38="pvp",15,MAX(0.1,Skills!D3-IF(Skills!E3=TRUE,Inputs!$B$32,0)))*(1-IF(AND(ArtifactsInput!$M$27,Inputs!$B$4="Chapter Hunt"),CHOOSE(ArtifactsInput!$N$27+1,20,24,28,32,36,40),0)/100)),0)</f>
        <v/>
      </c>
      <c r="R426">
        <f>IF(AND(Inputs!$B$38&lt;&gt;"pvp",Inputs!$B$43&gt;0),IF(MAX(0,Inputs!$B$43-B461)&lt;=0,0,(INT(MAX(0,Inputs!$B$43-B461)/(IF(Inputs!$B$38="pvp",15,MAX(0.1,Skills!D3-IF(Skills!E3=TRUE,Inputs!$B$32,0)))*(1-IF(AND(ArtifactsInput!$M$27,Inputs!$B$4="Chapter Hunt"),CHOOSE(ArtifactsInput!$N$27+1,20,24,28,32,36,40),0)/100)))+1)),0)</f>
        <v/>
      </c>
      <c r="S426">
        <f>IFERROR(O426/N426,0)</f>
        <v/>
      </c>
      <c r="T426">
        <f>IF(C426,(H426*N426*IF(AND(Inputs!$B$38&lt;&gt;"pvp",Inputs!$B$43&gt;0),((Skills!G3*((R426-1)*IF(Skills!H3&gt;0,Skills!I3/Skills!H3,1)+IF(Skills!H3&gt;0,MIN(Skills!I3,MAX(0,MAX(0,Inputs!$B$43-B461)-((R426-1)*(IF(Inputs!$B$38="pvp",15,MAX(0.1,Skills!D3-IF(Skills!E3=TRUE,Inputs!$B$32,0)))*(1-IF(AND(ArtifactsInput!$M$27,Inputs!$B$4="Chapter Hunt"),CHOOSE(ArtifactsInput!$N$27+1,20,24,28,32,36,40),0)/100)))))/Skills!H3,1)))/Inputs!$B$43),G426*Q426)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426*(1-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426*(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426*(1-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426*(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6">
        <f>INDEX(FactorTable!$B$2:$Y$301, MATCH(ROUND(MIN(300,MAX(1,U425)),0), FactorTable!$A$2:$A$301,0), 22)</f>
        <v/>
      </c>
      <c r="V426">
        <f>IF(C426,(H426*N426*IF(AND(Inputs!$B$38&lt;&gt;"pvp",Inputs!$B$43&gt;0),((Skills!G3*((R426-1)*IF(Skills!H3&gt;0,Skills!I3/Skills!H3,1)+IF(Skills!H3&gt;0,MIN(Skills!I3,MAX(0,MAX(0,Inputs!$B$43-B461)-((R426-1)*(IF(Inputs!$B$38="pvp",15,MAX(0.1,Skills!D3-IF(Skills!E3=TRUE,Inputs!$B$32,0)))*(1-IF(AND(ArtifactsInput!$M$27,Inputs!$B$4="Chapter Hunt"),CHOOSE(ArtifactsInput!$N$27+1,20,24,28,32,36,40),0)/100)))))/Skills!H3,1)))/Inputs!$B$43),G426*Q426))*IF(Inputs!$B$38="pvp",1,(1+(Inputs!$B$21+Skills!Q3+(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7">
      <c r="A427">
        <f>Skills!A4</f>
        <v/>
      </c>
      <c r="B427">
        <f>Skills!B4</f>
        <v/>
      </c>
      <c r="C427">
        <f>Inputs!$B$3&gt;=40</f>
        <v/>
      </c>
      <c r="D427">
        <f>IF(Skills!C4=1,60+Inputs!$B$25+Inputs!$B$29,IF(Skills!C4=2,90+Inputs!$B$26+Inputs!$B$29,IF(Skills!C4=3,120+Inputs!$B$27+Inputs!$B$29,MAX(0,(Inputs!$B$3-100)*3)+Inputs!$B$28+Inputs!$B$29)))</f>
        <v/>
      </c>
      <c r="E427">
        <f>INDEX(FactorTable!$B$2:$Y$301, MATCH(ROUND(MIN(300,MAX(1,D427)),0), FactorTable!$A$2:$A$301,0), Skills!M4+1)</f>
        <v/>
      </c>
      <c r="F427">
        <f>IF(Skills!N4=TRUE,(Skills!L4/10)*(E427/1000),Skills!L4/10)+Skills!O4</f>
        <v/>
      </c>
      <c r="G427">
        <f>Skills!G4*IF(Skills!H4&gt;0,Skills!I4/Skills!H4,1)</f>
        <v/>
      </c>
      <c r="H427">
        <f>1-(1-Skills!J4/100)^Skills!K4</f>
        <v/>
      </c>
      <c r="I427" t="inlineStr">
        <is>
          <t>1</t>
        </is>
      </c>
      <c r="J427">
        <f>((Inputs!$B$6*(1+Inputs!$B$7/100))+(((Inputs!$B$12*(1+Inputs!$B$13/100))-(Inputs!$B$12*(1+Inputs!$B$13/100)))+0.25*(Inputs!$B$14-Inputs!$B$14))*(1+Inputs!$B$7/100))*(F427/100)</f>
        <v/>
      </c>
      <c r="K427">
        <f>J427*(1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439=TRUE,F439,0)/100)*(1+(IF(Skills!A4="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427)</f>
        <v/>
      </c>
      <c r="L427">
        <f>K427*(MIN((Inputs!$B$22+1)+((C445=TRUE)*(F445-Calc!F22)),(Inputs!$B$23+0+(IF(ArtifactsInput!$M$15,CHOOSE(ArtifactsInput!$N$15+1,25,30,35,40,45,50)/100*(Inputs!$B$11-Inputs!$B$11),0))))/100+(Inputs!$B$23+0+(IF(ArtifactsInput!$M$15,CHOOSE(ArtifactsInput!$N$15+1,25,30,35,40,45,50)/100*(Inputs!$B$11-Inputs!$B$11),0)))/100)/2</f>
        <v/>
      </c>
      <c r="M427">
        <f>L427*(1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7">
        <f>L427*(1-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427*(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7">
        <f>(1-Summary!$B$11)*T427+Summary!$B$11*V427</f>
        <v/>
      </c>
      <c r="P427">
        <f>IF(B464=0,0,O427/B464)</f>
        <v/>
      </c>
      <c r="Q427">
        <f>IFERROR(1/(IF(Inputs!$B$38="pvp",15,MAX(0.1,Skills!D4-IF(Skills!E4=TRUE,Inputs!$B$32,0)))*(1-IF(AND(ArtifactsInput!$M$27,Inputs!$B$4="Chapter Hunt"),CHOOSE(ArtifactsInput!$N$27+1,20,24,28,32,36,40),0)/100)),0)</f>
        <v/>
      </c>
      <c r="R427">
        <f>IF(AND(Inputs!$B$38&lt;&gt;"pvp",Inputs!$B$43&gt;0),IF(MAX(0,Inputs!$B$43-B461)&lt;=0,0,(INT(MAX(0,Inputs!$B$43-B461)/(IF(Inputs!$B$38="pvp",15,MAX(0.1,Skills!D4-IF(Skills!E4=TRUE,Inputs!$B$32,0)))*(1-IF(AND(ArtifactsInput!$M$27,Inputs!$B$4="Chapter Hunt"),CHOOSE(ArtifactsInput!$N$27+1,20,24,28,32,36,40),0)/100)))+1)),0)</f>
        <v/>
      </c>
      <c r="S427">
        <f>IFERROR(O427/N427,0)</f>
        <v/>
      </c>
      <c r="T427">
        <f>IF(C427,(H427*N427*IF(AND(Inputs!$B$38&lt;&gt;"pvp",Inputs!$B$43&gt;0),((Skills!G4*((R427-1)*IF(Skills!H4&gt;0,Skills!I4/Skills!H4,1)+IF(Skills!H4&gt;0,MIN(Skills!I4,MAX(0,MAX(0,Inputs!$B$43-B461)-((R427-1)*(IF(Inputs!$B$38="pvp",15,MAX(0.1,Skills!D4-IF(Skills!E4=TRUE,Inputs!$B$32,0)))*(1-IF(AND(ArtifactsInput!$M$27,Inputs!$B$4="Chapter Hunt"),CHOOSE(ArtifactsInput!$N$27+1,20,24,28,32,36,40),0)/100)))))/Skills!H4,1)))/Inputs!$B$43),G427*Q427)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427*(1-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427*(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427*(1-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427*(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7">
        <f>290*U426/1000</f>
        <v/>
      </c>
      <c r="V427">
        <f>IF(C427,(H427*N427*IF(AND(Inputs!$B$38&lt;&gt;"pvp",Inputs!$B$43&gt;0),((Skills!G4*((R427-1)*IF(Skills!H4&gt;0,Skills!I4/Skills!H4,1)+IF(Skills!H4&gt;0,MIN(Skills!I4,MAX(0,MAX(0,Inputs!$B$43-B461)-((R427-1)*(IF(Inputs!$B$38="pvp",15,MAX(0.1,Skills!D4-IF(Skills!E4=TRUE,Inputs!$B$32,0)))*(1-IF(AND(ArtifactsInput!$M$27,Inputs!$B$4="Chapter Hunt"),CHOOSE(ArtifactsInput!$N$27+1,20,24,28,32,36,40),0)/100)))))/Skills!H4,1)))/Inputs!$B$43),G427*Q427))*IF(Inputs!$B$38="pvp",1,(1+(Inputs!$B$21+Skills!Q4+(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8">
      <c r="A428">
        <f>Skills!A5</f>
        <v/>
      </c>
      <c r="B428">
        <f>Skills!B5</f>
        <v/>
      </c>
      <c r="C428">
        <f>Inputs!$B$3&gt;=45</f>
        <v/>
      </c>
      <c r="D428">
        <f>IF(Skills!C5=1,60+Inputs!$B$25+Inputs!$B$29,IF(Skills!C5=2,90+Inputs!$B$26+Inputs!$B$29,IF(Skills!C5=3,120+Inputs!$B$27+Inputs!$B$29,MAX(0,(Inputs!$B$3-100)*3)+Inputs!$B$28+Inputs!$B$29)))</f>
        <v/>
      </c>
      <c r="E428">
        <f>INDEX(FactorTable!$B$2:$Y$301, MATCH(ROUND(MIN(300,MAX(1,D428)),0), FactorTable!$A$2:$A$301,0), Skills!M5+1)</f>
        <v/>
      </c>
      <c r="F428">
        <f>IF(Skills!N5=TRUE,(Skills!L5/10)*(E428/1000),Skills!L5/10)+Skills!O5</f>
        <v/>
      </c>
      <c r="G428">
        <f>Skills!G5*IF(Skills!H5&gt;0,Skills!I5/Skills!H5,1)</f>
        <v/>
      </c>
      <c r="H428">
        <f>1-(1-Skills!J5/100)^Skills!K5</f>
        <v/>
      </c>
      <c r="I428" t="inlineStr">
        <is>
          <t>1</t>
        </is>
      </c>
      <c r="J428">
        <f>((Inputs!$B$6*(1+Inputs!$B$7/100))+(((Inputs!$B$12*(1+Inputs!$B$13/100))-(Inputs!$B$12*(1+Inputs!$B$13/100)))+0.25*(Inputs!$B$14-Inputs!$B$14))*(1+Inputs!$B$7/100))*(F428/100)</f>
        <v/>
      </c>
      <c r="K428">
        <f>J428*(1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439=TRUE,F439,0)/100)*(1+(IF(Skills!A5="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428)</f>
        <v/>
      </c>
      <c r="L428">
        <f>K428*(MIN((Inputs!$B$22+1)+((C445=TRUE)*(F445-Calc!F22)),(Inputs!$B$23+0+(IF(ArtifactsInput!$M$15,CHOOSE(ArtifactsInput!$N$15+1,25,30,35,40,45,50)/100*(Inputs!$B$11-Inputs!$B$11),0))))/100+(Inputs!$B$23+0+(IF(ArtifactsInput!$M$15,CHOOSE(ArtifactsInput!$N$15+1,25,30,35,40,45,50)/100*(Inputs!$B$11-Inputs!$B$11),0)))/100)/2</f>
        <v/>
      </c>
      <c r="M428">
        <f>L428*(1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8">
        <f>L428*(1-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428*(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8">
        <f>(1-Summary!$B$11)*T428+Summary!$B$11*V428</f>
        <v/>
      </c>
      <c r="P428">
        <f>IF(B464=0,0,O428/B464)</f>
        <v/>
      </c>
      <c r="Q428">
        <f>IFERROR(1/(IF(Inputs!$B$38="pvp",15,MAX(0.1,Skills!D5-IF(Skills!E5=TRUE,Inputs!$B$32,0)))*(1-IF(AND(ArtifactsInput!$M$27,Inputs!$B$4="Chapter Hunt"),CHOOSE(ArtifactsInput!$N$27+1,20,24,28,32,36,40),0)/100)),0)</f>
        <v/>
      </c>
      <c r="R428">
        <f>IF(AND(Inputs!$B$38&lt;&gt;"pvp",Inputs!$B$43&gt;0),IF(MAX(0,Inputs!$B$43-B461)&lt;=0,0,(INT(MAX(0,Inputs!$B$43-B461)/(IF(Inputs!$B$38="pvp",15,MAX(0.1,Skills!D5-IF(Skills!E5=TRUE,Inputs!$B$32,0)))*(1-IF(AND(ArtifactsInput!$M$27,Inputs!$B$4="Chapter Hunt"),CHOOSE(ArtifactsInput!$N$27+1,20,24,28,32,36,40),0)/100)))+1)),0)</f>
        <v/>
      </c>
      <c r="S428">
        <f>IFERROR(O428/N428,0)</f>
        <v/>
      </c>
      <c r="T428">
        <f>IF(C428,(H428*N428*IF(AND(Inputs!$B$38&lt;&gt;"pvp",Inputs!$B$43&gt;0),((Skills!G5*((R428-1)*IF(Skills!H5&gt;0,Skills!I5/Skills!H5,1)+IF(Skills!H5&gt;0,MIN(Skills!I5,MAX(0,MAX(0,Inputs!$B$43-B461)-((R428-1)*(IF(Inputs!$B$38="pvp",15,MAX(0.1,Skills!D5-IF(Skills!E5=TRUE,Inputs!$B$32,0)))*(1-IF(AND(ArtifactsInput!$M$27,Inputs!$B$4="Chapter Hunt"),CHOOSE(ArtifactsInput!$N$27+1,20,24,28,32,36,40),0)/100)))))/Skills!H5,1)))/Inputs!$B$43),G428*Q428)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428*(1-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428*(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428*(1-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428*(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8">
        <f>IF(C428,(H428*N428*IF(AND(Inputs!$B$38&lt;&gt;"pvp",Inputs!$B$43&gt;0),((Skills!G5*((R428-1)*IF(Skills!H5&gt;0,Skills!I5/Skills!H5,1)+IF(Skills!H5&gt;0,MIN(Skills!I5,MAX(0,MAX(0,Inputs!$B$43-B461)-((R428-1)*(IF(Inputs!$B$38="pvp",15,MAX(0.1,Skills!D5-IF(Skills!E5=TRUE,Inputs!$B$32,0)))*(1-IF(AND(ArtifactsInput!$M$27,Inputs!$B$4="Chapter Hunt"),CHOOSE(ArtifactsInput!$N$27+1,20,24,28,32,36,40),0)/100)))))/Skills!H5,1)))/Inputs!$B$43),G428*Q428))*IF(Inputs!$B$38="pvp",1,(1+(Inputs!$B$21+Skills!Q5+(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9">
      <c r="A429">
        <f>Skills!A6</f>
        <v/>
      </c>
      <c r="B429">
        <f>Skills!B6</f>
        <v/>
      </c>
      <c r="C429">
        <f>Inputs!$B$3&gt;=63</f>
        <v/>
      </c>
      <c r="D429">
        <f>IF(Skills!C6=1,60+Inputs!$B$25+Inputs!$B$29,IF(Skills!C6=2,90+Inputs!$B$26+Inputs!$B$29,IF(Skills!C6=3,120+Inputs!$B$27+Inputs!$B$29,MAX(0,(Inputs!$B$3-100)*3)+Inputs!$B$28+Inputs!$B$29)))</f>
        <v/>
      </c>
      <c r="E429">
        <f>INDEX(FactorTable!$B$2:$Y$301, MATCH(ROUND(MIN(300,MAX(1,D429)),0), FactorTable!$A$2:$A$301,0), Skills!M6+1)</f>
        <v/>
      </c>
      <c r="F429">
        <f>IF(Skills!N6=TRUE,(Skills!L6/10)*(E429/1000),Skills!L6/10)+Skills!O6</f>
        <v/>
      </c>
      <c r="G429">
        <f>Skills!G6*IF(Skills!H6&gt;0,Skills!I6/Skills!H6,1)</f>
        <v/>
      </c>
      <c r="H429">
        <f>1-(1-Skills!J6/100)^Skills!K6</f>
        <v/>
      </c>
      <c r="I429" t="inlineStr">
        <is>
          <t>1</t>
        </is>
      </c>
      <c r="J429">
        <f>((Inputs!$B$6*(1+Inputs!$B$7/100))+(((Inputs!$B$12*(1+Inputs!$B$13/100))-(Inputs!$B$12*(1+Inputs!$B$13/100)))+0.25*(Inputs!$B$14-Inputs!$B$14))*(1+Inputs!$B$7/100))*(F429/100)</f>
        <v/>
      </c>
      <c r="K429">
        <f>J429*(1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438=TRUE,F438,0)/100)*(1+(IF(Skills!A6="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429)</f>
        <v/>
      </c>
      <c r="L429">
        <f>K429*(MIN((Inputs!$B$22+1)+((C445=TRUE)*(F445-Calc!F22)),(Inputs!$B$23+0+(IF(ArtifactsInput!$M$15,CHOOSE(ArtifactsInput!$N$15+1,25,30,35,40,45,50)/100*(Inputs!$B$11-Inputs!$B$11),0))))/100+(Inputs!$B$23+0+(IF(ArtifactsInput!$M$15,CHOOSE(ArtifactsInput!$N$15+1,25,30,35,40,45,50)/100*(Inputs!$B$11-Inputs!$B$11),0)))/100)/2</f>
        <v/>
      </c>
      <c r="M429">
        <f>L429*(1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9">
        <f>L429*(1-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429*(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9">
        <f>(1-Summary!$B$11)*T429+Summary!$B$11*V429</f>
        <v/>
      </c>
      <c r="P429">
        <f>IF(B464=0,0,O429/B464)</f>
        <v/>
      </c>
      <c r="Q429">
        <f>IFERROR(1/(IF(Inputs!$B$38="pvp",15,MAX(0.1,Skills!D6-IF(Skills!E6=TRUE,Inputs!$B$32,0)))*(1-IF(AND(ArtifactsInput!$M$27,Inputs!$B$4="Chapter Hunt"),CHOOSE(ArtifactsInput!$N$27+1,20,24,28,32,36,40),0)/100)),0)</f>
        <v/>
      </c>
      <c r="R429">
        <f>IF(AND(Inputs!$B$38&lt;&gt;"pvp",Inputs!$B$43&gt;0),IF(MAX(0,Inputs!$B$43-B461)&lt;=0,0,(INT(MAX(0,Inputs!$B$43-B461)/(IF(Inputs!$B$38="pvp",15,MAX(0.1,Skills!D6-IF(Skills!E6=TRUE,Inputs!$B$32,0)))*(1-IF(AND(ArtifactsInput!$M$27,Inputs!$B$4="Chapter Hunt"),CHOOSE(ArtifactsInput!$N$27+1,20,24,28,32,36,40),0)/100)))+1)),0)</f>
        <v/>
      </c>
      <c r="S429">
        <f>IFERROR(O429/N429,0)</f>
        <v/>
      </c>
      <c r="T429">
        <f>IF(C429,(H429*N429*IF(AND(Inputs!$B$38&lt;&gt;"pvp",Inputs!$B$43&gt;0),((Skills!G6*((R429-1)*IF(Skills!H6&gt;0,Skills!I6/Skills!H6,1)+IF(Skills!H6&gt;0,MIN(Skills!I6,MAX(0,MAX(0,Inputs!$B$43-B461)-((R429-1)*(IF(Inputs!$B$38="pvp",15,MAX(0.1,Skills!D6-IF(Skills!E6=TRUE,Inputs!$B$32,0)))*(1-IF(AND(ArtifactsInput!$M$27,Inputs!$B$4="Chapter Hunt"),CHOOSE(ArtifactsInput!$N$27+1,20,24,28,32,36,40),0)/100)))))/Skills!H6,1)))/Inputs!$B$43),G429*Q429)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429*(1-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429*(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429*(1-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429*(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9">
        <f>IF(C429,(H429*N429*IF(AND(Inputs!$B$38&lt;&gt;"pvp",Inputs!$B$43&gt;0),((Skills!G6*((R429-1)*IF(Skills!H6&gt;0,Skills!I6/Skills!H6,1)+IF(Skills!H6&gt;0,MIN(Skills!I6,MAX(0,MAX(0,Inputs!$B$43-B461)-((R429-1)*(IF(Inputs!$B$38="pvp",15,MAX(0.1,Skills!D6-IF(Skills!E6=TRUE,Inputs!$B$32,0)))*(1-IF(AND(ArtifactsInput!$M$27,Inputs!$B$4="Chapter Hunt"),CHOOSE(ArtifactsInput!$N$27+1,20,24,28,32,36,40),0)/100)))))/Skills!H6,1)))/Inputs!$B$43),G429*Q429))*IF(Inputs!$B$38="pvp",1,(1+(Inputs!$B$21+Skills!Q6+(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0">
      <c r="A430">
        <f>Skills!A7</f>
        <v/>
      </c>
      <c r="B430">
        <f>Skills!B7</f>
        <v/>
      </c>
      <c r="C430">
        <f>Inputs!$B$3&gt;=66</f>
        <v/>
      </c>
      <c r="D430">
        <f>IF(Skills!C7=1,60+Inputs!$B$25+Inputs!$B$29,IF(Skills!C7=2,90+Inputs!$B$26+Inputs!$B$29,IF(Skills!C7=3,120+Inputs!$B$27+Inputs!$B$29,MAX(0,(Inputs!$B$3-100)*3)+Inputs!$B$28+Inputs!$B$29)))</f>
        <v/>
      </c>
      <c r="E430">
        <f>INDEX(FactorTable!$B$2:$Y$301, MATCH(ROUND(MIN(300,MAX(1,D430)),0), FactorTable!$A$2:$A$301,0), Skills!M7+1)</f>
        <v/>
      </c>
      <c r="F430">
        <f>IF(Skills!N7=TRUE,(Skills!L7/10)*(E430/1000),Skills!L7/10)+Skills!O7</f>
        <v/>
      </c>
      <c r="G430">
        <f>Skills!G7*IF(Skills!H7&gt;0,Skills!I7/Skills!H7,1)</f>
        <v/>
      </c>
      <c r="H430">
        <f>1-(1-Skills!J7/100)^Skills!K7</f>
        <v/>
      </c>
      <c r="I430" t="inlineStr">
        <is>
          <t>1</t>
        </is>
      </c>
      <c r="J430">
        <f>((Inputs!$B$6*(1+Inputs!$B$7/100))+(((Inputs!$B$12*(1+Inputs!$B$13/100))-(Inputs!$B$12*(1+Inputs!$B$13/100)))+0.25*(Inputs!$B$14-Inputs!$B$14))*(1+Inputs!$B$7/100))*(F430/100)</f>
        <v/>
      </c>
      <c r="K430">
        <f>J430*(1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438=TRUE,F438,0)/100)*(1+(IF(Skills!A7="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430)</f>
        <v/>
      </c>
      <c r="L430">
        <f>K430*(MIN((Inputs!$B$22+1)+((C445=TRUE)*(F445-Calc!F22)),(Inputs!$B$23+0+(IF(ArtifactsInput!$M$15,CHOOSE(ArtifactsInput!$N$15+1,25,30,35,40,45,50)/100*(Inputs!$B$11-Inputs!$B$11),0))))/100+(Inputs!$B$23+0+(IF(ArtifactsInput!$M$15,CHOOSE(ArtifactsInput!$N$15+1,25,30,35,40,45,50)/100*(Inputs!$B$11-Inputs!$B$11),0)))/100)/2</f>
        <v/>
      </c>
      <c r="M430">
        <f>L430*(1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0">
        <f>L430*(1-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430*(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0">
        <f>(1-Summary!$B$11)*T430+Summary!$B$11*V430</f>
        <v/>
      </c>
      <c r="P430">
        <f>IF(B464=0,0,O430/B464)</f>
        <v/>
      </c>
      <c r="Q430">
        <f>IFERROR(1/(IF(Inputs!$B$38="pvp",15,MAX(0.1,Skills!D7-IF(Skills!E7=TRUE,Inputs!$B$32,0)))*(1-IF(AND(ArtifactsInput!$M$27,Inputs!$B$4="Chapter Hunt"),CHOOSE(ArtifactsInput!$N$27+1,20,24,28,32,36,40),0)/100)),0)</f>
        <v/>
      </c>
      <c r="R430">
        <f>IF(AND(Inputs!$B$38&lt;&gt;"pvp",Inputs!$B$43&gt;0),IF(MAX(0,Inputs!$B$43-B461)&lt;=0,0,(INT(MAX(0,Inputs!$B$43-B461)/(IF(Inputs!$B$38="pvp",15,MAX(0.1,Skills!D7-IF(Skills!E7=TRUE,Inputs!$B$32,0)))*(1-IF(AND(ArtifactsInput!$M$27,Inputs!$B$4="Chapter Hunt"),CHOOSE(ArtifactsInput!$N$27+1,20,24,28,32,36,40),0)/100)))+1)),0)</f>
        <v/>
      </c>
      <c r="S430">
        <f>IFERROR(O430/N430,0)</f>
        <v/>
      </c>
      <c r="T430">
        <f>IF(C430,(H430*N430*IF(AND(Inputs!$B$38&lt;&gt;"pvp",Inputs!$B$43&gt;0),((Skills!G7*((R430-1)*IF(Skills!H7&gt;0,Skills!I7/Skills!H7,1)+IF(Skills!H7&gt;0,MIN(Skills!I7,MAX(0,MAX(0,Inputs!$B$43-B461)-((R430-1)*(IF(Inputs!$B$38="pvp",15,MAX(0.1,Skills!D7-IF(Skills!E7=TRUE,Inputs!$B$32,0)))*(1-IF(AND(ArtifactsInput!$M$27,Inputs!$B$4="Chapter Hunt"),CHOOSE(ArtifactsInput!$N$27+1,20,24,28,32,36,40),0)/100)))))/Skills!H7,1)))/Inputs!$B$43),G430*Q430)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430*(1-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430*(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430*(1-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430*(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0">
        <f>IF(C430,(H430*N430*IF(AND(Inputs!$B$38&lt;&gt;"pvp",Inputs!$B$43&gt;0),((Skills!G7*((R430-1)*IF(Skills!H7&gt;0,Skills!I7/Skills!H7,1)+IF(Skills!H7&gt;0,MIN(Skills!I7,MAX(0,MAX(0,Inputs!$B$43-B461)-((R430-1)*(IF(Inputs!$B$38="pvp",15,MAX(0.1,Skills!D7-IF(Skills!E7=TRUE,Inputs!$B$32,0)))*(1-IF(AND(ArtifactsInput!$M$27,Inputs!$B$4="Chapter Hunt"),CHOOSE(ArtifactsInput!$N$27+1,20,24,28,32,36,40),0)/100)))))/Skills!H7,1)))/Inputs!$B$43),G430*Q430))*IF(Inputs!$B$38="pvp",1,(1+(Inputs!$B$21+Skills!Q7+(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1">
      <c r="A431">
        <f>Skills!A8</f>
        <v/>
      </c>
      <c r="B431">
        <f>Skills!B8</f>
        <v/>
      </c>
      <c r="C431">
        <f>Inputs!$B$3&gt;=100</f>
        <v/>
      </c>
      <c r="D431">
        <f>IF(Skills!C8=1,60+Inputs!$B$25+Inputs!$B$29,IF(Skills!C8=2,90+Inputs!$B$26+Inputs!$B$29,IF(Skills!C8=3,120+Inputs!$B$27+Inputs!$B$29,MAX(0,(Inputs!$B$3-100)*3)+Inputs!$B$28+Inputs!$B$29)))</f>
        <v/>
      </c>
      <c r="E431">
        <f>INDEX(FactorTable!$B$2:$Y$301, MATCH(ROUND(MIN(300,MAX(1,D431)),0), FactorTable!$A$2:$A$301,0), Skills!M8+1)</f>
        <v/>
      </c>
      <c r="F431">
        <f>IF(Skills!N8=TRUE,(Skills!L8/10)*(E431/1000),Skills!L8/10)+Skills!O8</f>
        <v/>
      </c>
      <c r="G431">
        <f>Skills!G8*IF(Skills!H8&gt;0,Skills!I8/Skills!H8,1)</f>
        <v/>
      </c>
      <c r="H431">
        <f>1-(1-Skills!J8/100)^Skills!K8</f>
        <v/>
      </c>
      <c r="I431" t="inlineStr">
        <is>
          <t>1</t>
        </is>
      </c>
      <c r="J431">
        <f>((Inputs!$B$6*(1+Inputs!$B$7/100))+(((Inputs!$B$12*(1+Inputs!$B$13/100))-(Inputs!$B$12*(1+Inputs!$B$13/100)))+0.25*(Inputs!$B$14-Inputs!$B$14))*(1+Inputs!$B$7/100))*(F431/100)</f>
        <v/>
      </c>
      <c r="K431">
        <f>J431*(1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431)</f>
        <v/>
      </c>
      <c r="L431">
        <f>K431*(MIN((Inputs!$B$22+1)+((C445=TRUE)*(F445-Calc!F22)),(Inputs!$B$23+0+(IF(ArtifactsInput!$M$15,CHOOSE(ArtifactsInput!$N$15+1,25,30,35,40,45,50)/100*(Inputs!$B$11-Inputs!$B$11),0))))/100+(Inputs!$B$23+0+(IF(ArtifactsInput!$M$15,CHOOSE(ArtifactsInput!$N$15+1,25,30,35,40,45,50)/100*(Inputs!$B$11-Inputs!$B$11),0)))/100)/2</f>
        <v/>
      </c>
      <c r="M431">
        <f>L431*(1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1">
        <f>L431*(1-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1">
        <f>(1-Summary!$B$11)*T431+Summary!$B$11*V431</f>
        <v/>
      </c>
      <c r="P431">
        <f>IF(B464=0,0,O431/B464)</f>
        <v/>
      </c>
      <c r="Q431">
        <f>IFERROR(1/(IF(Inputs!$B$38="pvp",15,MAX(0.1,Skills!D8-IF(Skills!E8=TRUE,Inputs!$B$32,0)))*(1-IF(AND(ArtifactsInput!$M$27,Inputs!$B$4="Chapter Hunt"),CHOOSE(ArtifactsInput!$N$27+1,20,24,28,32,36,40),0)/100)),0)</f>
        <v/>
      </c>
      <c r="R431">
        <f>IF(AND(Inputs!$B$38&lt;&gt;"pvp",Inputs!$B$43&gt;0),IF(MAX(0,Inputs!$B$43-B461)&lt;=0,0,(INT(MAX(0,Inputs!$B$43-B461)/(IF(Inputs!$B$38="pvp",15,MAX(0.1,Skills!D8-IF(Skills!E8=TRUE,Inputs!$B$32,0)))*(1-IF(AND(ArtifactsInput!$M$27,Inputs!$B$4="Chapter Hunt"),CHOOSE(ArtifactsInput!$N$27+1,20,24,28,32,36,40),0)/100)))+1)),0)</f>
        <v/>
      </c>
      <c r="S431">
        <f>IFERROR(O431/N431,0)</f>
        <v/>
      </c>
      <c r="T431">
        <f>IF(C431,(H431*N431*IF(AND(Inputs!$B$38&lt;&gt;"pvp",Inputs!$B$43&gt;0),((Skills!G8*((R431-1)*IF(Skills!H8&gt;0,Skills!I8/Skills!H8,1)+IF(Skills!H8&gt;0,MIN(Skills!I8,MAX(0,MAX(0,Inputs!$B$43-B461)-((R431-1)*(IF(Inputs!$B$38="pvp",15,MAX(0.1,Skills!D8-IF(Skills!E8=TRUE,Inputs!$B$32,0)))*(1-IF(AND(ArtifactsInput!$M$27,Inputs!$B$4="Chapter Hunt"),CHOOSE(ArtifactsInput!$N$27+1,20,24,28,32,36,40),0)/100)))))/Skills!H8,1)))/Inputs!$B$43),G431*Q431)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431*(1-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431*(1-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1">
        <f>IF(C431,(H431*N431*IF(AND(Inputs!$B$38&lt;&gt;"pvp",Inputs!$B$43&gt;0),((Skills!G8*((R431-1)*IF(Skills!H8&gt;0,Skills!I8/Skills!H8,1)+IF(Skills!H8&gt;0,MIN(Skills!I8,MAX(0,MAX(0,Inputs!$B$43-B461)-((R431-1)*(IF(Inputs!$B$38="pvp",15,MAX(0.1,Skills!D8-IF(Skills!E8=TRUE,Inputs!$B$32,0)))*(1-IF(AND(ArtifactsInput!$M$27,Inputs!$B$4="Chapter Hunt"),CHOOSE(ArtifactsInput!$N$27+1,20,24,28,32,36,40),0)/100)))))/Skills!H8,1)))/Inputs!$B$43),G431*Q431))*IF(Inputs!$B$38="pvp",1,(1+(Inputs!$B$21+Skills!Q8+(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2">
      <c r="A432">
        <f>Skills!A9</f>
        <v/>
      </c>
      <c r="B432">
        <f>Skills!B9</f>
        <v/>
      </c>
      <c r="C432">
        <f>Inputs!$B$3&gt;=103</f>
        <v/>
      </c>
      <c r="D432">
        <f>IF(Skills!C9=1,60+Inputs!$B$25+Inputs!$B$29,IF(Skills!C9=2,90+Inputs!$B$26+Inputs!$B$29,IF(Skills!C9=3,120+Inputs!$B$27+Inputs!$B$29,MAX(0,(Inputs!$B$3-100)*3)+Inputs!$B$28+Inputs!$B$29)))</f>
        <v/>
      </c>
      <c r="E432">
        <f>INDEX(FactorTable!$B$2:$Y$301, MATCH(ROUND(MIN(300,MAX(1,D432)),0), FactorTable!$A$2:$A$301,0), Skills!M9+1)</f>
        <v/>
      </c>
      <c r="F432">
        <f>IF(Skills!N9=TRUE,(Skills!L9/10)*(E432/1000),Skills!L9/10)+Skills!O9</f>
        <v/>
      </c>
      <c r="G432">
        <f>Skills!G9*IF(Skills!H9&gt;0,Skills!I9/Skills!H9,1)</f>
        <v/>
      </c>
      <c r="H432">
        <f>1-(1-Skills!J9/100)^Skills!K9</f>
        <v/>
      </c>
      <c r="I432" t="inlineStr">
        <is>
          <t>1</t>
        </is>
      </c>
      <c r="J432">
        <f>((Inputs!$B$6*(1+Inputs!$B$7/100))+(((Inputs!$B$12*(1+Inputs!$B$13/100))-(Inputs!$B$12*(1+Inputs!$B$13/100)))+0.25*(Inputs!$B$14-Inputs!$B$14))*(1+Inputs!$B$7/100))*(F432/100)</f>
        <v/>
      </c>
      <c r="K432">
        <f>J432*(1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432)</f>
        <v/>
      </c>
      <c r="L432">
        <f>K432*(MIN((Inputs!$B$22+1)+((C445=TRUE)*(F445-Calc!F22)),(Inputs!$B$23+0+(IF(ArtifactsInput!$M$15,CHOOSE(ArtifactsInput!$N$15+1,25,30,35,40,45,50)/100*(Inputs!$B$11-Inputs!$B$11),0))))/100+(Inputs!$B$23+0+(IF(ArtifactsInput!$M$15,CHOOSE(ArtifactsInput!$N$15+1,25,30,35,40,45,50)/100*(Inputs!$B$11-Inputs!$B$11),0)))/100)/2</f>
        <v/>
      </c>
      <c r="M432">
        <f>L432*(1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2">
        <f>L432*(1-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432*(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2">
        <f>(1-Summary!$B$11)*T432+Summary!$B$11*V432</f>
        <v/>
      </c>
      <c r="P432">
        <f>IF(B464=0,0,O432/B464)</f>
        <v/>
      </c>
      <c r="Q432">
        <f>IFERROR(1/(IF(Inputs!$B$38="pvp",15,MAX(0.1,Skills!D9-IF(Skills!E9=TRUE,Inputs!$B$32,0)))*(1-IF(AND(ArtifactsInput!$M$27,Inputs!$B$4="Chapter Hunt"),CHOOSE(ArtifactsInput!$N$27+1,20,24,28,32,36,40),0)/100)),0)</f>
        <v/>
      </c>
      <c r="R432">
        <f>IF(AND(Inputs!$B$38&lt;&gt;"pvp",Inputs!$B$43&gt;0),IF(MAX(0,Inputs!$B$43-B461)&lt;=0,0,(INT(MAX(0,Inputs!$B$43-B461)/(IF(Inputs!$B$38="pvp",15,MAX(0.1,Skills!D9-IF(Skills!E9=TRUE,Inputs!$B$32,0)))*(1-IF(AND(ArtifactsInput!$M$27,Inputs!$B$4="Chapter Hunt"),CHOOSE(ArtifactsInput!$N$27+1,20,24,28,32,36,40),0)/100)))+1)),0)</f>
        <v/>
      </c>
      <c r="S432">
        <f>IFERROR(O432/N432,0)</f>
        <v/>
      </c>
      <c r="T432">
        <f>IF(C432,(H432*N432*IF(AND(Inputs!$B$38&lt;&gt;"pvp",Inputs!$B$43&gt;0),((Skills!G9*((R432-1)*IF(Skills!H9&gt;0,Skills!I9/Skills!H9,1)+IF(Skills!H9&gt;0,MIN(Skills!I9,MAX(0,MAX(0,Inputs!$B$43-B461)-((R432-1)*(IF(Inputs!$B$38="pvp",15,MAX(0.1,Skills!D9-IF(Skills!E9=TRUE,Inputs!$B$32,0)))*(1-IF(AND(ArtifactsInput!$M$27,Inputs!$B$4="Chapter Hunt"),CHOOSE(ArtifactsInput!$N$27+1,20,24,28,32,36,40),0)/100)))))/Skills!H9,1)))/Inputs!$B$43),G432*Q432)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432*(1-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432*(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432*(1-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432*(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2">
        <f>IF(C432,(H432*N432*IF(AND(Inputs!$B$38&lt;&gt;"pvp",Inputs!$B$43&gt;0),((Skills!G9*((R432-1)*IF(Skills!H9&gt;0,Skills!I9/Skills!H9,1)+IF(Skills!H9&gt;0,MIN(Skills!I9,MAX(0,MAX(0,Inputs!$B$43-B461)-((R432-1)*(IF(Inputs!$B$38="pvp",15,MAX(0.1,Skills!D9-IF(Skills!E9=TRUE,Inputs!$B$32,0)))*(1-IF(AND(ArtifactsInput!$M$27,Inputs!$B$4="Chapter Hunt"),CHOOSE(ArtifactsInput!$N$27+1,20,24,28,32,36,40),0)/100)))))/Skills!H9,1)))/Inputs!$B$43),G432*Q432))*IF(Inputs!$B$38="pvp",1,(1+(Inputs!$B$21+Skills!Q9+(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3">
      <c r="A433">
        <f>Skills!A10</f>
        <v/>
      </c>
      <c r="B433">
        <f>Skills!B10</f>
        <v/>
      </c>
      <c r="C433">
        <f>Inputs!$B$3&gt;=113</f>
        <v/>
      </c>
      <c r="D433">
        <f>IF(Skills!C10=1,60+Inputs!$B$25+Inputs!$B$29,IF(Skills!C10=2,90+Inputs!$B$26+Inputs!$B$29,IF(Skills!C10=3,120+Inputs!$B$27+Inputs!$B$29,MAX(0,(Inputs!$B$3-100)*3)+Inputs!$B$28+Inputs!$B$29)))</f>
        <v/>
      </c>
      <c r="E433">
        <f>INDEX(FactorTable!$B$2:$Y$301, MATCH(ROUND(MIN(300,MAX(1,D433)),0), FactorTable!$A$2:$A$301,0), Skills!M10+1)</f>
        <v/>
      </c>
      <c r="F433">
        <f>IF(Skills!N10=TRUE,(Skills!L10/10)*(E433/1000),Skills!L10/10)+Skills!O10</f>
        <v/>
      </c>
      <c r="G433">
        <f>Skills!G10*IF(Skills!H10&gt;0,Skills!I10/Skills!H10,1)</f>
        <v/>
      </c>
      <c r="H433">
        <f>1-(1-Skills!J10/100)^Skills!K10</f>
        <v/>
      </c>
      <c r="I433" t="inlineStr">
        <is>
          <t>1</t>
        </is>
      </c>
      <c r="J433">
        <f>((Inputs!$B$6*(1+Inputs!$B$7/100))+(((Inputs!$B$12*(1+Inputs!$B$13/100))-(Inputs!$B$12*(1+Inputs!$B$13/100)))+0.25*(Inputs!$B$14-Inputs!$B$14))*(1+Inputs!$B$7/100))*(F433/100)</f>
        <v/>
      </c>
      <c r="K433">
        <f>J433*(1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433)</f>
        <v/>
      </c>
      <c r="L433">
        <f>K433*(MIN((Inputs!$B$22+1)+((C445=TRUE)*(F445-Calc!F22)),(Inputs!$B$23+0+(IF(ArtifactsInput!$M$15,CHOOSE(ArtifactsInput!$N$15+1,25,30,35,40,45,50)/100*(Inputs!$B$11-Inputs!$B$11),0))))/100+(Inputs!$B$23+0+(IF(ArtifactsInput!$M$15,CHOOSE(ArtifactsInput!$N$15+1,25,30,35,40,45,50)/100*(Inputs!$B$11-Inputs!$B$11),0)))/100)/2</f>
        <v/>
      </c>
      <c r="M433">
        <f>L433*(1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3">
        <f>L433*(1-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433*(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3">
        <f>(1-Summary!$B$11)*T433+Summary!$B$11*V433</f>
        <v/>
      </c>
      <c r="P433">
        <f>IF(B464=0,0,O433/B464)</f>
        <v/>
      </c>
      <c r="Q433">
        <f>IFERROR(1/(IF(Inputs!$B$38="pvp",15,MAX(0.1,Skills!D10-IF(Skills!E10=TRUE,Inputs!$B$32,0)))*(1-IF(AND(ArtifactsInput!$M$27,Inputs!$B$4="Chapter Hunt"),CHOOSE(ArtifactsInput!$N$27+1,20,24,28,32,36,40),0)/100)),0)</f>
        <v/>
      </c>
      <c r="R433">
        <f>IF(AND(Inputs!$B$38&lt;&gt;"pvp",Inputs!$B$43&gt;0),IF(MAX(0,Inputs!$B$43-B461)&lt;=0,0,(INT(MAX(0,Inputs!$B$43-B461)/(IF(Inputs!$B$38="pvp",15,MAX(0.1,Skills!D10-IF(Skills!E10=TRUE,Inputs!$B$32,0)))*(1-IF(AND(ArtifactsInput!$M$27,Inputs!$B$4="Chapter Hunt"),CHOOSE(ArtifactsInput!$N$27+1,20,24,28,32,36,40),0)/100)))+1)),0)</f>
        <v/>
      </c>
      <c r="S433">
        <f>IFERROR(O433/N433,0)</f>
        <v/>
      </c>
      <c r="T433">
        <f>IF(C433,(H433*N433*IF(AND(Inputs!$B$38&lt;&gt;"pvp",Inputs!$B$43&gt;0),((Skills!G10*((R433-1)*IF(Skills!H10&gt;0,Skills!I10/Skills!H10,1)+IF(Skills!H10&gt;0,MIN(Skills!I10,MAX(0,MAX(0,Inputs!$B$43-B461)-((R433-1)*(IF(Inputs!$B$38="pvp",15,MAX(0.1,Skills!D10-IF(Skills!E10=TRUE,Inputs!$B$32,0)))*(1-IF(AND(ArtifactsInput!$M$27,Inputs!$B$4="Chapter Hunt"),CHOOSE(ArtifactsInput!$N$27+1,20,24,28,32,36,40),0)/100)))))/Skills!H10,1)))/Inputs!$B$43),G433*Q433)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433*(1-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433*(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433*(1-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433*(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3">
        <f>IF(C433,(H433*N433*IF(AND(Inputs!$B$38&lt;&gt;"pvp",Inputs!$B$43&gt;0),((Skills!G10*((R433-1)*IF(Skills!H10&gt;0,Skills!I10/Skills!H10,1)+IF(Skills!H10&gt;0,MIN(Skills!I10,MAX(0,MAX(0,Inputs!$B$43-B461)-((R433-1)*(IF(Inputs!$B$38="pvp",15,MAX(0.1,Skills!D10-IF(Skills!E10=TRUE,Inputs!$B$32,0)))*(1-IF(AND(ArtifactsInput!$M$27,Inputs!$B$4="Chapter Hunt"),CHOOSE(ArtifactsInput!$N$27+1,20,24,28,32,36,40),0)/100)))))/Skills!H10,1)))/Inputs!$B$43),G433*Q433))*IF(Inputs!$B$38="pvp",1,(1+(Inputs!$B$21+Skills!Q10+(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4">
      <c r="A434">
        <f>Skills!A11</f>
        <v/>
      </c>
      <c r="B434">
        <f>Skills!B11</f>
        <v/>
      </c>
      <c r="C434">
        <f>Inputs!$B$3&gt;=107</f>
        <v/>
      </c>
      <c r="D434">
        <f>IF(Skills!C11=1,60+Inputs!$B$25+Inputs!$B$29,IF(Skills!C11=2,90+Inputs!$B$26+Inputs!$B$29,IF(Skills!C11=3,120+Inputs!$B$27+Inputs!$B$29,MAX(0,(Inputs!$B$3-100)*3)+Inputs!$B$28+Inputs!$B$29)))</f>
        <v/>
      </c>
      <c r="E434">
        <f>INDEX(FactorTable!$B$2:$Y$301, MATCH(ROUND(MIN(300,MAX(1,D434)),0), FactorTable!$A$2:$A$301,0), Skills!M11+1)</f>
        <v/>
      </c>
      <c r="F434">
        <f>IF(Skills!N11=TRUE,(Skills!L11/10)*(E434/1000),Skills!L11/10)+Skills!O11</f>
        <v/>
      </c>
      <c r="G434">
        <f>Skills!G11*IF(Skills!H11&gt;0,Skills!I11/Skills!H11,1)</f>
        <v/>
      </c>
      <c r="H434">
        <f>1-(1-Skills!J11/100)^Skills!K11</f>
        <v/>
      </c>
      <c r="I434" t="inlineStr">
        <is>
          <t>1</t>
        </is>
      </c>
      <c r="J434">
        <f>((Inputs!$B$6*(1+Inputs!$B$7/100))+(((Inputs!$B$12*(1+Inputs!$B$13/100))-(Inputs!$B$12*(1+Inputs!$B$13/100)))+0.25*(Inputs!$B$14-Inputs!$B$14))*(1+Inputs!$B$7/100))*(F434/100)</f>
        <v/>
      </c>
      <c r="K434">
        <f>J434*(1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434)</f>
        <v/>
      </c>
      <c r="L434">
        <f>K434*(MIN((Inputs!$B$22+1)+((C445=TRUE)*(F445-Calc!F22)),(Inputs!$B$23+0+(IF(ArtifactsInput!$M$15,CHOOSE(ArtifactsInput!$N$15+1,25,30,35,40,45,50)/100*(Inputs!$B$11-Inputs!$B$11),0))))/100+(Inputs!$B$23+0+(IF(ArtifactsInput!$M$15,CHOOSE(ArtifactsInput!$N$15+1,25,30,35,40,45,50)/100*(Inputs!$B$11-Inputs!$B$11),0)))/100)/2</f>
        <v/>
      </c>
      <c r="M434">
        <f>L434*(1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4">
        <f>L434*(1-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434*(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4">
        <f>(1-Summary!$B$11)*T434+Summary!$B$11*V434</f>
        <v/>
      </c>
      <c r="P434">
        <f>IF(B464=0,0,O434/B464)</f>
        <v/>
      </c>
      <c r="Q434">
        <f>IFERROR(1/(IF(Inputs!$B$38="pvp",15,MAX(0.1,Skills!D11-IF(Skills!E11=TRUE,Inputs!$B$32,0)))*(1-IF(AND(ArtifactsInput!$M$27,Inputs!$B$4="Chapter Hunt"),CHOOSE(ArtifactsInput!$N$27+1,20,24,28,32,36,40),0)/100)),0)</f>
        <v/>
      </c>
      <c r="R434">
        <f>IF(AND(Inputs!$B$38&lt;&gt;"pvp",Inputs!$B$43&gt;0),IF(MAX(0,Inputs!$B$43-B461)&lt;=0,0,(INT(MAX(0,Inputs!$B$43-B461)/(IF(Inputs!$B$38="pvp",15,MAX(0.1,Skills!D11-IF(Skills!E11=TRUE,Inputs!$B$32,0)))*(1-IF(AND(ArtifactsInput!$M$27,Inputs!$B$4="Chapter Hunt"),CHOOSE(ArtifactsInput!$N$27+1,20,24,28,32,36,40),0)/100)))+1)),0)</f>
        <v/>
      </c>
      <c r="S434">
        <f>IFERROR(O434/N434,0)</f>
        <v/>
      </c>
      <c r="T434">
        <f>IF(C434,(H434*N434*IF(AND(Inputs!$B$38&lt;&gt;"pvp",Inputs!$B$43&gt;0),((Skills!G11*((R434-1)*IF(Skills!H11&gt;0,Skills!I11/Skills!H11,1)+IF(Skills!H11&gt;0,MIN(Skills!I11,MAX(0,MAX(0,Inputs!$B$43-B461)-((R434-1)*(IF(Inputs!$B$38="pvp",15,MAX(0.1,Skills!D11-IF(Skills!E11=TRUE,Inputs!$B$32,0)))*(1-IF(AND(ArtifactsInput!$M$27,Inputs!$B$4="Chapter Hunt"),CHOOSE(ArtifactsInput!$N$27+1,20,24,28,32,36,40),0)/100)))))/Skills!H11,1)))/Inputs!$B$43),G434*Q434)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434*(1-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434*(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434*(1-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434*(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4">
        <f>IF(C434,(H434*N434*IF(AND(Inputs!$B$38&lt;&gt;"pvp",Inputs!$B$43&gt;0),((Skills!G11*((R434-1)*IF(Skills!H11&gt;0,Skills!I11/Skills!H11,1)+IF(Skills!H11&gt;0,MIN(Skills!I11,MAX(0,MAX(0,Inputs!$B$43-B461)-((R434-1)*(IF(Inputs!$B$38="pvp",15,MAX(0.1,Skills!D11-IF(Skills!E11=TRUE,Inputs!$B$32,0)))*(1-IF(AND(ArtifactsInput!$M$27,Inputs!$B$4="Chapter Hunt"),CHOOSE(ArtifactsInput!$N$27+1,20,24,28,32,36,40),0)/100)))))/Skills!H11,1)))/Inputs!$B$43),G434*Q434))*IF(Inputs!$B$38="pvp",1,(1+(Inputs!$B$21+Skills!Q11+(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5">
      <c r="A435">
        <f>Skills!A12</f>
        <v/>
      </c>
      <c r="B435">
        <f>Skills!B12</f>
        <v/>
      </c>
      <c r="C435">
        <f>Inputs!$B$3&gt;=110</f>
        <v/>
      </c>
      <c r="D435">
        <f>IF(Skills!C12=1,60+Inputs!$B$25+Inputs!$B$29,IF(Skills!C12=2,90+Inputs!$B$26+Inputs!$B$29,IF(Skills!C12=3,120+Inputs!$B$27+Inputs!$B$29,MAX(0,(Inputs!$B$3-100)*3)+Inputs!$B$28+Inputs!$B$29)))</f>
        <v/>
      </c>
      <c r="E435">
        <f>INDEX(FactorTable!$B$2:$Y$301, MATCH(ROUND(MIN(300,MAX(1,D435)),0), FactorTable!$A$2:$A$301,0), Skills!M12+1)</f>
        <v/>
      </c>
      <c r="F435">
        <f>IF(Skills!N12=TRUE,(Skills!L12/10)*(E435/1000),Skills!L12/10)+Skills!O12</f>
        <v/>
      </c>
      <c r="G435">
        <f>Skills!G12*IF(Skills!H12&gt;0,Skills!I12/Skills!H12,1)</f>
        <v/>
      </c>
      <c r="H435">
        <f>1-(1-Skills!J12/100)^Skills!K12</f>
        <v/>
      </c>
      <c r="I435" t="inlineStr">
        <is>
          <t>1</t>
        </is>
      </c>
      <c r="J435">
        <f>((Inputs!$B$6*(1+Inputs!$B$7/100))+(((Inputs!$B$12*(1+Inputs!$B$13/100))-(Inputs!$B$12*(1+Inputs!$B$13/100)))+0.25*(Inputs!$B$14-Inputs!$B$14))*(1+Inputs!$B$7/100))*(F435/100)</f>
        <v/>
      </c>
      <c r="K435">
        <f>J435*(1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435)</f>
        <v/>
      </c>
      <c r="L435">
        <f>K435*(MIN((Inputs!$B$22+1)+((C445=TRUE)*(F445-Calc!F22)),(Inputs!$B$23+0+(IF(ArtifactsInput!$M$15,CHOOSE(ArtifactsInput!$N$15+1,25,30,35,40,45,50)/100*(Inputs!$B$11-Inputs!$B$11),0))))/100+(Inputs!$B$23+0+(IF(ArtifactsInput!$M$15,CHOOSE(ArtifactsInput!$N$15+1,25,30,35,40,45,50)/100*(Inputs!$B$11-Inputs!$B$11),0)))/100)/2</f>
        <v/>
      </c>
      <c r="M435">
        <f>L435*(1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5">
        <f>L435*(1-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435*(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5">
        <f>(1-Summary!$B$11)*T435+Summary!$B$11*V435</f>
        <v/>
      </c>
      <c r="P435">
        <f>IF(B464=0,0,O435/B464)</f>
        <v/>
      </c>
      <c r="Q435">
        <f>IFERROR(1/(IF(Inputs!$B$38="pvp",15,MAX(0.1,Skills!D12-IF(Skills!E12=TRUE,Inputs!$B$32,0)))*(1-IF(AND(ArtifactsInput!$M$27,Inputs!$B$4="Chapter Hunt"),CHOOSE(ArtifactsInput!$N$27+1,20,24,28,32,36,40),0)/100)),0)</f>
        <v/>
      </c>
      <c r="R435">
        <f>IF(AND(Inputs!$B$38&lt;&gt;"pvp",Inputs!$B$43&gt;0),IF(MAX(0,Inputs!$B$43-B461)&lt;=0,0,(INT(MAX(0,Inputs!$B$43-B461)/(IF(Inputs!$B$38="pvp",15,MAX(0.1,Skills!D12-IF(Skills!E12=TRUE,Inputs!$B$32,0)))*(1-IF(AND(ArtifactsInput!$M$27,Inputs!$B$4="Chapter Hunt"),CHOOSE(ArtifactsInput!$N$27+1,20,24,28,32,36,40),0)/100)))+1)),0)</f>
        <v/>
      </c>
      <c r="S435">
        <f>IFERROR(O435/N435,0)</f>
        <v/>
      </c>
      <c r="T435">
        <f>IF(C435,(H435*N435*IF(AND(Inputs!$B$38&lt;&gt;"pvp",Inputs!$B$43&gt;0),((Skills!G12*((R435-1)*IF(Skills!H12&gt;0,Skills!I12/Skills!H12,1)+IF(Skills!H12&gt;0,MIN(Skills!I12,MAX(0,MAX(0,Inputs!$B$43-B461)-((R435-1)*(IF(Inputs!$B$38="pvp",15,MAX(0.1,Skills!D12-IF(Skills!E12=TRUE,Inputs!$B$32,0)))*(1-IF(AND(ArtifactsInput!$M$27,Inputs!$B$4="Chapter Hunt"),CHOOSE(ArtifactsInput!$N$27+1,20,24,28,32,36,40),0)/100)))))/Skills!H12,1)))/Inputs!$B$43),G435*Q435)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435*(1-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435*(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435*(1-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435*(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5">
        <f>IF(C435,(H435*N435*IF(AND(Inputs!$B$38&lt;&gt;"pvp",Inputs!$B$43&gt;0),((Skills!G12*((R435-1)*IF(Skills!H12&gt;0,Skills!I12/Skills!H12,1)+IF(Skills!H12&gt;0,MIN(Skills!I12,MAX(0,MAX(0,Inputs!$B$43-B461)-((R435-1)*(IF(Inputs!$B$38="pvp",15,MAX(0.1,Skills!D12-IF(Skills!E12=TRUE,Inputs!$B$32,0)))*(1-IF(AND(ArtifactsInput!$M$27,Inputs!$B$4="Chapter Hunt"),CHOOSE(ArtifactsInput!$N$27+1,20,24,28,32,36,40),0)/100)))))/Skills!H12,1)))/Inputs!$B$43),G435*Q435))*IF(Inputs!$B$38="pvp",1,(1+(Inputs!$B$21+Skills!Q12+(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6">
      <c r="A436">
        <f>Skills!A13</f>
        <v/>
      </c>
      <c r="B436">
        <f>Skills!B13</f>
        <v/>
      </c>
      <c r="C436">
        <f>Inputs!$B$3&gt;=110</f>
        <v/>
      </c>
      <c r="D436">
        <f>IF(Skills!C13=1,60+Inputs!$B$25+Inputs!$B$29,IF(Skills!C13=2,90+Inputs!$B$26+Inputs!$B$29,IF(Skills!C13=3,120+Inputs!$B$27+Inputs!$B$29,MAX(0,(Inputs!$B$3-100)*3)+Inputs!$B$28+Inputs!$B$29)))</f>
        <v/>
      </c>
      <c r="E436">
        <f>INDEX(FactorTable!$B$2:$Y$301, MATCH(ROUND(MIN(300,MAX(1,D436)),0), FactorTable!$A$2:$A$301,0), Skills!M13+1)</f>
        <v/>
      </c>
      <c r="F436">
        <f>IF(Skills!N13=TRUE,(Skills!L13/10)*(E436/1000),Skills!L13/10)+Skills!O13</f>
        <v/>
      </c>
      <c r="G436">
        <f>Skills!G13*IF(Skills!H13&gt;0,Skills!I13/Skills!H13,1)</f>
        <v/>
      </c>
      <c r="H436">
        <f>1-(1-Skills!J13/100)^Skills!K13</f>
        <v/>
      </c>
      <c r="I436" t="inlineStr">
        <is>
          <t>1</t>
        </is>
      </c>
      <c r="J436">
        <f>((Inputs!$B$6*(1+Inputs!$B$7/100))+(((Inputs!$B$12*(1+Inputs!$B$13/100))-(Inputs!$B$12*(1+Inputs!$B$13/100)))+0.25*(Inputs!$B$14-Inputs!$B$14))*(1+Inputs!$B$7/100))*(F436/100)</f>
        <v/>
      </c>
      <c r="K436">
        <f>J436*(1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436)</f>
        <v/>
      </c>
      <c r="L436">
        <f>K436*(MIN((Inputs!$B$22+1)+((C445=TRUE)*(F445-Calc!F22)),(Inputs!$B$23+0+(IF(ArtifactsInput!$M$15,CHOOSE(ArtifactsInput!$N$15+1,25,30,35,40,45,50)/100*(Inputs!$B$11-Inputs!$B$11),0))))/100+(Inputs!$B$23+0+(IF(ArtifactsInput!$M$15,CHOOSE(ArtifactsInput!$N$15+1,25,30,35,40,45,50)/100*(Inputs!$B$11-Inputs!$B$11),0)))/100)/2</f>
        <v/>
      </c>
      <c r="M436">
        <f>L436*(1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6">
        <f>L436*(1-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436*(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6">
        <f>(1-Summary!$B$11)*T436+Summary!$B$11*V436</f>
        <v/>
      </c>
      <c r="P436">
        <f>IF(B464=0,0,O436/B464)</f>
        <v/>
      </c>
      <c r="Q436">
        <f>IFERROR(1/(IF(Inputs!$B$38="pvp",15,MAX(0.1,Skills!D13-IF(Skills!E13=TRUE,Inputs!$B$32,0)))*(1-IF(AND(ArtifactsInput!$M$27,Inputs!$B$4="Chapter Hunt"),CHOOSE(ArtifactsInput!$N$27+1,20,24,28,32,36,40),0)/100)),0)</f>
        <v/>
      </c>
      <c r="R436">
        <f>IF(AND(Inputs!$B$38&lt;&gt;"pvp",Inputs!$B$43&gt;0),IF(MAX(0,Inputs!$B$43-B461)&lt;=0,0,(INT(MAX(0,Inputs!$B$43-B461)/(IF(Inputs!$B$38="pvp",15,MAX(0.1,Skills!D13-IF(Skills!E13=TRUE,Inputs!$B$32,0)))*(1-IF(AND(ArtifactsInput!$M$27,Inputs!$B$4="Chapter Hunt"),CHOOSE(ArtifactsInput!$N$27+1,20,24,28,32,36,40),0)/100)))+1)),0)</f>
        <v/>
      </c>
      <c r="S436">
        <f>IFERROR(O436/N436,0)</f>
        <v/>
      </c>
      <c r="T436">
        <f>IF(C436,(H436*N436*IF(AND(Inputs!$B$38&lt;&gt;"pvp",Inputs!$B$43&gt;0),((Skills!G13*((R436-1)*IF(Skills!H13&gt;0,Skills!I13/Skills!H13,1)+IF(Skills!H13&gt;0,MIN(Skills!I13,MAX(0,MAX(0,Inputs!$B$43-B461)-((R436-1)*(IF(Inputs!$B$38="pvp",15,MAX(0.1,Skills!D13-IF(Skills!E13=TRUE,Inputs!$B$32,0)))*(1-IF(AND(ArtifactsInput!$M$27,Inputs!$B$4="Chapter Hunt"),CHOOSE(ArtifactsInput!$N$27+1,20,24,28,32,36,40),0)/100)))))/Skills!H13,1)))/Inputs!$B$43),G436*Q436)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436*(1-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436*(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436*(1-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436*(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6">
        <f>IF(C436,(H436*N436*IF(AND(Inputs!$B$38&lt;&gt;"pvp",Inputs!$B$43&gt;0),((Skills!G13*((R436-1)*IF(Skills!H13&gt;0,Skills!I13/Skills!H13,1)+IF(Skills!H13&gt;0,MIN(Skills!I13,MAX(0,MAX(0,Inputs!$B$43-B461)-((R436-1)*(IF(Inputs!$B$38="pvp",15,MAX(0.1,Skills!D13-IF(Skills!E13=TRUE,Inputs!$B$32,0)))*(1-IF(AND(ArtifactsInput!$M$27,Inputs!$B$4="Chapter Hunt"),CHOOSE(ArtifactsInput!$N$27+1,20,24,28,32,36,40),0)/100)))))/Skills!H13,1)))/Inputs!$B$43),G436*Q436))*IF(Inputs!$B$38="pvp",1,(1+(Inputs!$B$21+Skills!Q13+(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7">
      <c r="A437">
        <f>Skills!A14</f>
        <v/>
      </c>
      <c r="B437">
        <f>Skills!B14</f>
        <v/>
      </c>
      <c r="C437">
        <f>Inputs!$B$3&gt;=125</f>
        <v/>
      </c>
      <c r="D437">
        <f>IF(Skills!C14=1,60+Inputs!$B$25+Inputs!$B$29,IF(Skills!C14=2,90+Inputs!$B$26+Inputs!$B$29,IF(Skills!C14=3,120+Inputs!$B$27+Inputs!$B$29,MAX(0,(Inputs!$B$3-100)*3)+Inputs!$B$28+Inputs!$B$29)))</f>
        <v/>
      </c>
      <c r="E437">
        <f>INDEX(FactorTable!$B$2:$Y$301, MATCH(ROUND(MIN(300,MAX(1,D437)),0), FactorTable!$A$2:$A$301,0), Skills!M14+1)</f>
        <v/>
      </c>
      <c r="F437">
        <f>IF(Skills!N14=TRUE,(Skills!L14/10)*(E437/1000),Skills!L14/10)+Skills!O14</f>
        <v/>
      </c>
      <c r="G437">
        <f>Skills!G14*IF(Skills!H14&gt;0,Skills!I14/Skills!H14,1)</f>
        <v/>
      </c>
      <c r="H437">
        <f>1-(1-Skills!J14/100)^Skills!K14</f>
        <v/>
      </c>
      <c r="I437" t="inlineStr">
        <is>
          <t>1</t>
        </is>
      </c>
      <c r="J437">
        <f>((Inputs!$B$6*(1+Inputs!$B$7/100))+(((Inputs!$B$12*(1+Inputs!$B$13/100))-(Inputs!$B$12*(1+Inputs!$B$13/100)))+0.25*(Inputs!$B$14-Inputs!$B$14))*(1+Inputs!$B$7/100))*(F437/100)</f>
        <v/>
      </c>
      <c r="K437">
        <f>J437*(1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437)</f>
        <v/>
      </c>
      <c r="L437">
        <f>K437*(MIN((Inputs!$B$22+1)+((C445=TRUE)*(F445-Calc!F22)),(Inputs!$B$23+0+(IF(ArtifactsInput!$M$15,CHOOSE(ArtifactsInput!$N$15+1,25,30,35,40,45,50)/100*(Inputs!$B$11-Inputs!$B$11),0))))/100+(Inputs!$B$23+0+(IF(ArtifactsInput!$M$15,CHOOSE(ArtifactsInput!$N$15+1,25,30,35,40,45,50)/100*(Inputs!$B$11-Inputs!$B$11),0)))/100)/2</f>
        <v/>
      </c>
      <c r="M437">
        <f>L437*(1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7">
        <f>L437*(1-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437*(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7">
        <f>(1-Summary!$B$11)*T437+Summary!$B$11*V437</f>
        <v/>
      </c>
      <c r="P437">
        <f>IF(B464=0,0,O437/B464)</f>
        <v/>
      </c>
      <c r="Q437" t="n">
        <v>0</v>
      </c>
      <c r="R437" t="n">
        <v>0</v>
      </c>
      <c r="S437">
        <f>IFERROR(O437/N437,0)</f>
        <v/>
      </c>
      <c r="T437">
        <f>IF(C437,(H437*N437*(B458+IF(AND(Inputs!$B$38&lt;&gt;"pvp",Inputs!$B$43&gt;0),((Skills!G8*((R431-1)*IF(Skills!H8&gt;0,Skills!I8/Skills!H8,1)+IF(Skills!H8&gt;0,MIN(Skills!I8,MAX(0,MAX(0,Inputs!$B$43-B461)-((R431-1)*(IF(Inputs!$B$38="pvp",15,MAX(0.1,Skills!D8-IF(Skills!E8=TRUE,Inputs!$B$32,0)))*(1-IF(AND(ArtifactsInput!$M$27,Inputs!$B$4="Chapter Hunt"),CHOOSE(ArtifactsInput!$N$27+1,20,24,28,32,36,40),0)/100)))))/Skills!H8,1)))/Inputs!$B$43),G431*Q431)+IF(AND(Inputs!$B$38&lt;&gt;"pvp",Inputs!$B$43&gt;0),((Skills!G11*((R434-1)*IF(Skills!H11&gt;0,Skills!I11/Skills!H11,1)+IF(Skills!H11&gt;0,MIN(Skills!I11,MAX(0,MAX(0,Inputs!$B$43-B461)-((R434-1)*(IF(Inputs!$B$38="pvp",15,MAX(0.1,Skills!D11-IF(Skills!E11=TRUE,Inputs!$B$32,0)))*(1-IF(AND(ArtifactsInput!$M$27,Inputs!$B$4="Chapter Hunt"),CHOOSE(ArtifactsInput!$N$27+1,20,24,28,32,36,40),0)/100)))))/Skills!H11,1)))/Inputs!$B$43),G434*Q434)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437*(1-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437*(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437*(1-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437*(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7">
        <f>IF(C437,(H437*N437*(B458+IF(AND(Inputs!$B$38&lt;&gt;"pvp",Inputs!$B$43&gt;0),((Skills!G8*((R431-1)*IF(Skills!H8&gt;0,Skills!I8/Skills!H8,1)+IF(Skills!H8&gt;0,MIN(Skills!I8,MAX(0,MAX(0,Inputs!$B$43-B461)-((R431-1)*(IF(Inputs!$B$38="pvp",15,MAX(0.1,Skills!D8-IF(Skills!E8=TRUE,Inputs!$B$32,0)))*(1-IF(AND(ArtifactsInput!$M$27,Inputs!$B$4="Chapter Hunt"),CHOOSE(ArtifactsInput!$N$27+1,20,24,28,32,36,40),0)/100)))))/Skills!H8,1)))/Inputs!$B$43),G431*Q431)+IF(AND(Inputs!$B$38&lt;&gt;"pvp",Inputs!$B$43&gt;0),((Skills!G11*((R434-1)*IF(Skills!H11&gt;0,Skills!I11/Skills!H11,1)+IF(Skills!H11&gt;0,MIN(Skills!I11,MAX(0,MAX(0,Inputs!$B$43-B461)-((R434-1)*(IF(Inputs!$B$38="pvp",15,MAX(0.1,Skills!D11-IF(Skills!E11=TRUE,Inputs!$B$32,0)))*(1-IF(AND(ArtifactsInput!$M$27,Inputs!$B$4="Chapter Hunt"),CHOOSE(ArtifactsInput!$N$27+1,20,24,28,32,36,40),0)/100)))))/Skills!H11,1)))/Inputs!$B$43),G434*Q434)))*IF(Inputs!$B$38="pvp",1,(1+(Inputs!$B$21+Skills!Q14+(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8">
      <c r="A438">
        <f>Skills!A15</f>
        <v/>
      </c>
      <c r="B438">
        <f>Skills!B15</f>
        <v/>
      </c>
      <c r="C438">
        <f>Inputs!$B$3&gt;=100</f>
        <v/>
      </c>
      <c r="D438">
        <f>IF(Skills!C15=1,60+Inputs!$B$25+Inputs!$B$29,IF(Skills!C15=2,90+Inputs!$B$26+Inputs!$B$29,IF(Skills!C15=3,120+Inputs!$B$27+Inputs!$B$29,MAX(0,(Inputs!$B$3-100)*3)+Inputs!$B$28+Inputs!$B$29)))</f>
        <v/>
      </c>
      <c r="E438">
        <f>INDEX(FactorTable!$B$2:$Y$301, MATCH(ROUND(MIN(300,MAX(1,D438)),0), FactorTable!$A$2:$A$301,0), Skills!M15+1)</f>
        <v/>
      </c>
      <c r="F438">
        <f>IF(Skills!N15=TRUE,(Skills!L15/10)*(E438/1000),Skills!L15/10)+Skills!O15</f>
        <v/>
      </c>
      <c r="G438" t="inlineStr"/>
      <c r="H438" t="inlineStr"/>
      <c r="I438" t="inlineStr">
        <is>
          <t>1</t>
        </is>
      </c>
      <c r="J438" t="inlineStr"/>
      <c r="K438" t="inlineStr"/>
      <c r="L438" t="inlineStr"/>
      <c r="M438" t="inlineStr"/>
      <c r="N438" t="inlineStr"/>
      <c r="O438" t="inlineStr"/>
      <c r="P438" t="inlineStr"/>
      <c r="Q438" t="inlineStr"/>
      <c r="R438" t="inlineStr"/>
      <c r="S438" t="inlineStr"/>
    </row>
    <row r="439">
      <c r="A439">
        <f>Skills!A16</f>
        <v/>
      </c>
      <c r="B439">
        <f>Skills!B16</f>
        <v/>
      </c>
      <c r="C439">
        <f>Inputs!$B$3&gt;=120</f>
        <v/>
      </c>
      <c r="D439">
        <f>IF(Skills!C16=1,60+Inputs!$B$25+Inputs!$B$29,IF(Skills!C16=2,90+Inputs!$B$26+Inputs!$B$29,IF(Skills!C16=3,120+Inputs!$B$27+Inputs!$B$29,MAX(0,(Inputs!$B$3-100)*3)+Inputs!$B$28+Inputs!$B$29)))</f>
        <v/>
      </c>
      <c r="E439">
        <f>INDEX(FactorTable!$B$2:$Y$301, MATCH(ROUND(MIN(300,MAX(1,D439)),0), FactorTable!$A$2:$A$301,0), Skills!M16+1)</f>
        <v/>
      </c>
      <c r="F439">
        <f>IF(Skills!N16=TRUE,(Skills!L16/10)*(E439/1000),Skills!L16/10)+Skills!O16</f>
        <v/>
      </c>
      <c r="G439" t="inlineStr"/>
      <c r="H439" t="inlineStr"/>
      <c r="I439" t="inlineStr">
        <is>
          <t>1</t>
        </is>
      </c>
      <c r="J439" t="inlineStr"/>
      <c r="K439" t="inlineStr"/>
      <c r="L439" t="inlineStr"/>
      <c r="M439" t="inlineStr"/>
      <c r="N439" t="inlineStr"/>
      <c r="O439" t="inlineStr"/>
      <c r="P439" t="inlineStr"/>
      <c r="Q439" t="inlineStr"/>
      <c r="R439" t="inlineStr"/>
      <c r="S439" t="inlineStr"/>
    </row>
    <row r="440">
      <c r="A440">
        <f>Skills!A17</f>
        <v/>
      </c>
      <c r="B440">
        <f>Skills!B17</f>
        <v/>
      </c>
      <c r="C440">
        <f>Inputs!$B$3&gt;=66</f>
        <v/>
      </c>
      <c r="D440">
        <f>IF(Skills!C17=1,60+Inputs!$B$25+Inputs!$B$29,IF(Skills!C17=2,90+Inputs!$B$26+Inputs!$B$29,IF(Skills!C17=3,120+Inputs!$B$27+Inputs!$B$29,MAX(0,(Inputs!$B$3-100)*3)+Inputs!$B$28+Inputs!$B$29)))</f>
        <v/>
      </c>
      <c r="E440">
        <f>INDEX(FactorTable!$B$2:$Y$301, MATCH(ROUND(MIN(300,MAX(1,D440)),0), FactorTable!$A$2:$A$301,0), Skills!M17+1)</f>
        <v/>
      </c>
      <c r="F440">
        <f>IF(Skills!N17=TRUE,(Skills!L17/10)*(E440/1000),Skills!L17/10)+Skills!O17</f>
        <v/>
      </c>
      <c r="G440">
        <f>Skills!G17*IF(Skills!H17&gt;0,Skills!I17/Skills!H17,1)</f>
        <v/>
      </c>
      <c r="H440">
        <f>1-(1-Skills!J17/100)^Skills!K17</f>
        <v/>
      </c>
      <c r="I440" t="inlineStr">
        <is>
          <t>1</t>
        </is>
      </c>
      <c r="J440" t="inlineStr"/>
      <c r="K440" t="inlineStr"/>
      <c r="L440" t="inlineStr"/>
      <c r="M440" t="inlineStr"/>
      <c r="N440" t="inlineStr"/>
      <c r="O440">
        <f>(1-Summary!$B$11)*T440+Summary!$B$11*V440</f>
        <v/>
      </c>
      <c r="P440">
        <f>IF(B464=0,0,O440/B464)</f>
        <v/>
      </c>
      <c r="Q440" t="n">
        <v>0</v>
      </c>
      <c r="R440" t="n">
        <v>0</v>
      </c>
      <c r="S440">
        <f>IFERROR(O440/N440,0)</f>
        <v/>
      </c>
      <c r="T440" t="n">
        <v>0</v>
      </c>
      <c r="V440" t="n">
        <v>0</v>
      </c>
    </row>
    <row r="441">
      <c r="A441">
        <f>Skills!A18</f>
        <v/>
      </c>
      <c r="B441">
        <f>Skills!B18</f>
        <v/>
      </c>
      <c r="C441">
        <f>Inputs!$B$3&gt;=115</f>
        <v/>
      </c>
      <c r="D441">
        <f>IF(Skills!C18=1,60+Inputs!$B$25+Inputs!$B$29,IF(Skills!C18=2,90+Inputs!$B$26+Inputs!$B$29,IF(Skills!C18=3,120+Inputs!$B$27+Inputs!$B$29,MAX(0,(Inputs!$B$3-100)*3)+Inputs!$B$28+Inputs!$B$29)))</f>
        <v/>
      </c>
      <c r="E441">
        <f>INDEX(FactorTable!$B$2:$Y$301, MATCH(ROUND(MIN(300,MAX(1,D441)),0), FactorTable!$A$2:$A$301,0), Skills!M18+1)</f>
        <v/>
      </c>
      <c r="F441">
        <f>IF(Skills!N18=TRUE,(Skills!L18/10)*(E441/1000),Skills!L18/10)+Skills!O18</f>
        <v/>
      </c>
      <c r="G441">
        <f>Skills!G18*IF(Skills!H18&gt;0,Skills!I18/Skills!H18,1)</f>
        <v/>
      </c>
      <c r="H441">
        <f>1-(1-Skills!J18/100)^Skills!K18</f>
        <v/>
      </c>
      <c r="I441" t="inlineStr">
        <is>
          <t>1</t>
        </is>
      </c>
      <c r="J441" t="inlineStr"/>
      <c r="K441" t="inlineStr"/>
      <c r="L441" t="inlineStr"/>
      <c r="M441" t="inlineStr"/>
      <c r="N441" t="inlineStr"/>
      <c r="O441">
        <f>(1-Summary!$B$11)*T441+Summary!$B$11*V441</f>
        <v/>
      </c>
      <c r="P441">
        <f>IF(B464=0,0,O441/B464)</f>
        <v/>
      </c>
      <c r="Q441">
        <f>IFERROR(1/(IF(Inputs!$B$38="pvp",15,MAX(0.1,Skills!D18-IF(Skills!E18=TRUE,Inputs!$B$32,0)))*(1-IF(AND(ArtifactsInput!$M$27,Inputs!$B$4="Chapter Hunt"),CHOOSE(ArtifactsInput!$N$27+1,20,24,28,32,36,40),0)/100)),0)</f>
        <v/>
      </c>
      <c r="R441">
        <f>IF(AND(Inputs!$B$38&lt;&gt;"pvp",Inputs!$B$43&gt;0),IF(Inputs!$B$43&lt;=0,0,(INT(Inputs!$B$43/(IF(Inputs!$B$38="pvp",15,MAX(0.1,Skills!D18-IF(Skills!E18=TRUE,Inputs!$B$32,0)))*(1-IF(AND(ArtifactsInput!$M$27,Inputs!$B$4="Chapter Hunt"),CHOOSE(ArtifactsInput!$N$27+1,20,24,28,32,36,40),0)/100)))+1)),0)</f>
        <v/>
      </c>
      <c r="S441">
        <f>IFERROR(O441/N441,0)</f>
        <v/>
      </c>
      <c r="T441" t="n">
        <v>0</v>
      </c>
      <c r="V441" t="n">
        <v>0</v>
      </c>
    </row>
    <row r="442">
      <c r="A442">
        <f>Skills!A19</f>
        <v/>
      </c>
      <c r="B442">
        <f>Skills!B19</f>
        <v/>
      </c>
      <c r="C442">
        <f>Inputs!$B$3&gt;=15</f>
        <v/>
      </c>
      <c r="D442">
        <f>IF(Skills!C19=1,60+Inputs!$B$25+Inputs!$B$29,IF(Skills!C19=2,90+Inputs!$B$26+Inputs!$B$29,IF(Skills!C19=3,120+Inputs!$B$27+Inputs!$B$29,MAX(0,(Inputs!$B$3-100)*3)+Inputs!$B$28+Inputs!$B$29)))</f>
        <v/>
      </c>
      <c r="E442">
        <f>INDEX(FactorTable!$B$2:$Y$301, MATCH(ROUND(MIN(300,MAX(1,D442)),0), FactorTable!$A$2:$A$301,0), Skills!M19+1)</f>
        <v/>
      </c>
      <c r="F442">
        <f>IF(Skills!N19=TRUE,(Skills!L19/10)*(E442/1000),Skills!L19/10)+Skills!O19</f>
        <v/>
      </c>
      <c r="G442">
        <f>Skills!G19*IF(Skills!H19&gt;0,Skills!I19/Skills!H19,1)</f>
        <v/>
      </c>
      <c r="H442">
        <f>1-(1-Skills!J19/100)^Skills!K19</f>
        <v/>
      </c>
      <c r="I442" t="inlineStr">
        <is>
          <t>1</t>
        </is>
      </c>
      <c r="J442" t="inlineStr"/>
      <c r="K442" t="inlineStr"/>
      <c r="L442" t="inlineStr"/>
      <c r="M442" t="inlineStr"/>
      <c r="N442" t="inlineStr"/>
      <c r="O442">
        <f>(1-Summary!$B$11)*T442+Summary!$B$11*V442</f>
        <v/>
      </c>
      <c r="P442">
        <f>IF(B464=0,0,O442/B464)</f>
        <v/>
      </c>
      <c r="Q442" t="n">
        <v>0</v>
      </c>
      <c r="R442" t="n">
        <v>0</v>
      </c>
      <c r="S442">
        <f>IFERROR(O442/N442,0)</f>
        <v/>
      </c>
      <c r="T442" t="n">
        <v>0</v>
      </c>
      <c r="V442" t="n">
        <v>0</v>
      </c>
    </row>
    <row r="443">
      <c r="A443">
        <f>Skills!A20</f>
        <v/>
      </c>
      <c r="B443">
        <f>Skills!B20</f>
        <v/>
      </c>
      <c r="C443">
        <f>Inputs!$B$3&gt;=10</f>
        <v/>
      </c>
      <c r="D443">
        <f>IF(Skills!C20=1,60+Inputs!$B$25+Inputs!$B$29,IF(Skills!C20=2,90+Inputs!$B$26+Inputs!$B$29,IF(Skills!C20=3,120+Inputs!$B$27+Inputs!$B$29,MAX(0,(Inputs!$B$3-100)*3)+Inputs!$B$28+Inputs!$B$29)))</f>
        <v/>
      </c>
      <c r="E443">
        <f>INDEX(FactorTable!$B$2:$Y$301, MATCH(ROUND(MIN(300,MAX(1,D443)),0), FactorTable!$A$2:$A$301,0), Skills!M20+1)</f>
        <v/>
      </c>
      <c r="F443">
        <f>IF(Skills!N20=TRUE,(Skills!L20/10)*(E443/1000),Skills!L20/10)+Skills!O20</f>
        <v/>
      </c>
      <c r="G443">
        <f>Skills!G20*IF(Skills!H20&gt;0,Skills!I20/Skills!H20,1)</f>
        <v/>
      </c>
      <c r="H443">
        <f>1-(1-Skills!J20/100)^Skills!K20</f>
        <v/>
      </c>
      <c r="I443" t="inlineStr">
        <is>
          <t>1</t>
        </is>
      </c>
      <c r="J443" t="inlineStr"/>
      <c r="K443" t="inlineStr"/>
      <c r="L443" t="inlineStr"/>
      <c r="M443" t="inlineStr"/>
      <c r="N443" t="inlineStr"/>
      <c r="O443">
        <f>(1-Summary!$B$11)*T443+Summary!$B$11*V443</f>
        <v/>
      </c>
      <c r="P443">
        <f>IF(B464=0,0,O443/B464)</f>
        <v/>
      </c>
      <c r="Q443" t="n">
        <v>0</v>
      </c>
      <c r="R443" t="n">
        <v>0</v>
      </c>
      <c r="S443">
        <f>IFERROR(O443/N443,0)</f>
        <v/>
      </c>
      <c r="T443" t="n">
        <v>0</v>
      </c>
      <c r="V443" t="n">
        <v>0</v>
      </c>
    </row>
    <row r="444">
      <c r="A444">
        <f>Skills!A21</f>
        <v/>
      </c>
      <c r="B444">
        <f>Skills!B21</f>
        <v/>
      </c>
      <c r="C444">
        <f>Inputs!$B$3&gt;=33</f>
        <v/>
      </c>
      <c r="D444">
        <f>IF(Skills!C21=1,60+Inputs!$B$25+Inputs!$B$29,IF(Skills!C21=2,90+Inputs!$B$26+Inputs!$B$29,IF(Skills!C21=3,120+Inputs!$B$27+Inputs!$B$29,MAX(0,(Inputs!$B$3-100)*3)+Inputs!$B$28+Inputs!$B$29)))</f>
        <v/>
      </c>
      <c r="E444">
        <f>INDEX(FactorTable!$B$2:$Y$301, MATCH(ROUND(MIN(300,MAX(1,D444)),0), FactorTable!$A$2:$A$301,0), Skills!M21+1)</f>
        <v/>
      </c>
      <c r="F444">
        <f>IF(Skills!N21=TRUE,(Skills!L21/10)*(E444/1000),Skills!L21/10)+Skills!O21</f>
        <v/>
      </c>
      <c r="G444">
        <f>Skills!G21*IF(Skills!H21&gt;0,Skills!I21/Skills!H21,1)</f>
        <v/>
      </c>
      <c r="H444">
        <f>1-(1-Skills!J21/100)^Skills!K21</f>
        <v/>
      </c>
      <c r="I444" t="inlineStr">
        <is>
          <t>1</t>
        </is>
      </c>
      <c r="J444" t="inlineStr"/>
      <c r="K444" t="inlineStr"/>
      <c r="L444" t="inlineStr"/>
      <c r="M444" t="inlineStr"/>
      <c r="N444" t="inlineStr"/>
      <c r="O444">
        <f>(1-Summary!$B$11)*T444+Summary!$B$11*V444</f>
        <v/>
      </c>
      <c r="P444">
        <f>IF(B464=0,0,O444/B464)</f>
        <v/>
      </c>
      <c r="Q444" t="n">
        <v>0</v>
      </c>
      <c r="R444" t="n">
        <v>0</v>
      </c>
      <c r="S444">
        <f>IFERROR(O444/N444,0)</f>
        <v/>
      </c>
      <c r="T444" t="n">
        <v>0</v>
      </c>
      <c r="V444" t="n">
        <v>0</v>
      </c>
    </row>
    <row r="445">
      <c r="A445">
        <f>Skills!A22</f>
        <v/>
      </c>
      <c r="B445">
        <f>Skills!B22</f>
        <v/>
      </c>
      <c r="C445">
        <f>Inputs!$B$3&gt;=43</f>
        <v/>
      </c>
      <c r="D445">
        <f>IF(Skills!C22=1,60+Inputs!$B$25+Inputs!$B$29,IF(Skills!C22=2,90+Inputs!$B$26+Inputs!$B$29,IF(Skills!C22=3,120+Inputs!$B$27+Inputs!$B$29,MAX(0,(Inputs!$B$3-100)*3)+Inputs!$B$28+Inputs!$B$29)))</f>
        <v/>
      </c>
      <c r="E445">
        <f>INDEX(FactorTable!$B$2:$Y$301, MATCH(ROUND(MIN(300,MAX(1,D445)),0), FactorTable!$A$2:$A$301,0), Skills!M22+1)</f>
        <v/>
      </c>
      <c r="F445">
        <f>IF(Skills!N22=TRUE,(Skills!L22/10)*(E445/1000),Skills!L22/10)+Skills!O22</f>
        <v/>
      </c>
      <c r="G445">
        <f>Skills!G22*IF(Skills!H22&gt;0,Skills!I22/Skills!H22,1)</f>
        <v/>
      </c>
      <c r="H445">
        <f>1-(1-Skills!J22/100)^Skills!K22</f>
        <v/>
      </c>
      <c r="I445" t="inlineStr">
        <is>
          <t>1</t>
        </is>
      </c>
      <c r="J445" t="inlineStr"/>
      <c r="K445" t="inlineStr"/>
      <c r="L445" t="inlineStr"/>
      <c r="M445" t="inlineStr"/>
      <c r="N445" t="inlineStr"/>
      <c r="O445">
        <f>(1-Summary!$B$11)*T445+Summary!$B$11*V445</f>
        <v/>
      </c>
      <c r="P445">
        <f>IF(B464=0,0,O445/B464)</f>
        <v/>
      </c>
      <c r="Q445" t="n">
        <v>0</v>
      </c>
      <c r="R445" t="n">
        <v>0</v>
      </c>
      <c r="S445">
        <f>IFERROR(O445/N445,0)</f>
        <v/>
      </c>
      <c r="T445" t="n">
        <v>0</v>
      </c>
      <c r="V445" t="n">
        <v>0</v>
      </c>
    </row>
    <row r="446">
      <c r="A446">
        <f>Skills!A23</f>
        <v/>
      </c>
      <c r="B446">
        <f>Skills!B23</f>
        <v/>
      </c>
      <c r="C446">
        <f>Inputs!$B$3&gt;=38</f>
        <v/>
      </c>
      <c r="D446">
        <f>IF(Skills!C23=1,60+Inputs!$B$25+Inputs!$B$29,IF(Skills!C23=2,90+Inputs!$B$26+Inputs!$B$29,IF(Skills!C23=3,120+Inputs!$B$27+Inputs!$B$29,MAX(0,(Inputs!$B$3-100)*3)+Inputs!$B$28+Inputs!$B$29)))</f>
        <v/>
      </c>
      <c r="E446">
        <f>INDEX(FactorTable!$B$2:$Y$301, MATCH(ROUND(MIN(300,MAX(1,D446)),0), FactorTable!$A$2:$A$301,0), Skills!M23+1)</f>
        <v/>
      </c>
      <c r="F446">
        <f>IF(Skills!N23=TRUE,(Skills!L23/10)*(E446/1000),Skills!L23/10)+Skills!O23</f>
        <v/>
      </c>
      <c r="G446">
        <f>Skills!G23*IF(Skills!H23&gt;0,Skills!I23/Skills!H23,1)</f>
        <v/>
      </c>
      <c r="H446">
        <f>1-(1-Skills!J23/100)^Skills!K23</f>
        <v/>
      </c>
      <c r="I446" t="inlineStr">
        <is>
          <t>1</t>
        </is>
      </c>
      <c r="J446" t="inlineStr"/>
      <c r="K446" t="inlineStr"/>
      <c r="L446" t="inlineStr"/>
      <c r="M446" t="inlineStr"/>
      <c r="N446" t="inlineStr"/>
      <c r="O446">
        <f>(1-Summary!$B$11)*T446+Summary!$B$11*V446</f>
        <v/>
      </c>
      <c r="P446">
        <f>IF(B464=0,0,O446/B464)</f>
        <v/>
      </c>
      <c r="Q446" t="n">
        <v>0</v>
      </c>
      <c r="R446" t="n">
        <v>0</v>
      </c>
      <c r="S446">
        <f>IFERROR(O446/N446,0)</f>
        <v/>
      </c>
      <c r="T446" t="n">
        <v>0</v>
      </c>
      <c r="V446" t="n">
        <v>0</v>
      </c>
    </row>
    <row r="447">
      <c r="A447">
        <f>Skills!A24</f>
        <v/>
      </c>
      <c r="B447">
        <f>Skills!B24</f>
        <v/>
      </c>
      <c r="C447">
        <f>Inputs!$B$3&gt;=40</f>
        <v/>
      </c>
      <c r="D447">
        <f>IF(Skills!C24=1,60+Inputs!$B$25+Inputs!$B$29,IF(Skills!C24=2,90+Inputs!$B$26+Inputs!$B$29,IF(Skills!C24=3,120+Inputs!$B$27+Inputs!$B$29,MAX(0,(Inputs!$B$3-100)*3)+Inputs!$B$28+Inputs!$B$29)))</f>
        <v/>
      </c>
      <c r="E447">
        <f>INDEX(FactorTable!$B$2:$Y$301, MATCH(ROUND(MIN(300,MAX(1,D447)),0), FactorTable!$A$2:$A$301,0), Skills!M24+1)</f>
        <v/>
      </c>
      <c r="F447">
        <f>IF(Skills!N24=TRUE,(Skills!L24/10)*(E447/1000),Skills!L24/10)+Skills!O24</f>
        <v/>
      </c>
      <c r="G447">
        <f>Skills!G24*IF(Skills!H24&gt;0,Skills!I24/Skills!H24,1)</f>
        <v/>
      </c>
      <c r="H447">
        <f>1-(1-Skills!J24/100)^Skills!K24</f>
        <v/>
      </c>
      <c r="I447" t="inlineStr">
        <is>
          <t>1</t>
        </is>
      </c>
      <c r="J447" t="inlineStr"/>
      <c r="K447" t="inlineStr"/>
      <c r="L447" t="inlineStr"/>
      <c r="M447" t="inlineStr"/>
      <c r="N447" t="inlineStr"/>
      <c r="O447">
        <f>(1-Summary!$B$11)*T447+Summary!$B$11*V447</f>
        <v/>
      </c>
      <c r="P447">
        <f>IF(B464=0,0,O447/B464)</f>
        <v/>
      </c>
      <c r="Q447" t="n">
        <v>0</v>
      </c>
      <c r="R447" t="n">
        <v>0</v>
      </c>
      <c r="S447">
        <f>IFERROR(O447/N447,0)</f>
        <v/>
      </c>
      <c r="T447" t="n">
        <v>0</v>
      </c>
      <c r="V447" t="n">
        <v>0</v>
      </c>
    </row>
    <row r="448">
      <c r="A448">
        <f>Skills!A25</f>
        <v/>
      </c>
      <c r="B448">
        <f>Skills!B25</f>
        <v/>
      </c>
      <c r="C448">
        <f>Inputs!$B$3&gt;=72</f>
        <v/>
      </c>
      <c r="D448">
        <f>IF(Skills!C25=1,60+Inputs!$B$25+Inputs!$B$29,IF(Skills!C25=2,90+Inputs!$B$26+Inputs!$B$29,IF(Skills!C25=3,120+Inputs!$B$27+Inputs!$B$29,MAX(0,(Inputs!$B$3-100)*3)+Inputs!$B$28+Inputs!$B$29)))</f>
        <v/>
      </c>
      <c r="E448">
        <f>INDEX(FactorTable!$B$2:$Y$301, MATCH(ROUND(MIN(300,MAX(1,D448)),0), FactorTable!$A$2:$A$301,0), Skills!M25+1)</f>
        <v/>
      </c>
      <c r="F448">
        <f>IF(Skills!N25=TRUE,(Skills!L25/10)*(E448/1000),Skills!L25/10)+Skills!O25</f>
        <v/>
      </c>
      <c r="G448">
        <f>Skills!G25*IF(Skills!H25&gt;0,Skills!I25/Skills!H25,1)</f>
        <v/>
      </c>
      <c r="H448">
        <f>1-(1-Skills!J25/100)^Skills!K25</f>
        <v/>
      </c>
      <c r="I448" t="inlineStr">
        <is>
          <t>1</t>
        </is>
      </c>
      <c r="J448" t="inlineStr"/>
      <c r="K448" t="inlineStr"/>
      <c r="L448" t="inlineStr"/>
      <c r="M448" t="inlineStr"/>
      <c r="N448" t="inlineStr"/>
      <c r="O448">
        <f>(1-Summary!$B$11)*T448+Summary!$B$11*V448</f>
        <v/>
      </c>
      <c r="P448">
        <f>IF(B464=0,0,O448/B464)</f>
        <v/>
      </c>
      <c r="Q448" t="n">
        <v>0</v>
      </c>
      <c r="R448" t="n">
        <v>0</v>
      </c>
      <c r="S448">
        <f>IFERROR(O448/N448,0)</f>
        <v/>
      </c>
      <c r="T448" t="n">
        <v>0</v>
      </c>
      <c r="V448" t="n">
        <v>0</v>
      </c>
    </row>
    <row r="449">
      <c r="A449">
        <f>Skills!A26</f>
        <v/>
      </c>
      <c r="B449">
        <f>Skills!B26</f>
        <v/>
      </c>
      <c r="C449">
        <f>Inputs!$B$3&gt;=75</f>
        <v/>
      </c>
      <c r="D449">
        <f>IF(Skills!C26=1,60+Inputs!$B$25+Inputs!$B$29,IF(Skills!C26=2,90+Inputs!$B$26+Inputs!$B$29,IF(Skills!C26=3,120+Inputs!$B$27+Inputs!$B$29,MAX(0,(Inputs!$B$3-100)*3)+Inputs!$B$28+Inputs!$B$29)))</f>
        <v/>
      </c>
      <c r="E449">
        <f>INDEX(FactorTable!$B$2:$Y$301, MATCH(ROUND(MIN(300,MAX(1,D449)),0), FactorTable!$A$2:$A$301,0), Skills!M26+1)</f>
        <v/>
      </c>
      <c r="F449">
        <f>IF(Skills!N26=TRUE,(Skills!L26/10)*(E449/1000),Skills!L26/10)+Skills!O26</f>
        <v/>
      </c>
      <c r="G449">
        <f>Skills!G26*IF(Skills!H26&gt;0,Skills!I26/Skills!H26,1)</f>
        <v/>
      </c>
      <c r="H449">
        <f>1-(1-Skills!J26/100)^Skills!K26</f>
        <v/>
      </c>
      <c r="I449" t="inlineStr">
        <is>
          <t>1</t>
        </is>
      </c>
      <c r="J449" t="inlineStr"/>
      <c r="K449" t="inlineStr"/>
      <c r="L449" t="inlineStr"/>
      <c r="M449" t="inlineStr"/>
      <c r="N449" t="inlineStr"/>
      <c r="O449">
        <f>(1-Summary!$B$11)*T449+Summary!$B$11*V449</f>
        <v/>
      </c>
      <c r="P449">
        <f>IF(B464=0,0,O449/B464)</f>
        <v/>
      </c>
      <c r="Q449" t="n">
        <v>0</v>
      </c>
      <c r="R449" t="n">
        <v>0</v>
      </c>
      <c r="S449">
        <f>IFERROR(O449/N449,0)</f>
        <v/>
      </c>
      <c r="T449" t="n">
        <v>0</v>
      </c>
      <c r="V449" t="n">
        <v>0</v>
      </c>
    </row>
    <row r="450">
      <c r="A450">
        <f>Skills!A27</f>
        <v/>
      </c>
      <c r="B450">
        <f>Skills!B27</f>
        <v/>
      </c>
      <c r="C450">
        <f>Inputs!$B$3&gt;=117</f>
        <v/>
      </c>
      <c r="D450">
        <f>IF(Skills!C27=1,60+Inputs!$B$25+Inputs!$B$29,IF(Skills!C27=2,90+Inputs!$B$26+Inputs!$B$29,IF(Skills!C27=3,120+Inputs!$B$27+Inputs!$B$29,MAX(0,(Inputs!$B$3-100)*3)+Inputs!$B$28+Inputs!$B$29)))</f>
        <v/>
      </c>
      <c r="E450">
        <f>INDEX(FactorTable!$B$2:$Y$301, MATCH(ROUND(MIN(300,MAX(1,D450)),0), FactorTable!$A$2:$A$301,0), Skills!M27+1)</f>
        <v/>
      </c>
      <c r="F450">
        <f>IF(Skills!N27=TRUE,(Skills!L27/10)*(E450/1000),Skills!L27/10)+Skills!O27</f>
        <v/>
      </c>
      <c r="G450">
        <f>Skills!G27*IF(Skills!H27&gt;0,Skills!I27/Skills!H27,1)</f>
        <v/>
      </c>
      <c r="H450">
        <f>1-(1-Skills!J27/100)^Skills!K27</f>
        <v/>
      </c>
      <c r="I450" t="inlineStr">
        <is>
          <t>1</t>
        </is>
      </c>
      <c r="J450" t="inlineStr"/>
      <c r="K450" t="inlineStr"/>
      <c r="L450" t="inlineStr"/>
      <c r="M450" t="inlineStr"/>
      <c r="N450" t="inlineStr"/>
      <c r="O450">
        <f>(1-Summary!$B$11)*T450+Summary!$B$11*V450</f>
        <v/>
      </c>
      <c r="P450">
        <f>IF(B464=0,0,O450/B464)</f>
        <v/>
      </c>
      <c r="Q450" t="n">
        <v>0</v>
      </c>
      <c r="R450" t="n">
        <v>0</v>
      </c>
      <c r="S450">
        <f>IFERROR(O450/N450,0)</f>
        <v/>
      </c>
      <c r="T450" t="n">
        <v>0</v>
      </c>
      <c r="V450" t="n">
        <v>0</v>
      </c>
    </row>
    <row r="451">
      <c r="A451">
        <f>Skills!A28</f>
        <v/>
      </c>
      <c r="B451">
        <f>Skills!B28</f>
        <v/>
      </c>
      <c r="C451">
        <f>TRUE</f>
        <v/>
      </c>
      <c r="D451">
        <f>IF(Skills!C28=1,60+Inputs!$B$25+Inputs!$B$29,IF(Skills!C28=2,90+Inputs!$B$26+Inputs!$B$29,IF(Skills!C28=3,120+Inputs!$B$27+Inputs!$B$29,MAX(0,(Inputs!$B$3-100)*3)+Inputs!$B$28+Inputs!$B$29)))</f>
        <v/>
      </c>
      <c r="E451">
        <f>INDEX(FactorTable!$B$2:$Y$301, MATCH(ROUND(MIN(300,MAX(1,D451)),0), FactorTable!$A$2:$A$301,0), Skills!M28+1)</f>
        <v/>
      </c>
      <c r="F451">
        <f>IF(Skills!N28=TRUE,(Skills!L28/10)*(E451/1000),Skills!L28/10)+Skills!O28</f>
        <v/>
      </c>
      <c r="G451">
        <f>Skills!G28*IF(Skills!H28&gt;0,Skills!I28/Skills!H28,1)</f>
        <v/>
      </c>
      <c r="H451">
        <f>1-(1-Skills!J28/100)^Skills!K28</f>
        <v/>
      </c>
      <c r="I451" t="inlineStr">
        <is>
          <t>1</t>
        </is>
      </c>
      <c r="J451" t="inlineStr"/>
      <c r="K451" t="inlineStr"/>
      <c r="L451" t="inlineStr"/>
      <c r="M451" t="inlineStr"/>
      <c r="N451" t="inlineStr"/>
      <c r="O451">
        <f>(1-Summary!$B$11)*T451+Summary!$B$11*V451</f>
        <v/>
      </c>
      <c r="P451">
        <f>IF(B464=0,0,O451/B464)</f>
        <v/>
      </c>
      <c r="Q451">
        <f>IFERROR(1/(IF(Inputs!$B$38="pvp",15,MAX(0.1,Skills!D28-IF(Skills!E28=TRUE,Inputs!$B$32,0)))*(1-IF(AND(ArtifactsInput!$M$27,Inputs!$B$4="Chapter Hunt"),CHOOSE(ArtifactsInput!$N$27+1,20,24,28,32,36,40),0)/100)),0)</f>
        <v/>
      </c>
      <c r="R451">
        <f>IF(AND(Inputs!$B$38&lt;&gt;"pvp",Inputs!$B$43&gt;0),IF(Inputs!$B$43&lt;=0,0,(INT(Inputs!$B$43/(IF(Inputs!$B$38="pvp",15,MAX(0.1,Skills!D28-IF(Skills!E28=TRUE,Inputs!$B$32,0)))*(1-IF(AND(ArtifactsInput!$M$27,Inputs!$B$4="Chapter Hunt"),CHOOSE(ArtifactsInput!$N$27+1,20,24,28,32,36,40),0)/100)))+1)),0)</f>
        <v/>
      </c>
      <c r="S451">
        <f>IFERROR(O451/N451,0)</f>
        <v/>
      </c>
      <c r="T451" t="n">
        <v>0</v>
      </c>
      <c r="V451" t="n">
        <v>0</v>
      </c>
    </row>
    <row r="453">
      <c r="A453" t="inlineStr">
        <is>
          <t>Attack% Bucket Multiplier</t>
        </is>
      </c>
      <c r="B453">
        <f>(1+(((C440=TRUE)*F440*5/7)+((C447=TRUE)*(F447-Calc!F24))+(IF(ArtifactsInput!$M$21,CHOOSE(ArtifactsInput!$N$21+1,25,30,35,40,45,50)*(IF(OR(Inputs!$B$4="Chapter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54">
      <c r="A454" t="inlineStr">
        <is>
          <t>Global Crit Rate Bonus %</t>
        </is>
      </c>
      <c r="B454" t="n">
        <v>0</v>
      </c>
    </row>
    <row r="455">
      <c r="A455" t="inlineStr">
        <is>
          <t>Attack Speed Buff Bonus % (Nimble Feet, duty-cycle averaged)</t>
        </is>
      </c>
      <c r="B455">
        <f>((C451=TRUE)*F451*IF(AND(Inputs!$B$38&lt;&gt;"pvp",Inputs!$B$43&gt;0),(((R451-1)*(Skills!T28*(1+Inputs!$B$34/100))+MIN((Skills!T28*(1+Inputs!$B$34/100)),MAX(0,Inputs!$B$43-((R451-1)*Skills!D28))))/Inputs!$B$43),IF(Inputs!$B$38="pvp",MIN((Skills!T28*(1+Inputs!$B$34/100)),15)/15,(Skills!T28*(1+Inputs!$B$34/100))/Skills!D28)))</f>
        <v/>
      </c>
    </row>
    <row r="456">
      <c r="A456" t="inlineStr">
        <is>
          <t>Actions Per Second</t>
        </is>
      </c>
      <c r="B456">
        <f>1+MIN(150,150*(1-(1-(Inputs!$B$11+((C443=TRUE)*(F443-Calc!F20))+((C444=TRUE)*(F444-Calc!F21)))/150)*(1-B455/150)))/100</f>
        <v/>
      </c>
    </row>
    <row r="457">
      <c r="A457" t="inlineStr">
        <is>
          <t>Skill + Buff Cast Rate</t>
        </is>
      </c>
      <c r="B457">
        <f>IF(AND(Inputs!$B$38&lt;&gt;"pvp",Inputs!$B$43&gt;0),SUMPRODUCT((Skills!E2:E28=TRUE)*(C425:C451=TRUE)*R425:R451*Skills!F2:F28)/Inputs!$B$43,SUMPRODUCT((Skills!E2:E28=TRUE)*(C425:C451=TRUE)*Q425:Q451*Skills!F2:F28))</f>
        <v/>
      </c>
    </row>
    <row r="458">
      <c r="A458" t="inlineStr">
        <is>
          <t>Eight-Legs Easton Casts Per Second</t>
        </is>
      </c>
      <c r="B458">
        <f>MAX(0,B456-B457)</f>
        <v/>
      </c>
    </row>
    <row r="459">
      <c r="A459" t="inlineStr">
        <is>
          <t>Global Critical Damage Bonus % (unused)</t>
        </is>
      </c>
      <c r="B459" t="n">
        <v>0</v>
      </c>
    </row>
    <row r="460">
      <c r="A460" t="inlineStr">
        <is>
          <t>Global Final Damage Bonus % (Jolly Roger + Ahoy Mateys - Final Damage proc)</t>
        </is>
      </c>
      <c r="B460">
        <f>((C441=TRUE)*F441*IF(AND(Inputs!$B$38&lt;&gt;"pvp",Inputs!$B$43&gt;0),(((R441-1)*(Skills!T18*(1+Inputs!$B$34/100))+MIN((Skills!T18*(1+Inputs!$B$34/100)),MAX(0,Inputs!$B$43-((R441-1)*Skills!D18))))/Inputs!$B$43),IF(Inputs!$B$38="pvp",MIN((Skills!T18*(1+Inputs!$B$34/100)),15)/15,(Skills!T18*(1+Inputs!$B$34/100))/Skills!D18)))+IF(Inputs!$B$3&gt;=122,20*IF(Inputs!$B$38="pvp",MIN((20*(1+Inputs!$B$34/100)),15)/15,(20*(1+Inputs!$B$34/100))/Skills!D4),0)</f>
        <v/>
      </c>
    </row>
    <row r="461">
      <c r="A461" t="inlineStr">
        <is>
          <t>Buff-Casting Startup Delay (s, fixed-duration only)</t>
        </is>
      </c>
      <c r="B461">
        <f>IF(AND(Inputs!$B$38&lt;&gt;"pvp",Inputs!$B$43&gt;0),SUMPRODUCT((Skills!T2:T28&gt;0)*(Skills!E2:E28=TRUE)*(C425:C451=TRUE))/B456,0)</f>
        <v/>
      </c>
    </row>
    <row r="462">
      <c r="A462" t="inlineStr">
        <is>
          <t>Boss-Only Total DPS (this block's swept value)</t>
        </is>
      </c>
      <c r="B462">
        <f>SUM(T425:T451)</f>
        <v/>
      </c>
    </row>
    <row r="463">
      <c r="A463" t="inlineStr">
        <is>
          <t>Normal-Only Total DPS (this block's swept value)</t>
        </is>
      </c>
      <c r="B463">
        <f>SUM(V425:V451)</f>
        <v/>
      </c>
    </row>
    <row r="464">
      <c r="A464" s="6" t="inlineStr">
        <is>
          <t>TOTAL DPS</t>
        </is>
      </c>
      <c r="B464" s="6">
        <f>SUM(O425:O451)</f>
        <v/>
      </c>
    </row>
    <row r="467">
      <c r="A467" s="6" t="inlineStr">
        <is>
          <t>Stat: MAX_DAMAGE %</t>
        </is>
      </c>
    </row>
    <row r="468">
      <c r="A468" s="5" t="inlineStr">
        <is>
          <t>Key</t>
        </is>
      </c>
      <c r="B468" s="5" t="inlineStr">
        <is>
          <t>Name</t>
        </is>
      </c>
      <c r="C468" s="5" t="inlineStr">
        <is>
          <t>Unlocked</t>
        </is>
      </c>
      <c r="D468" s="5" t="inlineStr">
        <is>
          <t>InputLevel</t>
        </is>
      </c>
      <c r="E468" s="5" t="inlineStr">
        <is>
          <t>Factor</t>
        </is>
      </c>
      <c r="F468" s="5" t="inlineStr">
        <is>
          <t>CoefficientPercent</t>
        </is>
      </c>
      <c r="G468" s="5" t="inlineStr">
        <is>
          <t>EffectiveHits</t>
        </is>
      </c>
      <c r="H468" s="5" t="inlineStr">
        <is>
          <t>ProcProbability</t>
        </is>
      </c>
      <c r="I468" s="5" t="inlineStr">
        <is>
          <t>MapleHeroMultiplier</t>
        </is>
      </c>
      <c r="J468" s="5" t="inlineStr">
        <is>
          <t>BaseDamage</t>
        </is>
      </c>
      <c r="K468" s="5" t="inlineStr">
        <is>
          <t>BaseHitDamage</t>
        </is>
      </c>
      <c r="L468" s="5" t="inlineStr">
        <is>
          <t>NonCritAvg</t>
        </is>
      </c>
      <c r="M468" s="5" t="inlineStr">
        <is>
          <t>CritAvg</t>
        </is>
      </c>
      <c r="N468" s="5" t="inlineStr">
        <is>
          <t>ExpectedDamage(perHit)</t>
        </is>
      </c>
      <c r="O468" s="5" t="inlineStr">
        <is>
          <t>DPS</t>
        </is>
      </c>
      <c r="P468" s="5" t="inlineStr">
        <is>
          <t>% of Total</t>
        </is>
      </c>
      <c r="Q468" s="5" t="inlineStr">
        <is>
          <t>InvCooldown</t>
        </is>
      </c>
      <c r="R468" s="5" t="inlineStr">
        <is>
          <t>CastsInFight</t>
        </is>
      </c>
      <c r="S468" s="5" t="inlineStr">
        <is>
          <t>HitRate(perSec)</t>
        </is>
      </c>
      <c r="U468" t="inlineStr">
        <is>
          <t>helpers</t>
        </is>
      </c>
    </row>
    <row r="469">
      <c r="A469">
        <f>Skills!A2</f>
        <v/>
      </c>
      <c r="B469">
        <f>Skills!B2</f>
        <v/>
      </c>
      <c r="C469">
        <f>Inputs!$B$3&gt;=100</f>
        <v/>
      </c>
      <c r="D469" t="inlineStr"/>
      <c r="E469" t="inlineStr"/>
      <c r="F469">
        <f>U471+Skills!O2</f>
        <v/>
      </c>
      <c r="G469">
        <f>Skills!G2*IF(Skills!H2&gt;0,Skills!I2/Skills!H2,1)</f>
        <v/>
      </c>
      <c r="H469">
        <f>1-(1-Skills!J2/100)^Skills!K2</f>
        <v/>
      </c>
      <c r="I469" t="inlineStr">
        <is>
          <t>1</t>
        </is>
      </c>
      <c r="J469">
        <f>((Inputs!$B$6*(1+Inputs!$B$7/100))+(((Inputs!$B$12*(1+Inputs!$B$13/100))-(Inputs!$B$12*(1+Inputs!$B$13/100)))+0.25*(Inputs!$B$14-Inputs!$B$14))*(1+Inputs!$B$7/100))*(F469/100)</f>
        <v/>
      </c>
      <c r="K469">
        <f>J469*(1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469)</f>
        <v/>
      </c>
      <c r="L469">
        <f>K469*(MIN(Inputs!$B$22+((C489=TRUE)*(F489-Calc!F22)),((Inputs!$B$23+1)+0+(IF(ArtifactsInput!$M$15,CHOOSE(ArtifactsInput!$N$15+1,25,30,35,40,45,50)/100*(Inputs!$B$11-Inputs!$B$11),0))))/100+((Inputs!$B$23+1)+0+(IF(ArtifactsInput!$M$15,CHOOSE(ArtifactsInput!$N$15+1,25,30,35,40,45,50)/100*(Inputs!$B$11-Inputs!$B$11),0)))/100)/2</f>
        <v/>
      </c>
      <c r="M469">
        <f>L469*(1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9">
        <f>L469*(1-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469*(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9">
        <f>(1-Summary!$B$11)*T469+Summary!$B$11*V469</f>
        <v/>
      </c>
      <c r="P469">
        <f>IF(B508=0,0,O469/B508)</f>
        <v/>
      </c>
      <c r="Q469" t="n">
        <v>0</v>
      </c>
      <c r="R469" t="n">
        <v>0</v>
      </c>
      <c r="S469">
        <f>IFERROR(O469/N469,0)</f>
        <v/>
      </c>
      <c r="T469">
        <f>IF(C469,(Skills!G2*N469*B502)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469*(1-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469*(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469*(1-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469*(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69">
        <f>MAX(0,(Inputs!$B$3-100)*3)+Inputs!$B$28+Inputs!$B$29</f>
        <v/>
      </c>
      <c r="V469">
        <f>IF(C469,(Skills!G2*N469*B502)*IF(Inputs!$B$38="pvp",1,(1+(Inputs!$B$21+Skills!Q2+(IF(ArtifactsInput!$M$33,CHOOSE(ArtifactsInput!$N$33+1,30,36,42,48,54,60),0))+(IF(AND(ArtifactsInput!$M$35,Inputs!$B$4&lt;&gt;"Chapter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0">
      <c r="A470">
        <f>Skills!A3</f>
        <v/>
      </c>
      <c r="B470">
        <f>Skills!B3</f>
        <v/>
      </c>
      <c r="C470">
        <f>Inputs!$B$3&gt;=35</f>
        <v/>
      </c>
      <c r="D470">
        <f>IF(Skills!C3=1,60+Inputs!$B$25+Inputs!$B$29,IF(Skills!C3=2,90+Inputs!$B$26+Inputs!$B$29,IF(Skills!C3=3,120+Inputs!$B$27+Inputs!$B$29,MAX(0,(Inputs!$B$3-100)*3)+Inputs!$B$28+Inputs!$B$29)))</f>
        <v/>
      </c>
      <c r="E470">
        <f>INDEX(FactorTable!$B$2:$Y$301, MATCH(ROUND(MIN(300,MAX(1,D470)),0), FactorTable!$A$2:$A$301,0), Skills!M3+1)</f>
        <v/>
      </c>
      <c r="F470">
        <f>IF(Skills!N3=TRUE,(Skills!L3/10)*(E470/1000),Skills!L3/10)+Skills!O3</f>
        <v/>
      </c>
      <c r="G470">
        <f>Skills!G3*IF(Skills!H3&gt;0,Skills!I3/Skills!H3,1)</f>
        <v/>
      </c>
      <c r="H470">
        <f>1-(1-Skills!J3/100)^Skills!K3</f>
        <v/>
      </c>
      <c r="I470" t="inlineStr">
        <is>
          <t>1</t>
        </is>
      </c>
      <c r="J470">
        <f>((Inputs!$B$6*(1+Inputs!$B$7/100))+(((Inputs!$B$12*(1+Inputs!$B$13/100))-(Inputs!$B$12*(1+Inputs!$B$13/100)))+0.25*(Inputs!$B$14-Inputs!$B$14))*(1+Inputs!$B$7/100))*(F470/100)</f>
        <v/>
      </c>
      <c r="K470">
        <f>J470*(1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482=TRUE,F482,0)/100)*(1+(IF(Skills!A3="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470)</f>
        <v/>
      </c>
      <c r="L470">
        <f>K470*(MIN(Inputs!$B$22+((C489=TRUE)*(F489-Calc!F22)),((Inputs!$B$23+1)+0+(IF(ArtifactsInput!$M$15,CHOOSE(ArtifactsInput!$N$15+1,25,30,35,40,45,50)/100*(Inputs!$B$11-Inputs!$B$11),0))))/100+((Inputs!$B$23+1)+0+(IF(ArtifactsInput!$M$15,CHOOSE(ArtifactsInput!$N$15+1,25,30,35,40,45,50)/100*(Inputs!$B$11-Inputs!$B$11),0)))/100)/2</f>
        <v/>
      </c>
      <c r="M470">
        <f>L470*(1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0">
        <f>L470*(1-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470*(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0">
        <f>(1-Summary!$B$11)*T470+Summary!$B$11*V470</f>
        <v/>
      </c>
      <c r="P470">
        <f>IF(B508=0,0,O470/B508)</f>
        <v/>
      </c>
      <c r="Q470">
        <f>IFERROR(1/(IF(Inputs!$B$38="pvp",15,MAX(0.1,Skills!D3-IF(Skills!E3=TRUE,Inputs!$B$32,0)))*(1-IF(AND(ArtifactsInput!$M$27,Inputs!$B$4="Chapter Hunt"),CHOOSE(ArtifactsInput!$N$27+1,20,24,28,32,36,40),0)/100)),0)</f>
        <v/>
      </c>
      <c r="R470">
        <f>IF(AND(Inputs!$B$38&lt;&gt;"pvp",Inputs!$B$43&gt;0),IF(MAX(0,Inputs!$B$43-B505)&lt;=0,0,(INT(MAX(0,Inputs!$B$43-B505)/(IF(Inputs!$B$38="pvp",15,MAX(0.1,Skills!D3-IF(Skills!E3=TRUE,Inputs!$B$32,0)))*(1-IF(AND(ArtifactsInput!$M$27,Inputs!$B$4="Chapter Hunt"),CHOOSE(ArtifactsInput!$N$27+1,20,24,28,32,36,40),0)/100)))+1)),0)</f>
        <v/>
      </c>
      <c r="S470">
        <f>IFERROR(O470/N470,0)</f>
        <v/>
      </c>
      <c r="T470">
        <f>IF(C470,(H470*N470*IF(AND(Inputs!$B$38&lt;&gt;"pvp",Inputs!$B$43&gt;0),((Skills!G3*((R470-1)*IF(Skills!H3&gt;0,Skills!I3/Skills!H3,1)+IF(Skills!H3&gt;0,MIN(Skills!I3,MAX(0,MAX(0,Inputs!$B$43-B505)-((R470-1)*(IF(Inputs!$B$38="pvp",15,MAX(0.1,Skills!D3-IF(Skills!E3=TRUE,Inputs!$B$32,0)))*(1-IF(AND(ArtifactsInput!$M$27,Inputs!$B$4="Chapter Hunt"),CHOOSE(ArtifactsInput!$N$27+1,20,24,28,32,36,40),0)/100)))))/Skills!H3,1)))/Inputs!$B$43),G470*Q470)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470*(1-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470*(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470*(1-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470*(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0">
        <f>INDEX(FactorTable!$B$2:$Y$301, MATCH(ROUND(MIN(300,MAX(1,U469)),0), FactorTable!$A$2:$A$301,0), 22)</f>
        <v/>
      </c>
      <c r="V470">
        <f>IF(C470,(H470*N470*IF(AND(Inputs!$B$38&lt;&gt;"pvp",Inputs!$B$43&gt;0),((Skills!G3*((R470-1)*IF(Skills!H3&gt;0,Skills!I3/Skills!H3,1)+IF(Skills!H3&gt;0,MIN(Skills!I3,MAX(0,MAX(0,Inputs!$B$43-B505)-((R470-1)*(IF(Inputs!$B$38="pvp",15,MAX(0.1,Skills!D3-IF(Skills!E3=TRUE,Inputs!$B$32,0)))*(1-IF(AND(ArtifactsInput!$M$27,Inputs!$B$4="Chapter Hunt"),CHOOSE(ArtifactsInput!$N$27+1,20,24,28,32,36,40),0)/100)))))/Skills!H3,1)))/Inputs!$B$43),G470*Q470))*IF(Inputs!$B$38="pvp",1,(1+(Inputs!$B$21+Skills!Q3+(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1">
      <c r="A471">
        <f>Skills!A4</f>
        <v/>
      </c>
      <c r="B471">
        <f>Skills!B4</f>
        <v/>
      </c>
      <c r="C471">
        <f>Inputs!$B$3&gt;=40</f>
        <v/>
      </c>
      <c r="D471">
        <f>IF(Skills!C4=1,60+Inputs!$B$25+Inputs!$B$29,IF(Skills!C4=2,90+Inputs!$B$26+Inputs!$B$29,IF(Skills!C4=3,120+Inputs!$B$27+Inputs!$B$29,MAX(0,(Inputs!$B$3-100)*3)+Inputs!$B$28+Inputs!$B$29)))</f>
        <v/>
      </c>
      <c r="E471">
        <f>INDEX(FactorTable!$B$2:$Y$301, MATCH(ROUND(MIN(300,MAX(1,D471)),0), FactorTable!$A$2:$A$301,0), Skills!M4+1)</f>
        <v/>
      </c>
      <c r="F471">
        <f>IF(Skills!N4=TRUE,(Skills!L4/10)*(E471/1000),Skills!L4/10)+Skills!O4</f>
        <v/>
      </c>
      <c r="G471">
        <f>Skills!G4*IF(Skills!H4&gt;0,Skills!I4/Skills!H4,1)</f>
        <v/>
      </c>
      <c r="H471">
        <f>1-(1-Skills!J4/100)^Skills!K4</f>
        <v/>
      </c>
      <c r="I471" t="inlineStr">
        <is>
          <t>1</t>
        </is>
      </c>
      <c r="J471">
        <f>((Inputs!$B$6*(1+Inputs!$B$7/100))+(((Inputs!$B$12*(1+Inputs!$B$13/100))-(Inputs!$B$12*(1+Inputs!$B$13/100)))+0.25*(Inputs!$B$14-Inputs!$B$14))*(1+Inputs!$B$7/100))*(F471/100)</f>
        <v/>
      </c>
      <c r="K471">
        <f>J471*(1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483=TRUE,F483,0)/100)*(1+(IF(Skills!A4="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471)</f>
        <v/>
      </c>
      <c r="L471">
        <f>K471*(MIN(Inputs!$B$22+((C489=TRUE)*(F489-Calc!F22)),((Inputs!$B$23+1)+0+(IF(ArtifactsInput!$M$15,CHOOSE(ArtifactsInput!$N$15+1,25,30,35,40,45,50)/100*(Inputs!$B$11-Inputs!$B$11),0))))/100+((Inputs!$B$23+1)+0+(IF(ArtifactsInput!$M$15,CHOOSE(ArtifactsInput!$N$15+1,25,30,35,40,45,50)/100*(Inputs!$B$11-Inputs!$B$11),0)))/100)/2</f>
        <v/>
      </c>
      <c r="M471">
        <f>L471*(1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1">
        <f>L471*(1-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1">
        <f>(1-Summary!$B$11)*T471+Summary!$B$11*V471</f>
        <v/>
      </c>
      <c r="P471">
        <f>IF(B508=0,0,O471/B508)</f>
        <v/>
      </c>
      <c r="Q471">
        <f>IFERROR(1/(IF(Inputs!$B$38="pvp",15,MAX(0.1,Skills!D4-IF(Skills!E4=TRUE,Inputs!$B$32,0)))*(1-IF(AND(ArtifactsInput!$M$27,Inputs!$B$4="Chapter Hunt"),CHOOSE(ArtifactsInput!$N$27+1,20,24,28,32,36,40),0)/100)),0)</f>
        <v/>
      </c>
      <c r="R471">
        <f>IF(AND(Inputs!$B$38&lt;&gt;"pvp",Inputs!$B$43&gt;0),IF(MAX(0,Inputs!$B$43-B505)&lt;=0,0,(INT(MAX(0,Inputs!$B$43-B505)/(IF(Inputs!$B$38="pvp",15,MAX(0.1,Skills!D4-IF(Skills!E4=TRUE,Inputs!$B$32,0)))*(1-IF(AND(ArtifactsInput!$M$27,Inputs!$B$4="Chapter Hunt"),CHOOSE(ArtifactsInput!$N$27+1,20,24,28,32,36,40),0)/100)))+1)),0)</f>
        <v/>
      </c>
      <c r="S471">
        <f>IFERROR(O471/N471,0)</f>
        <v/>
      </c>
      <c r="T471">
        <f>IF(C471,(H471*N471*IF(AND(Inputs!$B$38&lt;&gt;"pvp",Inputs!$B$43&gt;0),((Skills!G4*((R471-1)*IF(Skills!H4&gt;0,Skills!I4/Skills!H4,1)+IF(Skills!H4&gt;0,MIN(Skills!I4,MAX(0,MAX(0,Inputs!$B$43-B505)-((R471-1)*(IF(Inputs!$B$38="pvp",15,MAX(0.1,Skills!D4-IF(Skills!E4=TRUE,Inputs!$B$32,0)))*(1-IF(AND(ArtifactsInput!$M$27,Inputs!$B$4="Chapter Hunt"),CHOOSE(ArtifactsInput!$N$27+1,20,24,28,32,36,40),0)/100)))))/Skills!H4,1)))/Inputs!$B$43),G471*Q471)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471*(1-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471*(1-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1">
        <f>290*U470/1000</f>
        <v/>
      </c>
      <c r="V471">
        <f>IF(C471,(H471*N471*IF(AND(Inputs!$B$38&lt;&gt;"pvp",Inputs!$B$43&gt;0),((Skills!G4*((R471-1)*IF(Skills!H4&gt;0,Skills!I4/Skills!H4,1)+IF(Skills!H4&gt;0,MIN(Skills!I4,MAX(0,MAX(0,Inputs!$B$43-B505)-((R471-1)*(IF(Inputs!$B$38="pvp",15,MAX(0.1,Skills!D4-IF(Skills!E4=TRUE,Inputs!$B$32,0)))*(1-IF(AND(ArtifactsInput!$M$27,Inputs!$B$4="Chapter Hunt"),CHOOSE(ArtifactsInput!$N$27+1,20,24,28,32,36,40),0)/100)))))/Skills!H4,1)))/Inputs!$B$43),G471*Q471))*IF(Inputs!$B$38="pvp",1,(1+(Inputs!$B$21+Skills!Q4+(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2">
      <c r="A472">
        <f>Skills!A5</f>
        <v/>
      </c>
      <c r="B472">
        <f>Skills!B5</f>
        <v/>
      </c>
      <c r="C472">
        <f>Inputs!$B$3&gt;=45</f>
        <v/>
      </c>
      <c r="D472">
        <f>IF(Skills!C5=1,60+Inputs!$B$25+Inputs!$B$29,IF(Skills!C5=2,90+Inputs!$B$26+Inputs!$B$29,IF(Skills!C5=3,120+Inputs!$B$27+Inputs!$B$29,MAX(0,(Inputs!$B$3-100)*3)+Inputs!$B$28+Inputs!$B$29)))</f>
        <v/>
      </c>
      <c r="E472">
        <f>INDEX(FactorTable!$B$2:$Y$301, MATCH(ROUND(MIN(300,MAX(1,D472)),0), FactorTable!$A$2:$A$301,0), Skills!M5+1)</f>
        <v/>
      </c>
      <c r="F472">
        <f>IF(Skills!N5=TRUE,(Skills!L5/10)*(E472/1000),Skills!L5/10)+Skills!O5</f>
        <v/>
      </c>
      <c r="G472">
        <f>Skills!G5*IF(Skills!H5&gt;0,Skills!I5/Skills!H5,1)</f>
        <v/>
      </c>
      <c r="H472">
        <f>1-(1-Skills!J5/100)^Skills!K5</f>
        <v/>
      </c>
      <c r="I472" t="inlineStr">
        <is>
          <t>1</t>
        </is>
      </c>
      <c r="J472">
        <f>((Inputs!$B$6*(1+Inputs!$B$7/100))+(((Inputs!$B$12*(1+Inputs!$B$13/100))-(Inputs!$B$12*(1+Inputs!$B$13/100)))+0.25*(Inputs!$B$14-Inputs!$B$14))*(1+Inputs!$B$7/100))*(F472/100)</f>
        <v/>
      </c>
      <c r="K472">
        <f>J472*(1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483=TRUE,F483,0)/100)*(1+(IF(Skills!A5="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472)</f>
        <v/>
      </c>
      <c r="L472">
        <f>K472*(MIN(Inputs!$B$22+((C489=TRUE)*(F489-Calc!F22)),((Inputs!$B$23+1)+0+(IF(ArtifactsInput!$M$15,CHOOSE(ArtifactsInput!$N$15+1,25,30,35,40,45,50)/100*(Inputs!$B$11-Inputs!$B$11),0))))/100+((Inputs!$B$23+1)+0+(IF(ArtifactsInput!$M$15,CHOOSE(ArtifactsInput!$N$15+1,25,30,35,40,45,50)/100*(Inputs!$B$11-Inputs!$B$11),0)))/100)/2</f>
        <v/>
      </c>
      <c r="M472">
        <f>L472*(1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2">
        <f>L472*(1-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472*(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2">
        <f>(1-Summary!$B$11)*T472+Summary!$B$11*V472</f>
        <v/>
      </c>
      <c r="P472">
        <f>IF(B508=0,0,O472/B508)</f>
        <v/>
      </c>
      <c r="Q472">
        <f>IFERROR(1/(IF(Inputs!$B$38="pvp",15,MAX(0.1,Skills!D5-IF(Skills!E5=TRUE,Inputs!$B$32,0)))*(1-IF(AND(ArtifactsInput!$M$27,Inputs!$B$4="Chapter Hunt"),CHOOSE(ArtifactsInput!$N$27+1,20,24,28,32,36,40),0)/100)),0)</f>
        <v/>
      </c>
      <c r="R472">
        <f>IF(AND(Inputs!$B$38&lt;&gt;"pvp",Inputs!$B$43&gt;0),IF(MAX(0,Inputs!$B$43-B505)&lt;=0,0,(INT(MAX(0,Inputs!$B$43-B505)/(IF(Inputs!$B$38="pvp",15,MAX(0.1,Skills!D5-IF(Skills!E5=TRUE,Inputs!$B$32,0)))*(1-IF(AND(ArtifactsInput!$M$27,Inputs!$B$4="Chapter Hunt"),CHOOSE(ArtifactsInput!$N$27+1,20,24,28,32,36,40),0)/100)))+1)),0)</f>
        <v/>
      </c>
      <c r="S472">
        <f>IFERROR(O472/N472,0)</f>
        <v/>
      </c>
      <c r="T472">
        <f>IF(C472,(H472*N472*IF(AND(Inputs!$B$38&lt;&gt;"pvp",Inputs!$B$43&gt;0),((Skills!G5*((R472-1)*IF(Skills!H5&gt;0,Skills!I5/Skills!H5,1)+IF(Skills!H5&gt;0,MIN(Skills!I5,MAX(0,MAX(0,Inputs!$B$43-B505)-((R472-1)*(IF(Inputs!$B$38="pvp",15,MAX(0.1,Skills!D5-IF(Skills!E5=TRUE,Inputs!$B$32,0)))*(1-IF(AND(ArtifactsInput!$M$27,Inputs!$B$4="Chapter Hunt"),CHOOSE(ArtifactsInput!$N$27+1,20,24,28,32,36,40),0)/100)))))/Skills!H5,1)))/Inputs!$B$43),G472*Q472)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472*(1-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472*(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472*(1-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472*(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2">
        <f>IF(C472,(H472*N472*IF(AND(Inputs!$B$38&lt;&gt;"pvp",Inputs!$B$43&gt;0),((Skills!G5*((R472-1)*IF(Skills!H5&gt;0,Skills!I5/Skills!H5,1)+IF(Skills!H5&gt;0,MIN(Skills!I5,MAX(0,MAX(0,Inputs!$B$43-B505)-((R472-1)*(IF(Inputs!$B$38="pvp",15,MAX(0.1,Skills!D5-IF(Skills!E5=TRUE,Inputs!$B$32,0)))*(1-IF(AND(ArtifactsInput!$M$27,Inputs!$B$4="Chapter Hunt"),CHOOSE(ArtifactsInput!$N$27+1,20,24,28,32,36,40),0)/100)))))/Skills!H5,1)))/Inputs!$B$43),G472*Q472))*IF(Inputs!$B$38="pvp",1,(1+(Inputs!$B$21+Skills!Q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3">
      <c r="A473">
        <f>Skills!A6</f>
        <v/>
      </c>
      <c r="B473">
        <f>Skills!B6</f>
        <v/>
      </c>
      <c r="C473">
        <f>Inputs!$B$3&gt;=63</f>
        <v/>
      </c>
      <c r="D473">
        <f>IF(Skills!C6=1,60+Inputs!$B$25+Inputs!$B$29,IF(Skills!C6=2,90+Inputs!$B$26+Inputs!$B$29,IF(Skills!C6=3,120+Inputs!$B$27+Inputs!$B$29,MAX(0,(Inputs!$B$3-100)*3)+Inputs!$B$28+Inputs!$B$29)))</f>
        <v/>
      </c>
      <c r="E473">
        <f>INDEX(FactorTable!$B$2:$Y$301, MATCH(ROUND(MIN(300,MAX(1,D473)),0), FactorTable!$A$2:$A$301,0), Skills!M6+1)</f>
        <v/>
      </c>
      <c r="F473">
        <f>IF(Skills!N6=TRUE,(Skills!L6/10)*(E473/1000),Skills!L6/10)+Skills!O6</f>
        <v/>
      </c>
      <c r="G473">
        <f>Skills!G6*IF(Skills!H6&gt;0,Skills!I6/Skills!H6,1)</f>
        <v/>
      </c>
      <c r="H473">
        <f>1-(1-Skills!J6/100)^Skills!K6</f>
        <v/>
      </c>
      <c r="I473" t="inlineStr">
        <is>
          <t>1</t>
        </is>
      </c>
      <c r="J473">
        <f>((Inputs!$B$6*(1+Inputs!$B$7/100))+(((Inputs!$B$12*(1+Inputs!$B$13/100))-(Inputs!$B$12*(1+Inputs!$B$13/100)))+0.25*(Inputs!$B$14-Inputs!$B$14))*(1+Inputs!$B$7/100))*(F473/100)</f>
        <v/>
      </c>
      <c r="K473">
        <f>J473*(1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482=TRUE,F482,0)/100)*(1+(IF(Skills!A6="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473)</f>
        <v/>
      </c>
      <c r="L473">
        <f>K473*(MIN(Inputs!$B$22+((C489=TRUE)*(F489-Calc!F22)),((Inputs!$B$23+1)+0+(IF(ArtifactsInput!$M$15,CHOOSE(ArtifactsInput!$N$15+1,25,30,35,40,45,50)/100*(Inputs!$B$11-Inputs!$B$11),0))))/100+((Inputs!$B$23+1)+0+(IF(ArtifactsInput!$M$15,CHOOSE(ArtifactsInput!$N$15+1,25,30,35,40,45,50)/100*(Inputs!$B$11-Inputs!$B$11),0)))/100)/2</f>
        <v/>
      </c>
      <c r="M473">
        <f>L473*(1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3">
        <f>L473*(1-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473*(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3">
        <f>(1-Summary!$B$11)*T473+Summary!$B$11*V473</f>
        <v/>
      </c>
      <c r="P473">
        <f>IF(B508=0,0,O473/B508)</f>
        <v/>
      </c>
      <c r="Q473">
        <f>IFERROR(1/(IF(Inputs!$B$38="pvp",15,MAX(0.1,Skills!D6-IF(Skills!E6=TRUE,Inputs!$B$32,0)))*(1-IF(AND(ArtifactsInput!$M$27,Inputs!$B$4="Chapter Hunt"),CHOOSE(ArtifactsInput!$N$27+1,20,24,28,32,36,40),0)/100)),0)</f>
        <v/>
      </c>
      <c r="R473">
        <f>IF(AND(Inputs!$B$38&lt;&gt;"pvp",Inputs!$B$43&gt;0),IF(MAX(0,Inputs!$B$43-B505)&lt;=0,0,(INT(MAX(0,Inputs!$B$43-B505)/(IF(Inputs!$B$38="pvp",15,MAX(0.1,Skills!D6-IF(Skills!E6=TRUE,Inputs!$B$32,0)))*(1-IF(AND(ArtifactsInput!$M$27,Inputs!$B$4="Chapter Hunt"),CHOOSE(ArtifactsInput!$N$27+1,20,24,28,32,36,40),0)/100)))+1)),0)</f>
        <v/>
      </c>
      <c r="S473">
        <f>IFERROR(O473/N473,0)</f>
        <v/>
      </c>
      <c r="T473">
        <f>IF(C473,(H473*N473*IF(AND(Inputs!$B$38&lt;&gt;"pvp",Inputs!$B$43&gt;0),((Skills!G6*((R473-1)*IF(Skills!H6&gt;0,Skills!I6/Skills!H6,1)+IF(Skills!H6&gt;0,MIN(Skills!I6,MAX(0,MAX(0,Inputs!$B$43-B505)-((R473-1)*(IF(Inputs!$B$38="pvp",15,MAX(0.1,Skills!D6-IF(Skills!E6=TRUE,Inputs!$B$32,0)))*(1-IF(AND(ArtifactsInput!$M$27,Inputs!$B$4="Chapter Hunt"),CHOOSE(ArtifactsInput!$N$27+1,20,24,28,32,36,40),0)/100)))))/Skills!H6,1)))/Inputs!$B$43),G473*Q473)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473*(1-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473*(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473*(1-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473*(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3">
        <f>IF(C473,(H473*N473*IF(AND(Inputs!$B$38&lt;&gt;"pvp",Inputs!$B$43&gt;0),((Skills!G6*((R473-1)*IF(Skills!H6&gt;0,Skills!I6/Skills!H6,1)+IF(Skills!H6&gt;0,MIN(Skills!I6,MAX(0,MAX(0,Inputs!$B$43-B505)-((R473-1)*(IF(Inputs!$B$38="pvp",15,MAX(0.1,Skills!D6-IF(Skills!E6=TRUE,Inputs!$B$32,0)))*(1-IF(AND(ArtifactsInput!$M$27,Inputs!$B$4="Chapter Hunt"),CHOOSE(ArtifactsInput!$N$27+1,20,24,28,32,36,40),0)/100)))))/Skills!H6,1)))/Inputs!$B$43),G473*Q473))*IF(Inputs!$B$38="pvp",1,(1+(Inputs!$B$21+Skills!Q6+(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4">
      <c r="A474">
        <f>Skills!A7</f>
        <v/>
      </c>
      <c r="B474">
        <f>Skills!B7</f>
        <v/>
      </c>
      <c r="C474">
        <f>Inputs!$B$3&gt;=66</f>
        <v/>
      </c>
      <c r="D474">
        <f>IF(Skills!C7=1,60+Inputs!$B$25+Inputs!$B$29,IF(Skills!C7=2,90+Inputs!$B$26+Inputs!$B$29,IF(Skills!C7=3,120+Inputs!$B$27+Inputs!$B$29,MAX(0,(Inputs!$B$3-100)*3)+Inputs!$B$28+Inputs!$B$29)))</f>
        <v/>
      </c>
      <c r="E474">
        <f>INDEX(FactorTable!$B$2:$Y$301, MATCH(ROUND(MIN(300,MAX(1,D474)),0), FactorTable!$A$2:$A$301,0), Skills!M7+1)</f>
        <v/>
      </c>
      <c r="F474">
        <f>IF(Skills!N7=TRUE,(Skills!L7/10)*(E474/1000),Skills!L7/10)+Skills!O7</f>
        <v/>
      </c>
      <c r="G474">
        <f>Skills!G7*IF(Skills!H7&gt;0,Skills!I7/Skills!H7,1)</f>
        <v/>
      </c>
      <c r="H474">
        <f>1-(1-Skills!J7/100)^Skills!K7</f>
        <v/>
      </c>
      <c r="I474" t="inlineStr">
        <is>
          <t>1</t>
        </is>
      </c>
      <c r="J474">
        <f>((Inputs!$B$6*(1+Inputs!$B$7/100))+(((Inputs!$B$12*(1+Inputs!$B$13/100))-(Inputs!$B$12*(1+Inputs!$B$13/100)))+0.25*(Inputs!$B$14-Inputs!$B$14))*(1+Inputs!$B$7/100))*(F474/100)</f>
        <v/>
      </c>
      <c r="K474">
        <f>J474*(1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482=TRUE,F482,0)/100)*(1+(IF(Skills!A7="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474)</f>
        <v/>
      </c>
      <c r="L474">
        <f>K474*(MIN(Inputs!$B$22+((C489=TRUE)*(F489-Calc!F22)),((Inputs!$B$23+1)+0+(IF(ArtifactsInput!$M$15,CHOOSE(ArtifactsInput!$N$15+1,25,30,35,40,45,50)/100*(Inputs!$B$11-Inputs!$B$11),0))))/100+((Inputs!$B$23+1)+0+(IF(ArtifactsInput!$M$15,CHOOSE(ArtifactsInput!$N$15+1,25,30,35,40,45,50)/100*(Inputs!$B$11-Inputs!$B$11),0)))/100)/2</f>
        <v/>
      </c>
      <c r="M474">
        <f>L474*(1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4">
        <f>L474*(1-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474*(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4">
        <f>(1-Summary!$B$11)*T474+Summary!$B$11*V474</f>
        <v/>
      </c>
      <c r="P474">
        <f>IF(B508=0,0,O474/B508)</f>
        <v/>
      </c>
      <c r="Q474">
        <f>IFERROR(1/(IF(Inputs!$B$38="pvp",15,MAX(0.1,Skills!D7-IF(Skills!E7=TRUE,Inputs!$B$32,0)))*(1-IF(AND(ArtifactsInput!$M$27,Inputs!$B$4="Chapter Hunt"),CHOOSE(ArtifactsInput!$N$27+1,20,24,28,32,36,40),0)/100)),0)</f>
        <v/>
      </c>
      <c r="R474">
        <f>IF(AND(Inputs!$B$38&lt;&gt;"pvp",Inputs!$B$43&gt;0),IF(MAX(0,Inputs!$B$43-B505)&lt;=0,0,(INT(MAX(0,Inputs!$B$43-B505)/(IF(Inputs!$B$38="pvp",15,MAX(0.1,Skills!D7-IF(Skills!E7=TRUE,Inputs!$B$32,0)))*(1-IF(AND(ArtifactsInput!$M$27,Inputs!$B$4="Chapter Hunt"),CHOOSE(ArtifactsInput!$N$27+1,20,24,28,32,36,40),0)/100)))+1)),0)</f>
        <v/>
      </c>
      <c r="S474">
        <f>IFERROR(O474/N474,0)</f>
        <v/>
      </c>
      <c r="T474">
        <f>IF(C474,(H474*N474*IF(AND(Inputs!$B$38&lt;&gt;"pvp",Inputs!$B$43&gt;0),((Skills!G7*((R474-1)*IF(Skills!H7&gt;0,Skills!I7/Skills!H7,1)+IF(Skills!H7&gt;0,MIN(Skills!I7,MAX(0,MAX(0,Inputs!$B$43-B505)-((R474-1)*(IF(Inputs!$B$38="pvp",15,MAX(0.1,Skills!D7-IF(Skills!E7=TRUE,Inputs!$B$32,0)))*(1-IF(AND(ArtifactsInput!$M$27,Inputs!$B$4="Chapter Hunt"),CHOOSE(ArtifactsInput!$N$27+1,20,24,28,32,36,40),0)/100)))))/Skills!H7,1)))/Inputs!$B$43),G474*Q474)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474*(1-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474*(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474*(1-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474*(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4">
        <f>IF(C474,(H474*N474*IF(AND(Inputs!$B$38&lt;&gt;"pvp",Inputs!$B$43&gt;0),((Skills!G7*((R474-1)*IF(Skills!H7&gt;0,Skills!I7/Skills!H7,1)+IF(Skills!H7&gt;0,MIN(Skills!I7,MAX(0,MAX(0,Inputs!$B$43-B505)-((R474-1)*(IF(Inputs!$B$38="pvp",15,MAX(0.1,Skills!D7-IF(Skills!E7=TRUE,Inputs!$B$32,0)))*(1-IF(AND(ArtifactsInput!$M$27,Inputs!$B$4="Chapter Hunt"),CHOOSE(ArtifactsInput!$N$27+1,20,24,28,32,36,40),0)/100)))))/Skills!H7,1)))/Inputs!$B$43),G474*Q474))*IF(Inputs!$B$38="pvp",1,(1+(Inputs!$B$21+Skills!Q7+(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5">
      <c r="A475">
        <f>Skills!A8</f>
        <v/>
      </c>
      <c r="B475">
        <f>Skills!B8</f>
        <v/>
      </c>
      <c r="C475">
        <f>Inputs!$B$3&gt;=100</f>
        <v/>
      </c>
      <c r="D475">
        <f>IF(Skills!C8=1,60+Inputs!$B$25+Inputs!$B$29,IF(Skills!C8=2,90+Inputs!$B$26+Inputs!$B$29,IF(Skills!C8=3,120+Inputs!$B$27+Inputs!$B$29,MAX(0,(Inputs!$B$3-100)*3)+Inputs!$B$28+Inputs!$B$29)))</f>
        <v/>
      </c>
      <c r="E475">
        <f>INDEX(FactorTable!$B$2:$Y$301, MATCH(ROUND(MIN(300,MAX(1,D475)),0), FactorTable!$A$2:$A$301,0), Skills!M8+1)</f>
        <v/>
      </c>
      <c r="F475">
        <f>IF(Skills!N8=TRUE,(Skills!L8/10)*(E475/1000),Skills!L8/10)+Skills!O8</f>
        <v/>
      </c>
      <c r="G475">
        <f>Skills!G8*IF(Skills!H8&gt;0,Skills!I8/Skills!H8,1)</f>
        <v/>
      </c>
      <c r="H475">
        <f>1-(1-Skills!J8/100)^Skills!K8</f>
        <v/>
      </c>
      <c r="I475" t="inlineStr">
        <is>
          <t>1</t>
        </is>
      </c>
      <c r="J475">
        <f>((Inputs!$B$6*(1+Inputs!$B$7/100))+(((Inputs!$B$12*(1+Inputs!$B$13/100))-(Inputs!$B$12*(1+Inputs!$B$13/100)))+0.25*(Inputs!$B$14-Inputs!$B$14))*(1+Inputs!$B$7/100))*(F475/100)</f>
        <v/>
      </c>
      <c r="K475">
        <f>J475*(1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475)</f>
        <v/>
      </c>
      <c r="L475">
        <f>K475*(MIN(Inputs!$B$22+((C489=TRUE)*(F489-Calc!F22)),((Inputs!$B$23+1)+0+(IF(ArtifactsInput!$M$15,CHOOSE(ArtifactsInput!$N$15+1,25,30,35,40,45,50)/100*(Inputs!$B$11-Inputs!$B$11),0))))/100+((Inputs!$B$23+1)+0+(IF(ArtifactsInput!$M$15,CHOOSE(ArtifactsInput!$N$15+1,25,30,35,40,45,50)/100*(Inputs!$B$11-Inputs!$B$11),0)))/100)/2</f>
        <v/>
      </c>
      <c r="M475">
        <f>L475*(1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5">
        <f>L475*(1-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475*(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5">
        <f>(1-Summary!$B$11)*T475+Summary!$B$11*V475</f>
        <v/>
      </c>
      <c r="P475">
        <f>IF(B508=0,0,O475/B508)</f>
        <v/>
      </c>
      <c r="Q475">
        <f>IFERROR(1/(IF(Inputs!$B$38="pvp",15,MAX(0.1,Skills!D8-IF(Skills!E8=TRUE,Inputs!$B$32,0)))*(1-IF(AND(ArtifactsInput!$M$27,Inputs!$B$4="Chapter Hunt"),CHOOSE(ArtifactsInput!$N$27+1,20,24,28,32,36,40),0)/100)),0)</f>
        <v/>
      </c>
      <c r="R475">
        <f>IF(AND(Inputs!$B$38&lt;&gt;"pvp",Inputs!$B$43&gt;0),IF(MAX(0,Inputs!$B$43-B505)&lt;=0,0,(INT(MAX(0,Inputs!$B$43-B505)/(IF(Inputs!$B$38="pvp",15,MAX(0.1,Skills!D8-IF(Skills!E8=TRUE,Inputs!$B$32,0)))*(1-IF(AND(ArtifactsInput!$M$27,Inputs!$B$4="Chapter Hunt"),CHOOSE(ArtifactsInput!$N$27+1,20,24,28,32,36,40),0)/100)))+1)),0)</f>
        <v/>
      </c>
      <c r="S475">
        <f>IFERROR(O475/N475,0)</f>
        <v/>
      </c>
      <c r="T475">
        <f>IF(C475,(H475*N475*IF(AND(Inputs!$B$38&lt;&gt;"pvp",Inputs!$B$43&gt;0),((Skills!G8*((R475-1)*IF(Skills!H8&gt;0,Skills!I8/Skills!H8,1)+IF(Skills!H8&gt;0,MIN(Skills!I8,MAX(0,MAX(0,Inputs!$B$43-B505)-((R475-1)*(IF(Inputs!$B$38="pvp",15,MAX(0.1,Skills!D8-IF(Skills!E8=TRUE,Inputs!$B$32,0)))*(1-IF(AND(ArtifactsInput!$M$27,Inputs!$B$4="Chapter Hunt"),CHOOSE(ArtifactsInput!$N$27+1,20,24,28,32,36,40),0)/100)))))/Skills!H8,1)))/Inputs!$B$43),G475*Q475)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475*(1-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475*(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475*(1-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475*(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5">
        <f>IF(C475,(H475*N475*IF(AND(Inputs!$B$38&lt;&gt;"pvp",Inputs!$B$43&gt;0),((Skills!G8*((R475-1)*IF(Skills!H8&gt;0,Skills!I8/Skills!H8,1)+IF(Skills!H8&gt;0,MIN(Skills!I8,MAX(0,MAX(0,Inputs!$B$43-B505)-((R475-1)*(IF(Inputs!$B$38="pvp",15,MAX(0.1,Skills!D8-IF(Skills!E8=TRUE,Inputs!$B$32,0)))*(1-IF(AND(ArtifactsInput!$M$27,Inputs!$B$4="Chapter Hunt"),CHOOSE(ArtifactsInput!$N$27+1,20,24,28,32,36,40),0)/100)))))/Skills!H8,1)))/Inputs!$B$43),G475*Q475))*IF(Inputs!$B$38="pvp",1,(1+(Inputs!$B$21+Skills!Q8+(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6">
      <c r="A476">
        <f>Skills!A9</f>
        <v/>
      </c>
      <c r="B476">
        <f>Skills!B9</f>
        <v/>
      </c>
      <c r="C476">
        <f>Inputs!$B$3&gt;=103</f>
        <v/>
      </c>
      <c r="D476">
        <f>IF(Skills!C9=1,60+Inputs!$B$25+Inputs!$B$29,IF(Skills!C9=2,90+Inputs!$B$26+Inputs!$B$29,IF(Skills!C9=3,120+Inputs!$B$27+Inputs!$B$29,MAX(0,(Inputs!$B$3-100)*3)+Inputs!$B$28+Inputs!$B$29)))</f>
        <v/>
      </c>
      <c r="E476">
        <f>INDEX(FactorTable!$B$2:$Y$301, MATCH(ROUND(MIN(300,MAX(1,D476)),0), FactorTable!$A$2:$A$301,0), Skills!M9+1)</f>
        <v/>
      </c>
      <c r="F476">
        <f>IF(Skills!N9=TRUE,(Skills!L9/10)*(E476/1000),Skills!L9/10)+Skills!O9</f>
        <v/>
      </c>
      <c r="G476">
        <f>Skills!G9*IF(Skills!H9&gt;0,Skills!I9/Skills!H9,1)</f>
        <v/>
      </c>
      <c r="H476">
        <f>1-(1-Skills!J9/100)^Skills!K9</f>
        <v/>
      </c>
      <c r="I476" t="inlineStr">
        <is>
          <t>1</t>
        </is>
      </c>
      <c r="J476">
        <f>((Inputs!$B$6*(1+Inputs!$B$7/100))+(((Inputs!$B$12*(1+Inputs!$B$13/100))-(Inputs!$B$12*(1+Inputs!$B$13/100)))+0.25*(Inputs!$B$14-Inputs!$B$14))*(1+Inputs!$B$7/100))*(F476/100)</f>
        <v/>
      </c>
      <c r="K476">
        <f>J476*(1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476)</f>
        <v/>
      </c>
      <c r="L476">
        <f>K476*(MIN(Inputs!$B$22+((C489=TRUE)*(F489-Calc!F22)),((Inputs!$B$23+1)+0+(IF(ArtifactsInput!$M$15,CHOOSE(ArtifactsInput!$N$15+1,25,30,35,40,45,50)/100*(Inputs!$B$11-Inputs!$B$11),0))))/100+((Inputs!$B$23+1)+0+(IF(ArtifactsInput!$M$15,CHOOSE(ArtifactsInput!$N$15+1,25,30,35,40,45,50)/100*(Inputs!$B$11-Inputs!$B$11),0)))/100)/2</f>
        <v/>
      </c>
      <c r="M476">
        <f>L476*(1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6">
        <f>L476*(1-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476*(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6">
        <f>(1-Summary!$B$11)*T476+Summary!$B$11*V476</f>
        <v/>
      </c>
      <c r="P476">
        <f>IF(B508=0,0,O476/B508)</f>
        <v/>
      </c>
      <c r="Q476">
        <f>IFERROR(1/(IF(Inputs!$B$38="pvp",15,MAX(0.1,Skills!D9-IF(Skills!E9=TRUE,Inputs!$B$32,0)))*(1-IF(AND(ArtifactsInput!$M$27,Inputs!$B$4="Chapter Hunt"),CHOOSE(ArtifactsInput!$N$27+1,20,24,28,32,36,40),0)/100)),0)</f>
        <v/>
      </c>
      <c r="R476">
        <f>IF(AND(Inputs!$B$38&lt;&gt;"pvp",Inputs!$B$43&gt;0),IF(MAX(0,Inputs!$B$43-B505)&lt;=0,0,(INT(MAX(0,Inputs!$B$43-B505)/(IF(Inputs!$B$38="pvp",15,MAX(0.1,Skills!D9-IF(Skills!E9=TRUE,Inputs!$B$32,0)))*(1-IF(AND(ArtifactsInput!$M$27,Inputs!$B$4="Chapter Hunt"),CHOOSE(ArtifactsInput!$N$27+1,20,24,28,32,36,40),0)/100)))+1)),0)</f>
        <v/>
      </c>
      <c r="S476">
        <f>IFERROR(O476/N476,0)</f>
        <v/>
      </c>
      <c r="T476">
        <f>IF(C476,(H476*N476*IF(AND(Inputs!$B$38&lt;&gt;"pvp",Inputs!$B$43&gt;0),((Skills!G9*((R476-1)*IF(Skills!H9&gt;0,Skills!I9/Skills!H9,1)+IF(Skills!H9&gt;0,MIN(Skills!I9,MAX(0,MAX(0,Inputs!$B$43-B505)-((R476-1)*(IF(Inputs!$B$38="pvp",15,MAX(0.1,Skills!D9-IF(Skills!E9=TRUE,Inputs!$B$32,0)))*(1-IF(AND(ArtifactsInput!$M$27,Inputs!$B$4="Chapter Hunt"),CHOOSE(ArtifactsInput!$N$27+1,20,24,28,32,36,40),0)/100)))))/Skills!H9,1)))/Inputs!$B$43),G476*Q476)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476*(1-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476*(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476*(1-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476*(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6">
        <f>IF(C476,(H476*N476*IF(AND(Inputs!$B$38&lt;&gt;"pvp",Inputs!$B$43&gt;0),((Skills!G9*((R476-1)*IF(Skills!H9&gt;0,Skills!I9/Skills!H9,1)+IF(Skills!H9&gt;0,MIN(Skills!I9,MAX(0,MAX(0,Inputs!$B$43-B505)-((R476-1)*(IF(Inputs!$B$38="pvp",15,MAX(0.1,Skills!D9-IF(Skills!E9=TRUE,Inputs!$B$32,0)))*(1-IF(AND(ArtifactsInput!$M$27,Inputs!$B$4="Chapter Hunt"),CHOOSE(ArtifactsInput!$N$27+1,20,24,28,32,36,40),0)/100)))))/Skills!H9,1)))/Inputs!$B$43),G476*Q476))*IF(Inputs!$B$38="pvp",1,(1+(Inputs!$B$21+Skills!Q9+(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7">
      <c r="A477">
        <f>Skills!A10</f>
        <v/>
      </c>
      <c r="B477">
        <f>Skills!B10</f>
        <v/>
      </c>
      <c r="C477">
        <f>Inputs!$B$3&gt;=113</f>
        <v/>
      </c>
      <c r="D477">
        <f>IF(Skills!C10=1,60+Inputs!$B$25+Inputs!$B$29,IF(Skills!C10=2,90+Inputs!$B$26+Inputs!$B$29,IF(Skills!C10=3,120+Inputs!$B$27+Inputs!$B$29,MAX(0,(Inputs!$B$3-100)*3)+Inputs!$B$28+Inputs!$B$29)))</f>
        <v/>
      </c>
      <c r="E477">
        <f>INDEX(FactorTable!$B$2:$Y$301, MATCH(ROUND(MIN(300,MAX(1,D477)),0), FactorTable!$A$2:$A$301,0), Skills!M10+1)</f>
        <v/>
      </c>
      <c r="F477">
        <f>IF(Skills!N10=TRUE,(Skills!L10/10)*(E477/1000),Skills!L10/10)+Skills!O10</f>
        <v/>
      </c>
      <c r="G477">
        <f>Skills!G10*IF(Skills!H10&gt;0,Skills!I10/Skills!H10,1)</f>
        <v/>
      </c>
      <c r="H477">
        <f>1-(1-Skills!J10/100)^Skills!K10</f>
        <v/>
      </c>
      <c r="I477" t="inlineStr">
        <is>
          <t>1</t>
        </is>
      </c>
      <c r="J477">
        <f>((Inputs!$B$6*(1+Inputs!$B$7/100))+(((Inputs!$B$12*(1+Inputs!$B$13/100))-(Inputs!$B$12*(1+Inputs!$B$13/100)))+0.25*(Inputs!$B$14-Inputs!$B$14))*(1+Inputs!$B$7/100))*(F477/100)</f>
        <v/>
      </c>
      <c r="K477">
        <f>J477*(1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477)</f>
        <v/>
      </c>
      <c r="L477">
        <f>K477*(MIN(Inputs!$B$22+((C489=TRUE)*(F489-Calc!F22)),((Inputs!$B$23+1)+0+(IF(ArtifactsInput!$M$15,CHOOSE(ArtifactsInput!$N$15+1,25,30,35,40,45,50)/100*(Inputs!$B$11-Inputs!$B$11),0))))/100+((Inputs!$B$23+1)+0+(IF(ArtifactsInput!$M$15,CHOOSE(ArtifactsInput!$N$15+1,25,30,35,40,45,50)/100*(Inputs!$B$11-Inputs!$B$11),0)))/100)/2</f>
        <v/>
      </c>
      <c r="M477">
        <f>L477*(1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7">
        <f>L477*(1-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477*(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7">
        <f>(1-Summary!$B$11)*T477+Summary!$B$11*V477</f>
        <v/>
      </c>
      <c r="P477">
        <f>IF(B508=0,0,O477/B508)</f>
        <v/>
      </c>
      <c r="Q477">
        <f>IFERROR(1/(IF(Inputs!$B$38="pvp",15,MAX(0.1,Skills!D10-IF(Skills!E10=TRUE,Inputs!$B$32,0)))*(1-IF(AND(ArtifactsInput!$M$27,Inputs!$B$4="Chapter Hunt"),CHOOSE(ArtifactsInput!$N$27+1,20,24,28,32,36,40),0)/100)),0)</f>
        <v/>
      </c>
      <c r="R477">
        <f>IF(AND(Inputs!$B$38&lt;&gt;"pvp",Inputs!$B$43&gt;0),IF(MAX(0,Inputs!$B$43-B505)&lt;=0,0,(INT(MAX(0,Inputs!$B$43-B505)/(IF(Inputs!$B$38="pvp",15,MAX(0.1,Skills!D10-IF(Skills!E10=TRUE,Inputs!$B$32,0)))*(1-IF(AND(ArtifactsInput!$M$27,Inputs!$B$4="Chapter Hunt"),CHOOSE(ArtifactsInput!$N$27+1,20,24,28,32,36,40),0)/100)))+1)),0)</f>
        <v/>
      </c>
      <c r="S477">
        <f>IFERROR(O477/N477,0)</f>
        <v/>
      </c>
      <c r="T477">
        <f>IF(C477,(H477*N477*IF(AND(Inputs!$B$38&lt;&gt;"pvp",Inputs!$B$43&gt;0),((Skills!G10*((R477-1)*IF(Skills!H10&gt;0,Skills!I10/Skills!H10,1)+IF(Skills!H10&gt;0,MIN(Skills!I10,MAX(0,MAX(0,Inputs!$B$43-B505)-((R477-1)*(IF(Inputs!$B$38="pvp",15,MAX(0.1,Skills!D10-IF(Skills!E10=TRUE,Inputs!$B$32,0)))*(1-IF(AND(ArtifactsInput!$M$27,Inputs!$B$4="Chapter Hunt"),CHOOSE(ArtifactsInput!$N$27+1,20,24,28,32,36,40),0)/100)))))/Skills!H10,1)))/Inputs!$B$43),G477*Q477)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477*(1-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477*(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477*(1-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477*(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7">
        <f>IF(C477,(H477*N477*IF(AND(Inputs!$B$38&lt;&gt;"pvp",Inputs!$B$43&gt;0),((Skills!G10*((R477-1)*IF(Skills!H10&gt;0,Skills!I10/Skills!H10,1)+IF(Skills!H10&gt;0,MIN(Skills!I10,MAX(0,MAX(0,Inputs!$B$43-B505)-((R477-1)*(IF(Inputs!$B$38="pvp",15,MAX(0.1,Skills!D10-IF(Skills!E10=TRUE,Inputs!$B$32,0)))*(1-IF(AND(ArtifactsInput!$M$27,Inputs!$B$4="Chapter Hunt"),CHOOSE(ArtifactsInput!$N$27+1,20,24,28,32,36,40),0)/100)))))/Skills!H10,1)))/Inputs!$B$43),G477*Q477))*IF(Inputs!$B$38="pvp",1,(1+(Inputs!$B$21+Skills!Q10+(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8">
      <c r="A478">
        <f>Skills!A11</f>
        <v/>
      </c>
      <c r="B478">
        <f>Skills!B11</f>
        <v/>
      </c>
      <c r="C478">
        <f>Inputs!$B$3&gt;=107</f>
        <v/>
      </c>
      <c r="D478">
        <f>IF(Skills!C11=1,60+Inputs!$B$25+Inputs!$B$29,IF(Skills!C11=2,90+Inputs!$B$26+Inputs!$B$29,IF(Skills!C11=3,120+Inputs!$B$27+Inputs!$B$29,MAX(0,(Inputs!$B$3-100)*3)+Inputs!$B$28+Inputs!$B$29)))</f>
        <v/>
      </c>
      <c r="E478">
        <f>INDEX(FactorTable!$B$2:$Y$301, MATCH(ROUND(MIN(300,MAX(1,D478)),0), FactorTable!$A$2:$A$301,0), Skills!M11+1)</f>
        <v/>
      </c>
      <c r="F478">
        <f>IF(Skills!N11=TRUE,(Skills!L11/10)*(E478/1000),Skills!L11/10)+Skills!O11</f>
        <v/>
      </c>
      <c r="G478">
        <f>Skills!G11*IF(Skills!H11&gt;0,Skills!I11/Skills!H11,1)</f>
        <v/>
      </c>
      <c r="H478">
        <f>1-(1-Skills!J11/100)^Skills!K11</f>
        <v/>
      </c>
      <c r="I478" t="inlineStr">
        <is>
          <t>1</t>
        </is>
      </c>
      <c r="J478">
        <f>((Inputs!$B$6*(1+Inputs!$B$7/100))+(((Inputs!$B$12*(1+Inputs!$B$13/100))-(Inputs!$B$12*(1+Inputs!$B$13/100)))+0.25*(Inputs!$B$14-Inputs!$B$14))*(1+Inputs!$B$7/100))*(F478/100)</f>
        <v/>
      </c>
      <c r="K478">
        <f>J478*(1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478)</f>
        <v/>
      </c>
      <c r="L478">
        <f>K478*(MIN(Inputs!$B$22+((C489=TRUE)*(F489-Calc!F22)),((Inputs!$B$23+1)+0+(IF(ArtifactsInput!$M$15,CHOOSE(ArtifactsInput!$N$15+1,25,30,35,40,45,50)/100*(Inputs!$B$11-Inputs!$B$11),0))))/100+((Inputs!$B$23+1)+0+(IF(ArtifactsInput!$M$15,CHOOSE(ArtifactsInput!$N$15+1,25,30,35,40,45,50)/100*(Inputs!$B$11-Inputs!$B$11),0)))/100)/2</f>
        <v/>
      </c>
      <c r="M478">
        <f>L478*(1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8">
        <f>L478*(1-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478*(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8">
        <f>(1-Summary!$B$11)*T478+Summary!$B$11*V478</f>
        <v/>
      </c>
      <c r="P478">
        <f>IF(B508=0,0,O478/B508)</f>
        <v/>
      </c>
      <c r="Q478">
        <f>IFERROR(1/(IF(Inputs!$B$38="pvp",15,MAX(0.1,Skills!D11-IF(Skills!E11=TRUE,Inputs!$B$32,0)))*(1-IF(AND(ArtifactsInput!$M$27,Inputs!$B$4="Chapter Hunt"),CHOOSE(ArtifactsInput!$N$27+1,20,24,28,32,36,40),0)/100)),0)</f>
        <v/>
      </c>
      <c r="R478">
        <f>IF(AND(Inputs!$B$38&lt;&gt;"pvp",Inputs!$B$43&gt;0),IF(MAX(0,Inputs!$B$43-B505)&lt;=0,0,(INT(MAX(0,Inputs!$B$43-B505)/(IF(Inputs!$B$38="pvp",15,MAX(0.1,Skills!D11-IF(Skills!E11=TRUE,Inputs!$B$32,0)))*(1-IF(AND(ArtifactsInput!$M$27,Inputs!$B$4="Chapter Hunt"),CHOOSE(ArtifactsInput!$N$27+1,20,24,28,32,36,40),0)/100)))+1)),0)</f>
        <v/>
      </c>
      <c r="S478">
        <f>IFERROR(O478/N478,0)</f>
        <v/>
      </c>
      <c r="T478">
        <f>IF(C478,(H478*N478*IF(AND(Inputs!$B$38&lt;&gt;"pvp",Inputs!$B$43&gt;0),((Skills!G11*((R478-1)*IF(Skills!H11&gt;0,Skills!I11/Skills!H11,1)+IF(Skills!H11&gt;0,MIN(Skills!I11,MAX(0,MAX(0,Inputs!$B$43-B505)-((R478-1)*(IF(Inputs!$B$38="pvp",15,MAX(0.1,Skills!D11-IF(Skills!E11=TRUE,Inputs!$B$32,0)))*(1-IF(AND(ArtifactsInput!$M$27,Inputs!$B$4="Chapter Hunt"),CHOOSE(ArtifactsInput!$N$27+1,20,24,28,32,36,40),0)/100)))))/Skills!H11,1)))/Inputs!$B$43),G478*Q478)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478*(1-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478*(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478*(1-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478*(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8">
        <f>IF(C478,(H478*N478*IF(AND(Inputs!$B$38&lt;&gt;"pvp",Inputs!$B$43&gt;0),((Skills!G11*((R478-1)*IF(Skills!H11&gt;0,Skills!I11/Skills!H11,1)+IF(Skills!H11&gt;0,MIN(Skills!I11,MAX(0,MAX(0,Inputs!$B$43-B505)-((R478-1)*(IF(Inputs!$B$38="pvp",15,MAX(0.1,Skills!D11-IF(Skills!E11=TRUE,Inputs!$B$32,0)))*(1-IF(AND(ArtifactsInput!$M$27,Inputs!$B$4="Chapter Hunt"),CHOOSE(ArtifactsInput!$N$27+1,20,24,28,32,36,40),0)/100)))))/Skills!H11,1)))/Inputs!$B$43),G478*Q478))*IF(Inputs!$B$38="pvp",1,(1+(Inputs!$B$21+Skills!Q11+(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9">
      <c r="A479">
        <f>Skills!A12</f>
        <v/>
      </c>
      <c r="B479">
        <f>Skills!B12</f>
        <v/>
      </c>
      <c r="C479">
        <f>Inputs!$B$3&gt;=110</f>
        <v/>
      </c>
      <c r="D479">
        <f>IF(Skills!C12=1,60+Inputs!$B$25+Inputs!$B$29,IF(Skills!C12=2,90+Inputs!$B$26+Inputs!$B$29,IF(Skills!C12=3,120+Inputs!$B$27+Inputs!$B$29,MAX(0,(Inputs!$B$3-100)*3)+Inputs!$B$28+Inputs!$B$29)))</f>
        <v/>
      </c>
      <c r="E479">
        <f>INDEX(FactorTable!$B$2:$Y$301, MATCH(ROUND(MIN(300,MAX(1,D479)),0), FactorTable!$A$2:$A$301,0), Skills!M12+1)</f>
        <v/>
      </c>
      <c r="F479">
        <f>IF(Skills!N12=TRUE,(Skills!L12/10)*(E479/1000),Skills!L12/10)+Skills!O12</f>
        <v/>
      </c>
      <c r="G479">
        <f>Skills!G12*IF(Skills!H12&gt;0,Skills!I12/Skills!H12,1)</f>
        <v/>
      </c>
      <c r="H479">
        <f>1-(1-Skills!J12/100)^Skills!K12</f>
        <v/>
      </c>
      <c r="I479" t="inlineStr">
        <is>
          <t>1</t>
        </is>
      </c>
      <c r="J479">
        <f>((Inputs!$B$6*(1+Inputs!$B$7/100))+(((Inputs!$B$12*(1+Inputs!$B$13/100))-(Inputs!$B$12*(1+Inputs!$B$13/100)))+0.25*(Inputs!$B$14-Inputs!$B$14))*(1+Inputs!$B$7/100))*(F479/100)</f>
        <v/>
      </c>
      <c r="K479">
        <f>J479*(1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479)</f>
        <v/>
      </c>
      <c r="L479">
        <f>K479*(MIN(Inputs!$B$22+((C489=TRUE)*(F489-Calc!F22)),((Inputs!$B$23+1)+0+(IF(ArtifactsInput!$M$15,CHOOSE(ArtifactsInput!$N$15+1,25,30,35,40,45,50)/100*(Inputs!$B$11-Inputs!$B$11),0))))/100+((Inputs!$B$23+1)+0+(IF(ArtifactsInput!$M$15,CHOOSE(ArtifactsInput!$N$15+1,25,30,35,40,45,50)/100*(Inputs!$B$11-Inputs!$B$11),0)))/100)/2</f>
        <v/>
      </c>
      <c r="M479">
        <f>L479*(1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9">
        <f>L479*(1-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479*(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9">
        <f>(1-Summary!$B$11)*T479+Summary!$B$11*V479</f>
        <v/>
      </c>
      <c r="P479">
        <f>IF(B508=0,0,O479/B508)</f>
        <v/>
      </c>
      <c r="Q479">
        <f>IFERROR(1/(IF(Inputs!$B$38="pvp",15,MAX(0.1,Skills!D12-IF(Skills!E12=TRUE,Inputs!$B$32,0)))*(1-IF(AND(ArtifactsInput!$M$27,Inputs!$B$4="Chapter Hunt"),CHOOSE(ArtifactsInput!$N$27+1,20,24,28,32,36,40),0)/100)),0)</f>
        <v/>
      </c>
      <c r="R479">
        <f>IF(AND(Inputs!$B$38&lt;&gt;"pvp",Inputs!$B$43&gt;0),IF(MAX(0,Inputs!$B$43-B505)&lt;=0,0,(INT(MAX(0,Inputs!$B$43-B505)/(IF(Inputs!$B$38="pvp",15,MAX(0.1,Skills!D12-IF(Skills!E12=TRUE,Inputs!$B$32,0)))*(1-IF(AND(ArtifactsInput!$M$27,Inputs!$B$4="Chapter Hunt"),CHOOSE(ArtifactsInput!$N$27+1,20,24,28,32,36,40),0)/100)))+1)),0)</f>
        <v/>
      </c>
      <c r="S479">
        <f>IFERROR(O479/N479,0)</f>
        <v/>
      </c>
      <c r="T479">
        <f>IF(C479,(H479*N479*IF(AND(Inputs!$B$38&lt;&gt;"pvp",Inputs!$B$43&gt;0),((Skills!G12*((R479-1)*IF(Skills!H12&gt;0,Skills!I12/Skills!H12,1)+IF(Skills!H12&gt;0,MIN(Skills!I12,MAX(0,MAX(0,Inputs!$B$43-B505)-((R479-1)*(IF(Inputs!$B$38="pvp",15,MAX(0.1,Skills!D12-IF(Skills!E12=TRUE,Inputs!$B$32,0)))*(1-IF(AND(ArtifactsInput!$M$27,Inputs!$B$4="Chapter Hunt"),CHOOSE(ArtifactsInput!$N$27+1,20,24,28,32,36,40),0)/100)))))/Skills!H12,1)))/Inputs!$B$43),G479*Q479)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479*(1-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479*(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479*(1-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479*(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9">
        <f>IF(C479,(H479*N479*IF(AND(Inputs!$B$38&lt;&gt;"pvp",Inputs!$B$43&gt;0),((Skills!G12*((R479-1)*IF(Skills!H12&gt;0,Skills!I12/Skills!H12,1)+IF(Skills!H12&gt;0,MIN(Skills!I12,MAX(0,MAX(0,Inputs!$B$43-B505)-((R479-1)*(IF(Inputs!$B$38="pvp",15,MAX(0.1,Skills!D12-IF(Skills!E12=TRUE,Inputs!$B$32,0)))*(1-IF(AND(ArtifactsInput!$M$27,Inputs!$B$4="Chapter Hunt"),CHOOSE(ArtifactsInput!$N$27+1,20,24,28,32,36,40),0)/100)))))/Skills!H12,1)))/Inputs!$B$43),G479*Q479))*IF(Inputs!$B$38="pvp",1,(1+(Inputs!$B$21+Skills!Q12+(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0">
      <c r="A480">
        <f>Skills!A13</f>
        <v/>
      </c>
      <c r="B480">
        <f>Skills!B13</f>
        <v/>
      </c>
      <c r="C480">
        <f>Inputs!$B$3&gt;=110</f>
        <v/>
      </c>
      <c r="D480">
        <f>IF(Skills!C13=1,60+Inputs!$B$25+Inputs!$B$29,IF(Skills!C13=2,90+Inputs!$B$26+Inputs!$B$29,IF(Skills!C13=3,120+Inputs!$B$27+Inputs!$B$29,MAX(0,(Inputs!$B$3-100)*3)+Inputs!$B$28+Inputs!$B$29)))</f>
        <v/>
      </c>
      <c r="E480">
        <f>INDEX(FactorTable!$B$2:$Y$301, MATCH(ROUND(MIN(300,MAX(1,D480)),0), FactorTable!$A$2:$A$301,0), Skills!M13+1)</f>
        <v/>
      </c>
      <c r="F480">
        <f>IF(Skills!N13=TRUE,(Skills!L13/10)*(E480/1000),Skills!L13/10)+Skills!O13</f>
        <v/>
      </c>
      <c r="G480">
        <f>Skills!G13*IF(Skills!H13&gt;0,Skills!I13/Skills!H13,1)</f>
        <v/>
      </c>
      <c r="H480">
        <f>1-(1-Skills!J13/100)^Skills!K13</f>
        <v/>
      </c>
      <c r="I480" t="inlineStr">
        <is>
          <t>1</t>
        </is>
      </c>
      <c r="J480">
        <f>((Inputs!$B$6*(1+Inputs!$B$7/100))+(((Inputs!$B$12*(1+Inputs!$B$13/100))-(Inputs!$B$12*(1+Inputs!$B$13/100)))+0.25*(Inputs!$B$14-Inputs!$B$14))*(1+Inputs!$B$7/100))*(F480/100)</f>
        <v/>
      </c>
      <c r="K480">
        <f>J480*(1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480)</f>
        <v/>
      </c>
      <c r="L480">
        <f>K480*(MIN(Inputs!$B$22+((C489=TRUE)*(F489-Calc!F22)),((Inputs!$B$23+1)+0+(IF(ArtifactsInput!$M$15,CHOOSE(ArtifactsInput!$N$15+1,25,30,35,40,45,50)/100*(Inputs!$B$11-Inputs!$B$11),0))))/100+((Inputs!$B$23+1)+0+(IF(ArtifactsInput!$M$15,CHOOSE(ArtifactsInput!$N$15+1,25,30,35,40,45,50)/100*(Inputs!$B$11-Inputs!$B$11),0)))/100)/2</f>
        <v/>
      </c>
      <c r="M480">
        <f>L480*(1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0">
        <f>L480*(1-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480*(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0">
        <f>(1-Summary!$B$11)*T480+Summary!$B$11*V480</f>
        <v/>
      </c>
      <c r="P480">
        <f>IF(B508=0,0,O480/B508)</f>
        <v/>
      </c>
      <c r="Q480">
        <f>IFERROR(1/(IF(Inputs!$B$38="pvp",15,MAX(0.1,Skills!D13-IF(Skills!E13=TRUE,Inputs!$B$32,0)))*(1-IF(AND(ArtifactsInput!$M$27,Inputs!$B$4="Chapter Hunt"),CHOOSE(ArtifactsInput!$N$27+1,20,24,28,32,36,40),0)/100)),0)</f>
        <v/>
      </c>
      <c r="R480">
        <f>IF(AND(Inputs!$B$38&lt;&gt;"pvp",Inputs!$B$43&gt;0),IF(MAX(0,Inputs!$B$43-B505)&lt;=0,0,(INT(MAX(0,Inputs!$B$43-B505)/(IF(Inputs!$B$38="pvp",15,MAX(0.1,Skills!D13-IF(Skills!E13=TRUE,Inputs!$B$32,0)))*(1-IF(AND(ArtifactsInput!$M$27,Inputs!$B$4="Chapter Hunt"),CHOOSE(ArtifactsInput!$N$27+1,20,24,28,32,36,40),0)/100)))+1)),0)</f>
        <v/>
      </c>
      <c r="S480">
        <f>IFERROR(O480/N480,0)</f>
        <v/>
      </c>
      <c r="T480">
        <f>IF(C480,(H480*N480*IF(AND(Inputs!$B$38&lt;&gt;"pvp",Inputs!$B$43&gt;0),((Skills!G13*((R480-1)*IF(Skills!H13&gt;0,Skills!I13/Skills!H13,1)+IF(Skills!H13&gt;0,MIN(Skills!I13,MAX(0,MAX(0,Inputs!$B$43-B505)-((R480-1)*(IF(Inputs!$B$38="pvp",15,MAX(0.1,Skills!D13-IF(Skills!E13=TRUE,Inputs!$B$32,0)))*(1-IF(AND(ArtifactsInput!$M$27,Inputs!$B$4="Chapter Hunt"),CHOOSE(ArtifactsInput!$N$27+1,20,24,28,32,36,40),0)/100)))))/Skills!H13,1)))/Inputs!$B$43),G480*Q480)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480*(1-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480*(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480*(1-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480*(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0">
        <f>IF(C480,(H480*N480*IF(AND(Inputs!$B$38&lt;&gt;"pvp",Inputs!$B$43&gt;0),((Skills!G13*((R480-1)*IF(Skills!H13&gt;0,Skills!I13/Skills!H13,1)+IF(Skills!H13&gt;0,MIN(Skills!I13,MAX(0,MAX(0,Inputs!$B$43-B505)-((R480-1)*(IF(Inputs!$B$38="pvp",15,MAX(0.1,Skills!D13-IF(Skills!E13=TRUE,Inputs!$B$32,0)))*(1-IF(AND(ArtifactsInput!$M$27,Inputs!$B$4="Chapter Hunt"),CHOOSE(ArtifactsInput!$N$27+1,20,24,28,32,36,40),0)/100)))))/Skills!H13,1)))/Inputs!$B$43),G480*Q480))*IF(Inputs!$B$38="pvp",1,(1+(Inputs!$B$21+Skills!Q13+(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1">
      <c r="A481">
        <f>Skills!A14</f>
        <v/>
      </c>
      <c r="B481">
        <f>Skills!B14</f>
        <v/>
      </c>
      <c r="C481">
        <f>Inputs!$B$3&gt;=125</f>
        <v/>
      </c>
      <c r="D481">
        <f>IF(Skills!C14=1,60+Inputs!$B$25+Inputs!$B$29,IF(Skills!C14=2,90+Inputs!$B$26+Inputs!$B$29,IF(Skills!C14=3,120+Inputs!$B$27+Inputs!$B$29,MAX(0,(Inputs!$B$3-100)*3)+Inputs!$B$28+Inputs!$B$29)))</f>
        <v/>
      </c>
      <c r="E481">
        <f>INDEX(FactorTable!$B$2:$Y$301, MATCH(ROUND(MIN(300,MAX(1,D481)),0), FactorTable!$A$2:$A$301,0), Skills!M14+1)</f>
        <v/>
      </c>
      <c r="F481">
        <f>IF(Skills!N14=TRUE,(Skills!L14/10)*(E481/1000),Skills!L14/10)+Skills!O14</f>
        <v/>
      </c>
      <c r="G481">
        <f>Skills!G14*IF(Skills!H14&gt;0,Skills!I14/Skills!H14,1)</f>
        <v/>
      </c>
      <c r="H481">
        <f>1-(1-Skills!J14/100)^Skills!K14</f>
        <v/>
      </c>
      <c r="I481" t="inlineStr">
        <is>
          <t>1</t>
        </is>
      </c>
      <c r="J481">
        <f>((Inputs!$B$6*(1+Inputs!$B$7/100))+(((Inputs!$B$12*(1+Inputs!$B$13/100))-(Inputs!$B$12*(1+Inputs!$B$13/100)))+0.25*(Inputs!$B$14-Inputs!$B$14))*(1+Inputs!$B$7/100))*(F481/100)</f>
        <v/>
      </c>
      <c r="K481">
        <f>J481*(1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481)</f>
        <v/>
      </c>
      <c r="L481">
        <f>K481*(MIN(Inputs!$B$22+((C489=TRUE)*(F489-Calc!F22)),((Inputs!$B$23+1)+0+(IF(ArtifactsInput!$M$15,CHOOSE(ArtifactsInput!$N$15+1,25,30,35,40,45,50)/100*(Inputs!$B$11-Inputs!$B$11),0))))/100+((Inputs!$B$23+1)+0+(IF(ArtifactsInput!$M$15,CHOOSE(ArtifactsInput!$N$15+1,25,30,35,40,45,50)/100*(Inputs!$B$11-Inputs!$B$11),0)))/100)/2</f>
        <v/>
      </c>
      <c r="M481">
        <f>L481*(1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1">
        <f>L481*(1-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1">
        <f>(1-Summary!$B$11)*T481+Summary!$B$11*V481</f>
        <v/>
      </c>
      <c r="P481">
        <f>IF(B508=0,0,O481/B508)</f>
        <v/>
      </c>
      <c r="Q481" t="n">
        <v>0</v>
      </c>
      <c r="R481" t="n">
        <v>0</v>
      </c>
      <c r="S481">
        <f>IFERROR(O481/N481,0)</f>
        <v/>
      </c>
      <c r="T481">
        <f>IF(C481,(H481*N481*(B502+IF(AND(Inputs!$B$38&lt;&gt;"pvp",Inputs!$B$43&gt;0),((Skills!G8*((R475-1)*IF(Skills!H8&gt;0,Skills!I8/Skills!H8,1)+IF(Skills!H8&gt;0,MIN(Skills!I8,MAX(0,MAX(0,Inputs!$B$43-B505)-((R475-1)*(IF(Inputs!$B$38="pvp",15,MAX(0.1,Skills!D8-IF(Skills!E8=TRUE,Inputs!$B$32,0)))*(1-IF(AND(ArtifactsInput!$M$27,Inputs!$B$4="Chapter Hunt"),CHOOSE(ArtifactsInput!$N$27+1,20,24,28,32,36,40),0)/100)))))/Skills!H8,1)))/Inputs!$B$43),G475*Q475)+IF(AND(Inputs!$B$38&lt;&gt;"pvp",Inputs!$B$43&gt;0),((Skills!G11*((R478-1)*IF(Skills!H11&gt;0,Skills!I11/Skills!H11,1)+IF(Skills!H11&gt;0,MIN(Skills!I11,MAX(0,MAX(0,Inputs!$B$43-B505)-((R478-1)*(IF(Inputs!$B$38="pvp",15,MAX(0.1,Skills!D11-IF(Skills!E11=TRUE,Inputs!$B$32,0)))*(1-IF(AND(ArtifactsInput!$M$27,Inputs!$B$4="Chapter Hunt"),CHOOSE(ArtifactsInput!$N$27+1,20,24,28,32,36,40),0)/100)))))/Skills!H11,1)))/Inputs!$B$43),G478*Q478)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481*(1-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481*(1-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1">
        <f>IF(C481,(H481*N481*(B502+IF(AND(Inputs!$B$38&lt;&gt;"pvp",Inputs!$B$43&gt;0),((Skills!G8*((R475-1)*IF(Skills!H8&gt;0,Skills!I8/Skills!H8,1)+IF(Skills!H8&gt;0,MIN(Skills!I8,MAX(0,MAX(0,Inputs!$B$43-B505)-((R475-1)*(IF(Inputs!$B$38="pvp",15,MAX(0.1,Skills!D8-IF(Skills!E8=TRUE,Inputs!$B$32,0)))*(1-IF(AND(ArtifactsInput!$M$27,Inputs!$B$4="Chapter Hunt"),CHOOSE(ArtifactsInput!$N$27+1,20,24,28,32,36,40),0)/100)))))/Skills!H8,1)))/Inputs!$B$43),G475*Q475)+IF(AND(Inputs!$B$38&lt;&gt;"pvp",Inputs!$B$43&gt;0),((Skills!G11*((R478-1)*IF(Skills!H11&gt;0,Skills!I11/Skills!H11,1)+IF(Skills!H11&gt;0,MIN(Skills!I11,MAX(0,MAX(0,Inputs!$B$43-B505)-((R478-1)*(IF(Inputs!$B$38="pvp",15,MAX(0.1,Skills!D11-IF(Skills!E11=TRUE,Inputs!$B$32,0)))*(1-IF(AND(ArtifactsInput!$M$27,Inputs!$B$4="Chapter Hunt"),CHOOSE(ArtifactsInput!$N$27+1,20,24,28,32,36,40),0)/100)))))/Skills!H11,1)))/Inputs!$B$43),G478*Q478)))*IF(Inputs!$B$38="pvp",1,(1+(Inputs!$B$21+Skills!Q14+(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2">
      <c r="A482">
        <f>Skills!A15</f>
        <v/>
      </c>
      <c r="B482">
        <f>Skills!B15</f>
        <v/>
      </c>
      <c r="C482">
        <f>Inputs!$B$3&gt;=100</f>
        <v/>
      </c>
      <c r="D482">
        <f>IF(Skills!C15=1,60+Inputs!$B$25+Inputs!$B$29,IF(Skills!C15=2,90+Inputs!$B$26+Inputs!$B$29,IF(Skills!C15=3,120+Inputs!$B$27+Inputs!$B$29,MAX(0,(Inputs!$B$3-100)*3)+Inputs!$B$28+Inputs!$B$29)))</f>
        <v/>
      </c>
      <c r="E482">
        <f>INDEX(FactorTable!$B$2:$Y$301, MATCH(ROUND(MIN(300,MAX(1,D482)),0), FactorTable!$A$2:$A$301,0), Skills!M15+1)</f>
        <v/>
      </c>
      <c r="F482">
        <f>IF(Skills!N15=TRUE,(Skills!L15/10)*(E482/1000),Skills!L15/10)+Skills!O15</f>
        <v/>
      </c>
      <c r="G482" t="inlineStr"/>
      <c r="H482" t="inlineStr"/>
      <c r="I482" t="inlineStr">
        <is>
          <t>1</t>
        </is>
      </c>
      <c r="J482" t="inlineStr"/>
      <c r="K482" t="inlineStr"/>
      <c r="L482" t="inlineStr"/>
      <c r="M482" t="inlineStr"/>
      <c r="N482" t="inlineStr"/>
      <c r="O482" t="inlineStr"/>
      <c r="P482" t="inlineStr"/>
      <c r="Q482" t="inlineStr"/>
      <c r="R482" t="inlineStr"/>
      <c r="S482" t="inlineStr"/>
    </row>
    <row r="483">
      <c r="A483">
        <f>Skills!A16</f>
        <v/>
      </c>
      <c r="B483">
        <f>Skills!B16</f>
        <v/>
      </c>
      <c r="C483">
        <f>Inputs!$B$3&gt;=120</f>
        <v/>
      </c>
      <c r="D483">
        <f>IF(Skills!C16=1,60+Inputs!$B$25+Inputs!$B$29,IF(Skills!C16=2,90+Inputs!$B$26+Inputs!$B$29,IF(Skills!C16=3,120+Inputs!$B$27+Inputs!$B$29,MAX(0,(Inputs!$B$3-100)*3)+Inputs!$B$28+Inputs!$B$29)))</f>
        <v/>
      </c>
      <c r="E483">
        <f>INDEX(FactorTable!$B$2:$Y$301, MATCH(ROUND(MIN(300,MAX(1,D483)),0), FactorTable!$A$2:$A$301,0), Skills!M16+1)</f>
        <v/>
      </c>
      <c r="F483">
        <f>IF(Skills!N16=TRUE,(Skills!L16/10)*(E483/1000),Skills!L16/10)+Skills!O16</f>
        <v/>
      </c>
      <c r="G483" t="inlineStr"/>
      <c r="H483" t="inlineStr"/>
      <c r="I483" t="inlineStr">
        <is>
          <t>1</t>
        </is>
      </c>
      <c r="J483" t="inlineStr"/>
      <c r="K483" t="inlineStr"/>
      <c r="L483" t="inlineStr"/>
      <c r="M483" t="inlineStr"/>
      <c r="N483" t="inlineStr"/>
      <c r="O483" t="inlineStr"/>
      <c r="P483" t="inlineStr"/>
      <c r="Q483" t="inlineStr"/>
      <c r="R483" t="inlineStr"/>
      <c r="S483" t="inlineStr"/>
    </row>
    <row r="484">
      <c r="A484">
        <f>Skills!A17</f>
        <v/>
      </c>
      <c r="B484">
        <f>Skills!B17</f>
        <v/>
      </c>
      <c r="C484">
        <f>Inputs!$B$3&gt;=66</f>
        <v/>
      </c>
      <c r="D484">
        <f>IF(Skills!C17=1,60+Inputs!$B$25+Inputs!$B$29,IF(Skills!C17=2,90+Inputs!$B$26+Inputs!$B$29,IF(Skills!C17=3,120+Inputs!$B$27+Inputs!$B$29,MAX(0,(Inputs!$B$3-100)*3)+Inputs!$B$28+Inputs!$B$29)))</f>
        <v/>
      </c>
      <c r="E484">
        <f>INDEX(FactorTable!$B$2:$Y$301, MATCH(ROUND(MIN(300,MAX(1,D484)),0), FactorTable!$A$2:$A$301,0), Skills!M17+1)</f>
        <v/>
      </c>
      <c r="F484">
        <f>IF(Skills!N17=TRUE,(Skills!L17/10)*(E484/1000),Skills!L17/10)+Skills!O17</f>
        <v/>
      </c>
      <c r="G484">
        <f>Skills!G17*IF(Skills!H17&gt;0,Skills!I17/Skills!H17,1)</f>
        <v/>
      </c>
      <c r="H484">
        <f>1-(1-Skills!J17/100)^Skills!K17</f>
        <v/>
      </c>
      <c r="I484" t="inlineStr">
        <is>
          <t>1</t>
        </is>
      </c>
      <c r="J484" t="inlineStr"/>
      <c r="K484" t="inlineStr"/>
      <c r="L484" t="inlineStr"/>
      <c r="M484" t="inlineStr"/>
      <c r="N484" t="inlineStr"/>
      <c r="O484">
        <f>(1-Summary!$B$11)*T484+Summary!$B$11*V484</f>
        <v/>
      </c>
      <c r="P484">
        <f>IF(B508=0,0,O484/B508)</f>
        <v/>
      </c>
      <c r="Q484" t="n">
        <v>0</v>
      </c>
      <c r="R484" t="n">
        <v>0</v>
      </c>
      <c r="S484">
        <f>IFERROR(O484/N484,0)</f>
        <v/>
      </c>
      <c r="T484" t="n">
        <v>0</v>
      </c>
      <c r="V484" t="n">
        <v>0</v>
      </c>
    </row>
    <row r="485">
      <c r="A485">
        <f>Skills!A18</f>
        <v/>
      </c>
      <c r="B485">
        <f>Skills!B18</f>
        <v/>
      </c>
      <c r="C485">
        <f>Inputs!$B$3&gt;=115</f>
        <v/>
      </c>
      <c r="D485">
        <f>IF(Skills!C18=1,60+Inputs!$B$25+Inputs!$B$29,IF(Skills!C18=2,90+Inputs!$B$26+Inputs!$B$29,IF(Skills!C18=3,120+Inputs!$B$27+Inputs!$B$29,MAX(0,(Inputs!$B$3-100)*3)+Inputs!$B$28+Inputs!$B$29)))</f>
        <v/>
      </c>
      <c r="E485">
        <f>INDEX(FactorTable!$B$2:$Y$301, MATCH(ROUND(MIN(300,MAX(1,D485)),0), FactorTable!$A$2:$A$301,0), Skills!M18+1)</f>
        <v/>
      </c>
      <c r="F485">
        <f>IF(Skills!N18=TRUE,(Skills!L18/10)*(E485/1000),Skills!L18/10)+Skills!O18</f>
        <v/>
      </c>
      <c r="G485">
        <f>Skills!G18*IF(Skills!H18&gt;0,Skills!I18/Skills!H18,1)</f>
        <v/>
      </c>
      <c r="H485">
        <f>1-(1-Skills!J18/100)^Skills!K18</f>
        <v/>
      </c>
      <c r="I485" t="inlineStr">
        <is>
          <t>1</t>
        </is>
      </c>
      <c r="J485" t="inlineStr"/>
      <c r="K485" t="inlineStr"/>
      <c r="L485" t="inlineStr"/>
      <c r="M485" t="inlineStr"/>
      <c r="N485" t="inlineStr"/>
      <c r="O485">
        <f>(1-Summary!$B$11)*T485+Summary!$B$11*V485</f>
        <v/>
      </c>
      <c r="P485">
        <f>IF(B508=0,0,O485/B508)</f>
        <v/>
      </c>
      <c r="Q485">
        <f>IFERROR(1/(IF(Inputs!$B$38="pvp",15,MAX(0.1,Skills!D18-IF(Skills!E18=TRUE,Inputs!$B$32,0)))*(1-IF(AND(ArtifactsInput!$M$27,Inputs!$B$4="Chapter Hunt"),CHOOSE(ArtifactsInput!$N$27+1,20,24,28,32,36,40),0)/100)),0)</f>
        <v/>
      </c>
      <c r="R485">
        <f>IF(AND(Inputs!$B$38&lt;&gt;"pvp",Inputs!$B$43&gt;0),IF(Inputs!$B$43&lt;=0,0,(INT(Inputs!$B$43/(IF(Inputs!$B$38="pvp",15,MAX(0.1,Skills!D18-IF(Skills!E18=TRUE,Inputs!$B$32,0)))*(1-IF(AND(ArtifactsInput!$M$27,Inputs!$B$4="Chapter Hunt"),CHOOSE(ArtifactsInput!$N$27+1,20,24,28,32,36,40),0)/100)))+1)),0)</f>
        <v/>
      </c>
      <c r="S485">
        <f>IFERROR(O485/N485,0)</f>
        <v/>
      </c>
      <c r="T485" t="n">
        <v>0</v>
      </c>
      <c r="V485" t="n">
        <v>0</v>
      </c>
    </row>
    <row r="486">
      <c r="A486">
        <f>Skills!A19</f>
        <v/>
      </c>
      <c r="B486">
        <f>Skills!B19</f>
        <v/>
      </c>
      <c r="C486">
        <f>Inputs!$B$3&gt;=15</f>
        <v/>
      </c>
      <c r="D486">
        <f>IF(Skills!C19=1,60+Inputs!$B$25+Inputs!$B$29,IF(Skills!C19=2,90+Inputs!$B$26+Inputs!$B$29,IF(Skills!C19=3,120+Inputs!$B$27+Inputs!$B$29,MAX(0,(Inputs!$B$3-100)*3)+Inputs!$B$28+Inputs!$B$29)))</f>
        <v/>
      </c>
      <c r="E486">
        <f>INDEX(FactorTable!$B$2:$Y$301, MATCH(ROUND(MIN(300,MAX(1,D486)),0), FactorTable!$A$2:$A$301,0), Skills!M19+1)</f>
        <v/>
      </c>
      <c r="F486">
        <f>IF(Skills!N19=TRUE,(Skills!L19/10)*(E486/1000),Skills!L19/10)+Skills!O19</f>
        <v/>
      </c>
      <c r="G486">
        <f>Skills!G19*IF(Skills!H19&gt;0,Skills!I19/Skills!H19,1)</f>
        <v/>
      </c>
      <c r="H486">
        <f>1-(1-Skills!J19/100)^Skills!K19</f>
        <v/>
      </c>
      <c r="I486" t="inlineStr">
        <is>
          <t>1</t>
        </is>
      </c>
      <c r="J486" t="inlineStr"/>
      <c r="K486" t="inlineStr"/>
      <c r="L486" t="inlineStr"/>
      <c r="M486" t="inlineStr"/>
      <c r="N486" t="inlineStr"/>
      <c r="O486">
        <f>(1-Summary!$B$11)*T486+Summary!$B$11*V486</f>
        <v/>
      </c>
      <c r="P486">
        <f>IF(B508=0,0,O486/B508)</f>
        <v/>
      </c>
      <c r="Q486" t="n">
        <v>0</v>
      </c>
      <c r="R486" t="n">
        <v>0</v>
      </c>
      <c r="S486">
        <f>IFERROR(O486/N486,0)</f>
        <v/>
      </c>
      <c r="T486" t="n">
        <v>0</v>
      </c>
      <c r="V486" t="n">
        <v>0</v>
      </c>
    </row>
    <row r="487">
      <c r="A487">
        <f>Skills!A20</f>
        <v/>
      </c>
      <c r="B487">
        <f>Skills!B20</f>
        <v/>
      </c>
      <c r="C487">
        <f>Inputs!$B$3&gt;=10</f>
        <v/>
      </c>
      <c r="D487">
        <f>IF(Skills!C20=1,60+Inputs!$B$25+Inputs!$B$29,IF(Skills!C20=2,90+Inputs!$B$26+Inputs!$B$29,IF(Skills!C20=3,120+Inputs!$B$27+Inputs!$B$29,MAX(0,(Inputs!$B$3-100)*3)+Inputs!$B$28+Inputs!$B$29)))</f>
        <v/>
      </c>
      <c r="E487">
        <f>INDEX(FactorTable!$B$2:$Y$301, MATCH(ROUND(MIN(300,MAX(1,D487)),0), FactorTable!$A$2:$A$301,0), Skills!M20+1)</f>
        <v/>
      </c>
      <c r="F487">
        <f>IF(Skills!N20=TRUE,(Skills!L20/10)*(E487/1000),Skills!L20/10)+Skills!O20</f>
        <v/>
      </c>
      <c r="G487">
        <f>Skills!G20*IF(Skills!H20&gt;0,Skills!I20/Skills!H20,1)</f>
        <v/>
      </c>
      <c r="H487">
        <f>1-(1-Skills!J20/100)^Skills!K20</f>
        <v/>
      </c>
      <c r="I487" t="inlineStr">
        <is>
          <t>1</t>
        </is>
      </c>
      <c r="J487" t="inlineStr"/>
      <c r="K487" t="inlineStr"/>
      <c r="L487" t="inlineStr"/>
      <c r="M487" t="inlineStr"/>
      <c r="N487" t="inlineStr"/>
      <c r="O487">
        <f>(1-Summary!$B$11)*T487+Summary!$B$11*V487</f>
        <v/>
      </c>
      <c r="P487">
        <f>IF(B508=0,0,O487/B508)</f>
        <v/>
      </c>
      <c r="Q487" t="n">
        <v>0</v>
      </c>
      <c r="R487" t="n">
        <v>0</v>
      </c>
      <c r="S487">
        <f>IFERROR(O487/N487,0)</f>
        <v/>
      </c>
      <c r="T487" t="n">
        <v>0</v>
      </c>
      <c r="V487" t="n">
        <v>0</v>
      </c>
    </row>
    <row r="488">
      <c r="A488">
        <f>Skills!A21</f>
        <v/>
      </c>
      <c r="B488">
        <f>Skills!B21</f>
        <v/>
      </c>
      <c r="C488">
        <f>Inputs!$B$3&gt;=33</f>
        <v/>
      </c>
      <c r="D488">
        <f>IF(Skills!C21=1,60+Inputs!$B$25+Inputs!$B$29,IF(Skills!C21=2,90+Inputs!$B$26+Inputs!$B$29,IF(Skills!C21=3,120+Inputs!$B$27+Inputs!$B$29,MAX(0,(Inputs!$B$3-100)*3)+Inputs!$B$28+Inputs!$B$29)))</f>
        <v/>
      </c>
      <c r="E488">
        <f>INDEX(FactorTable!$B$2:$Y$301, MATCH(ROUND(MIN(300,MAX(1,D488)),0), FactorTable!$A$2:$A$301,0), Skills!M21+1)</f>
        <v/>
      </c>
      <c r="F488">
        <f>IF(Skills!N21=TRUE,(Skills!L21/10)*(E488/1000),Skills!L21/10)+Skills!O21</f>
        <v/>
      </c>
      <c r="G488">
        <f>Skills!G21*IF(Skills!H21&gt;0,Skills!I21/Skills!H21,1)</f>
        <v/>
      </c>
      <c r="H488">
        <f>1-(1-Skills!J21/100)^Skills!K21</f>
        <v/>
      </c>
      <c r="I488" t="inlineStr">
        <is>
          <t>1</t>
        </is>
      </c>
      <c r="J488" t="inlineStr"/>
      <c r="K488" t="inlineStr"/>
      <c r="L488" t="inlineStr"/>
      <c r="M488" t="inlineStr"/>
      <c r="N488" t="inlineStr"/>
      <c r="O488">
        <f>(1-Summary!$B$11)*T488+Summary!$B$11*V488</f>
        <v/>
      </c>
      <c r="P488">
        <f>IF(B508=0,0,O488/B508)</f>
        <v/>
      </c>
      <c r="Q488" t="n">
        <v>0</v>
      </c>
      <c r="R488" t="n">
        <v>0</v>
      </c>
      <c r="S488">
        <f>IFERROR(O488/N488,0)</f>
        <v/>
      </c>
      <c r="T488" t="n">
        <v>0</v>
      </c>
      <c r="V488" t="n">
        <v>0</v>
      </c>
    </row>
    <row r="489">
      <c r="A489">
        <f>Skills!A22</f>
        <v/>
      </c>
      <c r="B489">
        <f>Skills!B22</f>
        <v/>
      </c>
      <c r="C489">
        <f>Inputs!$B$3&gt;=43</f>
        <v/>
      </c>
      <c r="D489">
        <f>IF(Skills!C22=1,60+Inputs!$B$25+Inputs!$B$29,IF(Skills!C22=2,90+Inputs!$B$26+Inputs!$B$29,IF(Skills!C22=3,120+Inputs!$B$27+Inputs!$B$29,MAX(0,(Inputs!$B$3-100)*3)+Inputs!$B$28+Inputs!$B$29)))</f>
        <v/>
      </c>
      <c r="E489">
        <f>INDEX(FactorTable!$B$2:$Y$301, MATCH(ROUND(MIN(300,MAX(1,D489)),0), FactorTable!$A$2:$A$301,0), Skills!M22+1)</f>
        <v/>
      </c>
      <c r="F489">
        <f>IF(Skills!N22=TRUE,(Skills!L22/10)*(E489/1000),Skills!L22/10)+Skills!O22</f>
        <v/>
      </c>
      <c r="G489">
        <f>Skills!G22*IF(Skills!H22&gt;0,Skills!I22/Skills!H22,1)</f>
        <v/>
      </c>
      <c r="H489">
        <f>1-(1-Skills!J22/100)^Skills!K22</f>
        <v/>
      </c>
      <c r="I489" t="inlineStr">
        <is>
          <t>1</t>
        </is>
      </c>
      <c r="J489" t="inlineStr"/>
      <c r="K489" t="inlineStr"/>
      <c r="L489" t="inlineStr"/>
      <c r="M489" t="inlineStr"/>
      <c r="N489" t="inlineStr"/>
      <c r="O489">
        <f>(1-Summary!$B$11)*T489+Summary!$B$11*V489</f>
        <v/>
      </c>
      <c r="P489">
        <f>IF(B508=0,0,O489/B508)</f>
        <v/>
      </c>
      <c r="Q489" t="n">
        <v>0</v>
      </c>
      <c r="R489" t="n">
        <v>0</v>
      </c>
      <c r="S489">
        <f>IFERROR(O489/N489,0)</f>
        <v/>
      </c>
      <c r="T489" t="n">
        <v>0</v>
      </c>
      <c r="V489" t="n">
        <v>0</v>
      </c>
    </row>
    <row r="490">
      <c r="A490">
        <f>Skills!A23</f>
        <v/>
      </c>
      <c r="B490">
        <f>Skills!B23</f>
        <v/>
      </c>
      <c r="C490">
        <f>Inputs!$B$3&gt;=38</f>
        <v/>
      </c>
      <c r="D490">
        <f>IF(Skills!C23=1,60+Inputs!$B$25+Inputs!$B$29,IF(Skills!C23=2,90+Inputs!$B$26+Inputs!$B$29,IF(Skills!C23=3,120+Inputs!$B$27+Inputs!$B$29,MAX(0,(Inputs!$B$3-100)*3)+Inputs!$B$28+Inputs!$B$29)))</f>
        <v/>
      </c>
      <c r="E490">
        <f>INDEX(FactorTable!$B$2:$Y$301, MATCH(ROUND(MIN(300,MAX(1,D490)),0), FactorTable!$A$2:$A$301,0), Skills!M23+1)</f>
        <v/>
      </c>
      <c r="F490">
        <f>IF(Skills!N23=TRUE,(Skills!L23/10)*(E490/1000),Skills!L23/10)+Skills!O23</f>
        <v/>
      </c>
      <c r="G490">
        <f>Skills!G23*IF(Skills!H23&gt;0,Skills!I23/Skills!H23,1)</f>
        <v/>
      </c>
      <c r="H490">
        <f>1-(1-Skills!J23/100)^Skills!K23</f>
        <v/>
      </c>
      <c r="I490" t="inlineStr">
        <is>
          <t>1</t>
        </is>
      </c>
      <c r="J490" t="inlineStr"/>
      <c r="K490" t="inlineStr"/>
      <c r="L490" t="inlineStr"/>
      <c r="M490" t="inlineStr"/>
      <c r="N490" t="inlineStr"/>
      <c r="O490">
        <f>(1-Summary!$B$11)*T490+Summary!$B$11*V490</f>
        <v/>
      </c>
      <c r="P490">
        <f>IF(B508=0,0,O490/B508)</f>
        <v/>
      </c>
      <c r="Q490" t="n">
        <v>0</v>
      </c>
      <c r="R490" t="n">
        <v>0</v>
      </c>
      <c r="S490">
        <f>IFERROR(O490/N490,0)</f>
        <v/>
      </c>
      <c r="T490" t="n">
        <v>0</v>
      </c>
      <c r="V490" t="n">
        <v>0</v>
      </c>
    </row>
    <row r="491">
      <c r="A491">
        <f>Skills!A24</f>
        <v/>
      </c>
      <c r="B491">
        <f>Skills!B24</f>
        <v/>
      </c>
      <c r="C491">
        <f>Inputs!$B$3&gt;=40</f>
        <v/>
      </c>
      <c r="D491">
        <f>IF(Skills!C24=1,60+Inputs!$B$25+Inputs!$B$29,IF(Skills!C24=2,90+Inputs!$B$26+Inputs!$B$29,IF(Skills!C24=3,120+Inputs!$B$27+Inputs!$B$29,MAX(0,(Inputs!$B$3-100)*3)+Inputs!$B$28+Inputs!$B$29)))</f>
        <v/>
      </c>
      <c r="E491">
        <f>INDEX(FactorTable!$B$2:$Y$301, MATCH(ROUND(MIN(300,MAX(1,D491)),0), FactorTable!$A$2:$A$301,0), Skills!M24+1)</f>
        <v/>
      </c>
      <c r="F491">
        <f>IF(Skills!N24=TRUE,(Skills!L24/10)*(E491/1000),Skills!L24/10)+Skills!O24</f>
        <v/>
      </c>
      <c r="G491">
        <f>Skills!G24*IF(Skills!H24&gt;0,Skills!I24/Skills!H24,1)</f>
        <v/>
      </c>
      <c r="H491">
        <f>1-(1-Skills!J24/100)^Skills!K24</f>
        <v/>
      </c>
      <c r="I491" t="inlineStr">
        <is>
          <t>1</t>
        </is>
      </c>
      <c r="J491" t="inlineStr"/>
      <c r="K491" t="inlineStr"/>
      <c r="L491" t="inlineStr"/>
      <c r="M491" t="inlineStr"/>
      <c r="N491" t="inlineStr"/>
      <c r="O491">
        <f>(1-Summary!$B$11)*T491+Summary!$B$11*V491</f>
        <v/>
      </c>
      <c r="P491">
        <f>IF(B508=0,0,O491/B508)</f>
        <v/>
      </c>
      <c r="Q491" t="n">
        <v>0</v>
      </c>
      <c r="R491" t="n">
        <v>0</v>
      </c>
      <c r="S491">
        <f>IFERROR(O491/N491,0)</f>
        <v/>
      </c>
      <c r="T491" t="n">
        <v>0</v>
      </c>
      <c r="V491" t="n">
        <v>0</v>
      </c>
    </row>
    <row r="492">
      <c r="A492">
        <f>Skills!A25</f>
        <v/>
      </c>
      <c r="B492">
        <f>Skills!B25</f>
        <v/>
      </c>
      <c r="C492">
        <f>Inputs!$B$3&gt;=72</f>
        <v/>
      </c>
      <c r="D492">
        <f>IF(Skills!C25=1,60+Inputs!$B$25+Inputs!$B$29,IF(Skills!C25=2,90+Inputs!$B$26+Inputs!$B$29,IF(Skills!C25=3,120+Inputs!$B$27+Inputs!$B$29,MAX(0,(Inputs!$B$3-100)*3)+Inputs!$B$28+Inputs!$B$29)))</f>
        <v/>
      </c>
      <c r="E492">
        <f>INDEX(FactorTable!$B$2:$Y$301, MATCH(ROUND(MIN(300,MAX(1,D492)),0), FactorTable!$A$2:$A$301,0), Skills!M25+1)</f>
        <v/>
      </c>
      <c r="F492">
        <f>IF(Skills!N25=TRUE,(Skills!L25/10)*(E492/1000),Skills!L25/10)+Skills!O25</f>
        <v/>
      </c>
      <c r="G492">
        <f>Skills!G25*IF(Skills!H25&gt;0,Skills!I25/Skills!H25,1)</f>
        <v/>
      </c>
      <c r="H492">
        <f>1-(1-Skills!J25/100)^Skills!K25</f>
        <v/>
      </c>
      <c r="I492" t="inlineStr">
        <is>
          <t>1</t>
        </is>
      </c>
      <c r="J492" t="inlineStr"/>
      <c r="K492" t="inlineStr"/>
      <c r="L492" t="inlineStr"/>
      <c r="M492" t="inlineStr"/>
      <c r="N492" t="inlineStr"/>
      <c r="O492">
        <f>(1-Summary!$B$11)*T492+Summary!$B$11*V492</f>
        <v/>
      </c>
      <c r="P492">
        <f>IF(B508=0,0,O492/B508)</f>
        <v/>
      </c>
      <c r="Q492" t="n">
        <v>0</v>
      </c>
      <c r="R492" t="n">
        <v>0</v>
      </c>
      <c r="S492">
        <f>IFERROR(O492/N492,0)</f>
        <v/>
      </c>
      <c r="T492" t="n">
        <v>0</v>
      </c>
      <c r="V492" t="n">
        <v>0</v>
      </c>
    </row>
    <row r="493">
      <c r="A493">
        <f>Skills!A26</f>
        <v/>
      </c>
      <c r="B493">
        <f>Skills!B26</f>
        <v/>
      </c>
      <c r="C493">
        <f>Inputs!$B$3&gt;=75</f>
        <v/>
      </c>
      <c r="D493">
        <f>IF(Skills!C26=1,60+Inputs!$B$25+Inputs!$B$29,IF(Skills!C26=2,90+Inputs!$B$26+Inputs!$B$29,IF(Skills!C26=3,120+Inputs!$B$27+Inputs!$B$29,MAX(0,(Inputs!$B$3-100)*3)+Inputs!$B$28+Inputs!$B$29)))</f>
        <v/>
      </c>
      <c r="E493">
        <f>INDEX(FactorTable!$B$2:$Y$301, MATCH(ROUND(MIN(300,MAX(1,D493)),0), FactorTable!$A$2:$A$301,0), Skills!M26+1)</f>
        <v/>
      </c>
      <c r="F493">
        <f>IF(Skills!N26=TRUE,(Skills!L26/10)*(E493/1000),Skills!L26/10)+Skills!O26</f>
        <v/>
      </c>
      <c r="G493">
        <f>Skills!G26*IF(Skills!H26&gt;0,Skills!I26/Skills!H26,1)</f>
        <v/>
      </c>
      <c r="H493">
        <f>1-(1-Skills!J26/100)^Skills!K26</f>
        <v/>
      </c>
      <c r="I493" t="inlineStr">
        <is>
          <t>1</t>
        </is>
      </c>
      <c r="J493" t="inlineStr"/>
      <c r="K493" t="inlineStr"/>
      <c r="L493" t="inlineStr"/>
      <c r="M493" t="inlineStr"/>
      <c r="N493" t="inlineStr"/>
      <c r="O493">
        <f>(1-Summary!$B$11)*T493+Summary!$B$11*V493</f>
        <v/>
      </c>
      <c r="P493">
        <f>IF(B508=0,0,O493/B508)</f>
        <v/>
      </c>
      <c r="Q493" t="n">
        <v>0</v>
      </c>
      <c r="R493" t="n">
        <v>0</v>
      </c>
      <c r="S493">
        <f>IFERROR(O493/N493,0)</f>
        <v/>
      </c>
      <c r="T493" t="n">
        <v>0</v>
      </c>
      <c r="V493" t="n">
        <v>0</v>
      </c>
    </row>
    <row r="494">
      <c r="A494">
        <f>Skills!A27</f>
        <v/>
      </c>
      <c r="B494">
        <f>Skills!B27</f>
        <v/>
      </c>
      <c r="C494">
        <f>Inputs!$B$3&gt;=117</f>
        <v/>
      </c>
      <c r="D494">
        <f>IF(Skills!C27=1,60+Inputs!$B$25+Inputs!$B$29,IF(Skills!C27=2,90+Inputs!$B$26+Inputs!$B$29,IF(Skills!C27=3,120+Inputs!$B$27+Inputs!$B$29,MAX(0,(Inputs!$B$3-100)*3)+Inputs!$B$28+Inputs!$B$29)))</f>
        <v/>
      </c>
      <c r="E494">
        <f>INDEX(FactorTable!$B$2:$Y$301, MATCH(ROUND(MIN(300,MAX(1,D494)),0), FactorTable!$A$2:$A$301,0), Skills!M27+1)</f>
        <v/>
      </c>
      <c r="F494">
        <f>IF(Skills!N27=TRUE,(Skills!L27/10)*(E494/1000),Skills!L27/10)+Skills!O27</f>
        <v/>
      </c>
      <c r="G494">
        <f>Skills!G27*IF(Skills!H27&gt;0,Skills!I27/Skills!H27,1)</f>
        <v/>
      </c>
      <c r="H494">
        <f>1-(1-Skills!J27/100)^Skills!K27</f>
        <v/>
      </c>
      <c r="I494" t="inlineStr">
        <is>
          <t>1</t>
        </is>
      </c>
      <c r="J494" t="inlineStr"/>
      <c r="K494" t="inlineStr"/>
      <c r="L494" t="inlineStr"/>
      <c r="M494" t="inlineStr"/>
      <c r="N494" t="inlineStr"/>
      <c r="O494">
        <f>(1-Summary!$B$11)*T494+Summary!$B$11*V494</f>
        <v/>
      </c>
      <c r="P494">
        <f>IF(B508=0,0,O494/B508)</f>
        <v/>
      </c>
      <c r="Q494" t="n">
        <v>0</v>
      </c>
      <c r="R494" t="n">
        <v>0</v>
      </c>
      <c r="S494">
        <f>IFERROR(O494/N494,0)</f>
        <v/>
      </c>
      <c r="T494" t="n">
        <v>0</v>
      </c>
      <c r="V494" t="n">
        <v>0</v>
      </c>
    </row>
    <row r="495">
      <c r="A495">
        <f>Skills!A28</f>
        <v/>
      </c>
      <c r="B495">
        <f>Skills!B28</f>
        <v/>
      </c>
      <c r="C495">
        <f>TRUE</f>
        <v/>
      </c>
      <c r="D495">
        <f>IF(Skills!C28=1,60+Inputs!$B$25+Inputs!$B$29,IF(Skills!C28=2,90+Inputs!$B$26+Inputs!$B$29,IF(Skills!C28=3,120+Inputs!$B$27+Inputs!$B$29,MAX(0,(Inputs!$B$3-100)*3)+Inputs!$B$28+Inputs!$B$29)))</f>
        <v/>
      </c>
      <c r="E495">
        <f>INDEX(FactorTable!$B$2:$Y$301, MATCH(ROUND(MIN(300,MAX(1,D495)),0), FactorTable!$A$2:$A$301,0), Skills!M28+1)</f>
        <v/>
      </c>
      <c r="F495">
        <f>IF(Skills!N28=TRUE,(Skills!L28/10)*(E495/1000),Skills!L28/10)+Skills!O28</f>
        <v/>
      </c>
      <c r="G495">
        <f>Skills!G28*IF(Skills!H28&gt;0,Skills!I28/Skills!H28,1)</f>
        <v/>
      </c>
      <c r="H495">
        <f>1-(1-Skills!J28/100)^Skills!K28</f>
        <v/>
      </c>
      <c r="I495" t="inlineStr">
        <is>
          <t>1</t>
        </is>
      </c>
      <c r="J495" t="inlineStr"/>
      <c r="K495" t="inlineStr"/>
      <c r="L495" t="inlineStr"/>
      <c r="M495" t="inlineStr"/>
      <c r="N495" t="inlineStr"/>
      <c r="O495">
        <f>(1-Summary!$B$11)*T495+Summary!$B$11*V495</f>
        <v/>
      </c>
      <c r="P495">
        <f>IF(B508=0,0,O495/B508)</f>
        <v/>
      </c>
      <c r="Q495">
        <f>IFERROR(1/(IF(Inputs!$B$38="pvp",15,MAX(0.1,Skills!D28-IF(Skills!E28=TRUE,Inputs!$B$32,0)))*(1-IF(AND(ArtifactsInput!$M$27,Inputs!$B$4="Chapter Hunt"),CHOOSE(ArtifactsInput!$N$27+1,20,24,28,32,36,40),0)/100)),0)</f>
        <v/>
      </c>
      <c r="R495">
        <f>IF(AND(Inputs!$B$38&lt;&gt;"pvp",Inputs!$B$43&gt;0),IF(Inputs!$B$43&lt;=0,0,(INT(Inputs!$B$43/(IF(Inputs!$B$38="pvp",15,MAX(0.1,Skills!D28-IF(Skills!E28=TRUE,Inputs!$B$32,0)))*(1-IF(AND(ArtifactsInput!$M$27,Inputs!$B$4="Chapter Hunt"),CHOOSE(ArtifactsInput!$N$27+1,20,24,28,32,36,40),0)/100)))+1)),0)</f>
        <v/>
      </c>
      <c r="S495">
        <f>IFERROR(O495/N495,0)</f>
        <v/>
      </c>
      <c r="T495" t="n">
        <v>0</v>
      </c>
      <c r="V495" t="n">
        <v>0</v>
      </c>
    </row>
    <row r="497">
      <c r="A497" t="inlineStr">
        <is>
          <t>Attack% Bucket Multiplier</t>
        </is>
      </c>
      <c r="B497">
        <f>(1+(((C484=TRUE)*F484*5/7)+((C491=TRUE)*(F491-Calc!F24))+(IF(ArtifactsInput!$M$21,CHOOSE(ArtifactsInput!$N$21+1,25,30,35,40,45,50)*(IF(OR(Inputs!$B$4="Chapter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98">
      <c r="A498" t="inlineStr">
        <is>
          <t>Global Crit Rate Bonus %</t>
        </is>
      </c>
      <c r="B498" t="n">
        <v>0</v>
      </c>
    </row>
    <row r="499">
      <c r="A499" t="inlineStr">
        <is>
          <t>Attack Speed Buff Bonus % (Nimble Feet, duty-cycle averaged)</t>
        </is>
      </c>
      <c r="B499">
        <f>((C495=TRUE)*F495*IF(AND(Inputs!$B$38&lt;&gt;"pvp",Inputs!$B$43&gt;0),(((R495-1)*(Skills!T28*(1+Inputs!$B$34/100))+MIN((Skills!T28*(1+Inputs!$B$34/100)),MAX(0,Inputs!$B$43-((R495-1)*Skills!D28))))/Inputs!$B$43),IF(Inputs!$B$38="pvp",MIN((Skills!T28*(1+Inputs!$B$34/100)),15)/15,(Skills!T28*(1+Inputs!$B$34/100))/Skills!D28)))</f>
        <v/>
      </c>
    </row>
    <row r="500">
      <c r="A500" t="inlineStr">
        <is>
          <t>Actions Per Second</t>
        </is>
      </c>
      <c r="B500">
        <f>1+MIN(150,150*(1-(1-(Inputs!$B$11+((C487=TRUE)*(F487-Calc!F20))+((C488=TRUE)*(F488-Calc!F21)))/150)*(1-B499/150)))/100</f>
        <v/>
      </c>
    </row>
    <row r="501">
      <c r="A501" t="inlineStr">
        <is>
          <t>Skill + Buff Cast Rate</t>
        </is>
      </c>
      <c r="B501">
        <f>IF(AND(Inputs!$B$38&lt;&gt;"pvp",Inputs!$B$43&gt;0),SUMPRODUCT((Skills!E2:E28=TRUE)*(C469:C495=TRUE)*R469:R495*Skills!F2:F28)/Inputs!$B$43,SUMPRODUCT((Skills!E2:E28=TRUE)*(C469:C495=TRUE)*Q469:Q495*Skills!F2:F28))</f>
        <v/>
      </c>
    </row>
    <row r="502">
      <c r="A502" t="inlineStr">
        <is>
          <t>Eight-Legs Easton Casts Per Second</t>
        </is>
      </c>
      <c r="B502">
        <f>MAX(0,B500-B501)</f>
        <v/>
      </c>
    </row>
    <row r="503">
      <c r="A503" t="inlineStr">
        <is>
          <t>Global Critical Damage Bonus % (unused)</t>
        </is>
      </c>
      <c r="B503" t="n">
        <v>0</v>
      </c>
    </row>
    <row r="504">
      <c r="A504" t="inlineStr">
        <is>
          <t>Global Final Damage Bonus % (Jolly Roger + Ahoy Mateys - Final Damage proc)</t>
        </is>
      </c>
      <c r="B504">
        <f>((C485=TRUE)*F485*IF(AND(Inputs!$B$38&lt;&gt;"pvp",Inputs!$B$43&gt;0),(((R485-1)*(Skills!T18*(1+Inputs!$B$34/100))+MIN((Skills!T18*(1+Inputs!$B$34/100)),MAX(0,Inputs!$B$43-((R485-1)*Skills!D18))))/Inputs!$B$43),IF(Inputs!$B$38="pvp",MIN((Skills!T18*(1+Inputs!$B$34/100)),15)/15,(Skills!T18*(1+Inputs!$B$34/100))/Skills!D18)))+IF(Inputs!$B$3&gt;=122,20*IF(Inputs!$B$38="pvp",MIN((20*(1+Inputs!$B$34/100)),15)/15,(20*(1+Inputs!$B$34/100))/Skills!D4),0)</f>
        <v/>
      </c>
    </row>
    <row r="505">
      <c r="A505" t="inlineStr">
        <is>
          <t>Buff-Casting Startup Delay (s, fixed-duration only)</t>
        </is>
      </c>
      <c r="B505">
        <f>IF(AND(Inputs!$B$38&lt;&gt;"pvp",Inputs!$B$43&gt;0),SUMPRODUCT((Skills!T2:T28&gt;0)*(Skills!E2:E28=TRUE)*(C469:C495=TRUE))/B500,0)</f>
        <v/>
      </c>
    </row>
    <row r="506">
      <c r="A506" t="inlineStr">
        <is>
          <t>Boss-Only Total DPS (this block's swept value)</t>
        </is>
      </c>
      <c r="B506">
        <f>SUM(T469:T495)</f>
        <v/>
      </c>
    </row>
    <row r="507">
      <c r="A507" t="inlineStr">
        <is>
          <t>Normal-Only Total DPS (this block's swept value)</t>
        </is>
      </c>
      <c r="B507">
        <f>SUM(V469:V495)</f>
        <v/>
      </c>
    </row>
    <row r="508">
      <c r="A508" s="6" t="inlineStr">
        <is>
          <t>TOTAL DPS</t>
        </is>
      </c>
      <c r="B508" s="6">
        <f>SUM(O469:O495)</f>
        <v/>
      </c>
    </row>
    <row r="511">
      <c r="A511" s="6" t="inlineStr">
        <is>
          <t>Stat: CRIT_RATE %</t>
        </is>
      </c>
    </row>
    <row r="512">
      <c r="A512" s="5" t="inlineStr">
        <is>
          <t>Key</t>
        </is>
      </c>
      <c r="B512" s="5" t="inlineStr">
        <is>
          <t>Name</t>
        </is>
      </c>
      <c r="C512" s="5" t="inlineStr">
        <is>
          <t>Unlocked</t>
        </is>
      </c>
      <c r="D512" s="5" t="inlineStr">
        <is>
          <t>InputLevel</t>
        </is>
      </c>
      <c r="E512" s="5" t="inlineStr">
        <is>
          <t>Factor</t>
        </is>
      </c>
      <c r="F512" s="5" t="inlineStr">
        <is>
          <t>CoefficientPercent</t>
        </is>
      </c>
      <c r="G512" s="5" t="inlineStr">
        <is>
          <t>EffectiveHits</t>
        </is>
      </c>
      <c r="H512" s="5" t="inlineStr">
        <is>
          <t>ProcProbability</t>
        </is>
      </c>
      <c r="I512" s="5" t="inlineStr">
        <is>
          <t>MapleHeroMultiplier</t>
        </is>
      </c>
      <c r="J512" s="5" t="inlineStr">
        <is>
          <t>BaseDamage</t>
        </is>
      </c>
      <c r="K512" s="5" t="inlineStr">
        <is>
          <t>BaseHitDamage</t>
        </is>
      </c>
      <c r="L512" s="5" t="inlineStr">
        <is>
          <t>NonCritAvg</t>
        </is>
      </c>
      <c r="M512" s="5" t="inlineStr">
        <is>
          <t>CritAvg</t>
        </is>
      </c>
      <c r="N512" s="5" t="inlineStr">
        <is>
          <t>ExpectedDamage(perHit)</t>
        </is>
      </c>
      <c r="O512" s="5" t="inlineStr">
        <is>
          <t>DPS</t>
        </is>
      </c>
      <c r="P512" s="5" t="inlineStr">
        <is>
          <t>% of Total</t>
        </is>
      </c>
      <c r="Q512" s="5" t="inlineStr">
        <is>
          <t>InvCooldown</t>
        </is>
      </c>
      <c r="R512" s="5" t="inlineStr">
        <is>
          <t>CastsInFight</t>
        </is>
      </c>
      <c r="S512" s="5" t="inlineStr">
        <is>
          <t>HitRate(perSec)</t>
        </is>
      </c>
      <c r="U512" t="inlineStr">
        <is>
          <t>helpers</t>
        </is>
      </c>
    </row>
    <row r="513">
      <c r="A513">
        <f>Skills!A2</f>
        <v/>
      </c>
      <c r="B513">
        <f>Skills!B2</f>
        <v/>
      </c>
      <c r="C513">
        <f>Inputs!$B$3&gt;=100</f>
        <v/>
      </c>
      <c r="D513" t="inlineStr"/>
      <c r="E513" t="inlineStr"/>
      <c r="F513">
        <f>U515+Skills!O2</f>
        <v/>
      </c>
      <c r="G513">
        <f>Skills!G2*IF(Skills!H2&gt;0,Skills!I2/Skills!H2,1)</f>
        <v/>
      </c>
      <c r="H513">
        <f>1-(1-Skills!J2/100)^Skills!K2</f>
        <v/>
      </c>
      <c r="I513" t="inlineStr">
        <is>
          <t>1</t>
        </is>
      </c>
      <c r="J513">
        <f>((Inputs!$B$6*(1+Inputs!$B$7/100))+(((Inputs!$B$12*(1+Inputs!$B$13/100))-(Inputs!$B$12*(1+Inputs!$B$13/100)))+0.25*(Inputs!$B$14-Inputs!$B$14))*(1+Inputs!$B$7/100))*(F513/100)</f>
        <v/>
      </c>
      <c r="K513">
        <f>J513*(1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513)</f>
        <v/>
      </c>
      <c r="L513">
        <f>K513*(MIN(Inputs!$B$22+((C533=TRUE)*(F533-Calc!F22)),(Inputs!$B$23+0+(IF(ArtifactsInput!$M$15,CHOOSE(ArtifactsInput!$N$15+1,25,30,35,40,45,50)/100*(Inputs!$B$11-Inputs!$B$11),0))))/100+(Inputs!$B$23+0+(IF(ArtifactsInput!$M$15,CHOOSE(ArtifactsInput!$N$15+1,25,30,35,40,45,50)/100*(Inputs!$B$11-Inputs!$B$11),0)))/100)/2</f>
        <v/>
      </c>
      <c r="M513">
        <f>L513*(1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3">
        <f>L513*(1-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513*(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3">
        <f>(1-Summary!$B$11)*T513+Summary!$B$11*V513</f>
        <v/>
      </c>
      <c r="P513">
        <f>IF(B552=0,0,O513/B552)</f>
        <v/>
      </c>
      <c r="Q513" t="n">
        <v>0</v>
      </c>
      <c r="R513" t="n">
        <v>0</v>
      </c>
      <c r="S513">
        <f>IFERROR(O513/N513,0)</f>
        <v/>
      </c>
      <c r="T513">
        <f>IF(C513,(Skills!G2*N513*B546)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513*(1-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513*(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513*(1-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513*(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3">
        <f>MAX(0,(Inputs!$B$3-100)*3)+Inputs!$B$28+Inputs!$B$29</f>
        <v/>
      </c>
      <c r="V513">
        <f>IF(C513,(Skills!G2*N513*B546)*IF(Inputs!$B$38="pvp",1,(1+(Inputs!$B$21+Skills!Q2+(IF(ArtifactsInput!$M$33,CHOOSE(ArtifactsInput!$N$33+1,30,36,42,48,54,60),0))+(IF(AND(ArtifactsInput!$M$35,Inputs!$B$4&lt;&gt;"Chapter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4">
      <c r="A514">
        <f>Skills!A3</f>
        <v/>
      </c>
      <c r="B514">
        <f>Skills!B3</f>
        <v/>
      </c>
      <c r="C514">
        <f>Inputs!$B$3&gt;=35</f>
        <v/>
      </c>
      <c r="D514">
        <f>IF(Skills!C3=1,60+Inputs!$B$25+Inputs!$B$29,IF(Skills!C3=2,90+Inputs!$B$26+Inputs!$B$29,IF(Skills!C3=3,120+Inputs!$B$27+Inputs!$B$29,MAX(0,(Inputs!$B$3-100)*3)+Inputs!$B$28+Inputs!$B$29)))</f>
        <v/>
      </c>
      <c r="E514">
        <f>INDEX(FactorTable!$B$2:$Y$301, MATCH(ROUND(MIN(300,MAX(1,D514)),0), FactorTable!$A$2:$A$301,0), Skills!M3+1)</f>
        <v/>
      </c>
      <c r="F514">
        <f>IF(Skills!N3=TRUE,(Skills!L3/10)*(E514/1000),Skills!L3/10)+Skills!O3</f>
        <v/>
      </c>
      <c r="G514">
        <f>Skills!G3*IF(Skills!H3&gt;0,Skills!I3/Skills!H3,1)</f>
        <v/>
      </c>
      <c r="H514">
        <f>1-(1-Skills!J3/100)^Skills!K3</f>
        <v/>
      </c>
      <c r="I514" t="inlineStr">
        <is>
          <t>1</t>
        </is>
      </c>
      <c r="J514">
        <f>((Inputs!$B$6*(1+Inputs!$B$7/100))+(((Inputs!$B$12*(1+Inputs!$B$13/100))-(Inputs!$B$12*(1+Inputs!$B$13/100)))+0.25*(Inputs!$B$14-Inputs!$B$14))*(1+Inputs!$B$7/100))*(F514/100)</f>
        <v/>
      </c>
      <c r="K514">
        <f>J514*(1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526=TRUE,F526,0)/100)*(1+(IF(Skills!A3="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514)</f>
        <v/>
      </c>
      <c r="L514">
        <f>K514*(MIN(Inputs!$B$22+((C533=TRUE)*(F533-Calc!F22)),(Inputs!$B$23+0+(IF(ArtifactsInput!$M$15,CHOOSE(ArtifactsInput!$N$15+1,25,30,35,40,45,50)/100*(Inputs!$B$11-Inputs!$B$11),0))))/100+(Inputs!$B$23+0+(IF(ArtifactsInput!$M$15,CHOOSE(ArtifactsInput!$N$15+1,25,30,35,40,45,50)/100*(Inputs!$B$11-Inputs!$B$11),0)))/100)/2</f>
        <v/>
      </c>
      <c r="M514">
        <f>L514*(1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4">
        <f>L514*(1-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514*(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4">
        <f>(1-Summary!$B$11)*T514+Summary!$B$11*V514</f>
        <v/>
      </c>
      <c r="P514">
        <f>IF(B552=0,0,O514/B552)</f>
        <v/>
      </c>
      <c r="Q514">
        <f>IFERROR(1/(IF(Inputs!$B$38="pvp",15,MAX(0.1,Skills!D3-IF(Skills!E3=TRUE,Inputs!$B$32,0)))*(1-IF(AND(ArtifactsInput!$M$27,Inputs!$B$4="Chapter Hunt"),CHOOSE(ArtifactsInput!$N$27+1,20,24,28,32,36,40),0)/100)),0)</f>
        <v/>
      </c>
      <c r="R514">
        <f>IF(AND(Inputs!$B$38&lt;&gt;"pvp",Inputs!$B$43&gt;0),IF(MAX(0,Inputs!$B$43-B549)&lt;=0,0,(INT(MAX(0,Inputs!$B$43-B549)/(IF(Inputs!$B$38="pvp",15,MAX(0.1,Skills!D3-IF(Skills!E3=TRUE,Inputs!$B$32,0)))*(1-IF(AND(ArtifactsInput!$M$27,Inputs!$B$4="Chapter Hunt"),CHOOSE(ArtifactsInput!$N$27+1,20,24,28,32,36,40),0)/100)))+1)),0)</f>
        <v/>
      </c>
      <c r="S514">
        <f>IFERROR(O514/N514,0)</f>
        <v/>
      </c>
      <c r="T514">
        <f>IF(C514,(H514*N514*IF(AND(Inputs!$B$38&lt;&gt;"pvp",Inputs!$B$43&gt;0),((Skills!G3*((R514-1)*IF(Skills!H3&gt;0,Skills!I3/Skills!H3,1)+IF(Skills!H3&gt;0,MIN(Skills!I3,MAX(0,MAX(0,Inputs!$B$43-B549)-((R514-1)*(IF(Inputs!$B$38="pvp",15,MAX(0.1,Skills!D3-IF(Skills!E3=TRUE,Inputs!$B$32,0)))*(1-IF(AND(ArtifactsInput!$M$27,Inputs!$B$4="Chapter Hunt"),CHOOSE(ArtifactsInput!$N$27+1,20,24,28,32,36,40),0)/100)))))/Skills!H3,1)))/Inputs!$B$43),G514*Q514)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514*(1-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514*(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514*(1-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514*(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4">
        <f>INDEX(FactorTable!$B$2:$Y$301, MATCH(ROUND(MIN(300,MAX(1,U513)),0), FactorTable!$A$2:$A$301,0), 22)</f>
        <v/>
      </c>
      <c r="V514">
        <f>IF(C514,(H514*N514*IF(AND(Inputs!$B$38&lt;&gt;"pvp",Inputs!$B$43&gt;0),((Skills!G3*((R514-1)*IF(Skills!H3&gt;0,Skills!I3/Skills!H3,1)+IF(Skills!H3&gt;0,MIN(Skills!I3,MAX(0,MAX(0,Inputs!$B$43-B549)-((R514-1)*(IF(Inputs!$B$38="pvp",15,MAX(0.1,Skills!D3-IF(Skills!E3=TRUE,Inputs!$B$32,0)))*(1-IF(AND(ArtifactsInput!$M$27,Inputs!$B$4="Chapter Hunt"),CHOOSE(ArtifactsInput!$N$27+1,20,24,28,32,36,40),0)/100)))))/Skills!H3,1)))/Inputs!$B$43),G514*Q514))*IF(Inputs!$B$38="pvp",1,(1+(Inputs!$B$21+Skills!Q3+(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5">
      <c r="A515">
        <f>Skills!A4</f>
        <v/>
      </c>
      <c r="B515">
        <f>Skills!B4</f>
        <v/>
      </c>
      <c r="C515">
        <f>Inputs!$B$3&gt;=40</f>
        <v/>
      </c>
      <c r="D515">
        <f>IF(Skills!C4=1,60+Inputs!$B$25+Inputs!$B$29,IF(Skills!C4=2,90+Inputs!$B$26+Inputs!$B$29,IF(Skills!C4=3,120+Inputs!$B$27+Inputs!$B$29,MAX(0,(Inputs!$B$3-100)*3)+Inputs!$B$28+Inputs!$B$29)))</f>
        <v/>
      </c>
      <c r="E515">
        <f>INDEX(FactorTable!$B$2:$Y$301, MATCH(ROUND(MIN(300,MAX(1,D515)),0), FactorTable!$A$2:$A$301,0), Skills!M4+1)</f>
        <v/>
      </c>
      <c r="F515">
        <f>IF(Skills!N4=TRUE,(Skills!L4/10)*(E515/1000),Skills!L4/10)+Skills!O4</f>
        <v/>
      </c>
      <c r="G515">
        <f>Skills!G4*IF(Skills!H4&gt;0,Skills!I4/Skills!H4,1)</f>
        <v/>
      </c>
      <c r="H515">
        <f>1-(1-Skills!J4/100)^Skills!K4</f>
        <v/>
      </c>
      <c r="I515" t="inlineStr">
        <is>
          <t>1</t>
        </is>
      </c>
      <c r="J515">
        <f>((Inputs!$B$6*(1+Inputs!$B$7/100))+(((Inputs!$B$12*(1+Inputs!$B$13/100))-(Inputs!$B$12*(1+Inputs!$B$13/100)))+0.25*(Inputs!$B$14-Inputs!$B$14))*(1+Inputs!$B$7/100))*(F515/100)</f>
        <v/>
      </c>
      <c r="K515">
        <f>J515*(1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527=TRUE,F527,0)/100)*(1+(IF(Skills!A4="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515)</f>
        <v/>
      </c>
      <c r="L515">
        <f>K515*(MIN(Inputs!$B$22+((C533=TRUE)*(F533-Calc!F22)),(Inputs!$B$23+0+(IF(ArtifactsInput!$M$15,CHOOSE(ArtifactsInput!$N$15+1,25,30,35,40,45,50)/100*(Inputs!$B$11-Inputs!$B$11),0))))/100+(Inputs!$B$23+0+(IF(ArtifactsInput!$M$15,CHOOSE(ArtifactsInput!$N$15+1,25,30,35,40,45,50)/100*(Inputs!$B$11-Inputs!$B$11),0)))/100)/2</f>
        <v/>
      </c>
      <c r="M515">
        <f>L515*(1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5">
        <f>L515*(1-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515*(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5">
        <f>(1-Summary!$B$11)*T515+Summary!$B$11*V515</f>
        <v/>
      </c>
      <c r="P515">
        <f>IF(B552=0,0,O515/B552)</f>
        <v/>
      </c>
      <c r="Q515">
        <f>IFERROR(1/(IF(Inputs!$B$38="pvp",15,MAX(0.1,Skills!D4-IF(Skills!E4=TRUE,Inputs!$B$32,0)))*(1-IF(AND(ArtifactsInput!$M$27,Inputs!$B$4="Chapter Hunt"),CHOOSE(ArtifactsInput!$N$27+1,20,24,28,32,36,40),0)/100)),0)</f>
        <v/>
      </c>
      <c r="R515">
        <f>IF(AND(Inputs!$B$38&lt;&gt;"pvp",Inputs!$B$43&gt;0),IF(MAX(0,Inputs!$B$43-B549)&lt;=0,0,(INT(MAX(0,Inputs!$B$43-B549)/(IF(Inputs!$B$38="pvp",15,MAX(0.1,Skills!D4-IF(Skills!E4=TRUE,Inputs!$B$32,0)))*(1-IF(AND(ArtifactsInput!$M$27,Inputs!$B$4="Chapter Hunt"),CHOOSE(ArtifactsInput!$N$27+1,20,24,28,32,36,40),0)/100)))+1)),0)</f>
        <v/>
      </c>
      <c r="S515">
        <f>IFERROR(O515/N515,0)</f>
        <v/>
      </c>
      <c r="T515">
        <f>IF(C515,(H515*N515*IF(AND(Inputs!$B$38&lt;&gt;"pvp",Inputs!$B$43&gt;0),((Skills!G4*((R515-1)*IF(Skills!H4&gt;0,Skills!I4/Skills!H4,1)+IF(Skills!H4&gt;0,MIN(Skills!I4,MAX(0,MAX(0,Inputs!$B$43-B549)-((R515-1)*(IF(Inputs!$B$38="pvp",15,MAX(0.1,Skills!D4-IF(Skills!E4=TRUE,Inputs!$B$32,0)))*(1-IF(AND(ArtifactsInput!$M$27,Inputs!$B$4="Chapter Hunt"),CHOOSE(ArtifactsInput!$N$27+1,20,24,28,32,36,40),0)/100)))))/Skills!H4,1)))/Inputs!$B$43),G515*Q515)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515*(1-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515*(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515*(1-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515*(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5">
        <f>290*U514/1000</f>
        <v/>
      </c>
      <c r="V515">
        <f>IF(C515,(H515*N515*IF(AND(Inputs!$B$38&lt;&gt;"pvp",Inputs!$B$43&gt;0),((Skills!G4*((R515-1)*IF(Skills!H4&gt;0,Skills!I4/Skills!H4,1)+IF(Skills!H4&gt;0,MIN(Skills!I4,MAX(0,MAX(0,Inputs!$B$43-B549)-((R515-1)*(IF(Inputs!$B$38="pvp",15,MAX(0.1,Skills!D4-IF(Skills!E4=TRUE,Inputs!$B$32,0)))*(1-IF(AND(ArtifactsInput!$M$27,Inputs!$B$4="Chapter Hunt"),CHOOSE(ArtifactsInput!$N$27+1,20,24,28,32,36,40),0)/100)))))/Skills!H4,1)))/Inputs!$B$43),G515*Q515))*IF(Inputs!$B$38="pvp",1,(1+(Inputs!$B$21+Skills!Q4+(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6">
      <c r="A516">
        <f>Skills!A5</f>
        <v/>
      </c>
      <c r="B516">
        <f>Skills!B5</f>
        <v/>
      </c>
      <c r="C516">
        <f>Inputs!$B$3&gt;=45</f>
        <v/>
      </c>
      <c r="D516">
        <f>IF(Skills!C5=1,60+Inputs!$B$25+Inputs!$B$29,IF(Skills!C5=2,90+Inputs!$B$26+Inputs!$B$29,IF(Skills!C5=3,120+Inputs!$B$27+Inputs!$B$29,MAX(0,(Inputs!$B$3-100)*3)+Inputs!$B$28+Inputs!$B$29)))</f>
        <v/>
      </c>
      <c r="E516">
        <f>INDEX(FactorTable!$B$2:$Y$301, MATCH(ROUND(MIN(300,MAX(1,D516)),0), FactorTable!$A$2:$A$301,0), Skills!M5+1)</f>
        <v/>
      </c>
      <c r="F516">
        <f>IF(Skills!N5=TRUE,(Skills!L5/10)*(E516/1000),Skills!L5/10)+Skills!O5</f>
        <v/>
      </c>
      <c r="G516">
        <f>Skills!G5*IF(Skills!H5&gt;0,Skills!I5/Skills!H5,1)</f>
        <v/>
      </c>
      <c r="H516">
        <f>1-(1-Skills!J5/100)^Skills!K5</f>
        <v/>
      </c>
      <c r="I516" t="inlineStr">
        <is>
          <t>1</t>
        </is>
      </c>
      <c r="J516">
        <f>((Inputs!$B$6*(1+Inputs!$B$7/100))+(((Inputs!$B$12*(1+Inputs!$B$13/100))-(Inputs!$B$12*(1+Inputs!$B$13/100)))+0.25*(Inputs!$B$14-Inputs!$B$14))*(1+Inputs!$B$7/100))*(F516/100)</f>
        <v/>
      </c>
      <c r="K516">
        <f>J516*(1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527=TRUE,F527,0)/100)*(1+(IF(Skills!A5="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516)</f>
        <v/>
      </c>
      <c r="L516">
        <f>K516*(MIN(Inputs!$B$22+((C533=TRUE)*(F533-Calc!F22)),(Inputs!$B$23+0+(IF(ArtifactsInput!$M$15,CHOOSE(ArtifactsInput!$N$15+1,25,30,35,40,45,50)/100*(Inputs!$B$11-Inputs!$B$11),0))))/100+(Inputs!$B$23+0+(IF(ArtifactsInput!$M$15,CHOOSE(ArtifactsInput!$N$15+1,25,30,35,40,45,50)/100*(Inputs!$B$11-Inputs!$B$11),0)))/100)/2</f>
        <v/>
      </c>
      <c r="M516">
        <f>L516*(1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6">
        <f>L516*(1-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516*(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6">
        <f>(1-Summary!$B$11)*T516+Summary!$B$11*V516</f>
        <v/>
      </c>
      <c r="P516">
        <f>IF(B552=0,0,O516/B552)</f>
        <v/>
      </c>
      <c r="Q516">
        <f>IFERROR(1/(IF(Inputs!$B$38="pvp",15,MAX(0.1,Skills!D5-IF(Skills!E5=TRUE,Inputs!$B$32,0)))*(1-IF(AND(ArtifactsInput!$M$27,Inputs!$B$4="Chapter Hunt"),CHOOSE(ArtifactsInput!$N$27+1,20,24,28,32,36,40),0)/100)),0)</f>
        <v/>
      </c>
      <c r="R516">
        <f>IF(AND(Inputs!$B$38&lt;&gt;"pvp",Inputs!$B$43&gt;0),IF(MAX(0,Inputs!$B$43-B549)&lt;=0,0,(INT(MAX(0,Inputs!$B$43-B549)/(IF(Inputs!$B$38="pvp",15,MAX(0.1,Skills!D5-IF(Skills!E5=TRUE,Inputs!$B$32,0)))*(1-IF(AND(ArtifactsInput!$M$27,Inputs!$B$4="Chapter Hunt"),CHOOSE(ArtifactsInput!$N$27+1,20,24,28,32,36,40),0)/100)))+1)),0)</f>
        <v/>
      </c>
      <c r="S516">
        <f>IFERROR(O516/N516,0)</f>
        <v/>
      </c>
      <c r="T516">
        <f>IF(C516,(H516*N516*IF(AND(Inputs!$B$38&lt;&gt;"pvp",Inputs!$B$43&gt;0),((Skills!G5*((R516-1)*IF(Skills!H5&gt;0,Skills!I5/Skills!H5,1)+IF(Skills!H5&gt;0,MIN(Skills!I5,MAX(0,MAX(0,Inputs!$B$43-B549)-((R516-1)*(IF(Inputs!$B$38="pvp",15,MAX(0.1,Skills!D5-IF(Skills!E5=TRUE,Inputs!$B$32,0)))*(1-IF(AND(ArtifactsInput!$M$27,Inputs!$B$4="Chapter Hunt"),CHOOSE(ArtifactsInput!$N$27+1,20,24,28,32,36,40),0)/100)))))/Skills!H5,1)))/Inputs!$B$43),G516*Q516)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516*(1-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516*(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516*(1-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516*(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6">
        <f>IF(C516,(H516*N516*IF(AND(Inputs!$B$38&lt;&gt;"pvp",Inputs!$B$43&gt;0),((Skills!G5*((R516-1)*IF(Skills!H5&gt;0,Skills!I5/Skills!H5,1)+IF(Skills!H5&gt;0,MIN(Skills!I5,MAX(0,MAX(0,Inputs!$B$43-B549)-((R516-1)*(IF(Inputs!$B$38="pvp",15,MAX(0.1,Skills!D5-IF(Skills!E5=TRUE,Inputs!$B$32,0)))*(1-IF(AND(ArtifactsInput!$M$27,Inputs!$B$4="Chapter Hunt"),CHOOSE(ArtifactsInput!$N$27+1,20,24,28,32,36,40),0)/100)))))/Skills!H5,1)))/Inputs!$B$43),G516*Q516))*IF(Inputs!$B$38="pvp",1,(1+(Inputs!$B$21+Skills!Q5+(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7">
      <c r="A517">
        <f>Skills!A6</f>
        <v/>
      </c>
      <c r="B517">
        <f>Skills!B6</f>
        <v/>
      </c>
      <c r="C517">
        <f>Inputs!$B$3&gt;=63</f>
        <v/>
      </c>
      <c r="D517">
        <f>IF(Skills!C6=1,60+Inputs!$B$25+Inputs!$B$29,IF(Skills!C6=2,90+Inputs!$B$26+Inputs!$B$29,IF(Skills!C6=3,120+Inputs!$B$27+Inputs!$B$29,MAX(0,(Inputs!$B$3-100)*3)+Inputs!$B$28+Inputs!$B$29)))</f>
        <v/>
      </c>
      <c r="E517">
        <f>INDEX(FactorTable!$B$2:$Y$301, MATCH(ROUND(MIN(300,MAX(1,D517)),0), FactorTable!$A$2:$A$301,0), Skills!M6+1)</f>
        <v/>
      </c>
      <c r="F517">
        <f>IF(Skills!N6=TRUE,(Skills!L6/10)*(E517/1000),Skills!L6/10)+Skills!O6</f>
        <v/>
      </c>
      <c r="G517">
        <f>Skills!G6*IF(Skills!H6&gt;0,Skills!I6/Skills!H6,1)</f>
        <v/>
      </c>
      <c r="H517">
        <f>1-(1-Skills!J6/100)^Skills!K6</f>
        <v/>
      </c>
      <c r="I517" t="inlineStr">
        <is>
          <t>1</t>
        </is>
      </c>
      <c r="J517">
        <f>((Inputs!$B$6*(1+Inputs!$B$7/100))+(((Inputs!$B$12*(1+Inputs!$B$13/100))-(Inputs!$B$12*(1+Inputs!$B$13/100)))+0.25*(Inputs!$B$14-Inputs!$B$14))*(1+Inputs!$B$7/100))*(F517/100)</f>
        <v/>
      </c>
      <c r="K517">
        <f>J517*(1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526=TRUE,F526,0)/100)*(1+(IF(Skills!A6="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517)</f>
        <v/>
      </c>
      <c r="L517">
        <f>K517*(MIN(Inputs!$B$22+((C533=TRUE)*(F533-Calc!F22)),(Inputs!$B$23+0+(IF(ArtifactsInput!$M$15,CHOOSE(ArtifactsInput!$N$15+1,25,30,35,40,45,50)/100*(Inputs!$B$11-Inputs!$B$11),0))))/100+(Inputs!$B$23+0+(IF(ArtifactsInput!$M$15,CHOOSE(ArtifactsInput!$N$15+1,25,30,35,40,45,50)/100*(Inputs!$B$11-Inputs!$B$11),0)))/100)/2</f>
        <v/>
      </c>
      <c r="M517">
        <f>L517*(1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7">
        <f>L517*(1-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517*(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7">
        <f>(1-Summary!$B$11)*T517+Summary!$B$11*V517</f>
        <v/>
      </c>
      <c r="P517">
        <f>IF(B552=0,0,O517/B552)</f>
        <v/>
      </c>
      <c r="Q517">
        <f>IFERROR(1/(IF(Inputs!$B$38="pvp",15,MAX(0.1,Skills!D6-IF(Skills!E6=TRUE,Inputs!$B$32,0)))*(1-IF(AND(ArtifactsInput!$M$27,Inputs!$B$4="Chapter Hunt"),CHOOSE(ArtifactsInput!$N$27+1,20,24,28,32,36,40),0)/100)),0)</f>
        <v/>
      </c>
      <c r="R517">
        <f>IF(AND(Inputs!$B$38&lt;&gt;"pvp",Inputs!$B$43&gt;0),IF(MAX(0,Inputs!$B$43-B549)&lt;=0,0,(INT(MAX(0,Inputs!$B$43-B549)/(IF(Inputs!$B$38="pvp",15,MAX(0.1,Skills!D6-IF(Skills!E6=TRUE,Inputs!$B$32,0)))*(1-IF(AND(ArtifactsInput!$M$27,Inputs!$B$4="Chapter Hunt"),CHOOSE(ArtifactsInput!$N$27+1,20,24,28,32,36,40),0)/100)))+1)),0)</f>
        <v/>
      </c>
      <c r="S517">
        <f>IFERROR(O517/N517,0)</f>
        <v/>
      </c>
      <c r="T517">
        <f>IF(C517,(H517*N517*IF(AND(Inputs!$B$38&lt;&gt;"pvp",Inputs!$B$43&gt;0),((Skills!G6*((R517-1)*IF(Skills!H6&gt;0,Skills!I6/Skills!H6,1)+IF(Skills!H6&gt;0,MIN(Skills!I6,MAX(0,MAX(0,Inputs!$B$43-B549)-((R517-1)*(IF(Inputs!$B$38="pvp",15,MAX(0.1,Skills!D6-IF(Skills!E6=TRUE,Inputs!$B$32,0)))*(1-IF(AND(ArtifactsInput!$M$27,Inputs!$B$4="Chapter Hunt"),CHOOSE(ArtifactsInput!$N$27+1,20,24,28,32,36,40),0)/100)))))/Skills!H6,1)))/Inputs!$B$43),G517*Q517)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517*(1-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517*(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517*(1-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517*(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7">
        <f>IF(C517,(H517*N517*IF(AND(Inputs!$B$38&lt;&gt;"pvp",Inputs!$B$43&gt;0),((Skills!G6*((R517-1)*IF(Skills!H6&gt;0,Skills!I6/Skills!H6,1)+IF(Skills!H6&gt;0,MIN(Skills!I6,MAX(0,MAX(0,Inputs!$B$43-B549)-((R517-1)*(IF(Inputs!$B$38="pvp",15,MAX(0.1,Skills!D6-IF(Skills!E6=TRUE,Inputs!$B$32,0)))*(1-IF(AND(ArtifactsInput!$M$27,Inputs!$B$4="Chapter Hunt"),CHOOSE(ArtifactsInput!$N$27+1,20,24,28,32,36,40),0)/100)))))/Skills!H6,1)))/Inputs!$B$43),G517*Q517))*IF(Inputs!$B$38="pvp",1,(1+(Inputs!$B$21+Skills!Q6+(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8">
      <c r="A518">
        <f>Skills!A7</f>
        <v/>
      </c>
      <c r="B518">
        <f>Skills!B7</f>
        <v/>
      </c>
      <c r="C518">
        <f>Inputs!$B$3&gt;=66</f>
        <v/>
      </c>
      <c r="D518">
        <f>IF(Skills!C7=1,60+Inputs!$B$25+Inputs!$B$29,IF(Skills!C7=2,90+Inputs!$B$26+Inputs!$B$29,IF(Skills!C7=3,120+Inputs!$B$27+Inputs!$B$29,MAX(0,(Inputs!$B$3-100)*3)+Inputs!$B$28+Inputs!$B$29)))</f>
        <v/>
      </c>
      <c r="E518">
        <f>INDEX(FactorTable!$B$2:$Y$301, MATCH(ROUND(MIN(300,MAX(1,D518)),0), FactorTable!$A$2:$A$301,0), Skills!M7+1)</f>
        <v/>
      </c>
      <c r="F518">
        <f>IF(Skills!N7=TRUE,(Skills!L7/10)*(E518/1000),Skills!L7/10)+Skills!O7</f>
        <v/>
      </c>
      <c r="G518">
        <f>Skills!G7*IF(Skills!H7&gt;0,Skills!I7/Skills!H7,1)</f>
        <v/>
      </c>
      <c r="H518">
        <f>1-(1-Skills!J7/100)^Skills!K7</f>
        <v/>
      </c>
      <c r="I518" t="inlineStr">
        <is>
          <t>1</t>
        </is>
      </c>
      <c r="J518">
        <f>((Inputs!$B$6*(1+Inputs!$B$7/100))+(((Inputs!$B$12*(1+Inputs!$B$13/100))-(Inputs!$B$12*(1+Inputs!$B$13/100)))+0.25*(Inputs!$B$14-Inputs!$B$14))*(1+Inputs!$B$7/100))*(F518/100)</f>
        <v/>
      </c>
      <c r="K518">
        <f>J518*(1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526=TRUE,F526,0)/100)*(1+(IF(Skills!A7="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518)</f>
        <v/>
      </c>
      <c r="L518">
        <f>K518*(MIN(Inputs!$B$22+((C533=TRUE)*(F533-Calc!F22)),(Inputs!$B$23+0+(IF(ArtifactsInput!$M$15,CHOOSE(ArtifactsInput!$N$15+1,25,30,35,40,45,50)/100*(Inputs!$B$11-Inputs!$B$11),0))))/100+(Inputs!$B$23+0+(IF(ArtifactsInput!$M$15,CHOOSE(ArtifactsInput!$N$15+1,25,30,35,40,45,50)/100*(Inputs!$B$11-Inputs!$B$11),0)))/100)/2</f>
        <v/>
      </c>
      <c r="M518">
        <f>L518*(1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8">
        <f>L518*(1-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518*(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8">
        <f>(1-Summary!$B$11)*T518+Summary!$B$11*V518</f>
        <v/>
      </c>
      <c r="P518">
        <f>IF(B552=0,0,O518/B552)</f>
        <v/>
      </c>
      <c r="Q518">
        <f>IFERROR(1/(IF(Inputs!$B$38="pvp",15,MAX(0.1,Skills!D7-IF(Skills!E7=TRUE,Inputs!$B$32,0)))*(1-IF(AND(ArtifactsInput!$M$27,Inputs!$B$4="Chapter Hunt"),CHOOSE(ArtifactsInput!$N$27+1,20,24,28,32,36,40),0)/100)),0)</f>
        <v/>
      </c>
      <c r="R518">
        <f>IF(AND(Inputs!$B$38&lt;&gt;"pvp",Inputs!$B$43&gt;0),IF(MAX(0,Inputs!$B$43-B549)&lt;=0,0,(INT(MAX(0,Inputs!$B$43-B549)/(IF(Inputs!$B$38="pvp",15,MAX(0.1,Skills!D7-IF(Skills!E7=TRUE,Inputs!$B$32,0)))*(1-IF(AND(ArtifactsInput!$M$27,Inputs!$B$4="Chapter Hunt"),CHOOSE(ArtifactsInput!$N$27+1,20,24,28,32,36,40),0)/100)))+1)),0)</f>
        <v/>
      </c>
      <c r="S518">
        <f>IFERROR(O518/N518,0)</f>
        <v/>
      </c>
      <c r="T518">
        <f>IF(C518,(H518*N518*IF(AND(Inputs!$B$38&lt;&gt;"pvp",Inputs!$B$43&gt;0),((Skills!G7*((R518-1)*IF(Skills!H7&gt;0,Skills!I7/Skills!H7,1)+IF(Skills!H7&gt;0,MIN(Skills!I7,MAX(0,MAX(0,Inputs!$B$43-B549)-((R518-1)*(IF(Inputs!$B$38="pvp",15,MAX(0.1,Skills!D7-IF(Skills!E7=TRUE,Inputs!$B$32,0)))*(1-IF(AND(ArtifactsInput!$M$27,Inputs!$B$4="Chapter Hunt"),CHOOSE(ArtifactsInput!$N$27+1,20,24,28,32,36,40),0)/100)))))/Skills!H7,1)))/Inputs!$B$43),G518*Q518)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518*(1-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518*(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518*(1-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518*(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8">
        <f>IF(C518,(H518*N518*IF(AND(Inputs!$B$38&lt;&gt;"pvp",Inputs!$B$43&gt;0),((Skills!G7*((R518-1)*IF(Skills!H7&gt;0,Skills!I7/Skills!H7,1)+IF(Skills!H7&gt;0,MIN(Skills!I7,MAX(0,MAX(0,Inputs!$B$43-B549)-((R518-1)*(IF(Inputs!$B$38="pvp",15,MAX(0.1,Skills!D7-IF(Skills!E7=TRUE,Inputs!$B$32,0)))*(1-IF(AND(ArtifactsInput!$M$27,Inputs!$B$4="Chapter Hunt"),CHOOSE(ArtifactsInput!$N$27+1,20,24,28,32,36,40),0)/100)))))/Skills!H7,1)))/Inputs!$B$43),G518*Q518))*IF(Inputs!$B$38="pvp",1,(1+(Inputs!$B$21+Skills!Q7+(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9">
      <c r="A519">
        <f>Skills!A8</f>
        <v/>
      </c>
      <c r="B519">
        <f>Skills!B8</f>
        <v/>
      </c>
      <c r="C519">
        <f>Inputs!$B$3&gt;=100</f>
        <v/>
      </c>
      <c r="D519">
        <f>IF(Skills!C8=1,60+Inputs!$B$25+Inputs!$B$29,IF(Skills!C8=2,90+Inputs!$B$26+Inputs!$B$29,IF(Skills!C8=3,120+Inputs!$B$27+Inputs!$B$29,MAX(0,(Inputs!$B$3-100)*3)+Inputs!$B$28+Inputs!$B$29)))</f>
        <v/>
      </c>
      <c r="E519">
        <f>INDEX(FactorTable!$B$2:$Y$301, MATCH(ROUND(MIN(300,MAX(1,D519)),0), FactorTable!$A$2:$A$301,0), Skills!M8+1)</f>
        <v/>
      </c>
      <c r="F519">
        <f>IF(Skills!N8=TRUE,(Skills!L8/10)*(E519/1000),Skills!L8/10)+Skills!O8</f>
        <v/>
      </c>
      <c r="G519">
        <f>Skills!G8*IF(Skills!H8&gt;0,Skills!I8/Skills!H8,1)</f>
        <v/>
      </c>
      <c r="H519">
        <f>1-(1-Skills!J8/100)^Skills!K8</f>
        <v/>
      </c>
      <c r="I519" t="inlineStr">
        <is>
          <t>1</t>
        </is>
      </c>
      <c r="J519">
        <f>((Inputs!$B$6*(1+Inputs!$B$7/100))+(((Inputs!$B$12*(1+Inputs!$B$13/100))-(Inputs!$B$12*(1+Inputs!$B$13/100)))+0.25*(Inputs!$B$14-Inputs!$B$14))*(1+Inputs!$B$7/100))*(F519/100)</f>
        <v/>
      </c>
      <c r="K519">
        <f>J519*(1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519)</f>
        <v/>
      </c>
      <c r="L519">
        <f>K519*(MIN(Inputs!$B$22+((C533=TRUE)*(F533-Calc!F22)),(Inputs!$B$23+0+(IF(ArtifactsInput!$M$15,CHOOSE(ArtifactsInput!$N$15+1,25,30,35,40,45,50)/100*(Inputs!$B$11-Inputs!$B$11),0))))/100+(Inputs!$B$23+0+(IF(ArtifactsInput!$M$15,CHOOSE(ArtifactsInput!$N$15+1,25,30,35,40,45,50)/100*(Inputs!$B$11-Inputs!$B$11),0)))/100)/2</f>
        <v/>
      </c>
      <c r="M519">
        <f>L519*(1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9">
        <f>L519*(1-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519*(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9">
        <f>(1-Summary!$B$11)*T519+Summary!$B$11*V519</f>
        <v/>
      </c>
      <c r="P519">
        <f>IF(B552=0,0,O519/B552)</f>
        <v/>
      </c>
      <c r="Q519">
        <f>IFERROR(1/(IF(Inputs!$B$38="pvp",15,MAX(0.1,Skills!D8-IF(Skills!E8=TRUE,Inputs!$B$32,0)))*(1-IF(AND(ArtifactsInput!$M$27,Inputs!$B$4="Chapter Hunt"),CHOOSE(ArtifactsInput!$N$27+1,20,24,28,32,36,40),0)/100)),0)</f>
        <v/>
      </c>
      <c r="R519">
        <f>IF(AND(Inputs!$B$38&lt;&gt;"pvp",Inputs!$B$43&gt;0),IF(MAX(0,Inputs!$B$43-B549)&lt;=0,0,(INT(MAX(0,Inputs!$B$43-B549)/(IF(Inputs!$B$38="pvp",15,MAX(0.1,Skills!D8-IF(Skills!E8=TRUE,Inputs!$B$32,0)))*(1-IF(AND(ArtifactsInput!$M$27,Inputs!$B$4="Chapter Hunt"),CHOOSE(ArtifactsInput!$N$27+1,20,24,28,32,36,40),0)/100)))+1)),0)</f>
        <v/>
      </c>
      <c r="S519">
        <f>IFERROR(O519/N519,0)</f>
        <v/>
      </c>
      <c r="T519">
        <f>IF(C519,(H519*N519*IF(AND(Inputs!$B$38&lt;&gt;"pvp",Inputs!$B$43&gt;0),((Skills!G8*((R519-1)*IF(Skills!H8&gt;0,Skills!I8/Skills!H8,1)+IF(Skills!H8&gt;0,MIN(Skills!I8,MAX(0,MAX(0,Inputs!$B$43-B549)-((R519-1)*(IF(Inputs!$B$38="pvp",15,MAX(0.1,Skills!D8-IF(Skills!E8=TRUE,Inputs!$B$32,0)))*(1-IF(AND(ArtifactsInput!$M$27,Inputs!$B$4="Chapter Hunt"),CHOOSE(ArtifactsInput!$N$27+1,20,24,28,32,36,40),0)/100)))))/Skills!H8,1)))/Inputs!$B$43),G519*Q519)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519*(1-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519*(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519*(1-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519*(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9">
        <f>IF(C519,(H519*N519*IF(AND(Inputs!$B$38&lt;&gt;"pvp",Inputs!$B$43&gt;0),((Skills!G8*((R519-1)*IF(Skills!H8&gt;0,Skills!I8/Skills!H8,1)+IF(Skills!H8&gt;0,MIN(Skills!I8,MAX(0,MAX(0,Inputs!$B$43-B549)-((R519-1)*(IF(Inputs!$B$38="pvp",15,MAX(0.1,Skills!D8-IF(Skills!E8=TRUE,Inputs!$B$32,0)))*(1-IF(AND(ArtifactsInput!$M$27,Inputs!$B$4="Chapter Hunt"),CHOOSE(ArtifactsInput!$N$27+1,20,24,28,32,36,40),0)/100)))))/Skills!H8,1)))/Inputs!$B$43),G519*Q519))*IF(Inputs!$B$38="pvp",1,(1+(Inputs!$B$21+Skills!Q8+(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0">
      <c r="A520">
        <f>Skills!A9</f>
        <v/>
      </c>
      <c r="B520">
        <f>Skills!B9</f>
        <v/>
      </c>
      <c r="C520">
        <f>Inputs!$B$3&gt;=103</f>
        <v/>
      </c>
      <c r="D520">
        <f>IF(Skills!C9=1,60+Inputs!$B$25+Inputs!$B$29,IF(Skills!C9=2,90+Inputs!$B$26+Inputs!$B$29,IF(Skills!C9=3,120+Inputs!$B$27+Inputs!$B$29,MAX(0,(Inputs!$B$3-100)*3)+Inputs!$B$28+Inputs!$B$29)))</f>
        <v/>
      </c>
      <c r="E520">
        <f>INDEX(FactorTable!$B$2:$Y$301, MATCH(ROUND(MIN(300,MAX(1,D520)),0), FactorTable!$A$2:$A$301,0), Skills!M9+1)</f>
        <v/>
      </c>
      <c r="F520">
        <f>IF(Skills!N9=TRUE,(Skills!L9/10)*(E520/1000),Skills!L9/10)+Skills!O9</f>
        <v/>
      </c>
      <c r="G520">
        <f>Skills!G9*IF(Skills!H9&gt;0,Skills!I9/Skills!H9,1)</f>
        <v/>
      </c>
      <c r="H520">
        <f>1-(1-Skills!J9/100)^Skills!K9</f>
        <v/>
      </c>
      <c r="I520" t="inlineStr">
        <is>
          <t>1</t>
        </is>
      </c>
      <c r="J520">
        <f>((Inputs!$B$6*(1+Inputs!$B$7/100))+(((Inputs!$B$12*(1+Inputs!$B$13/100))-(Inputs!$B$12*(1+Inputs!$B$13/100)))+0.25*(Inputs!$B$14-Inputs!$B$14))*(1+Inputs!$B$7/100))*(F520/100)</f>
        <v/>
      </c>
      <c r="K520">
        <f>J520*(1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520)</f>
        <v/>
      </c>
      <c r="L520">
        <f>K520*(MIN(Inputs!$B$22+((C533=TRUE)*(F533-Calc!F22)),(Inputs!$B$23+0+(IF(ArtifactsInput!$M$15,CHOOSE(ArtifactsInput!$N$15+1,25,30,35,40,45,50)/100*(Inputs!$B$11-Inputs!$B$11),0))))/100+(Inputs!$B$23+0+(IF(ArtifactsInput!$M$15,CHOOSE(ArtifactsInput!$N$15+1,25,30,35,40,45,50)/100*(Inputs!$B$11-Inputs!$B$11),0)))/100)/2</f>
        <v/>
      </c>
      <c r="M520">
        <f>L520*(1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0">
        <f>L520*(1-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520*(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0">
        <f>(1-Summary!$B$11)*T520+Summary!$B$11*V520</f>
        <v/>
      </c>
      <c r="P520">
        <f>IF(B552=0,0,O520/B552)</f>
        <v/>
      </c>
      <c r="Q520">
        <f>IFERROR(1/(IF(Inputs!$B$38="pvp",15,MAX(0.1,Skills!D9-IF(Skills!E9=TRUE,Inputs!$B$32,0)))*(1-IF(AND(ArtifactsInput!$M$27,Inputs!$B$4="Chapter Hunt"),CHOOSE(ArtifactsInput!$N$27+1,20,24,28,32,36,40),0)/100)),0)</f>
        <v/>
      </c>
      <c r="R520">
        <f>IF(AND(Inputs!$B$38&lt;&gt;"pvp",Inputs!$B$43&gt;0),IF(MAX(0,Inputs!$B$43-B549)&lt;=0,0,(INT(MAX(0,Inputs!$B$43-B549)/(IF(Inputs!$B$38="pvp",15,MAX(0.1,Skills!D9-IF(Skills!E9=TRUE,Inputs!$B$32,0)))*(1-IF(AND(ArtifactsInput!$M$27,Inputs!$B$4="Chapter Hunt"),CHOOSE(ArtifactsInput!$N$27+1,20,24,28,32,36,40),0)/100)))+1)),0)</f>
        <v/>
      </c>
      <c r="S520">
        <f>IFERROR(O520/N520,0)</f>
        <v/>
      </c>
      <c r="T520">
        <f>IF(C520,(H520*N520*IF(AND(Inputs!$B$38&lt;&gt;"pvp",Inputs!$B$43&gt;0),((Skills!G9*((R520-1)*IF(Skills!H9&gt;0,Skills!I9/Skills!H9,1)+IF(Skills!H9&gt;0,MIN(Skills!I9,MAX(0,MAX(0,Inputs!$B$43-B549)-((R520-1)*(IF(Inputs!$B$38="pvp",15,MAX(0.1,Skills!D9-IF(Skills!E9=TRUE,Inputs!$B$32,0)))*(1-IF(AND(ArtifactsInput!$M$27,Inputs!$B$4="Chapter Hunt"),CHOOSE(ArtifactsInput!$N$27+1,20,24,28,32,36,40),0)/100)))))/Skills!H9,1)))/Inputs!$B$43),G520*Q520)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520*(1-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520*(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520*(1-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520*(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0">
        <f>IF(C520,(H520*N520*IF(AND(Inputs!$B$38&lt;&gt;"pvp",Inputs!$B$43&gt;0),((Skills!G9*((R520-1)*IF(Skills!H9&gt;0,Skills!I9/Skills!H9,1)+IF(Skills!H9&gt;0,MIN(Skills!I9,MAX(0,MAX(0,Inputs!$B$43-B549)-((R520-1)*(IF(Inputs!$B$38="pvp",15,MAX(0.1,Skills!D9-IF(Skills!E9=TRUE,Inputs!$B$32,0)))*(1-IF(AND(ArtifactsInput!$M$27,Inputs!$B$4="Chapter Hunt"),CHOOSE(ArtifactsInput!$N$27+1,20,24,28,32,36,40),0)/100)))))/Skills!H9,1)))/Inputs!$B$43),G520*Q520))*IF(Inputs!$B$38="pvp",1,(1+(Inputs!$B$21+Skills!Q9+(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1">
      <c r="A521">
        <f>Skills!A10</f>
        <v/>
      </c>
      <c r="B521">
        <f>Skills!B10</f>
        <v/>
      </c>
      <c r="C521">
        <f>Inputs!$B$3&gt;=113</f>
        <v/>
      </c>
      <c r="D521">
        <f>IF(Skills!C10=1,60+Inputs!$B$25+Inputs!$B$29,IF(Skills!C10=2,90+Inputs!$B$26+Inputs!$B$29,IF(Skills!C10=3,120+Inputs!$B$27+Inputs!$B$29,MAX(0,(Inputs!$B$3-100)*3)+Inputs!$B$28+Inputs!$B$29)))</f>
        <v/>
      </c>
      <c r="E521">
        <f>INDEX(FactorTable!$B$2:$Y$301, MATCH(ROUND(MIN(300,MAX(1,D521)),0), FactorTable!$A$2:$A$301,0), Skills!M10+1)</f>
        <v/>
      </c>
      <c r="F521">
        <f>IF(Skills!N10=TRUE,(Skills!L10/10)*(E521/1000),Skills!L10/10)+Skills!O10</f>
        <v/>
      </c>
      <c r="G521">
        <f>Skills!G10*IF(Skills!H10&gt;0,Skills!I10/Skills!H10,1)</f>
        <v/>
      </c>
      <c r="H521">
        <f>1-(1-Skills!J10/100)^Skills!K10</f>
        <v/>
      </c>
      <c r="I521" t="inlineStr">
        <is>
          <t>1</t>
        </is>
      </c>
      <c r="J521">
        <f>((Inputs!$B$6*(1+Inputs!$B$7/100))+(((Inputs!$B$12*(1+Inputs!$B$13/100))-(Inputs!$B$12*(1+Inputs!$B$13/100)))+0.25*(Inputs!$B$14-Inputs!$B$14))*(1+Inputs!$B$7/100))*(F521/100)</f>
        <v/>
      </c>
      <c r="K521">
        <f>J521*(1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521)</f>
        <v/>
      </c>
      <c r="L521">
        <f>K521*(MIN(Inputs!$B$22+((C533=TRUE)*(F533-Calc!F22)),(Inputs!$B$23+0+(IF(ArtifactsInput!$M$15,CHOOSE(ArtifactsInput!$N$15+1,25,30,35,40,45,50)/100*(Inputs!$B$11-Inputs!$B$11),0))))/100+(Inputs!$B$23+0+(IF(ArtifactsInput!$M$15,CHOOSE(ArtifactsInput!$N$15+1,25,30,35,40,45,50)/100*(Inputs!$B$11-Inputs!$B$11),0)))/100)/2</f>
        <v/>
      </c>
      <c r="M521">
        <f>L521*(1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1">
        <f>L521*(1-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1">
        <f>(1-Summary!$B$11)*T521+Summary!$B$11*V521</f>
        <v/>
      </c>
      <c r="P521">
        <f>IF(B552=0,0,O521/B552)</f>
        <v/>
      </c>
      <c r="Q521">
        <f>IFERROR(1/(IF(Inputs!$B$38="pvp",15,MAX(0.1,Skills!D10-IF(Skills!E10=TRUE,Inputs!$B$32,0)))*(1-IF(AND(ArtifactsInput!$M$27,Inputs!$B$4="Chapter Hunt"),CHOOSE(ArtifactsInput!$N$27+1,20,24,28,32,36,40),0)/100)),0)</f>
        <v/>
      </c>
      <c r="R521">
        <f>IF(AND(Inputs!$B$38&lt;&gt;"pvp",Inputs!$B$43&gt;0),IF(MAX(0,Inputs!$B$43-B549)&lt;=0,0,(INT(MAX(0,Inputs!$B$43-B549)/(IF(Inputs!$B$38="pvp",15,MAX(0.1,Skills!D10-IF(Skills!E10=TRUE,Inputs!$B$32,0)))*(1-IF(AND(ArtifactsInput!$M$27,Inputs!$B$4="Chapter Hunt"),CHOOSE(ArtifactsInput!$N$27+1,20,24,28,32,36,40),0)/100)))+1)),0)</f>
        <v/>
      </c>
      <c r="S521">
        <f>IFERROR(O521/N521,0)</f>
        <v/>
      </c>
      <c r="T521">
        <f>IF(C521,(H521*N521*IF(AND(Inputs!$B$38&lt;&gt;"pvp",Inputs!$B$43&gt;0),((Skills!G10*((R521-1)*IF(Skills!H10&gt;0,Skills!I10/Skills!H10,1)+IF(Skills!H10&gt;0,MIN(Skills!I10,MAX(0,MAX(0,Inputs!$B$43-B549)-((R521-1)*(IF(Inputs!$B$38="pvp",15,MAX(0.1,Skills!D10-IF(Skills!E10=TRUE,Inputs!$B$32,0)))*(1-IF(AND(ArtifactsInput!$M$27,Inputs!$B$4="Chapter Hunt"),CHOOSE(ArtifactsInput!$N$27+1,20,24,28,32,36,40),0)/100)))))/Skills!H10,1)))/Inputs!$B$43),G521*Q521)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521*(1-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521*(1-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1">
        <f>IF(C521,(H521*N521*IF(AND(Inputs!$B$38&lt;&gt;"pvp",Inputs!$B$43&gt;0),((Skills!G10*((R521-1)*IF(Skills!H10&gt;0,Skills!I10/Skills!H10,1)+IF(Skills!H10&gt;0,MIN(Skills!I10,MAX(0,MAX(0,Inputs!$B$43-B549)-((R521-1)*(IF(Inputs!$B$38="pvp",15,MAX(0.1,Skills!D10-IF(Skills!E10=TRUE,Inputs!$B$32,0)))*(1-IF(AND(ArtifactsInput!$M$27,Inputs!$B$4="Chapter Hunt"),CHOOSE(ArtifactsInput!$N$27+1,20,24,28,32,36,40),0)/100)))))/Skills!H10,1)))/Inputs!$B$43),G521*Q521))*IF(Inputs!$B$38="pvp",1,(1+(Inputs!$B$21+Skills!Q10+(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2">
      <c r="A522">
        <f>Skills!A11</f>
        <v/>
      </c>
      <c r="B522">
        <f>Skills!B11</f>
        <v/>
      </c>
      <c r="C522">
        <f>Inputs!$B$3&gt;=107</f>
        <v/>
      </c>
      <c r="D522">
        <f>IF(Skills!C11=1,60+Inputs!$B$25+Inputs!$B$29,IF(Skills!C11=2,90+Inputs!$B$26+Inputs!$B$29,IF(Skills!C11=3,120+Inputs!$B$27+Inputs!$B$29,MAX(0,(Inputs!$B$3-100)*3)+Inputs!$B$28+Inputs!$B$29)))</f>
        <v/>
      </c>
      <c r="E522">
        <f>INDEX(FactorTable!$B$2:$Y$301, MATCH(ROUND(MIN(300,MAX(1,D522)),0), FactorTable!$A$2:$A$301,0), Skills!M11+1)</f>
        <v/>
      </c>
      <c r="F522">
        <f>IF(Skills!N11=TRUE,(Skills!L11/10)*(E522/1000),Skills!L11/10)+Skills!O11</f>
        <v/>
      </c>
      <c r="G522">
        <f>Skills!G11*IF(Skills!H11&gt;0,Skills!I11/Skills!H11,1)</f>
        <v/>
      </c>
      <c r="H522">
        <f>1-(1-Skills!J11/100)^Skills!K11</f>
        <v/>
      </c>
      <c r="I522" t="inlineStr">
        <is>
          <t>1</t>
        </is>
      </c>
      <c r="J522">
        <f>((Inputs!$B$6*(1+Inputs!$B$7/100))+(((Inputs!$B$12*(1+Inputs!$B$13/100))-(Inputs!$B$12*(1+Inputs!$B$13/100)))+0.25*(Inputs!$B$14-Inputs!$B$14))*(1+Inputs!$B$7/100))*(F522/100)</f>
        <v/>
      </c>
      <c r="K522">
        <f>J522*(1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522)</f>
        <v/>
      </c>
      <c r="L522">
        <f>K522*(MIN(Inputs!$B$22+((C533=TRUE)*(F533-Calc!F22)),(Inputs!$B$23+0+(IF(ArtifactsInput!$M$15,CHOOSE(ArtifactsInput!$N$15+1,25,30,35,40,45,50)/100*(Inputs!$B$11-Inputs!$B$11),0))))/100+(Inputs!$B$23+0+(IF(ArtifactsInput!$M$15,CHOOSE(ArtifactsInput!$N$15+1,25,30,35,40,45,50)/100*(Inputs!$B$11-Inputs!$B$11),0)))/100)/2</f>
        <v/>
      </c>
      <c r="M522">
        <f>L522*(1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2">
        <f>L522*(1-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522*(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2">
        <f>(1-Summary!$B$11)*T522+Summary!$B$11*V522</f>
        <v/>
      </c>
      <c r="P522">
        <f>IF(B552=0,0,O522/B552)</f>
        <v/>
      </c>
      <c r="Q522">
        <f>IFERROR(1/(IF(Inputs!$B$38="pvp",15,MAX(0.1,Skills!D11-IF(Skills!E11=TRUE,Inputs!$B$32,0)))*(1-IF(AND(ArtifactsInput!$M$27,Inputs!$B$4="Chapter Hunt"),CHOOSE(ArtifactsInput!$N$27+1,20,24,28,32,36,40),0)/100)),0)</f>
        <v/>
      </c>
      <c r="R522">
        <f>IF(AND(Inputs!$B$38&lt;&gt;"pvp",Inputs!$B$43&gt;0),IF(MAX(0,Inputs!$B$43-B549)&lt;=0,0,(INT(MAX(0,Inputs!$B$43-B549)/(IF(Inputs!$B$38="pvp",15,MAX(0.1,Skills!D11-IF(Skills!E11=TRUE,Inputs!$B$32,0)))*(1-IF(AND(ArtifactsInput!$M$27,Inputs!$B$4="Chapter Hunt"),CHOOSE(ArtifactsInput!$N$27+1,20,24,28,32,36,40),0)/100)))+1)),0)</f>
        <v/>
      </c>
      <c r="S522">
        <f>IFERROR(O522/N522,0)</f>
        <v/>
      </c>
      <c r="T522">
        <f>IF(C522,(H522*N522*IF(AND(Inputs!$B$38&lt;&gt;"pvp",Inputs!$B$43&gt;0),((Skills!G11*((R522-1)*IF(Skills!H11&gt;0,Skills!I11/Skills!H11,1)+IF(Skills!H11&gt;0,MIN(Skills!I11,MAX(0,MAX(0,Inputs!$B$43-B549)-((R522-1)*(IF(Inputs!$B$38="pvp",15,MAX(0.1,Skills!D11-IF(Skills!E11=TRUE,Inputs!$B$32,0)))*(1-IF(AND(ArtifactsInput!$M$27,Inputs!$B$4="Chapter Hunt"),CHOOSE(ArtifactsInput!$N$27+1,20,24,28,32,36,40),0)/100)))))/Skills!H11,1)))/Inputs!$B$43),G522*Q522)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522*(1-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522*(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522*(1-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522*(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2">
        <f>IF(C522,(H522*N522*IF(AND(Inputs!$B$38&lt;&gt;"pvp",Inputs!$B$43&gt;0),((Skills!G11*((R522-1)*IF(Skills!H11&gt;0,Skills!I11/Skills!H11,1)+IF(Skills!H11&gt;0,MIN(Skills!I11,MAX(0,MAX(0,Inputs!$B$43-B549)-((R522-1)*(IF(Inputs!$B$38="pvp",15,MAX(0.1,Skills!D11-IF(Skills!E11=TRUE,Inputs!$B$32,0)))*(1-IF(AND(ArtifactsInput!$M$27,Inputs!$B$4="Chapter Hunt"),CHOOSE(ArtifactsInput!$N$27+1,20,24,28,32,36,40),0)/100)))))/Skills!H11,1)))/Inputs!$B$43),G522*Q522))*IF(Inputs!$B$38="pvp",1,(1+(Inputs!$B$21+Skills!Q11+(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3">
      <c r="A523">
        <f>Skills!A12</f>
        <v/>
      </c>
      <c r="B523">
        <f>Skills!B12</f>
        <v/>
      </c>
      <c r="C523">
        <f>Inputs!$B$3&gt;=110</f>
        <v/>
      </c>
      <c r="D523">
        <f>IF(Skills!C12=1,60+Inputs!$B$25+Inputs!$B$29,IF(Skills!C12=2,90+Inputs!$B$26+Inputs!$B$29,IF(Skills!C12=3,120+Inputs!$B$27+Inputs!$B$29,MAX(0,(Inputs!$B$3-100)*3)+Inputs!$B$28+Inputs!$B$29)))</f>
        <v/>
      </c>
      <c r="E523">
        <f>INDEX(FactorTable!$B$2:$Y$301, MATCH(ROUND(MIN(300,MAX(1,D523)),0), FactorTable!$A$2:$A$301,0), Skills!M12+1)</f>
        <v/>
      </c>
      <c r="F523">
        <f>IF(Skills!N12=TRUE,(Skills!L12/10)*(E523/1000),Skills!L12/10)+Skills!O12</f>
        <v/>
      </c>
      <c r="G523">
        <f>Skills!G12*IF(Skills!H12&gt;0,Skills!I12/Skills!H12,1)</f>
        <v/>
      </c>
      <c r="H523">
        <f>1-(1-Skills!J12/100)^Skills!K12</f>
        <v/>
      </c>
      <c r="I523" t="inlineStr">
        <is>
          <t>1</t>
        </is>
      </c>
      <c r="J523">
        <f>((Inputs!$B$6*(1+Inputs!$B$7/100))+(((Inputs!$B$12*(1+Inputs!$B$13/100))-(Inputs!$B$12*(1+Inputs!$B$13/100)))+0.25*(Inputs!$B$14-Inputs!$B$14))*(1+Inputs!$B$7/100))*(F523/100)</f>
        <v/>
      </c>
      <c r="K523">
        <f>J523*(1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523)</f>
        <v/>
      </c>
      <c r="L523">
        <f>K523*(MIN(Inputs!$B$22+((C533=TRUE)*(F533-Calc!F22)),(Inputs!$B$23+0+(IF(ArtifactsInput!$M$15,CHOOSE(ArtifactsInput!$N$15+1,25,30,35,40,45,50)/100*(Inputs!$B$11-Inputs!$B$11),0))))/100+(Inputs!$B$23+0+(IF(ArtifactsInput!$M$15,CHOOSE(ArtifactsInput!$N$15+1,25,30,35,40,45,50)/100*(Inputs!$B$11-Inputs!$B$11),0)))/100)/2</f>
        <v/>
      </c>
      <c r="M523">
        <f>L523*(1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3">
        <f>L523*(1-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523*(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3">
        <f>(1-Summary!$B$11)*T523+Summary!$B$11*V523</f>
        <v/>
      </c>
      <c r="P523">
        <f>IF(B552=0,0,O523/B552)</f>
        <v/>
      </c>
      <c r="Q523">
        <f>IFERROR(1/(IF(Inputs!$B$38="pvp",15,MAX(0.1,Skills!D12-IF(Skills!E12=TRUE,Inputs!$B$32,0)))*(1-IF(AND(ArtifactsInput!$M$27,Inputs!$B$4="Chapter Hunt"),CHOOSE(ArtifactsInput!$N$27+1,20,24,28,32,36,40),0)/100)),0)</f>
        <v/>
      </c>
      <c r="R523">
        <f>IF(AND(Inputs!$B$38&lt;&gt;"pvp",Inputs!$B$43&gt;0),IF(MAX(0,Inputs!$B$43-B549)&lt;=0,0,(INT(MAX(0,Inputs!$B$43-B549)/(IF(Inputs!$B$38="pvp",15,MAX(0.1,Skills!D12-IF(Skills!E12=TRUE,Inputs!$B$32,0)))*(1-IF(AND(ArtifactsInput!$M$27,Inputs!$B$4="Chapter Hunt"),CHOOSE(ArtifactsInput!$N$27+1,20,24,28,32,36,40),0)/100)))+1)),0)</f>
        <v/>
      </c>
      <c r="S523">
        <f>IFERROR(O523/N523,0)</f>
        <v/>
      </c>
      <c r="T523">
        <f>IF(C523,(H523*N523*IF(AND(Inputs!$B$38&lt;&gt;"pvp",Inputs!$B$43&gt;0),((Skills!G12*((R523-1)*IF(Skills!H12&gt;0,Skills!I12/Skills!H12,1)+IF(Skills!H12&gt;0,MIN(Skills!I12,MAX(0,MAX(0,Inputs!$B$43-B549)-((R523-1)*(IF(Inputs!$B$38="pvp",15,MAX(0.1,Skills!D12-IF(Skills!E12=TRUE,Inputs!$B$32,0)))*(1-IF(AND(ArtifactsInput!$M$27,Inputs!$B$4="Chapter Hunt"),CHOOSE(ArtifactsInput!$N$27+1,20,24,28,32,36,40),0)/100)))))/Skills!H12,1)))/Inputs!$B$43),G523*Q523)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523*(1-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523*(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523*(1-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523*(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3">
        <f>IF(C523,(H523*N523*IF(AND(Inputs!$B$38&lt;&gt;"pvp",Inputs!$B$43&gt;0),((Skills!G12*((R523-1)*IF(Skills!H12&gt;0,Skills!I12/Skills!H12,1)+IF(Skills!H12&gt;0,MIN(Skills!I12,MAX(0,MAX(0,Inputs!$B$43-B549)-((R523-1)*(IF(Inputs!$B$38="pvp",15,MAX(0.1,Skills!D12-IF(Skills!E12=TRUE,Inputs!$B$32,0)))*(1-IF(AND(ArtifactsInput!$M$27,Inputs!$B$4="Chapter Hunt"),CHOOSE(ArtifactsInput!$N$27+1,20,24,28,32,36,40),0)/100)))))/Skills!H12,1)))/Inputs!$B$43),G523*Q523))*IF(Inputs!$B$38="pvp",1,(1+(Inputs!$B$21+Skills!Q12+(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4">
      <c r="A524">
        <f>Skills!A13</f>
        <v/>
      </c>
      <c r="B524">
        <f>Skills!B13</f>
        <v/>
      </c>
      <c r="C524">
        <f>Inputs!$B$3&gt;=110</f>
        <v/>
      </c>
      <c r="D524">
        <f>IF(Skills!C13=1,60+Inputs!$B$25+Inputs!$B$29,IF(Skills!C13=2,90+Inputs!$B$26+Inputs!$B$29,IF(Skills!C13=3,120+Inputs!$B$27+Inputs!$B$29,MAX(0,(Inputs!$B$3-100)*3)+Inputs!$B$28+Inputs!$B$29)))</f>
        <v/>
      </c>
      <c r="E524">
        <f>INDEX(FactorTable!$B$2:$Y$301, MATCH(ROUND(MIN(300,MAX(1,D524)),0), FactorTable!$A$2:$A$301,0), Skills!M13+1)</f>
        <v/>
      </c>
      <c r="F524">
        <f>IF(Skills!N13=TRUE,(Skills!L13/10)*(E524/1000),Skills!L13/10)+Skills!O13</f>
        <v/>
      </c>
      <c r="G524">
        <f>Skills!G13*IF(Skills!H13&gt;0,Skills!I13/Skills!H13,1)</f>
        <v/>
      </c>
      <c r="H524">
        <f>1-(1-Skills!J13/100)^Skills!K13</f>
        <v/>
      </c>
      <c r="I524" t="inlineStr">
        <is>
          <t>1</t>
        </is>
      </c>
      <c r="J524">
        <f>((Inputs!$B$6*(1+Inputs!$B$7/100))+(((Inputs!$B$12*(1+Inputs!$B$13/100))-(Inputs!$B$12*(1+Inputs!$B$13/100)))+0.25*(Inputs!$B$14-Inputs!$B$14))*(1+Inputs!$B$7/100))*(F524/100)</f>
        <v/>
      </c>
      <c r="K524">
        <f>J524*(1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524)</f>
        <v/>
      </c>
      <c r="L524">
        <f>K524*(MIN(Inputs!$B$22+((C533=TRUE)*(F533-Calc!F22)),(Inputs!$B$23+0+(IF(ArtifactsInput!$M$15,CHOOSE(ArtifactsInput!$N$15+1,25,30,35,40,45,50)/100*(Inputs!$B$11-Inputs!$B$11),0))))/100+(Inputs!$B$23+0+(IF(ArtifactsInput!$M$15,CHOOSE(ArtifactsInput!$N$15+1,25,30,35,40,45,50)/100*(Inputs!$B$11-Inputs!$B$11),0)))/100)/2</f>
        <v/>
      </c>
      <c r="M524">
        <f>L524*(1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4">
        <f>L524*(1-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524*(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4">
        <f>(1-Summary!$B$11)*T524+Summary!$B$11*V524</f>
        <v/>
      </c>
      <c r="P524">
        <f>IF(B552=0,0,O524/B552)</f>
        <v/>
      </c>
      <c r="Q524">
        <f>IFERROR(1/(IF(Inputs!$B$38="pvp",15,MAX(0.1,Skills!D13-IF(Skills!E13=TRUE,Inputs!$B$32,0)))*(1-IF(AND(ArtifactsInput!$M$27,Inputs!$B$4="Chapter Hunt"),CHOOSE(ArtifactsInput!$N$27+1,20,24,28,32,36,40),0)/100)),0)</f>
        <v/>
      </c>
      <c r="R524">
        <f>IF(AND(Inputs!$B$38&lt;&gt;"pvp",Inputs!$B$43&gt;0),IF(MAX(0,Inputs!$B$43-B549)&lt;=0,0,(INT(MAX(0,Inputs!$B$43-B549)/(IF(Inputs!$B$38="pvp",15,MAX(0.1,Skills!D13-IF(Skills!E13=TRUE,Inputs!$B$32,0)))*(1-IF(AND(ArtifactsInput!$M$27,Inputs!$B$4="Chapter Hunt"),CHOOSE(ArtifactsInput!$N$27+1,20,24,28,32,36,40),0)/100)))+1)),0)</f>
        <v/>
      </c>
      <c r="S524">
        <f>IFERROR(O524/N524,0)</f>
        <v/>
      </c>
      <c r="T524">
        <f>IF(C524,(H524*N524*IF(AND(Inputs!$B$38&lt;&gt;"pvp",Inputs!$B$43&gt;0),((Skills!G13*((R524-1)*IF(Skills!H13&gt;0,Skills!I13/Skills!H13,1)+IF(Skills!H13&gt;0,MIN(Skills!I13,MAX(0,MAX(0,Inputs!$B$43-B549)-((R524-1)*(IF(Inputs!$B$38="pvp",15,MAX(0.1,Skills!D13-IF(Skills!E13=TRUE,Inputs!$B$32,0)))*(1-IF(AND(ArtifactsInput!$M$27,Inputs!$B$4="Chapter Hunt"),CHOOSE(ArtifactsInput!$N$27+1,20,24,28,32,36,40),0)/100)))))/Skills!H13,1)))/Inputs!$B$43),G524*Q524)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524*(1-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524*(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524*(1-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524*(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4">
        <f>IF(C524,(H524*N524*IF(AND(Inputs!$B$38&lt;&gt;"pvp",Inputs!$B$43&gt;0),((Skills!G13*((R524-1)*IF(Skills!H13&gt;0,Skills!I13/Skills!H13,1)+IF(Skills!H13&gt;0,MIN(Skills!I13,MAX(0,MAX(0,Inputs!$B$43-B549)-((R524-1)*(IF(Inputs!$B$38="pvp",15,MAX(0.1,Skills!D13-IF(Skills!E13=TRUE,Inputs!$B$32,0)))*(1-IF(AND(ArtifactsInput!$M$27,Inputs!$B$4="Chapter Hunt"),CHOOSE(ArtifactsInput!$N$27+1,20,24,28,32,36,40),0)/100)))))/Skills!H13,1)))/Inputs!$B$43),G524*Q524))*IF(Inputs!$B$38="pvp",1,(1+(Inputs!$B$21+Skills!Q13+(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5">
      <c r="A525">
        <f>Skills!A14</f>
        <v/>
      </c>
      <c r="B525">
        <f>Skills!B14</f>
        <v/>
      </c>
      <c r="C525">
        <f>Inputs!$B$3&gt;=125</f>
        <v/>
      </c>
      <c r="D525">
        <f>IF(Skills!C14=1,60+Inputs!$B$25+Inputs!$B$29,IF(Skills!C14=2,90+Inputs!$B$26+Inputs!$B$29,IF(Skills!C14=3,120+Inputs!$B$27+Inputs!$B$29,MAX(0,(Inputs!$B$3-100)*3)+Inputs!$B$28+Inputs!$B$29)))</f>
        <v/>
      </c>
      <c r="E525">
        <f>INDEX(FactorTable!$B$2:$Y$301, MATCH(ROUND(MIN(300,MAX(1,D525)),0), FactorTable!$A$2:$A$301,0), Skills!M14+1)</f>
        <v/>
      </c>
      <c r="F525">
        <f>IF(Skills!N14=TRUE,(Skills!L14/10)*(E525/1000),Skills!L14/10)+Skills!O14</f>
        <v/>
      </c>
      <c r="G525">
        <f>Skills!G14*IF(Skills!H14&gt;0,Skills!I14/Skills!H14,1)</f>
        <v/>
      </c>
      <c r="H525">
        <f>1-(1-Skills!J14/100)^Skills!K14</f>
        <v/>
      </c>
      <c r="I525" t="inlineStr">
        <is>
          <t>1</t>
        </is>
      </c>
      <c r="J525">
        <f>((Inputs!$B$6*(1+Inputs!$B$7/100))+(((Inputs!$B$12*(1+Inputs!$B$13/100))-(Inputs!$B$12*(1+Inputs!$B$13/100)))+0.25*(Inputs!$B$14-Inputs!$B$14))*(1+Inputs!$B$7/100))*(F525/100)</f>
        <v/>
      </c>
      <c r="K525">
        <f>J525*(1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525)</f>
        <v/>
      </c>
      <c r="L525">
        <f>K525*(MIN(Inputs!$B$22+((C533=TRUE)*(F533-Calc!F22)),(Inputs!$B$23+0+(IF(ArtifactsInput!$M$15,CHOOSE(ArtifactsInput!$N$15+1,25,30,35,40,45,50)/100*(Inputs!$B$11-Inputs!$B$11),0))))/100+(Inputs!$B$23+0+(IF(ArtifactsInput!$M$15,CHOOSE(ArtifactsInput!$N$15+1,25,30,35,40,45,50)/100*(Inputs!$B$11-Inputs!$B$11),0)))/100)/2</f>
        <v/>
      </c>
      <c r="M525">
        <f>L525*(1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5">
        <f>L525*(1-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525*(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5">
        <f>(1-Summary!$B$11)*T525+Summary!$B$11*V525</f>
        <v/>
      </c>
      <c r="P525">
        <f>IF(B552=0,0,O525/B552)</f>
        <v/>
      </c>
      <c r="Q525" t="n">
        <v>0</v>
      </c>
      <c r="R525" t="n">
        <v>0</v>
      </c>
      <c r="S525">
        <f>IFERROR(O525/N525,0)</f>
        <v/>
      </c>
      <c r="T525">
        <f>IF(C525,(H525*N525*(B546+IF(AND(Inputs!$B$38&lt;&gt;"pvp",Inputs!$B$43&gt;0),((Skills!G8*((R519-1)*IF(Skills!H8&gt;0,Skills!I8/Skills!H8,1)+IF(Skills!H8&gt;0,MIN(Skills!I8,MAX(0,MAX(0,Inputs!$B$43-B549)-((R519-1)*(IF(Inputs!$B$38="pvp",15,MAX(0.1,Skills!D8-IF(Skills!E8=TRUE,Inputs!$B$32,0)))*(1-IF(AND(ArtifactsInput!$M$27,Inputs!$B$4="Chapter Hunt"),CHOOSE(ArtifactsInput!$N$27+1,20,24,28,32,36,40),0)/100)))))/Skills!H8,1)))/Inputs!$B$43),G519*Q519)+IF(AND(Inputs!$B$38&lt;&gt;"pvp",Inputs!$B$43&gt;0),((Skills!G11*((R522-1)*IF(Skills!H11&gt;0,Skills!I11/Skills!H11,1)+IF(Skills!H11&gt;0,MIN(Skills!I11,MAX(0,MAX(0,Inputs!$B$43-B549)-((R522-1)*(IF(Inputs!$B$38="pvp",15,MAX(0.1,Skills!D11-IF(Skills!E11=TRUE,Inputs!$B$32,0)))*(1-IF(AND(ArtifactsInput!$M$27,Inputs!$B$4="Chapter Hunt"),CHOOSE(ArtifactsInput!$N$27+1,20,24,28,32,36,40),0)/100)))))/Skills!H11,1)))/Inputs!$B$43),G522*Q522)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525*(1-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525*(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525*(1-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525*(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5">
        <f>IF(C525,(H525*N525*(B546+IF(AND(Inputs!$B$38&lt;&gt;"pvp",Inputs!$B$43&gt;0),((Skills!G8*((R519-1)*IF(Skills!H8&gt;0,Skills!I8/Skills!H8,1)+IF(Skills!H8&gt;0,MIN(Skills!I8,MAX(0,MAX(0,Inputs!$B$43-B549)-((R519-1)*(IF(Inputs!$B$38="pvp",15,MAX(0.1,Skills!D8-IF(Skills!E8=TRUE,Inputs!$B$32,0)))*(1-IF(AND(ArtifactsInput!$M$27,Inputs!$B$4="Chapter Hunt"),CHOOSE(ArtifactsInput!$N$27+1,20,24,28,32,36,40),0)/100)))))/Skills!H8,1)))/Inputs!$B$43),G519*Q519)+IF(AND(Inputs!$B$38&lt;&gt;"pvp",Inputs!$B$43&gt;0),((Skills!G11*((R522-1)*IF(Skills!H11&gt;0,Skills!I11/Skills!H11,1)+IF(Skills!H11&gt;0,MIN(Skills!I11,MAX(0,MAX(0,Inputs!$B$43-B549)-((R522-1)*(IF(Inputs!$B$38="pvp",15,MAX(0.1,Skills!D11-IF(Skills!E11=TRUE,Inputs!$B$32,0)))*(1-IF(AND(ArtifactsInput!$M$27,Inputs!$B$4="Chapter Hunt"),CHOOSE(ArtifactsInput!$N$27+1,20,24,28,32,36,40),0)/100)))))/Skills!H11,1)))/Inputs!$B$43),G522*Q522)))*IF(Inputs!$B$38="pvp",1,(1+(Inputs!$B$21+Skills!Q14+(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6">
      <c r="A526">
        <f>Skills!A15</f>
        <v/>
      </c>
      <c r="B526">
        <f>Skills!B15</f>
        <v/>
      </c>
      <c r="C526">
        <f>Inputs!$B$3&gt;=100</f>
        <v/>
      </c>
      <c r="D526">
        <f>IF(Skills!C15=1,60+Inputs!$B$25+Inputs!$B$29,IF(Skills!C15=2,90+Inputs!$B$26+Inputs!$B$29,IF(Skills!C15=3,120+Inputs!$B$27+Inputs!$B$29,MAX(0,(Inputs!$B$3-100)*3)+Inputs!$B$28+Inputs!$B$29)))</f>
        <v/>
      </c>
      <c r="E526">
        <f>INDEX(FactorTable!$B$2:$Y$301, MATCH(ROUND(MIN(300,MAX(1,D526)),0), FactorTable!$A$2:$A$301,0), Skills!M15+1)</f>
        <v/>
      </c>
      <c r="F526">
        <f>IF(Skills!N15=TRUE,(Skills!L15/10)*(E526/1000),Skills!L15/10)+Skills!O15</f>
        <v/>
      </c>
      <c r="G526" t="inlineStr"/>
      <c r="H526" t="inlineStr"/>
      <c r="I526" t="inlineStr">
        <is>
          <t>1</t>
        </is>
      </c>
      <c r="J526" t="inlineStr"/>
      <c r="K526" t="inlineStr"/>
      <c r="L526" t="inlineStr"/>
      <c r="M526" t="inlineStr"/>
      <c r="N526" t="inlineStr"/>
      <c r="O526" t="inlineStr"/>
      <c r="P526" t="inlineStr"/>
      <c r="Q526" t="inlineStr"/>
      <c r="R526" t="inlineStr"/>
      <c r="S526" t="inlineStr"/>
    </row>
    <row r="527">
      <c r="A527">
        <f>Skills!A16</f>
        <v/>
      </c>
      <c r="B527">
        <f>Skills!B16</f>
        <v/>
      </c>
      <c r="C527">
        <f>Inputs!$B$3&gt;=120</f>
        <v/>
      </c>
      <c r="D527">
        <f>IF(Skills!C16=1,60+Inputs!$B$25+Inputs!$B$29,IF(Skills!C16=2,90+Inputs!$B$26+Inputs!$B$29,IF(Skills!C16=3,120+Inputs!$B$27+Inputs!$B$29,MAX(0,(Inputs!$B$3-100)*3)+Inputs!$B$28+Inputs!$B$29)))</f>
        <v/>
      </c>
      <c r="E527">
        <f>INDEX(FactorTable!$B$2:$Y$301, MATCH(ROUND(MIN(300,MAX(1,D527)),0), FactorTable!$A$2:$A$301,0), Skills!M16+1)</f>
        <v/>
      </c>
      <c r="F527">
        <f>IF(Skills!N16=TRUE,(Skills!L16/10)*(E527/1000),Skills!L16/10)+Skills!O16</f>
        <v/>
      </c>
      <c r="G527" t="inlineStr"/>
      <c r="H527" t="inlineStr"/>
      <c r="I527" t="inlineStr">
        <is>
          <t>1</t>
        </is>
      </c>
      <c r="J527" t="inlineStr"/>
      <c r="K527" t="inlineStr"/>
      <c r="L527" t="inlineStr"/>
      <c r="M527" t="inlineStr"/>
      <c r="N527" t="inlineStr"/>
      <c r="O527" t="inlineStr"/>
      <c r="P527" t="inlineStr"/>
      <c r="Q527" t="inlineStr"/>
      <c r="R527" t="inlineStr"/>
      <c r="S527" t="inlineStr"/>
    </row>
    <row r="528">
      <c r="A528">
        <f>Skills!A17</f>
        <v/>
      </c>
      <c r="B528">
        <f>Skills!B17</f>
        <v/>
      </c>
      <c r="C528">
        <f>Inputs!$B$3&gt;=66</f>
        <v/>
      </c>
      <c r="D528">
        <f>IF(Skills!C17=1,60+Inputs!$B$25+Inputs!$B$29,IF(Skills!C17=2,90+Inputs!$B$26+Inputs!$B$29,IF(Skills!C17=3,120+Inputs!$B$27+Inputs!$B$29,MAX(0,(Inputs!$B$3-100)*3)+Inputs!$B$28+Inputs!$B$29)))</f>
        <v/>
      </c>
      <c r="E528">
        <f>INDEX(FactorTable!$B$2:$Y$301, MATCH(ROUND(MIN(300,MAX(1,D528)),0), FactorTable!$A$2:$A$301,0), Skills!M17+1)</f>
        <v/>
      </c>
      <c r="F528">
        <f>IF(Skills!N17=TRUE,(Skills!L17/10)*(E528/1000),Skills!L17/10)+Skills!O17</f>
        <v/>
      </c>
      <c r="G528">
        <f>Skills!G17*IF(Skills!H17&gt;0,Skills!I17/Skills!H17,1)</f>
        <v/>
      </c>
      <c r="H528">
        <f>1-(1-Skills!J17/100)^Skills!K17</f>
        <v/>
      </c>
      <c r="I528" t="inlineStr">
        <is>
          <t>1</t>
        </is>
      </c>
      <c r="J528" t="inlineStr"/>
      <c r="K528" t="inlineStr"/>
      <c r="L528" t="inlineStr"/>
      <c r="M528" t="inlineStr"/>
      <c r="N528" t="inlineStr"/>
      <c r="O528">
        <f>(1-Summary!$B$11)*T528+Summary!$B$11*V528</f>
        <v/>
      </c>
      <c r="P528">
        <f>IF(B552=0,0,O528/B552)</f>
        <v/>
      </c>
      <c r="Q528" t="n">
        <v>0</v>
      </c>
      <c r="R528" t="n">
        <v>0</v>
      </c>
      <c r="S528">
        <f>IFERROR(O528/N528,0)</f>
        <v/>
      </c>
      <c r="T528" t="n">
        <v>0</v>
      </c>
      <c r="V528" t="n">
        <v>0</v>
      </c>
    </row>
    <row r="529">
      <c r="A529">
        <f>Skills!A18</f>
        <v/>
      </c>
      <c r="B529">
        <f>Skills!B18</f>
        <v/>
      </c>
      <c r="C529">
        <f>Inputs!$B$3&gt;=115</f>
        <v/>
      </c>
      <c r="D529">
        <f>IF(Skills!C18=1,60+Inputs!$B$25+Inputs!$B$29,IF(Skills!C18=2,90+Inputs!$B$26+Inputs!$B$29,IF(Skills!C18=3,120+Inputs!$B$27+Inputs!$B$29,MAX(0,(Inputs!$B$3-100)*3)+Inputs!$B$28+Inputs!$B$29)))</f>
        <v/>
      </c>
      <c r="E529">
        <f>INDEX(FactorTable!$B$2:$Y$301, MATCH(ROUND(MIN(300,MAX(1,D529)),0), FactorTable!$A$2:$A$301,0), Skills!M18+1)</f>
        <v/>
      </c>
      <c r="F529">
        <f>IF(Skills!N18=TRUE,(Skills!L18/10)*(E529/1000),Skills!L18/10)+Skills!O18</f>
        <v/>
      </c>
      <c r="G529">
        <f>Skills!G18*IF(Skills!H18&gt;0,Skills!I18/Skills!H18,1)</f>
        <v/>
      </c>
      <c r="H529">
        <f>1-(1-Skills!J18/100)^Skills!K18</f>
        <v/>
      </c>
      <c r="I529" t="inlineStr">
        <is>
          <t>1</t>
        </is>
      </c>
      <c r="J529" t="inlineStr"/>
      <c r="K529" t="inlineStr"/>
      <c r="L529" t="inlineStr"/>
      <c r="M529" t="inlineStr"/>
      <c r="N529" t="inlineStr"/>
      <c r="O529">
        <f>(1-Summary!$B$11)*T529+Summary!$B$11*V529</f>
        <v/>
      </c>
      <c r="P529">
        <f>IF(B552=0,0,O529/B552)</f>
        <v/>
      </c>
      <c r="Q529">
        <f>IFERROR(1/(IF(Inputs!$B$38="pvp",15,MAX(0.1,Skills!D18-IF(Skills!E18=TRUE,Inputs!$B$32,0)))*(1-IF(AND(ArtifactsInput!$M$27,Inputs!$B$4="Chapter Hunt"),CHOOSE(ArtifactsInput!$N$27+1,20,24,28,32,36,40),0)/100)),0)</f>
        <v/>
      </c>
      <c r="R529">
        <f>IF(AND(Inputs!$B$38&lt;&gt;"pvp",Inputs!$B$43&gt;0),IF(Inputs!$B$43&lt;=0,0,(INT(Inputs!$B$43/(IF(Inputs!$B$38="pvp",15,MAX(0.1,Skills!D18-IF(Skills!E18=TRUE,Inputs!$B$32,0)))*(1-IF(AND(ArtifactsInput!$M$27,Inputs!$B$4="Chapter Hunt"),CHOOSE(ArtifactsInput!$N$27+1,20,24,28,32,36,40),0)/100)))+1)),0)</f>
        <v/>
      </c>
      <c r="S529">
        <f>IFERROR(O529/N529,0)</f>
        <v/>
      </c>
      <c r="T529" t="n">
        <v>0</v>
      </c>
      <c r="V529" t="n">
        <v>0</v>
      </c>
    </row>
    <row r="530">
      <c r="A530">
        <f>Skills!A19</f>
        <v/>
      </c>
      <c r="B530">
        <f>Skills!B19</f>
        <v/>
      </c>
      <c r="C530">
        <f>Inputs!$B$3&gt;=15</f>
        <v/>
      </c>
      <c r="D530">
        <f>IF(Skills!C19=1,60+Inputs!$B$25+Inputs!$B$29,IF(Skills!C19=2,90+Inputs!$B$26+Inputs!$B$29,IF(Skills!C19=3,120+Inputs!$B$27+Inputs!$B$29,MAX(0,(Inputs!$B$3-100)*3)+Inputs!$B$28+Inputs!$B$29)))</f>
        <v/>
      </c>
      <c r="E530">
        <f>INDEX(FactorTable!$B$2:$Y$301, MATCH(ROUND(MIN(300,MAX(1,D530)),0), FactorTable!$A$2:$A$301,0), Skills!M19+1)</f>
        <v/>
      </c>
      <c r="F530">
        <f>IF(Skills!N19=TRUE,(Skills!L19/10)*(E530/1000),Skills!L19/10)+Skills!O19</f>
        <v/>
      </c>
      <c r="G530">
        <f>Skills!G19*IF(Skills!H19&gt;0,Skills!I19/Skills!H19,1)</f>
        <v/>
      </c>
      <c r="H530">
        <f>1-(1-Skills!J19/100)^Skills!K19</f>
        <v/>
      </c>
      <c r="I530" t="inlineStr">
        <is>
          <t>1</t>
        </is>
      </c>
      <c r="J530" t="inlineStr"/>
      <c r="K530" t="inlineStr"/>
      <c r="L530" t="inlineStr"/>
      <c r="M530" t="inlineStr"/>
      <c r="N530" t="inlineStr"/>
      <c r="O530">
        <f>(1-Summary!$B$11)*T530+Summary!$B$11*V530</f>
        <v/>
      </c>
      <c r="P530">
        <f>IF(B552=0,0,O530/B552)</f>
        <v/>
      </c>
      <c r="Q530" t="n">
        <v>0</v>
      </c>
      <c r="R530" t="n">
        <v>0</v>
      </c>
      <c r="S530">
        <f>IFERROR(O530/N530,0)</f>
        <v/>
      </c>
      <c r="T530" t="n">
        <v>0</v>
      </c>
      <c r="V530" t="n">
        <v>0</v>
      </c>
    </row>
    <row r="531">
      <c r="A531">
        <f>Skills!A20</f>
        <v/>
      </c>
      <c r="B531">
        <f>Skills!B20</f>
        <v/>
      </c>
      <c r="C531">
        <f>Inputs!$B$3&gt;=10</f>
        <v/>
      </c>
      <c r="D531">
        <f>IF(Skills!C20=1,60+Inputs!$B$25+Inputs!$B$29,IF(Skills!C20=2,90+Inputs!$B$26+Inputs!$B$29,IF(Skills!C20=3,120+Inputs!$B$27+Inputs!$B$29,MAX(0,(Inputs!$B$3-100)*3)+Inputs!$B$28+Inputs!$B$29)))</f>
        <v/>
      </c>
      <c r="E531">
        <f>INDEX(FactorTable!$B$2:$Y$301, MATCH(ROUND(MIN(300,MAX(1,D531)),0), FactorTable!$A$2:$A$301,0), Skills!M20+1)</f>
        <v/>
      </c>
      <c r="F531">
        <f>IF(Skills!N20=TRUE,(Skills!L20/10)*(E531/1000),Skills!L20/10)+Skills!O20</f>
        <v/>
      </c>
      <c r="G531">
        <f>Skills!G20*IF(Skills!H20&gt;0,Skills!I20/Skills!H20,1)</f>
        <v/>
      </c>
      <c r="H531">
        <f>1-(1-Skills!J20/100)^Skills!K20</f>
        <v/>
      </c>
      <c r="I531" t="inlineStr">
        <is>
          <t>1</t>
        </is>
      </c>
      <c r="J531" t="inlineStr"/>
      <c r="K531" t="inlineStr"/>
      <c r="L531" t="inlineStr"/>
      <c r="M531" t="inlineStr"/>
      <c r="N531" t="inlineStr"/>
      <c r="O531">
        <f>(1-Summary!$B$11)*T531+Summary!$B$11*V531</f>
        <v/>
      </c>
      <c r="P531">
        <f>IF(B552=0,0,O531/B552)</f>
        <v/>
      </c>
      <c r="Q531" t="n">
        <v>0</v>
      </c>
      <c r="R531" t="n">
        <v>0</v>
      </c>
      <c r="S531">
        <f>IFERROR(O531/N531,0)</f>
        <v/>
      </c>
      <c r="T531" t="n">
        <v>0</v>
      </c>
      <c r="V531" t="n">
        <v>0</v>
      </c>
    </row>
    <row r="532">
      <c r="A532">
        <f>Skills!A21</f>
        <v/>
      </c>
      <c r="B532">
        <f>Skills!B21</f>
        <v/>
      </c>
      <c r="C532">
        <f>Inputs!$B$3&gt;=33</f>
        <v/>
      </c>
      <c r="D532">
        <f>IF(Skills!C21=1,60+Inputs!$B$25+Inputs!$B$29,IF(Skills!C21=2,90+Inputs!$B$26+Inputs!$B$29,IF(Skills!C21=3,120+Inputs!$B$27+Inputs!$B$29,MAX(0,(Inputs!$B$3-100)*3)+Inputs!$B$28+Inputs!$B$29)))</f>
        <v/>
      </c>
      <c r="E532">
        <f>INDEX(FactorTable!$B$2:$Y$301, MATCH(ROUND(MIN(300,MAX(1,D532)),0), FactorTable!$A$2:$A$301,0), Skills!M21+1)</f>
        <v/>
      </c>
      <c r="F532">
        <f>IF(Skills!N21=TRUE,(Skills!L21/10)*(E532/1000),Skills!L21/10)+Skills!O21</f>
        <v/>
      </c>
      <c r="G532">
        <f>Skills!G21*IF(Skills!H21&gt;0,Skills!I21/Skills!H21,1)</f>
        <v/>
      </c>
      <c r="H532">
        <f>1-(1-Skills!J21/100)^Skills!K21</f>
        <v/>
      </c>
      <c r="I532" t="inlineStr">
        <is>
          <t>1</t>
        </is>
      </c>
      <c r="J532" t="inlineStr"/>
      <c r="K532" t="inlineStr"/>
      <c r="L532" t="inlineStr"/>
      <c r="M532" t="inlineStr"/>
      <c r="N532" t="inlineStr"/>
      <c r="O532">
        <f>(1-Summary!$B$11)*T532+Summary!$B$11*V532</f>
        <v/>
      </c>
      <c r="P532">
        <f>IF(B552=0,0,O532/B552)</f>
        <v/>
      </c>
      <c r="Q532" t="n">
        <v>0</v>
      </c>
      <c r="R532" t="n">
        <v>0</v>
      </c>
      <c r="S532">
        <f>IFERROR(O532/N532,0)</f>
        <v/>
      </c>
      <c r="T532" t="n">
        <v>0</v>
      </c>
      <c r="V532" t="n">
        <v>0</v>
      </c>
    </row>
    <row r="533">
      <c r="A533">
        <f>Skills!A22</f>
        <v/>
      </c>
      <c r="B533">
        <f>Skills!B22</f>
        <v/>
      </c>
      <c r="C533">
        <f>Inputs!$B$3&gt;=43</f>
        <v/>
      </c>
      <c r="D533">
        <f>IF(Skills!C22=1,60+Inputs!$B$25+Inputs!$B$29,IF(Skills!C22=2,90+Inputs!$B$26+Inputs!$B$29,IF(Skills!C22=3,120+Inputs!$B$27+Inputs!$B$29,MAX(0,(Inputs!$B$3-100)*3)+Inputs!$B$28+Inputs!$B$29)))</f>
        <v/>
      </c>
      <c r="E533">
        <f>INDEX(FactorTable!$B$2:$Y$301, MATCH(ROUND(MIN(300,MAX(1,D533)),0), FactorTable!$A$2:$A$301,0), Skills!M22+1)</f>
        <v/>
      </c>
      <c r="F533">
        <f>IF(Skills!N22=TRUE,(Skills!L22/10)*(E533/1000),Skills!L22/10)+Skills!O22</f>
        <v/>
      </c>
      <c r="G533">
        <f>Skills!G22*IF(Skills!H22&gt;0,Skills!I22/Skills!H22,1)</f>
        <v/>
      </c>
      <c r="H533">
        <f>1-(1-Skills!J22/100)^Skills!K22</f>
        <v/>
      </c>
      <c r="I533" t="inlineStr">
        <is>
          <t>1</t>
        </is>
      </c>
      <c r="J533" t="inlineStr"/>
      <c r="K533" t="inlineStr"/>
      <c r="L533" t="inlineStr"/>
      <c r="M533" t="inlineStr"/>
      <c r="N533" t="inlineStr"/>
      <c r="O533">
        <f>(1-Summary!$B$11)*T533+Summary!$B$11*V533</f>
        <v/>
      </c>
      <c r="P533">
        <f>IF(B552=0,0,O533/B552)</f>
        <v/>
      </c>
      <c r="Q533" t="n">
        <v>0</v>
      </c>
      <c r="R533" t="n">
        <v>0</v>
      </c>
      <c r="S533">
        <f>IFERROR(O533/N533,0)</f>
        <v/>
      </c>
      <c r="T533" t="n">
        <v>0</v>
      </c>
      <c r="V533" t="n">
        <v>0</v>
      </c>
    </row>
    <row r="534">
      <c r="A534">
        <f>Skills!A23</f>
        <v/>
      </c>
      <c r="B534">
        <f>Skills!B23</f>
        <v/>
      </c>
      <c r="C534">
        <f>Inputs!$B$3&gt;=38</f>
        <v/>
      </c>
      <c r="D534">
        <f>IF(Skills!C23=1,60+Inputs!$B$25+Inputs!$B$29,IF(Skills!C23=2,90+Inputs!$B$26+Inputs!$B$29,IF(Skills!C23=3,120+Inputs!$B$27+Inputs!$B$29,MAX(0,(Inputs!$B$3-100)*3)+Inputs!$B$28+Inputs!$B$29)))</f>
        <v/>
      </c>
      <c r="E534">
        <f>INDEX(FactorTable!$B$2:$Y$301, MATCH(ROUND(MIN(300,MAX(1,D534)),0), FactorTable!$A$2:$A$301,0), Skills!M23+1)</f>
        <v/>
      </c>
      <c r="F534">
        <f>IF(Skills!N23=TRUE,(Skills!L23/10)*(E534/1000),Skills!L23/10)+Skills!O23</f>
        <v/>
      </c>
      <c r="G534">
        <f>Skills!G23*IF(Skills!H23&gt;0,Skills!I23/Skills!H23,1)</f>
        <v/>
      </c>
      <c r="H534">
        <f>1-(1-Skills!J23/100)^Skills!K23</f>
        <v/>
      </c>
      <c r="I534" t="inlineStr">
        <is>
          <t>1</t>
        </is>
      </c>
      <c r="J534" t="inlineStr"/>
      <c r="K534" t="inlineStr"/>
      <c r="L534" t="inlineStr"/>
      <c r="M534" t="inlineStr"/>
      <c r="N534" t="inlineStr"/>
      <c r="O534">
        <f>(1-Summary!$B$11)*T534+Summary!$B$11*V534</f>
        <v/>
      </c>
      <c r="P534">
        <f>IF(B552=0,0,O534/B552)</f>
        <v/>
      </c>
      <c r="Q534" t="n">
        <v>0</v>
      </c>
      <c r="R534" t="n">
        <v>0</v>
      </c>
      <c r="S534">
        <f>IFERROR(O534/N534,0)</f>
        <v/>
      </c>
      <c r="T534" t="n">
        <v>0</v>
      </c>
      <c r="V534" t="n">
        <v>0</v>
      </c>
    </row>
    <row r="535">
      <c r="A535">
        <f>Skills!A24</f>
        <v/>
      </c>
      <c r="B535">
        <f>Skills!B24</f>
        <v/>
      </c>
      <c r="C535">
        <f>Inputs!$B$3&gt;=40</f>
        <v/>
      </c>
      <c r="D535">
        <f>IF(Skills!C24=1,60+Inputs!$B$25+Inputs!$B$29,IF(Skills!C24=2,90+Inputs!$B$26+Inputs!$B$29,IF(Skills!C24=3,120+Inputs!$B$27+Inputs!$B$29,MAX(0,(Inputs!$B$3-100)*3)+Inputs!$B$28+Inputs!$B$29)))</f>
        <v/>
      </c>
      <c r="E535">
        <f>INDEX(FactorTable!$B$2:$Y$301, MATCH(ROUND(MIN(300,MAX(1,D535)),0), FactorTable!$A$2:$A$301,0), Skills!M24+1)</f>
        <v/>
      </c>
      <c r="F535">
        <f>IF(Skills!N24=TRUE,(Skills!L24/10)*(E535/1000),Skills!L24/10)+Skills!O24</f>
        <v/>
      </c>
      <c r="G535">
        <f>Skills!G24*IF(Skills!H24&gt;0,Skills!I24/Skills!H24,1)</f>
        <v/>
      </c>
      <c r="H535">
        <f>1-(1-Skills!J24/100)^Skills!K24</f>
        <v/>
      </c>
      <c r="I535" t="inlineStr">
        <is>
          <t>1</t>
        </is>
      </c>
      <c r="J535" t="inlineStr"/>
      <c r="K535" t="inlineStr"/>
      <c r="L535" t="inlineStr"/>
      <c r="M535" t="inlineStr"/>
      <c r="N535" t="inlineStr"/>
      <c r="O535">
        <f>(1-Summary!$B$11)*T535+Summary!$B$11*V535</f>
        <v/>
      </c>
      <c r="P535">
        <f>IF(B552=0,0,O535/B552)</f>
        <v/>
      </c>
      <c r="Q535" t="n">
        <v>0</v>
      </c>
      <c r="R535" t="n">
        <v>0</v>
      </c>
      <c r="S535">
        <f>IFERROR(O535/N535,0)</f>
        <v/>
      </c>
      <c r="T535" t="n">
        <v>0</v>
      </c>
      <c r="V535" t="n">
        <v>0</v>
      </c>
    </row>
    <row r="536">
      <c r="A536">
        <f>Skills!A25</f>
        <v/>
      </c>
      <c r="B536">
        <f>Skills!B25</f>
        <v/>
      </c>
      <c r="C536">
        <f>Inputs!$B$3&gt;=72</f>
        <v/>
      </c>
      <c r="D536">
        <f>IF(Skills!C25=1,60+Inputs!$B$25+Inputs!$B$29,IF(Skills!C25=2,90+Inputs!$B$26+Inputs!$B$29,IF(Skills!C25=3,120+Inputs!$B$27+Inputs!$B$29,MAX(0,(Inputs!$B$3-100)*3)+Inputs!$B$28+Inputs!$B$29)))</f>
        <v/>
      </c>
      <c r="E536">
        <f>INDEX(FactorTable!$B$2:$Y$301, MATCH(ROUND(MIN(300,MAX(1,D536)),0), FactorTable!$A$2:$A$301,0), Skills!M25+1)</f>
        <v/>
      </c>
      <c r="F536">
        <f>IF(Skills!N25=TRUE,(Skills!L25/10)*(E536/1000),Skills!L25/10)+Skills!O25</f>
        <v/>
      </c>
      <c r="G536">
        <f>Skills!G25*IF(Skills!H25&gt;0,Skills!I25/Skills!H25,1)</f>
        <v/>
      </c>
      <c r="H536">
        <f>1-(1-Skills!J25/100)^Skills!K25</f>
        <v/>
      </c>
      <c r="I536" t="inlineStr">
        <is>
          <t>1</t>
        </is>
      </c>
      <c r="J536" t="inlineStr"/>
      <c r="K536" t="inlineStr"/>
      <c r="L536" t="inlineStr"/>
      <c r="M536" t="inlineStr"/>
      <c r="N536" t="inlineStr"/>
      <c r="O536">
        <f>(1-Summary!$B$11)*T536+Summary!$B$11*V536</f>
        <v/>
      </c>
      <c r="P536">
        <f>IF(B552=0,0,O536/B552)</f>
        <v/>
      </c>
      <c r="Q536" t="n">
        <v>0</v>
      </c>
      <c r="R536" t="n">
        <v>0</v>
      </c>
      <c r="S536">
        <f>IFERROR(O536/N536,0)</f>
        <v/>
      </c>
      <c r="T536" t="n">
        <v>0</v>
      </c>
      <c r="V536" t="n">
        <v>0</v>
      </c>
    </row>
    <row r="537">
      <c r="A537">
        <f>Skills!A26</f>
        <v/>
      </c>
      <c r="B537">
        <f>Skills!B26</f>
        <v/>
      </c>
      <c r="C537">
        <f>Inputs!$B$3&gt;=75</f>
        <v/>
      </c>
      <c r="D537">
        <f>IF(Skills!C26=1,60+Inputs!$B$25+Inputs!$B$29,IF(Skills!C26=2,90+Inputs!$B$26+Inputs!$B$29,IF(Skills!C26=3,120+Inputs!$B$27+Inputs!$B$29,MAX(0,(Inputs!$B$3-100)*3)+Inputs!$B$28+Inputs!$B$29)))</f>
        <v/>
      </c>
      <c r="E537">
        <f>INDEX(FactorTable!$B$2:$Y$301, MATCH(ROUND(MIN(300,MAX(1,D537)),0), FactorTable!$A$2:$A$301,0), Skills!M26+1)</f>
        <v/>
      </c>
      <c r="F537">
        <f>IF(Skills!N26=TRUE,(Skills!L26/10)*(E537/1000),Skills!L26/10)+Skills!O26</f>
        <v/>
      </c>
      <c r="G537">
        <f>Skills!G26*IF(Skills!H26&gt;0,Skills!I26/Skills!H26,1)</f>
        <v/>
      </c>
      <c r="H537">
        <f>1-(1-Skills!J26/100)^Skills!K26</f>
        <v/>
      </c>
      <c r="I537" t="inlineStr">
        <is>
          <t>1</t>
        </is>
      </c>
      <c r="J537" t="inlineStr"/>
      <c r="K537" t="inlineStr"/>
      <c r="L537" t="inlineStr"/>
      <c r="M537" t="inlineStr"/>
      <c r="N537" t="inlineStr"/>
      <c r="O537">
        <f>(1-Summary!$B$11)*T537+Summary!$B$11*V537</f>
        <v/>
      </c>
      <c r="P537">
        <f>IF(B552=0,0,O537/B552)</f>
        <v/>
      </c>
      <c r="Q537" t="n">
        <v>0</v>
      </c>
      <c r="R537" t="n">
        <v>0</v>
      </c>
      <c r="S537">
        <f>IFERROR(O537/N537,0)</f>
        <v/>
      </c>
      <c r="T537" t="n">
        <v>0</v>
      </c>
      <c r="V537" t="n">
        <v>0</v>
      </c>
    </row>
    <row r="538">
      <c r="A538">
        <f>Skills!A27</f>
        <v/>
      </c>
      <c r="B538">
        <f>Skills!B27</f>
        <v/>
      </c>
      <c r="C538">
        <f>Inputs!$B$3&gt;=117</f>
        <v/>
      </c>
      <c r="D538">
        <f>IF(Skills!C27=1,60+Inputs!$B$25+Inputs!$B$29,IF(Skills!C27=2,90+Inputs!$B$26+Inputs!$B$29,IF(Skills!C27=3,120+Inputs!$B$27+Inputs!$B$29,MAX(0,(Inputs!$B$3-100)*3)+Inputs!$B$28+Inputs!$B$29)))</f>
        <v/>
      </c>
      <c r="E538">
        <f>INDEX(FactorTable!$B$2:$Y$301, MATCH(ROUND(MIN(300,MAX(1,D538)),0), FactorTable!$A$2:$A$301,0), Skills!M27+1)</f>
        <v/>
      </c>
      <c r="F538">
        <f>IF(Skills!N27=TRUE,(Skills!L27/10)*(E538/1000),Skills!L27/10)+Skills!O27</f>
        <v/>
      </c>
      <c r="G538">
        <f>Skills!G27*IF(Skills!H27&gt;0,Skills!I27/Skills!H27,1)</f>
        <v/>
      </c>
      <c r="H538">
        <f>1-(1-Skills!J27/100)^Skills!K27</f>
        <v/>
      </c>
      <c r="I538" t="inlineStr">
        <is>
          <t>1</t>
        </is>
      </c>
      <c r="J538" t="inlineStr"/>
      <c r="K538" t="inlineStr"/>
      <c r="L538" t="inlineStr"/>
      <c r="M538" t="inlineStr"/>
      <c r="N538" t="inlineStr"/>
      <c r="O538">
        <f>(1-Summary!$B$11)*T538+Summary!$B$11*V538</f>
        <v/>
      </c>
      <c r="P538">
        <f>IF(B552=0,0,O538/B552)</f>
        <v/>
      </c>
      <c r="Q538" t="n">
        <v>0</v>
      </c>
      <c r="R538" t="n">
        <v>0</v>
      </c>
      <c r="S538">
        <f>IFERROR(O538/N538,0)</f>
        <v/>
      </c>
      <c r="T538" t="n">
        <v>0</v>
      </c>
      <c r="V538" t="n">
        <v>0</v>
      </c>
    </row>
    <row r="539">
      <c r="A539">
        <f>Skills!A28</f>
        <v/>
      </c>
      <c r="B539">
        <f>Skills!B28</f>
        <v/>
      </c>
      <c r="C539">
        <f>TRUE</f>
        <v/>
      </c>
      <c r="D539">
        <f>IF(Skills!C28=1,60+Inputs!$B$25+Inputs!$B$29,IF(Skills!C28=2,90+Inputs!$B$26+Inputs!$B$29,IF(Skills!C28=3,120+Inputs!$B$27+Inputs!$B$29,MAX(0,(Inputs!$B$3-100)*3)+Inputs!$B$28+Inputs!$B$29)))</f>
        <v/>
      </c>
      <c r="E539">
        <f>INDEX(FactorTable!$B$2:$Y$301, MATCH(ROUND(MIN(300,MAX(1,D539)),0), FactorTable!$A$2:$A$301,0), Skills!M28+1)</f>
        <v/>
      </c>
      <c r="F539">
        <f>IF(Skills!N28=TRUE,(Skills!L28/10)*(E539/1000),Skills!L28/10)+Skills!O28</f>
        <v/>
      </c>
      <c r="G539">
        <f>Skills!G28*IF(Skills!H28&gt;0,Skills!I28/Skills!H28,1)</f>
        <v/>
      </c>
      <c r="H539">
        <f>1-(1-Skills!J28/100)^Skills!K28</f>
        <v/>
      </c>
      <c r="I539" t="inlineStr">
        <is>
          <t>1</t>
        </is>
      </c>
      <c r="J539" t="inlineStr"/>
      <c r="K539" t="inlineStr"/>
      <c r="L539" t="inlineStr"/>
      <c r="M539" t="inlineStr"/>
      <c r="N539" t="inlineStr"/>
      <c r="O539">
        <f>(1-Summary!$B$11)*T539+Summary!$B$11*V539</f>
        <v/>
      </c>
      <c r="P539">
        <f>IF(B552=0,0,O539/B552)</f>
        <v/>
      </c>
      <c r="Q539">
        <f>IFERROR(1/(IF(Inputs!$B$38="pvp",15,MAX(0.1,Skills!D28-IF(Skills!E28=TRUE,Inputs!$B$32,0)))*(1-IF(AND(ArtifactsInput!$M$27,Inputs!$B$4="Chapter Hunt"),CHOOSE(ArtifactsInput!$N$27+1,20,24,28,32,36,40),0)/100)),0)</f>
        <v/>
      </c>
      <c r="R539">
        <f>IF(AND(Inputs!$B$38&lt;&gt;"pvp",Inputs!$B$43&gt;0),IF(Inputs!$B$43&lt;=0,0,(INT(Inputs!$B$43/(IF(Inputs!$B$38="pvp",15,MAX(0.1,Skills!D28-IF(Skills!E28=TRUE,Inputs!$B$32,0)))*(1-IF(AND(ArtifactsInput!$M$27,Inputs!$B$4="Chapter Hunt"),CHOOSE(ArtifactsInput!$N$27+1,20,24,28,32,36,40),0)/100)))+1)),0)</f>
        <v/>
      </c>
      <c r="S539">
        <f>IFERROR(O539/N539,0)</f>
        <v/>
      </c>
      <c r="T539" t="n">
        <v>0</v>
      </c>
      <c r="V539" t="n">
        <v>0</v>
      </c>
    </row>
    <row r="541">
      <c r="A541" t="inlineStr">
        <is>
          <t>Attack% Bucket Multiplier</t>
        </is>
      </c>
      <c r="B541">
        <f>(1+(((C528=TRUE)*F528*5/7)+((C535=TRUE)*(F535-Calc!F24))+(IF(ArtifactsInput!$M$21,CHOOSE(ArtifactsInput!$N$21+1,25,30,35,40,45,50)*(IF(OR(Inputs!$B$4="Chapter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42">
      <c r="A542" t="inlineStr">
        <is>
          <t>Global Crit Rate Bonus %</t>
        </is>
      </c>
      <c r="B542" t="n">
        <v>0</v>
      </c>
    </row>
    <row r="543">
      <c r="A543" t="inlineStr">
        <is>
          <t>Attack Speed Buff Bonus % (Nimble Feet, duty-cycle averaged)</t>
        </is>
      </c>
      <c r="B543">
        <f>((C539=TRUE)*F539*IF(AND(Inputs!$B$38&lt;&gt;"pvp",Inputs!$B$43&gt;0),(((R539-1)*(Skills!T28*(1+Inputs!$B$34/100))+MIN((Skills!T28*(1+Inputs!$B$34/100)),MAX(0,Inputs!$B$43-((R539-1)*Skills!D28))))/Inputs!$B$43),IF(Inputs!$B$38="pvp",MIN((Skills!T28*(1+Inputs!$B$34/100)),15)/15,(Skills!T28*(1+Inputs!$B$34/100))/Skills!D28)))</f>
        <v/>
      </c>
    </row>
    <row r="544">
      <c r="A544" t="inlineStr">
        <is>
          <t>Actions Per Second</t>
        </is>
      </c>
      <c r="B544">
        <f>1+MIN(150,150*(1-(1-(Inputs!$B$11+((C531=TRUE)*(F531-Calc!F20))+((C532=TRUE)*(F532-Calc!F21)))/150)*(1-B543/150)))/100</f>
        <v/>
      </c>
    </row>
    <row r="545">
      <c r="A545" t="inlineStr">
        <is>
          <t>Skill + Buff Cast Rate</t>
        </is>
      </c>
      <c r="B545">
        <f>IF(AND(Inputs!$B$38&lt;&gt;"pvp",Inputs!$B$43&gt;0),SUMPRODUCT((Skills!E2:E28=TRUE)*(C513:C539=TRUE)*R513:R539*Skills!F2:F28)/Inputs!$B$43,SUMPRODUCT((Skills!E2:E28=TRUE)*(C513:C539=TRUE)*Q513:Q539*Skills!F2:F28))</f>
        <v/>
      </c>
    </row>
    <row r="546">
      <c r="A546" t="inlineStr">
        <is>
          <t>Eight-Legs Easton Casts Per Second</t>
        </is>
      </c>
      <c r="B546">
        <f>MAX(0,B544-B545)</f>
        <v/>
      </c>
    </row>
    <row r="547">
      <c r="A547" t="inlineStr">
        <is>
          <t>Global Critical Damage Bonus % (unused)</t>
        </is>
      </c>
      <c r="B547" t="n">
        <v>0</v>
      </c>
    </row>
    <row r="548">
      <c r="A548" t="inlineStr">
        <is>
          <t>Global Final Damage Bonus % (Jolly Roger + Ahoy Mateys - Final Damage proc)</t>
        </is>
      </c>
      <c r="B548">
        <f>((C529=TRUE)*F529*IF(AND(Inputs!$B$38&lt;&gt;"pvp",Inputs!$B$43&gt;0),(((R529-1)*(Skills!T18*(1+Inputs!$B$34/100))+MIN((Skills!T18*(1+Inputs!$B$34/100)),MAX(0,Inputs!$B$43-((R529-1)*Skills!D18))))/Inputs!$B$43),IF(Inputs!$B$38="pvp",MIN((Skills!T18*(1+Inputs!$B$34/100)),15)/15,(Skills!T18*(1+Inputs!$B$34/100))/Skills!D18)))+IF(Inputs!$B$3&gt;=122,20*IF(Inputs!$B$38="pvp",MIN((20*(1+Inputs!$B$34/100)),15)/15,(20*(1+Inputs!$B$34/100))/Skills!D4),0)</f>
        <v/>
      </c>
    </row>
    <row r="549">
      <c r="A549" t="inlineStr">
        <is>
          <t>Buff-Casting Startup Delay (s, fixed-duration only)</t>
        </is>
      </c>
      <c r="B549">
        <f>IF(AND(Inputs!$B$38&lt;&gt;"pvp",Inputs!$B$43&gt;0),SUMPRODUCT((Skills!T2:T28&gt;0)*(Skills!E2:E28=TRUE)*(C513:C539=TRUE))/B544,0)</f>
        <v/>
      </c>
    </row>
    <row r="550">
      <c r="A550" t="inlineStr">
        <is>
          <t>Boss-Only Total DPS (this block's swept value)</t>
        </is>
      </c>
      <c r="B550">
        <f>SUM(T513:T539)</f>
        <v/>
      </c>
    </row>
    <row r="551">
      <c r="A551" t="inlineStr">
        <is>
          <t>Normal-Only Total DPS (this block's swept value)</t>
        </is>
      </c>
      <c r="B551">
        <f>SUM(V513:V539)</f>
        <v/>
      </c>
    </row>
    <row r="552">
      <c r="A552" s="6" t="inlineStr">
        <is>
          <t>TOTAL DPS</t>
        </is>
      </c>
      <c r="B552" s="6">
        <f>SUM(O513:O539)</f>
        <v/>
      </c>
    </row>
    <row r="555">
      <c r="A555" s="6" t="inlineStr">
        <is>
          <t>Stat: CRIT_DAMAGE %</t>
        </is>
      </c>
    </row>
    <row r="556">
      <c r="A556" s="5" t="inlineStr">
        <is>
          <t>Key</t>
        </is>
      </c>
      <c r="B556" s="5" t="inlineStr">
        <is>
          <t>Name</t>
        </is>
      </c>
      <c r="C556" s="5" t="inlineStr">
        <is>
          <t>Unlocked</t>
        </is>
      </c>
      <c r="D556" s="5" t="inlineStr">
        <is>
          <t>InputLevel</t>
        </is>
      </c>
      <c r="E556" s="5" t="inlineStr">
        <is>
          <t>Factor</t>
        </is>
      </c>
      <c r="F556" s="5" t="inlineStr">
        <is>
          <t>CoefficientPercent</t>
        </is>
      </c>
      <c r="G556" s="5" t="inlineStr">
        <is>
          <t>EffectiveHits</t>
        </is>
      </c>
      <c r="H556" s="5" t="inlineStr">
        <is>
          <t>ProcProbability</t>
        </is>
      </c>
      <c r="I556" s="5" t="inlineStr">
        <is>
          <t>MapleHeroMultiplier</t>
        </is>
      </c>
      <c r="J556" s="5" t="inlineStr">
        <is>
          <t>BaseDamage</t>
        </is>
      </c>
      <c r="K556" s="5" t="inlineStr">
        <is>
          <t>BaseHitDamage</t>
        </is>
      </c>
      <c r="L556" s="5" t="inlineStr">
        <is>
          <t>NonCritAvg</t>
        </is>
      </c>
      <c r="M556" s="5" t="inlineStr">
        <is>
          <t>CritAvg</t>
        </is>
      </c>
      <c r="N556" s="5" t="inlineStr">
        <is>
          <t>ExpectedDamage(perHit)</t>
        </is>
      </c>
      <c r="O556" s="5" t="inlineStr">
        <is>
          <t>DPS</t>
        </is>
      </c>
      <c r="P556" s="5" t="inlineStr">
        <is>
          <t>% of Total</t>
        </is>
      </c>
      <c r="Q556" s="5" t="inlineStr">
        <is>
          <t>InvCooldown</t>
        </is>
      </c>
      <c r="R556" s="5" t="inlineStr">
        <is>
          <t>CastsInFight</t>
        </is>
      </c>
      <c r="S556" s="5" t="inlineStr">
        <is>
          <t>HitRate(perSec)</t>
        </is>
      </c>
      <c r="U556" t="inlineStr">
        <is>
          <t>helpers</t>
        </is>
      </c>
    </row>
    <row r="557">
      <c r="A557">
        <f>Skills!A2</f>
        <v/>
      </c>
      <c r="B557">
        <f>Skills!B2</f>
        <v/>
      </c>
      <c r="C557">
        <f>Inputs!$B$3&gt;=100</f>
        <v/>
      </c>
      <c r="D557" t="inlineStr"/>
      <c r="E557" t="inlineStr"/>
      <c r="F557">
        <f>U559+Skills!O2</f>
        <v/>
      </c>
      <c r="G557">
        <f>Skills!G2*IF(Skills!H2&gt;0,Skills!I2/Skills!H2,1)</f>
        <v/>
      </c>
      <c r="H557">
        <f>1-(1-Skills!J2/100)^Skills!K2</f>
        <v/>
      </c>
      <c r="I557" t="inlineStr">
        <is>
          <t>1</t>
        </is>
      </c>
      <c r="J557">
        <f>((Inputs!$B$6*(1+Inputs!$B$7/100))+(((Inputs!$B$12*(1+Inputs!$B$13/100))-(Inputs!$B$12*(1+Inputs!$B$13/100)))+0.25*(Inputs!$B$14-Inputs!$B$14))*(1+Inputs!$B$7/100))*(F557/100)</f>
        <v/>
      </c>
      <c r="K557">
        <f>J557*(1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557)</f>
        <v/>
      </c>
      <c r="L557">
        <f>K557*(MIN(Inputs!$B$22+((C577=TRUE)*(F577-Calc!F22)),(Inputs!$B$23+0+(IF(ArtifactsInput!$M$15,CHOOSE(ArtifactsInput!$N$15+1,25,30,35,40,45,50)/100*(Inputs!$B$11-Inputs!$B$11),0))))/100+(Inputs!$B$23+0+(IF(ArtifactsInput!$M$15,CHOOSE(ArtifactsInput!$N$15+1,25,30,35,40,45,50)/100*(Inputs!$B$11-Inputs!$B$11),0)))/100)/2</f>
        <v/>
      </c>
      <c r="M557">
        <f>L557*(1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7">
        <f>L557*(1-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557*(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7">
        <f>(1-Summary!$B$11)*T557+Summary!$B$11*V557</f>
        <v/>
      </c>
      <c r="P557">
        <f>IF(B596=0,0,O557/B596)</f>
        <v/>
      </c>
      <c r="Q557" t="n">
        <v>0</v>
      </c>
      <c r="R557" t="n">
        <v>0</v>
      </c>
      <c r="S557">
        <f>IFERROR(O557/N557,0)</f>
        <v/>
      </c>
      <c r="T557">
        <f>IF(C557,(Skills!G2*N557*B590)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557*(1-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557*(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557*(1-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557*(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7">
        <f>MAX(0,(Inputs!$B$3-100)*3)+Inputs!$B$28+Inputs!$B$29</f>
        <v/>
      </c>
      <c r="V557">
        <f>IF(C557,(Skills!G2*N557*B590)*IF(Inputs!$B$38="pvp",1,(1+(Inputs!$B$21+Skills!Q2+(IF(ArtifactsInput!$M$33,CHOOSE(ArtifactsInput!$N$33+1,30,36,42,48,54,60),0))+(IF(AND(ArtifactsInput!$M$35,Inputs!$B$4&lt;&gt;"Chapter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8">
      <c r="A558">
        <f>Skills!A3</f>
        <v/>
      </c>
      <c r="B558">
        <f>Skills!B3</f>
        <v/>
      </c>
      <c r="C558">
        <f>Inputs!$B$3&gt;=35</f>
        <v/>
      </c>
      <c r="D558">
        <f>IF(Skills!C3=1,60+Inputs!$B$25+Inputs!$B$29,IF(Skills!C3=2,90+Inputs!$B$26+Inputs!$B$29,IF(Skills!C3=3,120+Inputs!$B$27+Inputs!$B$29,MAX(0,(Inputs!$B$3-100)*3)+Inputs!$B$28+Inputs!$B$29)))</f>
        <v/>
      </c>
      <c r="E558">
        <f>INDEX(FactorTable!$B$2:$Y$301, MATCH(ROUND(MIN(300,MAX(1,D558)),0), FactorTable!$A$2:$A$301,0), Skills!M3+1)</f>
        <v/>
      </c>
      <c r="F558">
        <f>IF(Skills!N3=TRUE,(Skills!L3/10)*(E558/1000),Skills!L3/10)+Skills!O3</f>
        <v/>
      </c>
      <c r="G558">
        <f>Skills!G3*IF(Skills!H3&gt;0,Skills!I3/Skills!H3,1)</f>
        <v/>
      </c>
      <c r="H558">
        <f>1-(1-Skills!J3/100)^Skills!K3</f>
        <v/>
      </c>
      <c r="I558" t="inlineStr">
        <is>
          <t>1</t>
        </is>
      </c>
      <c r="J558">
        <f>((Inputs!$B$6*(1+Inputs!$B$7/100))+(((Inputs!$B$12*(1+Inputs!$B$13/100))-(Inputs!$B$12*(1+Inputs!$B$13/100)))+0.25*(Inputs!$B$14-Inputs!$B$14))*(1+Inputs!$B$7/100))*(F558/100)</f>
        <v/>
      </c>
      <c r="K558">
        <f>J558*(1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570=TRUE,F570,0)/100)*(1+(IF(Skills!A3="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558)</f>
        <v/>
      </c>
      <c r="L558">
        <f>K558*(MIN(Inputs!$B$22+((C577=TRUE)*(F577-Calc!F22)),(Inputs!$B$23+0+(IF(ArtifactsInput!$M$15,CHOOSE(ArtifactsInput!$N$15+1,25,30,35,40,45,50)/100*(Inputs!$B$11-Inputs!$B$11),0))))/100+(Inputs!$B$23+0+(IF(ArtifactsInput!$M$15,CHOOSE(ArtifactsInput!$N$15+1,25,30,35,40,45,50)/100*(Inputs!$B$11-Inputs!$B$11),0)))/100)/2</f>
        <v/>
      </c>
      <c r="M558">
        <f>L558*(1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8">
        <f>L558*(1-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558*(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8">
        <f>(1-Summary!$B$11)*T558+Summary!$B$11*V558</f>
        <v/>
      </c>
      <c r="P558">
        <f>IF(B596=0,0,O558/B596)</f>
        <v/>
      </c>
      <c r="Q558">
        <f>IFERROR(1/(IF(Inputs!$B$38="pvp",15,MAX(0.1,Skills!D3-IF(Skills!E3=TRUE,Inputs!$B$32,0)))*(1-IF(AND(ArtifactsInput!$M$27,Inputs!$B$4="Chapter Hunt"),CHOOSE(ArtifactsInput!$N$27+1,20,24,28,32,36,40),0)/100)),0)</f>
        <v/>
      </c>
      <c r="R558">
        <f>IF(AND(Inputs!$B$38&lt;&gt;"pvp",Inputs!$B$43&gt;0),IF(MAX(0,Inputs!$B$43-B593)&lt;=0,0,(INT(MAX(0,Inputs!$B$43-B593)/(IF(Inputs!$B$38="pvp",15,MAX(0.1,Skills!D3-IF(Skills!E3=TRUE,Inputs!$B$32,0)))*(1-IF(AND(ArtifactsInput!$M$27,Inputs!$B$4="Chapter Hunt"),CHOOSE(ArtifactsInput!$N$27+1,20,24,28,32,36,40),0)/100)))+1)),0)</f>
        <v/>
      </c>
      <c r="S558">
        <f>IFERROR(O558/N558,0)</f>
        <v/>
      </c>
      <c r="T558">
        <f>IF(C558,(H558*N558*IF(AND(Inputs!$B$38&lt;&gt;"pvp",Inputs!$B$43&gt;0),((Skills!G3*((R558-1)*IF(Skills!H3&gt;0,Skills!I3/Skills!H3,1)+IF(Skills!H3&gt;0,MIN(Skills!I3,MAX(0,MAX(0,Inputs!$B$43-B593)-((R558-1)*(IF(Inputs!$B$38="pvp",15,MAX(0.1,Skills!D3-IF(Skills!E3=TRUE,Inputs!$B$32,0)))*(1-IF(AND(ArtifactsInput!$M$27,Inputs!$B$4="Chapter Hunt"),CHOOSE(ArtifactsInput!$N$27+1,20,24,28,32,36,40),0)/100)))))/Skills!H3,1)))/Inputs!$B$43),G558*Q558)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558*(1-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558*(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558*(1-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558*(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8">
        <f>INDEX(FactorTable!$B$2:$Y$301, MATCH(ROUND(MIN(300,MAX(1,U557)),0), FactorTable!$A$2:$A$301,0), 22)</f>
        <v/>
      </c>
      <c r="V558">
        <f>IF(C558,(H558*N558*IF(AND(Inputs!$B$38&lt;&gt;"pvp",Inputs!$B$43&gt;0),((Skills!G3*((R558-1)*IF(Skills!H3&gt;0,Skills!I3/Skills!H3,1)+IF(Skills!H3&gt;0,MIN(Skills!I3,MAX(0,MAX(0,Inputs!$B$43-B593)-((R558-1)*(IF(Inputs!$B$38="pvp",15,MAX(0.1,Skills!D3-IF(Skills!E3=TRUE,Inputs!$B$32,0)))*(1-IF(AND(ArtifactsInput!$M$27,Inputs!$B$4="Chapter Hunt"),CHOOSE(ArtifactsInput!$N$27+1,20,24,28,32,36,40),0)/100)))))/Skills!H3,1)))/Inputs!$B$43),G558*Q558))*IF(Inputs!$B$38="pvp",1,(1+(Inputs!$B$21+Skills!Q3+(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9">
      <c r="A559">
        <f>Skills!A4</f>
        <v/>
      </c>
      <c r="B559">
        <f>Skills!B4</f>
        <v/>
      </c>
      <c r="C559">
        <f>Inputs!$B$3&gt;=40</f>
        <v/>
      </c>
      <c r="D559">
        <f>IF(Skills!C4=1,60+Inputs!$B$25+Inputs!$B$29,IF(Skills!C4=2,90+Inputs!$B$26+Inputs!$B$29,IF(Skills!C4=3,120+Inputs!$B$27+Inputs!$B$29,MAX(0,(Inputs!$B$3-100)*3)+Inputs!$B$28+Inputs!$B$29)))</f>
        <v/>
      </c>
      <c r="E559">
        <f>INDEX(FactorTable!$B$2:$Y$301, MATCH(ROUND(MIN(300,MAX(1,D559)),0), FactorTable!$A$2:$A$301,0), Skills!M4+1)</f>
        <v/>
      </c>
      <c r="F559">
        <f>IF(Skills!N4=TRUE,(Skills!L4/10)*(E559/1000),Skills!L4/10)+Skills!O4</f>
        <v/>
      </c>
      <c r="G559">
        <f>Skills!G4*IF(Skills!H4&gt;0,Skills!I4/Skills!H4,1)</f>
        <v/>
      </c>
      <c r="H559">
        <f>1-(1-Skills!J4/100)^Skills!K4</f>
        <v/>
      </c>
      <c r="I559" t="inlineStr">
        <is>
          <t>1</t>
        </is>
      </c>
      <c r="J559">
        <f>((Inputs!$B$6*(1+Inputs!$B$7/100))+(((Inputs!$B$12*(1+Inputs!$B$13/100))-(Inputs!$B$12*(1+Inputs!$B$13/100)))+0.25*(Inputs!$B$14-Inputs!$B$14))*(1+Inputs!$B$7/100))*(F559/100)</f>
        <v/>
      </c>
      <c r="K559">
        <f>J559*(1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571=TRUE,F571,0)/100)*(1+(IF(Skills!A4="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559)</f>
        <v/>
      </c>
      <c r="L559">
        <f>K559*(MIN(Inputs!$B$22+((C577=TRUE)*(F577-Calc!F22)),(Inputs!$B$23+0+(IF(ArtifactsInput!$M$15,CHOOSE(ArtifactsInput!$N$15+1,25,30,35,40,45,50)/100*(Inputs!$B$11-Inputs!$B$11),0))))/100+(Inputs!$B$23+0+(IF(ArtifactsInput!$M$15,CHOOSE(ArtifactsInput!$N$15+1,25,30,35,40,45,50)/100*(Inputs!$B$11-Inputs!$B$11),0)))/100)/2</f>
        <v/>
      </c>
      <c r="M559">
        <f>L559*(1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9">
        <f>L559*(1-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559*(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9">
        <f>(1-Summary!$B$11)*T559+Summary!$B$11*V559</f>
        <v/>
      </c>
      <c r="P559">
        <f>IF(B596=0,0,O559/B596)</f>
        <v/>
      </c>
      <c r="Q559">
        <f>IFERROR(1/(IF(Inputs!$B$38="pvp",15,MAX(0.1,Skills!D4-IF(Skills!E4=TRUE,Inputs!$B$32,0)))*(1-IF(AND(ArtifactsInput!$M$27,Inputs!$B$4="Chapter Hunt"),CHOOSE(ArtifactsInput!$N$27+1,20,24,28,32,36,40),0)/100)),0)</f>
        <v/>
      </c>
      <c r="R559">
        <f>IF(AND(Inputs!$B$38&lt;&gt;"pvp",Inputs!$B$43&gt;0),IF(MAX(0,Inputs!$B$43-B593)&lt;=0,0,(INT(MAX(0,Inputs!$B$43-B593)/(IF(Inputs!$B$38="pvp",15,MAX(0.1,Skills!D4-IF(Skills!E4=TRUE,Inputs!$B$32,0)))*(1-IF(AND(ArtifactsInput!$M$27,Inputs!$B$4="Chapter Hunt"),CHOOSE(ArtifactsInput!$N$27+1,20,24,28,32,36,40),0)/100)))+1)),0)</f>
        <v/>
      </c>
      <c r="S559">
        <f>IFERROR(O559/N559,0)</f>
        <v/>
      </c>
      <c r="T559">
        <f>IF(C559,(H559*N559*IF(AND(Inputs!$B$38&lt;&gt;"pvp",Inputs!$B$43&gt;0),((Skills!G4*((R559-1)*IF(Skills!H4&gt;0,Skills!I4/Skills!H4,1)+IF(Skills!H4&gt;0,MIN(Skills!I4,MAX(0,MAX(0,Inputs!$B$43-B593)-((R559-1)*(IF(Inputs!$B$38="pvp",15,MAX(0.1,Skills!D4-IF(Skills!E4=TRUE,Inputs!$B$32,0)))*(1-IF(AND(ArtifactsInput!$M$27,Inputs!$B$4="Chapter Hunt"),CHOOSE(ArtifactsInput!$N$27+1,20,24,28,32,36,40),0)/100)))))/Skills!H4,1)))/Inputs!$B$43),G559*Q559)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559*(1-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559*(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559*(1-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559*(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9">
        <f>290*U558/1000</f>
        <v/>
      </c>
      <c r="V559">
        <f>IF(C559,(H559*N559*IF(AND(Inputs!$B$38&lt;&gt;"pvp",Inputs!$B$43&gt;0),((Skills!G4*((R559-1)*IF(Skills!H4&gt;0,Skills!I4/Skills!H4,1)+IF(Skills!H4&gt;0,MIN(Skills!I4,MAX(0,MAX(0,Inputs!$B$43-B593)-((R559-1)*(IF(Inputs!$B$38="pvp",15,MAX(0.1,Skills!D4-IF(Skills!E4=TRUE,Inputs!$B$32,0)))*(1-IF(AND(ArtifactsInput!$M$27,Inputs!$B$4="Chapter Hunt"),CHOOSE(ArtifactsInput!$N$27+1,20,24,28,32,36,40),0)/100)))))/Skills!H4,1)))/Inputs!$B$43),G559*Q559))*IF(Inputs!$B$38="pvp",1,(1+(Inputs!$B$21+Skills!Q4+(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0">
      <c r="A560">
        <f>Skills!A5</f>
        <v/>
      </c>
      <c r="B560">
        <f>Skills!B5</f>
        <v/>
      </c>
      <c r="C560">
        <f>Inputs!$B$3&gt;=45</f>
        <v/>
      </c>
      <c r="D560">
        <f>IF(Skills!C5=1,60+Inputs!$B$25+Inputs!$B$29,IF(Skills!C5=2,90+Inputs!$B$26+Inputs!$B$29,IF(Skills!C5=3,120+Inputs!$B$27+Inputs!$B$29,MAX(0,(Inputs!$B$3-100)*3)+Inputs!$B$28+Inputs!$B$29)))</f>
        <v/>
      </c>
      <c r="E560">
        <f>INDEX(FactorTable!$B$2:$Y$301, MATCH(ROUND(MIN(300,MAX(1,D560)),0), FactorTable!$A$2:$A$301,0), Skills!M5+1)</f>
        <v/>
      </c>
      <c r="F560">
        <f>IF(Skills!N5=TRUE,(Skills!L5/10)*(E560/1000),Skills!L5/10)+Skills!O5</f>
        <v/>
      </c>
      <c r="G560">
        <f>Skills!G5*IF(Skills!H5&gt;0,Skills!I5/Skills!H5,1)</f>
        <v/>
      </c>
      <c r="H560">
        <f>1-(1-Skills!J5/100)^Skills!K5</f>
        <v/>
      </c>
      <c r="I560" t="inlineStr">
        <is>
          <t>1</t>
        </is>
      </c>
      <c r="J560">
        <f>((Inputs!$B$6*(1+Inputs!$B$7/100))+(((Inputs!$B$12*(1+Inputs!$B$13/100))-(Inputs!$B$12*(1+Inputs!$B$13/100)))+0.25*(Inputs!$B$14-Inputs!$B$14))*(1+Inputs!$B$7/100))*(F560/100)</f>
        <v/>
      </c>
      <c r="K560">
        <f>J560*(1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571=TRUE,F571,0)/100)*(1+(IF(Skills!A5="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560)</f>
        <v/>
      </c>
      <c r="L560">
        <f>K560*(MIN(Inputs!$B$22+((C577=TRUE)*(F577-Calc!F22)),(Inputs!$B$23+0+(IF(ArtifactsInput!$M$15,CHOOSE(ArtifactsInput!$N$15+1,25,30,35,40,45,50)/100*(Inputs!$B$11-Inputs!$B$11),0))))/100+(Inputs!$B$23+0+(IF(ArtifactsInput!$M$15,CHOOSE(ArtifactsInput!$N$15+1,25,30,35,40,45,50)/100*(Inputs!$B$11-Inputs!$B$11),0)))/100)/2</f>
        <v/>
      </c>
      <c r="M560">
        <f>L560*(1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0">
        <f>L560*(1-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560*(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0">
        <f>(1-Summary!$B$11)*T560+Summary!$B$11*V560</f>
        <v/>
      </c>
      <c r="P560">
        <f>IF(B596=0,0,O560/B596)</f>
        <v/>
      </c>
      <c r="Q560">
        <f>IFERROR(1/(IF(Inputs!$B$38="pvp",15,MAX(0.1,Skills!D5-IF(Skills!E5=TRUE,Inputs!$B$32,0)))*(1-IF(AND(ArtifactsInput!$M$27,Inputs!$B$4="Chapter Hunt"),CHOOSE(ArtifactsInput!$N$27+1,20,24,28,32,36,40),0)/100)),0)</f>
        <v/>
      </c>
      <c r="R560">
        <f>IF(AND(Inputs!$B$38&lt;&gt;"pvp",Inputs!$B$43&gt;0),IF(MAX(0,Inputs!$B$43-B593)&lt;=0,0,(INT(MAX(0,Inputs!$B$43-B593)/(IF(Inputs!$B$38="pvp",15,MAX(0.1,Skills!D5-IF(Skills!E5=TRUE,Inputs!$B$32,0)))*(1-IF(AND(ArtifactsInput!$M$27,Inputs!$B$4="Chapter Hunt"),CHOOSE(ArtifactsInput!$N$27+1,20,24,28,32,36,40),0)/100)))+1)),0)</f>
        <v/>
      </c>
      <c r="S560">
        <f>IFERROR(O560/N560,0)</f>
        <v/>
      </c>
      <c r="T560">
        <f>IF(C560,(H560*N560*IF(AND(Inputs!$B$38&lt;&gt;"pvp",Inputs!$B$43&gt;0),((Skills!G5*((R560-1)*IF(Skills!H5&gt;0,Skills!I5/Skills!H5,1)+IF(Skills!H5&gt;0,MIN(Skills!I5,MAX(0,MAX(0,Inputs!$B$43-B593)-((R560-1)*(IF(Inputs!$B$38="pvp",15,MAX(0.1,Skills!D5-IF(Skills!E5=TRUE,Inputs!$B$32,0)))*(1-IF(AND(ArtifactsInput!$M$27,Inputs!$B$4="Chapter Hunt"),CHOOSE(ArtifactsInput!$N$27+1,20,24,28,32,36,40),0)/100)))))/Skills!H5,1)))/Inputs!$B$43),G560*Q560)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560*(1-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560*(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560*(1-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560*(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0">
        <f>IF(C560,(H560*N560*IF(AND(Inputs!$B$38&lt;&gt;"pvp",Inputs!$B$43&gt;0),((Skills!G5*((R560-1)*IF(Skills!H5&gt;0,Skills!I5/Skills!H5,1)+IF(Skills!H5&gt;0,MIN(Skills!I5,MAX(0,MAX(0,Inputs!$B$43-B593)-((R560-1)*(IF(Inputs!$B$38="pvp",15,MAX(0.1,Skills!D5-IF(Skills!E5=TRUE,Inputs!$B$32,0)))*(1-IF(AND(ArtifactsInput!$M$27,Inputs!$B$4="Chapter Hunt"),CHOOSE(ArtifactsInput!$N$27+1,20,24,28,32,36,40),0)/100)))))/Skills!H5,1)))/Inputs!$B$43),G560*Q560))*IF(Inputs!$B$38="pvp",1,(1+(Inputs!$B$21+Skills!Q5+(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1">
      <c r="A561">
        <f>Skills!A6</f>
        <v/>
      </c>
      <c r="B561">
        <f>Skills!B6</f>
        <v/>
      </c>
      <c r="C561">
        <f>Inputs!$B$3&gt;=63</f>
        <v/>
      </c>
      <c r="D561">
        <f>IF(Skills!C6=1,60+Inputs!$B$25+Inputs!$B$29,IF(Skills!C6=2,90+Inputs!$B$26+Inputs!$B$29,IF(Skills!C6=3,120+Inputs!$B$27+Inputs!$B$29,MAX(0,(Inputs!$B$3-100)*3)+Inputs!$B$28+Inputs!$B$29)))</f>
        <v/>
      </c>
      <c r="E561">
        <f>INDEX(FactorTable!$B$2:$Y$301, MATCH(ROUND(MIN(300,MAX(1,D561)),0), FactorTable!$A$2:$A$301,0), Skills!M6+1)</f>
        <v/>
      </c>
      <c r="F561">
        <f>IF(Skills!N6=TRUE,(Skills!L6/10)*(E561/1000),Skills!L6/10)+Skills!O6</f>
        <v/>
      </c>
      <c r="G561">
        <f>Skills!G6*IF(Skills!H6&gt;0,Skills!I6/Skills!H6,1)</f>
        <v/>
      </c>
      <c r="H561">
        <f>1-(1-Skills!J6/100)^Skills!K6</f>
        <v/>
      </c>
      <c r="I561" t="inlineStr">
        <is>
          <t>1</t>
        </is>
      </c>
      <c r="J561">
        <f>((Inputs!$B$6*(1+Inputs!$B$7/100))+(((Inputs!$B$12*(1+Inputs!$B$13/100))-(Inputs!$B$12*(1+Inputs!$B$13/100)))+0.25*(Inputs!$B$14-Inputs!$B$14))*(1+Inputs!$B$7/100))*(F561/100)</f>
        <v/>
      </c>
      <c r="K561">
        <f>J561*(1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570=TRUE,F570,0)/100)*(1+(IF(Skills!A6="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561)</f>
        <v/>
      </c>
      <c r="L561">
        <f>K561*(MIN(Inputs!$B$22+((C577=TRUE)*(F577-Calc!F22)),(Inputs!$B$23+0+(IF(ArtifactsInput!$M$15,CHOOSE(ArtifactsInput!$N$15+1,25,30,35,40,45,50)/100*(Inputs!$B$11-Inputs!$B$11),0))))/100+(Inputs!$B$23+0+(IF(ArtifactsInput!$M$15,CHOOSE(ArtifactsInput!$N$15+1,25,30,35,40,45,50)/100*(Inputs!$B$11-Inputs!$B$11),0)))/100)/2</f>
        <v/>
      </c>
      <c r="M561">
        <f>L561*(1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1">
        <f>L561*(1-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1">
        <f>(1-Summary!$B$11)*T561+Summary!$B$11*V561</f>
        <v/>
      </c>
      <c r="P561">
        <f>IF(B596=0,0,O561/B596)</f>
        <v/>
      </c>
      <c r="Q561">
        <f>IFERROR(1/(IF(Inputs!$B$38="pvp",15,MAX(0.1,Skills!D6-IF(Skills!E6=TRUE,Inputs!$B$32,0)))*(1-IF(AND(ArtifactsInput!$M$27,Inputs!$B$4="Chapter Hunt"),CHOOSE(ArtifactsInput!$N$27+1,20,24,28,32,36,40),0)/100)),0)</f>
        <v/>
      </c>
      <c r="R561">
        <f>IF(AND(Inputs!$B$38&lt;&gt;"pvp",Inputs!$B$43&gt;0),IF(MAX(0,Inputs!$B$43-B593)&lt;=0,0,(INT(MAX(0,Inputs!$B$43-B593)/(IF(Inputs!$B$38="pvp",15,MAX(0.1,Skills!D6-IF(Skills!E6=TRUE,Inputs!$B$32,0)))*(1-IF(AND(ArtifactsInput!$M$27,Inputs!$B$4="Chapter Hunt"),CHOOSE(ArtifactsInput!$N$27+1,20,24,28,32,36,40),0)/100)))+1)),0)</f>
        <v/>
      </c>
      <c r="S561">
        <f>IFERROR(O561/N561,0)</f>
        <v/>
      </c>
      <c r="T561">
        <f>IF(C561,(H561*N561*IF(AND(Inputs!$B$38&lt;&gt;"pvp",Inputs!$B$43&gt;0),((Skills!G6*((R561-1)*IF(Skills!H6&gt;0,Skills!I6/Skills!H6,1)+IF(Skills!H6&gt;0,MIN(Skills!I6,MAX(0,MAX(0,Inputs!$B$43-B593)-((R561-1)*(IF(Inputs!$B$38="pvp",15,MAX(0.1,Skills!D6-IF(Skills!E6=TRUE,Inputs!$B$32,0)))*(1-IF(AND(ArtifactsInput!$M$27,Inputs!$B$4="Chapter Hunt"),CHOOSE(ArtifactsInput!$N$27+1,20,24,28,32,36,40),0)/100)))))/Skills!H6,1)))/Inputs!$B$43),G561*Q561)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561*(1-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561*(1-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1">
        <f>IF(C561,(H561*N561*IF(AND(Inputs!$B$38&lt;&gt;"pvp",Inputs!$B$43&gt;0),((Skills!G6*((R561-1)*IF(Skills!H6&gt;0,Skills!I6/Skills!H6,1)+IF(Skills!H6&gt;0,MIN(Skills!I6,MAX(0,MAX(0,Inputs!$B$43-B593)-((R561-1)*(IF(Inputs!$B$38="pvp",15,MAX(0.1,Skills!D6-IF(Skills!E6=TRUE,Inputs!$B$32,0)))*(1-IF(AND(ArtifactsInput!$M$27,Inputs!$B$4="Chapter Hunt"),CHOOSE(ArtifactsInput!$N$27+1,20,24,28,32,36,40),0)/100)))))/Skills!H6,1)))/Inputs!$B$43),G561*Q561))*IF(Inputs!$B$38="pvp",1,(1+(Inputs!$B$21+Skills!Q6+(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2">
      <c r="A562">
        <f>Skills!A7</f>
        <v/>
      </c>
      <c r="B562">
        <f>Skills!B7</f>
        <v/>
      </c>
      <c r="C562">
        <f>Inputs!$B$3&gt;=66</f>
        <v/>
      </c>
      <c r="D562">
        <f>IF(Skills!C7=1,60+Inputs!$B$25+Inputs!$B$29,IF(Skills!C7=2,90+Inputs!$B$26+Inputs!$B$29,IF(Skills!C7=3,120+Inputs!$B$27+Inputs!$B$29,MAX(0,(Inputs!$B$3-100)*3)+Inputs!$B$28+Inputs!$B$29)))</f>
        <v/>
      </c>
      <c r="E562">
        <f>INDEX(FactorTable!$B$2:$Y$301, MATCH(ROUND(MIN(300,MAX(1,D562)),0), FactorTable!$A$2:$A$301,0), Skills!M7+1)</f>
        <v/>
      </c>
      <c r="F562">
        <f>IF(Skills!N7=TRUE,(Skills!L7/10)*(E562/1000),Skills!L7/10)+Skills!O7</f>
        <v/>
      </c>
      <c r="G562">
        <f>Skills!G7*IF(Skills!H7&gt;0,Skills!I7/Skills!H7,1)</f>
        <v/>
      </c>
      <c r="H562">
        <f>1-(1-Skills!J7/100)^Skills!K7</f>
        <v/>
      </c>
      <c r="I562" t="inlineStr">
        <is>
          <t>1</t>
        </is>
      </c>
      <c r="J562">
        <f>((Inputs!$B$6*(1+Inputs!$B$7/100))+(((Inputs!$B$12*(1+Inputs!$B$13/100))-(Inputs!$B$12*(1+Inputs!$B$13/100)))+0.25*(Inputs!$B$14-Inputs!$B$14))*(1+Inputs!$B$7/100))*(F562/100)</f>
        <v/>
      </c>
      <c r="K562">
        <f>J562*(1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570=TRUE,F570,0)/100)*(1+(IF(Skills!A7="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562)</f>
        <v/>
      </c>
      <c r="L562">
        <f>K562*(MIN(Inputs!$B$22+((C577=TRUE)*(F577-Calc!F22)),(Inputs!$B$23+0+(IF(ArtifactsInput!$M$15,CHOOSE(ArtifactsInput!$N$15+1,25,30,35,40,45,50)/100*(Inputs!$B$11-Inputs!$B$11),0))))/100+(Inputs!$B$23+0+(IF(ArtifactsInput!$M$15,CHOOSE(ArtifactsInput!$N$15+1,25,30,35,40,45,50)/100*(Inputs!$B$11-Inputs!$B$11),0)))/100)/2</f>
        <v/>
      </c>
      <c r="M562">
        <f>L562*(1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2">
        <f>L562*(1-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562*(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2">
        <f>(1-Summary!$B$11)*T562+Summary!$B$11*V562</f>
        <v/>
      </c>
      <c r="P562">
        <f>IF(B596=0,0,O562/B596)</f>
        <v/>
      </c>
      <c r="Q562">
        <f>IFERROR(1/(IF(Inputs!$B$38="pvp",15,MAX(0.1,Skills!D7-IF(Skills!E7=TRUE,Inputs!$B$32,0)))*(1-IF(AND(ArtifactsInput!$M$27,Inputs!$B$4="Chapter Hunt"),CHOOSE(ArtifactsInput!$N$27+1,20,24,28,32,36,40),0)/100)),0)</f>
        <v/>
      </c>
      <c r="R562">
        <f>IF(AND(Inputs!$B$38&lt;&gt;"pvp",Inputs!$B$43&gt;0),IF(MAX(0,Inputs!$B$43-B593)&lt;=0,0,(INT(MAX(0,Inputs!$B$43-B593)/(IF(Inputs!$B$38="pvp",15,MAX(0.1,Skills!D7-IF(Skills!E7=TRUE,Inputs!$B$32,0)))*(1-IF(AND(ArtifactsInput!$M$27,Inputs!$B$4="Chapter Hunt"),CHOOSE(ArtifactsInput!$N$27+1,20,24,28,32,36,40),0)/100)))+1)),0)</f>
        <v/>
      </c>
      <c r="S562">
        <f>IFERROR(O562/N562,0)</f>
        <v/>
      </c>
      <c r="T562">
        <f>IF(C562,(H562*N562*IF(AND(Inputs!$B$38&lt;&gt;"pvp",Inputs!$B$43&gt;0),((Skills!G7*((R562-1)*IF(Skills!H7&gt;0,Skills!I7/Skills!H7,1)+IF(Skills!H7&gt;0,MIN(Skills!I7,MAX(0,MAX(0,Inputs!$B$43-B593)-((R562-1)*(IF(Inputs!$B$38="pvp",15,MAX(0.1,Skills!D7-IF(Skills!E7=TRUE,Inputs!$B$32,0)))*(1-IF(AND(ArtifactsInput!$M$27,Inputs!$B$4="Chapter Hunt"),CHOOSE(ArtifactsInput!$N$27+1,20,24,28,32,36,40),0)/100)))))/Skills!H7,1)))/Inputs!$B$43),G562*Q562)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562*(1-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562*(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562*(1-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562*(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2">
        <f>IF(C562,(H562*N562*IF(AND(Inputs!$B$38&lt;&gt;"pvp",Inputs!$B$43&gt;0),((Skills!G7*((R562-1)*IF(Skills!H7&gt;0,Skills!I7/Skills!H7,1)+IF(Skills!H7&gt;0,MIN(Skills!I7,MAX(0,MAX(0,Inputs!$B$43-B593)-((R562-1)*(IF(Inputs!$B$38="pvp",15,MAX(0.1,Skills!D7-IF(Skills!E7=TRUE,Inputs!$B$32,0)))*(1-IF(AND(ArtifactsInput!$M$27,Inputs!$B$4="Chapter Hunt"),CHOOSE(ArtifactsInput!$N$27+1,20,24,28,32,36,40),0)/100)))))/Skills!H7,1)))/Inputs!$B$43),G562*Q562))*IF(Inputs!$B$38="pvp",1,(1+(Inputs!$B$21+Skills!Q7+(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3">
      <c r="A563">
        <f>Skills!A8</f>
        <v/>
      </c>
      <c r="B563">
        <f>Skills!B8</f>
        <v/>
      </c>
      <c r="C563">
        <f>Inputs!$B$3&gt;=100</f>
        <v/>
      </c>
      <c r="D563">
        <f>IF(Skills!C8=1,60+Inputs!$B$25+Inputs!$B$29,IF(Skills!C8=2,90+Inputs!$B$26+Inputs!$B$29,IF(Skills!C8=3,120+Inputs!$B$27+Inputs!$B$29,MAX(0,(Inputs!$B$3-100)*3)+Inputs!$B$28+Inputs!$B$29)))</f>
        <v/>
      </c>
      <c r="E563">
        <f>INDEX(FactorTable!$B$2:$Y$301, MATCH(ROUND(MIN(300,MAX(1,D563)),0), FactorTable!$A$2:$A$301,0), Skills!M8+1)</f>
        <v/>
      </c>
      <c r="F563">
        <f>IF(Skills!N8=TRUE,(Skills!L8/10)*(E563/1000),Skills!L8/10)+Skills!O8</f>
        <v/>
      </c>
      <c r="G563">
        <f>Skills!G8*IF(Skills!H8&gt;0,Skills!I8/Skills!H8,1)</f>
        <v/>
      </c>
      <c r="H563">
        <f>1-(1-Skills!J8/100)^Skills!K8</f>
        <v/>
      </c>
      <c r="I563" t="inlineStr">
        <is>
          <t>1</t>
        </is>
      </c>
      <c r="J563">
        <f>((Inputs!$B$6*(1+Inputs!$B$7/100))+(((Inputs!$B$12*(1+Inputs!$B$13/100))-(Inputs!$B$12*(1+Inputs!$B$13/100)))+0.25*(Inputs!$B$14-Inputs!$B$14))*(1+Inputs!$B$7/100))*(F563/100)</f>
        <v/>
      </c>
      <c r="K563">
        <f>J563*(1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563)</f>
        <v/>
      </c>
      <c r="L563">
        <f>K563*(MIN(Inputs!$B$22+((C577=TRUE)*(F577-Calc!F22)),(Inputs!$B$23+0+(IF(ArtifactsInput!$M$15,CHOOSE(ArtifactsInput!$N$15+1,25,30,35,40,45,50)/100*(Inputs!$B$11-Inputs!$B$11),0))))/100+(Inputs!$B$23+0+(IF(ArtifactsInput!$M$15,CHOOSE(ArtifactsInput!$N$15+1,25,30,35,40,45,50)/100*(Inputs!$B$11-Inputs!$B$11),0)))/100)/2</f>
        <v/>
      </c>
      <c r="M563">
        <f>L563*(1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3">
        <f>L563*(1-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563*(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3">
        <f>(1-Summary!$B$11)*T563+Summary!$B$11*V563</f>
        <v/>
      </c>
      <c r="P563">
        <f>IF(B596=0,0,O563/B596)</f>
        <v/>
      </c>
      <c r="Q563">
        <f>IFERROR(1/(IF(Inputs!$B$38="pvp",15,MAX(0.1,Skills!D8-IF(Skills!E8=TRUE,Inputs!$B$32,0)))*(1-IF(AND(ArtifactsInput!$M$27,Inputs!$B$4="Chapter Hunt"),CHOOSE(ArtifactsInput!$N$27+1,20,24,28,32,36,40),0)/100)),0)</f>
        <v/>
      </c>
      <c r="R563">
        <f>IF(AND(Inputs!$B$38&lt;&gt;"pvp",Inputs!$B$43&gt;0),IF(MAX(0,Inputs!$B$43-B593)&lt;=0,0,(INT(MAX(0,Inputs!$B$43-B593)/(IF(Inputs!$B$38="pvp",15,MAX(0.1,Skills!D8-IF(Skills!E8=TRUE,Inputs!$B$32,0)))*(1-IF(AND(ArtifactsInput!$M$27,Inputs!$B$4="Chapter Hunt"),CHOOSE(ArtifactsInput!$N$27+1,20,24,28,32,36,40),0)/100)))+1)),0)</f>
        <v/>
      </c>
      <c r="S563">
        <f>IFERROR(O563/N563,0)</f>
        <v/>
      </c>
      <c r="T563">
        <f>IF(C563,(H563*N563*IF(AND(Inputs!$B$38&lt;&gt;"pvp",Inputs!$B$43&gt;0),((Skills!G8*((R563-1)*IF(Skills!H8&gt;0,Skills!I8/Skills!H8,1)+IF(Skills!H8&gt;0,MIN(Skills!I8,MAX(0,MAX(0,Inputs!$B$43-B593)-((R563-1)*(IF(Inputs!$B$38="pvp",15,MAX(0.1,Skills!D8-IF(Skills!E8=TRUE,Inputs!$B$32,0)))*(1-IF(AND(ArtifactsInput!$M$27,Inputs!$B$4="Chapter Hunt"),CHOOSE(ArtifactsInput!$N$27+1,20,24,28,32,36,40),0)/100)))))/Skills!H8,1)))/Inputs!$B$43),G563*Q563)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563*(1-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563*(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563*(1-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563*(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3">
        <f>IF(C563,(H563*N563*IF(AND(Inputs!$B$38&lt;&gt;"pvp",Inputs!$B$43&gt;0),((Skills!G8*((R563-1)*IF(Skills!H8&gt;0,Skills!I8/Skills!H8,1)+IF(Skills!H8&gt;0,MIN(Skills!I8,MAX(0,MAX(0,Inputs!$B$43-B593)-((R563-1)*(IF(Inputs!$B$38="pvp",15,MAX(0.1,Skills!D8-IF(Skills!E8=TRUE,Inputs!$B$32,0)))*(1-IF(AND(ArtifactsInput!$M$27,Inputs!$B$4="Chapter Hunt"),CHOOSE(ArtifactsInput!$N$27+1,20,24,28,32,36,40),0)/100)))))/Skills!H8,1)))/Inputs!$B$43),G563*Q563))*IF(Inputs!$B$38="pvp",1,(1+(Inputs!$B$21+Skills!Q8+(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4">
      <c r="A564">
        <f>Skills!A9</f>
        <v/>
      </c>
      <c r="B564">
        <f>Skills!B9</f>
        <v/>
      </c>
      <c r="C564">
        <f>Inputs!$B$3&gt;=103</f>
        <v/>
      </c>
      <c r="D564">
        <f>IF(Skills!C9=1,60+Inputs!$B$25+Inputs!$B$29,IF(Skills!C9=2,90+Inputs!$B$26+Inputs!$B$29,IF(Skills!C9=3,120+Inputs!$B$27+Inputs!$B$29,MAX(0,(Inputs!$B$3-100)*3)+Inputs!$B$28+Inputs!$B$29)))</f>
        <v/>
      </c>
      <c r="E564">
        <f>INDEX(FactorTable!$B$2:$Y$301, MATCH(ROUND(MIN(300,MAX(1,D564)),0), FactorTable!$A$2:$A$301,0), Skills!M9+1)</f>
        <v/>
      </c>
      <c r="F564">
        <f>IF(Skills!N9=TRUE,(Skills!L9/10)*(E564/1000),Skills!L9/10)+Skills!O9</f>
        <v/>
      </c>
      <c r="G564">
        <f>Skills!G9*IF(Skills!H9&gt;0,Skills!I9/Skills!H9,1)</f>
        <v/>
      </c>
      <c r="H564">
        <f>1-(1-Skills!J9/100)^Skills!K9</f>
        <v/>
      </c>
      <c r="I564" t="inlineStr">
        <is>
          <t>1</t>
        </is>
      </c>
      <c r="J564">
        <f>((Inputs!$B$6*(1+Inputs!$B$7/100))+(((Inputs!$B$12*(1+Inputs!$B$13/100))-(Inputs!$B$12*(1+Inputs!$B$13/100)))+0.25*(Inputs!$B$14-Inputs!$B$14))*(1+Inputs!$B$7/100))*(F564/100)</f>
        <v/>
      </c>
      <c r="K564">
        <f>J564*(1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564)</f>
        <v/>
      </c>
      <c r="L564">
        <f>K564*(MIN(Inputs!$B$22+((C577=TRUE)*(F577-Calc!F22)),(Inputs!$B$23+0+(IF(ArtifactsInput!$M$15,CHOOSE(ArtifactsInput!$N$15+1,25,30,35,40,45,50)/100*(Inputs!$B$11-Inputs!$B$11),0))))/100+(Inputs!$B$23+0+(IF(ArtifactsInput!$M$15,CHOOSE(ArtifactsInput!$N$15+1,25,30,35,40,45,50)/100*(Inputs!$B$11-Inputs!$B$11),0)))/100)/2</f>
        <v/>
      </c>
      <c r="M564">
        <f>L564*(1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4">
        <f>L564*(1-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564*(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4">
        <f>(1-Summary!$B$11)*T564+Summary!$B$11*V564</f>
        <v/>
      </c>
      <c r="P564">
        <f>IF(B596=0,0,O564/B596)</f>
        <v/>
      </c>
      <c r="Q564">
        <f>IFERROR(1/(IF(Inputs!$B$38="pvp",15,MAX(0.1,Skills!D9-IF(Skills!E9=TRUE,Inputs!$B$32,0)))*(1-IF(AND(ArtifactsInput!$M$27,Inputs!$B$4="Chapter Hunt"),CHOOSE(ArtifactsInput!$N$27+1,20,24,28,32,36,40),0)/100)),0)</f>
        <v/>
      </c>
      <c r="R564">
        <f>IF(AND(Inputs!$B$38&lt;&gt;"pvp",Inputs!$B$43&gt;0),IF(MAX(0,Inputs!$B$43-B593)&lt;=0,0,(INT(MAX(0,Inputs!$B$43-B593)/(IF(Inputs!$B$38="pvp",15,MAX(0.1,Skills!D9-IF(Skills!E9=TRUE,Inputs!$B$32,0)))*(1-IF(AND(ArtifactsInput!$M$27,Inputs!$B$4="Chapter Hunt"),CHOOSE(ArtifactsInput!$N$27+1,20,24,28,32,36,40),0)/100)))+1)),0)</f>
        <v/>
      </c>
      <c r="S564">
        <f>IFERROR(O564/N564,0)</f>
        <v/>
      </c>
      <c r="T564">
        <f>IF(C564,(H564*N564*IF(AND(Inputs!$B$38&lt;&gt;"pvp",Inputs!$B$43&gt;0),((Skills!G9*((R564-1)*IF(Skills!H9&gt;0,Skills!I9/Skills!H9,1)+IF(Skills!H9&gt;0,MIN(Skills!I9,MAX(0,MAX(0,Inputs!$B$43-B593)-((R564-1)*(IF(Inputs!$B$38="pvp",15,MAX(0.1,Skills!D9-IF(Skills!E9=TRUE,Inputs!$B$32,0)))*(1-IF(AND(ArtifactsInput!$M$27,Inputs!$B$4="Chapter Hunt"),CHOOSE(ArtifactsInput!$N$27+1,20,24,28,32,36,40),0)/100)))))/Skills!H9,1)))/Inputs!$B$43),G564*Q564)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564*(1-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564*(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564*(1-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564*(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4">
        <f>IF(C564,(H564*N564*IF(AND(Inputs!$B$38&lt;&gt;"pvp",Inputs!$B$43&gt;0),((Skills!G9*((R564-1)*IF(Skills!H9&gt;0,Skills!I9/Skills!H9,1)+IF(Skills!H9&gt;0,MIN(Skills!I9,MAX(0,MAX(0,Inputs!$B$43-B593)-((R564-1)*(IF(Inputs!$B$38="pvp",15,MAX(0.1,Skills!D9-IF(Skills!E9=TRUE,Inputs!$B$32,0)))*(1-IF(AND(ArtifactsInput!$M$27,Inputs!$B$4="Chapter Hunt"),CHOOSE(ArtifactsInput!$N$27+1,20,24,28,32,36,40),0)/100)))))/Skills!H9,1)))/Inputs!$B$43),G564*Q564))*IF(Inputs!$B$38="pvp",1,(1+(Inputs!$B$21+Skills!Q9+(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5">
      <c r="A565">
        <f>Skills!A10</f>
        <v/>
      </c>
      <c r="B565">
        <f>Skills!B10</f>
        <v/>
      </c>
      <c r="C565">
        <f>Inputs!$B$3&gt;=113</f>
        <v/>
      </c>
      <c r="D565">
        <f>IF(Skills!C10=1,60+Inputs!$B$25+Inputs!$B$29,IF(Skills!C10=2,90+Inputs!$B$26+Inputs!$B$29,IF(Skills!C10=3,120+Inputs!$B$27+Inputs!$B$29,MAX(0,(Inputs!$B$3-100)*3)+Inputs!$B$28+Inputs!$B$29)))</f>
        <v/>
      </c>
      <c r="E565">
        <f>INDEX(FactorTable!$B$2:$Y$301, MATCH(ROUND(MIN(300,MAX(1,D565)),0), FactorTable!$A$2:$A$301,0), Skills!M10+1)</f>
        <v/>
      </c>
      <c r="F565">
        <f>IF(Skills!N10=TRUE,(Skills!L10/10)*(E565/1000),Skills!L10/10)+Skills!O10</f>
        <v/>
      </c>
      <c r="G565">
        <f>Skills!G10*IF(Skills!H10&gt;0,Skills!I10/Skills!H10,1)</f>
        <v/>
      </c>
      <c r="H565">
        <f>1-(1-Skills!J10/100)^Skills!K10</f>
        <v/>
      </c>
      <c r="I565" t="inlineStr">
        <is>
          <t>1</t>
        </is>
      </c>
      <c r="J565">
        <f>((Inputs!$B$6*(1+Inputs!$B$7/100))+(((Inputs!$B$12*(1+Inputs!$B$13/100))-(Inputs!$B$12*(1+Inputs!$B$13/100)))+0.25*(Inputs!$B$14-Inputs!$B$14))*(1+Inputs!$B$7/100))*(F565/100)</f>
        <v/>
      </c>
      <c r="K565">
        <f>J565*(1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565)</f>
        <v/>
      </c>
      <c r="L565">
        <f>K565*(MIN(Inputs!$B$22+((C577=TRUE)*(F577-Calc!F22)),(Inputs!$B$23+0+(IF(ArtifactsInput!$M$15,CHOOSE(ArtifactsInput!$N$15+1,25,30,35,40,45,50)/100*(Inputs!$B$11-Inputs!$B$11),0))))/100+(Inputs!$B$23+0+(IF(ArtifactsInput!$M$15,CHOOSE(ArtifactsInput!$N$15+1,25,30,35,40,45,50)/100*(Inputs!$B$11-Inputs!$B$11),0)))/100)/2</f>
        <v/>
      </c>
      <c r="M565">
        <f>L565*(1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5">
        <f>L565*(1-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565*(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5">
        <f>(1-Summary!$B$11)*T565+Summary!$B$11*V565</f>
        <v/>
      </c>
      <c r="P565">
        <f>IF(B596=0,0,O565/B596)</f>
        <v/>
      </c>
      <c r="Q565">
        <f>IFERROR(1/(IF(Inputs!$B$38="pvp",15,MAX(0.1,Skills!D10-IF(Skills!E10=TRUE,Inputs!$B$32,0)))*(1-IF(AND(ArtifactsInput!$M$27,Inputs!$B$4="Chapter Hunt"),CHOOSE(ArtifactsInput!$N$27+1,20,24,28,32,36,40),0)/100)),0)</f>
        <v/>
      </c>
      <c r="R565">
        <f>IF(AND(Inputs!$B$38&lt;&gt;"pvp",Inputs!$B$43&gt;0),IF(MAX(0,Inputs!$B$43-B593)&lt;=0,0,(INT(MAX(0,Inputs!$B$43-B593)/(IF(Inputs!$B$38="pvp",15,MAX(0.1,Skills!D10-IF(Skills!E10=TRUE,Inputs!$B$32,0)))*(1-IF(AND(ArtifactsInput!$M$27,Inputs!$B$4="Chapter Hunt"),CHOOSE(ArtifactsInput!$N$27+1,20,24,28,32,36,40),0)/100)))+1)),0)</f>
        <v/>
      </c>
      <c r="S565">
        <f>IFERROR(O565/N565,0)</f>
        <v/>
      </c>
      <c r="T565">
        <f>IF(C565,(H565*N565*IF(AND(Inputs!$B$38&lt;&gt;"pvp",Inputs!$B$43&gt;0),((Skills!G10*((R565-1)*IF(Skills!H10&gt;0,Skills!I10/Skills!H10,1)+IF(Skills!H10&gt;0,MIN(Skills!I10,MAX(0,MAX(0,Inputs!$B$43-B593)-((R565-1)*(IF(Inputs!$B$38="pvp",15,MAX(0.1,Skills!D10-IF(Skills!E10=TRUE,Inputs!$B$32,0)))*(1-IF(AND(ArtifactsInput!$M$27,Inputs!$B$4="Chapter Hunt"),CHOOSE(ArtifactsInput!$N$27+1,20,24,28,32,36,40),0)/100)))))/Skills!H10,1)))/Inputs!$B$43),G565*Q565)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565*(1-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565*(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565*(1-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565*(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5">
        <f>IF(C565,(H565*N565*IF(AND(Inputs!$B$38&lt;&gt;"pvp",Inputs!$B$43&gt;0),((Skills!G10*((R565-1)*IF(Skills!H10&gt;0,Skills!I10/Skills!H10,1)+IF(Skills!H10&gt;0,MIN(Skills!I10,MAX(0,MAX(0,Inputs!$B$43-B593)-((R565-1)*(IF(Inputs!$B$38="pvp",15,MAX(0.1,Skills!D10-IF(Skills!E10=TRUE,Inputs!$B$32,0)))*(1-IF(AND(ArtifactsInput!$M$27,Inputs!$B$4="Chapter Hunt"),CHOOSE(ArtifactsInput!$N$27+1,20,24,28,32,36,40),0)/100)))))/Skills!H10,1)))/Inputs!$B$43),G565*Q565))*IF(Inputs!$B$38="pvp",1,(1+(Inputs!$B$21+Skills!Q10+(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6">
      <c r="A566">
        <f>Skills!A11</f>
        <v/>
      </c>
      <c r="B566">
        <f>Skills!B11</f>
        <v/>
      </c>
      <c r="C566">
        <f>Inputs!$B$3&gt;=107</f>
        <v/>
      </c>
      <c r="D566">
        <f>IF(Skills!C11=1,60+Inputs!$B$25+Inputs!$B$29,IF(Skills!C11=2,90+Inputs!$B$26+Inputs!$B$29,IF(Skills!C11=3,120+Inputs!$B$27+Inputs!$B$29,MAX(0,(Inputs!$B$3-100)*3)+Inputs!$B$28+Inputs!$B$29)))</f>
        <v/>
      </c>
      <c r="E566">
        <f>INDEX(FactorTable!$B$2:$Y$301, MATCH(ROUND(MIN(300,MAX(1,D566)),0), FactorTable!$A$2:$A$301,0), Skills!M11+1)</f>
        <v/>
      </c>
      <c r="F566">
        <f>IF(Skills!N11=TRUE,(Skills!L11/10)*(E566/1000),Skills!L11/10)+Skills!O11</f>
        <v/>
      </c>
      <c r="G566">
        <f>Skills!G11*IF(Skills!H11&gt;0,Skills!I11/Skills!H11,1)</f>
        <v/>
      </c>
      <c r="H566">
        <f>1-(1-Skills!J11/100)^Skills!K11</f>
        <v/>
      </c>
      <c r="I566" t="inlineStr">
        <is>
          <t>1</t>
        </is>
      </c>
      <c r="J566">
        <f>((Inputs!$B$6*(1+Inputs!$B$7/100))+(((Inputs!$B$12*(1+Inputs!$B$13/100))-(Inputs!$B$12*(1+Inputs!$B$13/100)))+0.25*(Inputs!$B$14-Inputs!$B$14))*(1+Inputs!$B$7/100))*(F566/100)</f>
        <v/>
      </c>
      <c r="K566">
        <f>J566*(1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566)</f>
        <v/>
      </c>
      <c r="L566">
        <f>K566*(MIN(Inputs!$B$22+((C577=TRUE)*(F577-Calc!F22)),(Inputs!$B$23+0+(IF(ArtifactsInput!$M$15,CHOOSE(ArtifactsInput!$N$15+1,25,30,35,40,45,50)/100*(Inputs!$B$11-Inputs!$B$11),0))))/100+(Inputs!$B$23+0+(IF(ArtifactsInput!$M$15,CHOOSE(ArtifactsInput!$N$15+1,25,30,35,40,45,50)/100*(Inputs!$B$11-Inputs!$B$11),0)))/100)/2</f>
        <v/>
      </c>
      <c r="M566">
        <f>L566*(1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6">
        <f>L566*(1-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566*(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6">
        <f>(1-Summary!$B$11)*T566+Summary!$B$11*V566</f>
        <v/>
      </c>
      <c r="P566">
        <f>IF(B596=0,0,O566/B596)</f>
        <v/>
      </c>
      <c r="Q566">
        <f>IFERROR(1/(IF(Inputs!$B$38="pvp",15,MAX(0.1,Skills!D11-IF(Skills!E11=TRUE,Inputs!$B$32,0)))*(1-IF(AND(ArtifactsInput!$M$27,Inputs!$B$4="Chapter Hunt"),CHOOSE(ArtifactsInput!$N$27+1,20,24,28,32,36,40),0)/100)),0)</f>
        <v/>
      </c>
      <c r="R566">
        <f>IF(AND(Inputs!$B$38&lt;&gt;"pvp",Inputs!$B$43&gt;0),IF(MAX(0,Inputs!$B$43-B593)&lt;=0,0,(INT(MAX(0,Inputs!$B$43-B593)/(IF(Inputs!$B$38="pvp",15,MAX(0.1,Skills!D11-IF(Skills!E11=TRUE,Inputs!$B$32,0)))*(1-IF(AND(ArtifactsInput!$M$27,Inputs!$B$4="Chapter Hunt"),CHOOSE(ArtifactsInput!$N$27+1,20,24,28,32,36,40),0)/100)))+1)),0)</f>
        <v/>
      </c>
      <c r="S566">
        <f>IFERROR(O566/N566,0)</f>
        <v/>
      </c>
      <c r="T566">
        <f>IF(C566,(H566*N566*IF(AND(Inputs!$B$38&lt;&gt;"pvp",Inputs!$B$43&gt;0),((Skills!G11*((R566-1)*IF(Skills!H11&gt;0,Skills!I11/Skills!H11,1)+IF(Skills!H11&gt;0,MIN(Skills!I11,MAX(0,MAX(0,Inputs!$B$43-B593)-((R566-1)*(IF(Inputs!$B$38="pvp",15,MAX(0.1,Skills!D11-IF(Skills!E11=TRUE,Inputs!$B$32,0)))*(1-IF(AND(ArtifactsInput!$M$27,Inputs!$B$4="Chapter Hunt"),CHOOSE(ArtifactsInput!$N$27+1,20,24,28,32,36,40),0)/100)))))/Skills!H11,1)))/Inputs!$B$43),G566*Q566)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566*(1-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566*(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566*(1-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566*(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6">
        <f>IF(C566,(H566*N566*IF(AND(Inputs!$B$38&lt;&gt;"pvp",Inputs!$B$43&gt;0),((Skills!G11*((R566-1)*IF(Skills!H11&gt;0,Skills!I11/Skills!H11,1)+IF(Skills!H11&gt;0,MIN(Skills!I11,MAX(0,MAX(0,Inputs!$B$43-B593)-((R566-1)*(IF(Inputs!$B$38="pvp",15,MAX(0.1,Skills!D11-IF(Skills!E11=TRUE,Inputs!$B$32,0)))*(1-IF(AND(ArtifactsInput!$M$27,Inputs!$B$4="Chapter Hunt"),CHOOSE(ArtifactsInput!$N$27+1,20,24,28,32,36,40),0)/100)))))/Skills!H11,1)))/Inputs!$B$43),G566*Q566))*IF(Inputs!$B$38="pvp",1,(1+(Inputs!$B$21+Skills!Q11+(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7">
      <c r="A567">
        <f>Skills!A12</f>
        <v/>
      </c>
      <c r="B567">
        <f>Skills!B12</f>
        <v/>
      </c>
      <c r="C567">
        <f>Inputs!$B$3&gt;=110</f>
        <v/>
      </c>
      <c r="D567">
        <f>IF(Skills!C12=1,60+Inputs!$B$25+Inputs!$B$29,IF(Skills!C12=2,90+Inputs!$B$26+Inputs!$B$29,IF(Skills!C12=3,120+Inputs!$B$27+Inputs!$B$29,MAX(0,(Inputs!$B$3-100)*3)+Inputs!$B$28+Inputs!$B$29)))</f>
        <v/>
      </c>
      <c r="E567">
        <f>INDEX(FactorTable!$B$2:$Y$301, MATCH(ROUND(MIN(300,MAX(1,D567)),0), FactorTable!$A$2:$A$301,0), Skills!M12+1)</f>
        <v/>
      </c>
      <c r="F567">
        <f>IF(Skills!N12=TRUE,(Skills!L12/10)*(E567/1000),Skills!L12/10)+Skills!O12</f>
        <v/>
      </c>
      <c r="G567">
        <f>Skills!G12*IF(Skills!H12&gt;0,Skills!I12/Skills!H12,1)</f>
        <v/>
      </c>
      <c r="H567">
        <f>1-(1-Skills!J12/100)^Skills!K12</f>
        <v/>
      </c>
      <c r="I567" t="inlineStr">
        <is>
          <t>1</t>
        </is>
      </c>
      <c r="J567">
        <f>((Inputs!$B$6*(1+Inputs!$B$7/100))+(((Inputs!$B$12*(1+Inputs!$B$13/100))-(Inputs!$B$12*(1+Inputs!$B$13/100)))+0.25*(Inputs!$B$14-Inputs!$B$14))*(1+Inputs!$B$7/100))*(F567/100)</f>
        <v/>
      </c>
      <c r="K567">
        <f>J567*(1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567)</f>
        <v/>
      </c>
      <c r="L567">
        <f>K567*(MIN(Inputs!$B$22+((C577=TRUE)*(F577-Calc!F22)),(Inputs!$B$23+0+(IF(ArtifactsInput!$M$15,CHOOSE(ArtifactsInput!$N$15+1,25,30,35,40,45,50)/100*(Inputs!$B$11-Inputs!$B$11),0))))/100+(Inputs!$B$23+0+(IF(ArtifactsInput!$M$15,CHOOSE(ArtifactsInput!$N$15+1,25,30,35,40,45,50)/100*(Inputs!$B$11-Inputs!$B$11),0)))/100)/2</f>
        <v/>
      </c>
      <c r="M567">
        <f>L567*(1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7">
        <f>L567*(1-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567*(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7">
        <f>(1-Summary!$B$11)*T567+Summary!$B$11*V567</f>
        <v/>
      </c>
      <c r="P567">
        <f>IF(B596=0,0,O567/B596)</f>
        <v/>
      </c>
      <c r="Q567">
        <f>IFERROR(1/(IF(Inputs!$B$38="pvp",15,MAX(0.1,Skills!D12-IF(Skills!E12=TRUE,Inputs!$B$32,0)))*(1-IF(AND(ArtifactsInput!$M$27,Inputs!$B$4="Chapter Hunt"),CHOOSE(ArtifactsInput!$N$27+1,20,24,28,32,36,40),0)/100)),0)</f>
        <v/>
      </c>
      <c r="R567">
        <f>IF(AND(Inputs!$B$38&lt;&gt;"pvp",Inputs!$B$43&gt;0),IF(MAX(0,Inputs!$B$43-B593)&lt;=0,0,(INT(MAX(0,Inputs!$B$43-B593)/(IF(Inputs!$B$38="pvp",15,MAX(0.1,Skills!D12-IF(Skills!E12=TRUE,Inputs!$B$32,0)))*(1-IF(AND(ArtifactsInput!$M$27,Inputs!$B$4="Chapter Hunt"),CHOOSE(ArtifactsInput!$N$27+1,20,24,28,32,36,40),0)/100)))+1)),0)</f>
        <v/>
      </c>
      <c r="S567">
        <f>IFERROR(O567/N567,0)</f>
        <v/>
      </c>
      <c r="T567">
        <f>IF(C567,(H567*N567*IF(AND(Inputs!$B$38&lt;&gt;"pvp",Inputs!$B$43&gt;0),((Skills!G12*((R567-1)*IF(Skills!H12&gt;0,Skills!I12/Skills!H12,1)+IF(Skills!H12&gt;0,MIN(Skills!I12,MAX(0,MAX(0,Inputs!$B$43-B593)-((R567-1)*(IF(Inputs!$B$38="pvp",15,MAX(0.1,Skills!D12-IF(Skills!E12=TRUE,Inputs!$B$32,0)))*(1-IF(AND(ArtifactsInput!$M$27,Inputs!$B$4="Chapter Hunt"),CHOOSE(ArtifactsInput!$N$27+1,20,24,28,32,36,40),0)/100)))))/Skills!H12,1)))/Inputs!$B$43),G567*Q567)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567*(1-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567*(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567*(1-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567*(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7">
        <f>IF(C567,(H567*N567*IF(AND(Inputs!$B$38&lt;&gt;"pvp",Inputs!$B$43&gt;0),((Skills!G12*((R567-1)*IF(Skills!H12&gt;0,Skills!I12/Skills!H12,1)+IF(Skills!H12&gt;0,MIN(Skills!I12,MAX(0,MAX(0,Inputs!$B$43-B593)-((R567-1)*(IF(Inputs!$B$38="pvp",15,MAX(0.1,Skills!D12-IF(Skills!E12=TRUE,Inputs!$B$32,0)))*(1-IF(AND(ArtifactsInput!$M$27,Inputs!$B$4="Chapter Hunt"),CHOOSE(ArtifactsInput!$N$27+1,20,24,28,32,36,40),0)/100)))))/Skills!H12,1)))/Inputs!$B$43),G567*Q567))*IF(Inputs!$B$38="pvp",1,(1+(Inputs!$B$21+Skills!Q12+(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8">
      <c r="A568">
        <f>Skills!A13</f>
        <v/>
      </c>
      <c r="B568">
        <f>Skills!B13</f>
        <v/>
      </c>
      <c r="C568">
        <f>Inputs!$B$3&gt;=110</f>
        <v/>
      </c>
      <c r="D568">
        <f>IF(Skills!C13=1,60+Inputs!$B$25+Inputs!$B$29,IF(Skills!C13=2,90+Inputs!$B$26+Inputs!$B$29,IF(Skills!C13=3,120+Inputs!$B$27+Inputs!$B$29,MAX(0,(Inputs!$B$3-100)*3)+Inputs!$B$28+Inputs!$B$29)))</f>
        <v/>
      </c>
      <c r="E568">
        <f>INDEX(FactorTable!$B$2:$Y$301, MATCH(ROUND(MIN(300,MAX(1,D568)),0), FactorTable!$A$2:$A$301,0), Skills!M13+1)</f>
        <v/>
      </c>
      <c r="F568">
        <f>IF(Skills!N13=TRUE,(Skills!L13/10)*(E568/1000),Skills!L13/10)+Skills!O13</f>
        <v/>
      </c>
      <c r="G568">
        <f>Skills!G13*IF(Skills!H13&gt;0,Skills!I13/Skills!H13,1)</f>
        <v/>
      </c>
      <c r="H568">
        <f>1-(1-Skills!J13/100)^Skills!K13</f>
        <v/>
      </c>
      <c r="I568" t="inlineStr">
        <is>
          <t>1</t>
        </is>
      </c>
      <c r="J568">
        <f>((Inputs!$B$6*(1+Inputs!$B$7/100))+(((Inputs!$B$12*(1+Inputs!$B$13/100))-(Inputs!$B$12*(1+Inputs!$B$13/100)))+0.25*(Inputs!$B$14-Inputs!$B$14))*(1+Inputs!$B$7/100))*(F568/100)</f>
        <v/>
      </c>
      <c r="K568">
        <f>J568*(1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568)</f>
        <v/>
      </c>
      <c r="L568">
        <f>K568*(MIN(Inputs!$B$22+((C577=TRUE)*(F577-Calc!F22)),(Inputs!$B$23+0+(IF(ArtifactsInput!$M$15,CHOOSE(ArtifactsInput!$N$15+1,25,30,35,40,45,50)/100*(Inputs!$B$11-Inputs!$B$11),0))))/100+(Inputs!$B$23+0+(IF(ArtifactsInput!$M$15,CHOOSE(ArtifactsInput!$N$15+1,25,30,35,40,45,50)/100*(Inputs!$B$11-Inputs!$B$11),0)))/100)/2</f>
        <v/>
      </c>
      <c r="M568">
        <f>L568*(1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8">
        <f>L568*(1-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568*(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8">
        <f>(1-Summary!$B$11)*T568+Summary!$B$11*V568</f>
        <v/>
      </c>
      <c r="P568">
        <f>IF(B596=0,0,O568/B596)</f>
        <v/>
      </c>
      <c r="Q568">
        <f>IFERROR(1/(IF(Inputs!$B$38="pvp",15,MAX(0.1,Skills!D13-IF(Skills!E13=TRUE,Inputs!$B$32,0)))*(1-IF(AND(ArtifactsInput!$M$27,Inputs!$B$4="Chapter Hunt"),CHOOSE(ArtifactsInput!$N$27+1,20,24,28,32,36,40),0)/100)),0)</f>
        <v/>
      </c>
      <c r="R568">
        <f>IF(AND(Inputs!$B$38&lt;&gt;"pvp",Inputs!$B$43&gt;0),IF(MAX(0,Inputs!$B$43-B593)&lt;=0,0,(INT(MAX(0,Inputs!$B$43-B593)/(IF(Inputs!$B$38="pvp",15,MAX(0.1,Skills!D13-IF(Skills!E13=TRUE,Inputs!$B$32,0)))*(1-IF(AND(ArtifactsInput!$M$27,Inputs!$B$4="Chapter Hunt"),CHOOSE(ArtifactsInput!$N$27+1,20,24,28,32,36,40),0)/100)))+1)),0)</f>
        <v/>
      </c>
      <c r="S568">
        <f>IFERROR(O568/N568,0)</f>
        <v/>
      </c>
      <c r="T568">
        <f>IF(C568,(H568*N568*IF(AND(Inputs!$B$38&lt;&gt;"pvp",Inputs!$B$43&gt;0),((Skills!G13*((R568-1)*IF(Skills!H13&gt;0,Skills!I13/Skills!H13,1)+IF(Skills!H13&gt;0,MIN(Skills!I13,MAX(0,MAX(0,Inputs!$B$43-B593)-((R568-1)*(IF(Inputs!$B$38="pvp",15,MAX(0.1,Skills!D13-IF(Skills!E13=TRUE,Inputs!$B$32,0)))*(1-IF(AND(ArtifactsInput!$M$27,Inputs!$B$4="Chapter Hunt"),CHOOSE(ArtifactsInput!$N$27+1,20,24,28,32,36,40),0)/100)))))/Skills!H13,1)))/Inputs!$B$43),G568*Q568)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568*(1-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568*(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568*(1-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568*(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8">
        <f>IF(C568,(H568*N568*IF(AND(Inputs!$B$38&lt;&gt;"pvp",Inputs!$B$43&gt;0),((Skills!G13*((R568-1)*IF(Skills!H13&gt;0,Skills!I13/Skills!H13,1)+IF(Skills!H13&gt;0,MIN(Skills!I13,MAX(0,MAX(0,Inputs!$B$43-B593)-((R568-1)*(IF(Inputs!$B$38="pvp",15,MAX(0.1,Skills!D13-IF(Skills!E13=TRUE,Inputs!$B$32,0)))*(1-IF(AND(ArtifactsInput!$M$27,Inputs!$B$4="Chapter Hunt"),CHOOSE(ArtifactsInput!$N$27+1,20,24,28,32,36,40),0)/100)))))/Skills!H13,1)))/Inputs!$B$43),G568*Q568))*IF(Inputs!$B$38="pvp",1,(1+(Inputs!$B$21+Skills!Q13+(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9">
      <c r="A569">
        <f>Skills!A14</f>
        <v/>
      </c>
      <c r="B569">
        <f>Skills!B14</f>
        <v/>
      </c>
      <c r="C569">
        <f>Inputs!$B$3&gt;=125</f>
        <v/>
      </c>
      <c r="D569">
        <f>IF(Skills!C14=1,60+Inputs!$B$25+Inputs!$B$29,IF(Skills!C14=2,90+Inputs!$B$26+Inputs!$B$29,IF(Skills!C14=3,120+Inputs!$B$27+Inputs!$B$29,MAX(0,(Inputs!$B$3-100)*3)+Inputs!$B$28+Inputs!$B$29)))</f>
        <v/>
      </c>
      <c r="E569">
        <f>INDEX(FactorTable!$B$2:$Y$301, MATCH(ROUND(MIN(300,MAX(1,D569)),0), FactorTable!$A$2:$A$301,0), Skills!M14+1)</f>
        <v/>
      </c>
      <c r="F569">
        <f>IF(Skills!N14=TRUE,(Skills!L14/10)*(E569/1000),Skills!L14/10)+Skills!O14</f>
        <v/>
      </c>
      <c r="G569">
        <f>Skills!G14*IF(Skills!H14&gt;0,Skills!I14/Skills!H14,1)</f>
        <v/>
      </c>
      <c r="H569">
        <f>1-(1-Skills!J14/100)^Skills!K14</f>
        <v/>
      </c>
      <c r="I569" t="inlineStr">
        <is>
          <t>1</t>
        </is>
      </c>
      <c r="J569">
        <f>((Inputs!$B$6*(1+Inputs!$B$7/100))+(((Inputs!$B$12*(1+Inputs!$B$13/100))-(Inputs!$B$12*(1+Inputs!$B$13/100)))+0.25*(Inputs!$B$14-Inputs!$B$14))*(1+Inputs!$B$7/100))*(F569/100)</f>
        <v/>
      </c>
      <c r="K569">
        <f>J569*(1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569)</f>
        <v/>
      </c>
      <c r="L569">
        <f>K569*(MIN(Inputs!$B$22+((C577=TRUE)*(F577-Calc!F22)),(Inputs!$B$23+0+(IF(ArtifactsInput!$M$15,CHOOSE(ArtifactsInput!$N$15+1,25,30,35,40,45,50)/100*(Inputs!$B$11-Inputs!$B$11),0))))/100+(Inputs!$B$23+0+(IF(ArtifactsInput!$M$15,CHOOSE(ArtifactsInput!$N$15+1,25,30,35,40,45,50)/100*(Inputs!$B$11-Inputs!$B$11),0)))/100)/2</f>
        <v/>
      </c>
      <c r="M569">
        <f>L569*(1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9">
        <f>L569*(1-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569*(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9">
        <f>(1-Summary!$B$11)*T569+Summary!$B$11*V569</f>
        <v/>
      </c>
      <c r="P569">
        <f>IF(B596=0,0,O569/B596)</f>
        <v/>
      </c>
      <c r="Q569" t="n">
        <v>0</v>
      </c>
      <c r="R569" t="n">
        <v>0</v>
      </c>
      <c r="S569">
        <f>IFERROR(O569/N569,0)</f>
        <v/>
      </c>
      <c r="T569">
        <f>IF(C569,(H569*N569*(B590+IF(AND(Inputs!$B$38&lt;&gt;"pvp",Inputs!$B$43&gt;0),((Skills!G8*((R563-1)*IF(Skills!H8&gt;0,Skills!I8/Skills!H8,1)+IF(Skills!H8&gt;0,MIN(Skills!I8,MAX(0,MAX(0,Inputs!$B$43-B593)-((R563-1)*(IF(Inputs!$B$38="pvp",15,MAX(0.1,Skills!D8-IF(Skills!E8=TRUE,Inputs!$B$32,0)))*(1-IF(AND(ArtifactsInput!$M$27,Inputs!$B$4="Chapter Hunt"),CHOOSE(ArtifactsInput!$N$27+1,20,24,28,32,36,40),0)/100)))))/Skills!H8,1)))/Inputs!$B$43),G563*Q563)+IF(AND(Inputs!$B$38&lt;&gt;"pvp",Inputs!$B$43&gt;0),((Skills!G11*((R566-1)*IF(Skills!H11&gt;0,Skills!I11/Skills!H11,1)+IF(Skills!H11&gt;0,MIN(Skills!I11,MAX(0,MAX(0,Inputs!$B$43-B593)-((R566-1)*(IF(Inputs!$B$38="pvp",15,MAX(0.1,Skills!D11-IF(Skills!E11=TRUE,Inputs!$B$32,0)))*(1-IF(AND(ArtifactsInput!$M$27,Inputs!$B$4="Chapter Hunt"),CHOOSE(ArtifactsInput!$N$27+1,20,24,28,32,36,40),0)/100)))))/Skills!H11,1)))/Inputs!$B$43),G566*Q566)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569*(1-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569*(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569*(1-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569*(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9">
        <f>IF(C569,(H569*N569*(B590+IF(AND(Inputs!$B$38&lt;&gt;"pvp",Inputs!$B$43&gt;0),((Skills!G8*((R563-1)*IF(Skills!H8&gt;0,Skills!I8/Skills!H8,1)+IF(Skills!H8&gt;0,MIN(Skills!I8,MAX(0,MAX(0,Inputs!$B$43-B593)-((R563-1)*(IF(Inputs!$B$38="pvp",15,MAX(0.1,Skills!D8-IF(Skills!E8=TRUE,Inputs!$B$32,0)))*(1-IF(AND(ArtifactsInput!$M$27,Inputs!$B$4="Chapter Hunt"),CHOOSE(ArtifactsInput!$N$27+1,20,24,28,32,36,40),0)/100)))))/Skills!H8,1)))/Inputs!$B$43),G563*Q563)+IF(AND(Inputs!$B$38&lt;&gt;"pvp",Inputs!$B$43&gt;0),((Skills!G11*((R566-1)*IF(Skills!H11&gt;0,Skills!I11/Skills!H11,1)+IF(Skills!H11&gt;0,MIN(Skills!I11,MAX(0,MAX(0,Inputs!$B$43-B593)-((R566-1)*(IF(Inputs!$B$38="pvp",15,MAX(0.1,Skills!D11-IF(Skills!E11=TRUE,Inputs!$B$32,0)))*(1-IF(AND(ArtifactsInput!$M$27,Inputs!$B$4="Chapter Hunt"),CHOOSE(ArtifactsInput!$N$27+1,20,24,28,32,36,40),0)/100)))))/Skills!H11,1)))/Inputs!$B$43),G566*Q566)))*IF(Inputs!$B$38="pvp",1,(1+(Inputs!$B$21+Skills!Q14+(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0">
      <c r="A570">
        <f>Skills!A15</f>
        <v/>
      </c>
      <c r="B570">
        <f>Skills!B15</f>
        <v/>
      </c>
      <c r="C570">
        <f>Inputs!$B$3&gt;=100</f>
        <v/>
      </c>
      <c r="D570">
        <f>IF(Skills!C15=1,60+Inputs!$B$25+Inputs!$B$29,IF(Skills!C15=2,90+Inputs!$B$26+Inputs!$B$29,IF(Skills!C15=3,120+Inputs!$B$27+Inputs!$B$29,MAX(0,(Inputs!$B$3-100)*3)+Inputs!$B$28+Inputs!$B$29)))</f>
        <v/>
      </c>
      <c r="E570">
        <f>INDEX(FactorTable!$B$2:$Y$301, MATCH(ROUND(MIN(300,MAX(1,D570)),0), FactorTable!$A$2:$A$301,0), Skills!M15+1)</f>
        <v/>
      </c>
      <c r="F570">
        <f>IF(Skills!N15=TRUE,(Skills!L15/10)*(E570/1000),Skills!L15/10)+Skills!O15</f>
        <v/>
      </c>
      <c r="G570" t="inlineStr"/>
      <c r="H570" t="inlineStr"/>
      <c r="I570" t="inlineStr">
        <is>
          <t>1</t>
        </is>
      </c>
      <c r="J570" t="inlineStr"/>
      <c r="K570" t="inlineStr"/>
      <c r="L570" t="inlineStr"/>
      <c r="M570" t="inlineStr"/>
      <c r="N570" t="inlineStr"/>
      <c r="O570" t="inlineStr"/>
      <c r="P570" t="inlineStr"/>
      <c r="Q570" t="inlineStr"/>
      <c r="R570" t="inlineStr"/>
      <c r="S570" t="inlineStr"/>
    </row>
    <row r="571">
      <c r="A571">
        <f>Skills!A16</f>
        <v/>
      </c>
      <c r="B571">
        <f>Skills!B16</f>
        <v/>
      </c>
      <c r="C571">
        <f>Inputs!$B$3&gt;=120</f>
        <v/>
      </c>
      <c r="D571">
        <f>IF(Skills!C16=1,60+Inputs!$B$25+Inputs!$B$29,IF(Skills!C16=2,90+Inputs!$B$26+Inputs!$B$29,IF(Skills!C16=3,120+Inputs!$B$27+Inputs!$B$29,MAX(0,(Inputs!$B$3-100)*3)+Inputs!$B$28+Inputs!$B$29)))</f>
        <v/>
      </c>
      <c r="E571">
        <f>INDEX(FactorTable!$B$2:$Y$301, MATCH(ROUND(MIN(300,MAX(1,D571)),0), FactorTable!$A$2:$A$301,0), Skills!M16+1)</f>
        <v/>
      </c>
      <c r="F571">
        <f>IF(Skills!N16=TRUE,(Skills!L16/10)*(E571/1000),Skills!L16/10)+Skills!O16</f>
        <v/>
      </c>
      <c r="G571" t="inlineStr"/>
      <c r="H571" t="inlineStr"/>
      <c r="I571" t="inlineStr">
        <is>
          <t>1</t>
        </is>
      </c>
      <c r="J571" t="inlineStr"/>
      <c r="K571" t="inlineStr"/>
      <c r="L571" t="inlineStr"/>
      <c r="M571" t="inlineStr"/>
      <c r="N571" t="inlineStr"/>
      <c r="O571" t="inlineStr"/>
      <c r="P571" t="inlineStr"/>
      <c r="Q571" t="inlineStr"/>
      <c r="R571" t="inlineStr"/>
      <c r="S571" t="inlineStr"/>
    </row>
    <row r="572">
      <c r="A572">
        <f>Skills!A17</f>
        <v/>
      </c>
      <c r="B572">
        <f>Skills!B17</f>
        <v/>
      </c>
      <c r="C572">
        <f>Inputs!$B$3&gt;=66</f>
        <v/>
      </c>
      <c r="D572">
        <f>IF(Skills!C17=1,60+Inputs!$B$25+Inputs!$B$29,IF(Skills!C17=2,90+Inputs!$B$26+Inputs!$B$29,IF(Skills!C17=3,120+Inputs!$B$27+Inputs!$B$29,MAX(0,(Inputs!$B$3-100)*3)+Inputs!$B$28+Inputs!$B$29)))</f>
        <v/>
      </c>
      <c r="E572">
        <f>INDEX(FactorTable!$B$2:$Y$301, MATCH(ROUND(MIN(300,MAX(1,D572)),0), FactorTable!$A$2:$A$301,0), Skills!M17+1)</f>
        <v/>
      </c>
      <c r="F572">
        <f>IF(Skills!N17=TRUE,(Skills!L17/10)*(E572/1000),Skills!L17/10)+Skills!O17</f>
        <v/>
      </c>
      <c r="G572">
        <f>Skills!G17*IF(Skills!H17&gt;0,Skills!I17/Skills!H17,1)</f>
        <v/>
      </c>
      <c r="H572">
        <f>1-(1-Skills!J17/100)^Skills!K17</f>
        <v/>
      </c>
      <c r="I572" t="inlineStr">
        <is>
          <t>1</t>
        </is>
      </c>
      <c r="J572" t="inlineStr"/>
      <c r="K572" t="inlineStr"/>
      <c r="L572" t="inlineStr"/>
      <c r="M572" t="inlineStr"/>
      <c r="N572" t="inlineStr"/>
      <c r="O572">
        <f>(1-Summary!$B$11)*T572+Summary!$B$11*V572</f>
        <v/>
      </c>
      <c r="P572">
        <f>IF(B596=0,0,O572/B596)</f>
        <v/>
      </c>
      <c r="Q572" t="n">
        <v>0</v>
      </c>
      <c r="R572" t="n">
        <v>0</v>
      </c>
      <c r="S572">
        <f>IFERROR(O572/N572,0)</f>
        <v/>
      </c>
      <c r="T572" t="n">
        <v>0</v>
      </c>
      <c r="V572" t="n">
        <v>0</v>
      </c>
    </row>
    <row r="573">
      <c r="A573">
        <f>Skills!A18</f>
        <v/>
      </c>
      <c r="B573">
        <f>Skills!B18</f>
        <v/>
      </c>
      <c r="C573">
        <f>Inputs!$B$3&gt;=115</f>
        <v/>
      </c>
      <c r="D573">
        <f>IF(Skills!C18=1,60+Inputs!$B$25+Inputs!$B$29,IF(Skills!C18=2,90+Inputs!$B$26+Inputs!$B$29,IF(Skills!C18=3,120+Inputs!$B$27+Inputs!$B$29,MAX(0,(Inputs!$B$3-100)*3)+Inputs!$B$28+Inputs!$B$29)))</f>
        <v/>
      </c>
      <c r="E573">
        <f>INDEX(FactorTable!$B$2:$Y$301, MATCH(ROUND(MIN(300,MAX(1,D573)),0), FactorTable!$A$2:$A$301,0), Skills!M18+1)</f>
        <v/>
      </c>
      <c r="F573">
        <f>IF(Skills!N18=TRUE,(Skills!L18/10)*(E573/1000),Skills!L18/10)+Skills!O18</f>
        <v/>
      </c>
      <c r="G573">
        <f>Skills!G18*IF(Skills!H18&gt;0,Skills!I18/Skills!H18,1)</f>
        <v/>
      </c>
      <c r="H573">
        <f>1-(1-Skills!J18/100)^Skills!K18</f>
        <v/>
      </c>
      <c r="I573" t="inlineStr">
        <is>
          <t>1</t>
        </is>
      </c>
      <c r="J573" t="inlineStr"/>
      <c r="K573" t="inlineStr"/>
      <c r="L573" t="inlineStr"/>
      <c r="M573" t="inlineStr"/>
      <c r="N573" t="inlineStr"/>
      <c r="O573">
        <f>(1-Summary!$B$11)*T573+Summary!$B$11*V573</f>
        <v/>
      </c>
      <c r="P573">
        <f>IF(B596=0,0,O573/B596)</f>
        <v/>
      </c>
      <c r="Q573">
        <f>IFERROR(1/(IF(Inputs!$B$38="pvp",15,MAX(0.1,Skills!D18-IF(Skills!E18=TRUE,Inputs!$B$32,0)))*(1-IF(AND(ArtifactsInput!$M$27,Inputs!$B$4="Chapter Hunt"),CHOOSE(ArtifactsInput!$N$27+1,20,24,28,32,36,40),0)/100)),0)</f>
        <v/>
      </c>
      <c r="R573">
        <f>IF(AND(Inputs!$B$38&lt;&gt;"pvp",Inputs!$B$43&gt;0),IF(Inputs!$B$43&lt;=0,0,(INT(Inputs!$B$43/(IF(Inputs!$B$38="pvp",15,MAX(0.1,Skills!D18-IF(Skills!E18=TRUE,Inputs!$B$32,0)))*(1-IF(AND(ArtifactsInput!$M$27,Inputs!$B$4="Chapter Hunt"),CHOOSE(ArtifactsInput!$N$27+1,20,24,28,32,36,40),0)/100)))+1)),0)</f>
        <v/>
      </c>
      <c r="S573">
        <f>IFERROR(O573/N573,0)</f>
        <v/>
      </c>
      <c r="T573" t="n">
        <v>0</v>
      </c>
      <c r="V573" t="n">
        <v>0</v>
      </c>
    </row>
    <row r="574">
      <c r="A574">
        <f>Skills!A19</f>
        <v/>
      </c>
      <c r="B574">
        <f>Skills!B19</f>
        <v/>
      </c>
      <c r="C574">
        <f>Inputs!$B$3&gt;=15</f>
        <v/>
      </c>
      <c r="D574">
        <f>IF(Skills!C19=1,60+Inputs!$B$25+Inputs!$B$29,IF(Skills!C19=2,90+Inputs!$B$26+Inputs!$B$29,IF(Skills!C19=3,120+Inputs!$B$27+Inputs!$B$29,MAX(0,(Inputs!$B$3-100)*3)+Inputs!$B$28+Inputs!$B$29)))</f>
        <v/>
      </c>
      <c r="E574">
        <f>INDEX(FactorTable!$B$2:$Y$301, MATCH(ROUND(MIN(300,MAX(1,D574)),0), FactorTable!$A$2:$A$301,0), Skills!M19+1)</f>
        <v/>
      </c>
      <c r="F574">
        <f>IF(Skills!N19=TRUE,(Skills!L19/10)*(E574/1000),Skills!L19/10)+Skills!O19</f>
        <v/>
      </c>
      <c r="G574">
        <f>Skills!G19*IF(Skills!H19&gt;0,Skills!I19/Skills!H19,1)</f>
        <v/>
      </c>
      <c r="H574">
        <f>1-(1-Skills!J19/100)^Skills!K19</f>
        <v/>
      </c>
      <c r="I574" t="inlineStr">
        <is>
          <t>1</t>
        </is>
      </c>
      <c r="J574" t="inlineStr"/>
      <c r="K574" t="inlineStr"/>
      <c r="L574" t="inlineStr"/>
      <c r="M574" t="inlineStr"/>
      <c r="N574" t="inlineStr"/>
      <c r="O574">
        <f>(1-Summary!$B$11)*T574+Summary!$B$11*V574</f>
        <v/>
      </c>
      <c r="P574">
        <f>IF(B596=0,0,O574/B596)</f>
        <v/>
      </c>
      <c r="Q574" t="n">
        <v>0</v>
      </c>
      <c r="R574" t="n">
        <v>0</v>
      </c>
      <c r="S574">
        <f>IFERROR(O574/N574,0)</f>
        <v/>
      </c>
      <c r="T574" t="n">
        <v>0</v>
      </c>
      <c r="V574" t="n">
        <v>0</v>
      </c>
    </row>
    <row r="575">
      <c r="A575">
        <f>Skills!A20</f>
        <v/>
      </c>
      <c r="B575">
        <f>Skills!B20</f>
        <v/>
      </c>
      <c r="C575">
        <f>Inputs!$B$3&gt;=10</f>
        <v/>
      </c>
      <c r="D575">
        <f>IF(Skills!C20=1,60+Inputs!$B$25+Inputs!$B$29,IF(Skills!C20=2,90+Inputs!$B$26+Inputs!$B$29,IF(Skills!C20=3,120+Inputs!$B$27+Inputs!$B$29,MAX(0,(Inputs!$B$3-100)*3)+Inputs!$B$28+Inputs!$B$29)))</f>
        <v/>
      </c>
      <c r="E575">
        <f>INDEX(FactorTable!$B$2:$Y$301, MATCH(ROUND(MIN(300,MAX(1,D575)),0), FactorTable!$A$2:$A$301,0), Skills!M20+1)</f>
        <v/>
      </c>
      <c r="F575">
        <f>IF(Skills!N20=TRUE,(Skills!L20/10)*(E575/1000),Skills!L20/10)+Skills!O20</f>
        <v/>
      </c>
      <c r="G575">
        <f>Skills!G20*IF(Skills!H20&gt;0,Skills!I20/Skills!H20,1)</f>
        <v/>
      </c>
      <c r="H575">
        <f>1-(1-Skills!J20/100)^Skills!K20</f>
        <v/>
      </c>
      <c r="I575" t="inlineStr">
        <is>
          <t>1</t>
        </is>
      </c>
      <c r="J575" t="inlineStr"/>
      <c r="K575" t="inlineStr"/>
      <c r="L575" t="inlineStr"/>
      <c r="M575" t="inlineStr"/>
      <c r="N575" t="inlineStr"/>
      <c r="O575">
        <f>(1-Summary!$B$11)*T575+Summary!$B$11*V575</f>
        <v/>
      </c>
      <c r="P575">
        <f>IF(B596=0,0,O575/B596)</f>
        <v/>
      </c>
      <c r="Q575" t="n">
        <v>0</v>
      </c>
      <c r="R575" t="n">
        <v>0</v>
      </c>
      <c r="S575">
        <f>IFERROR(O575/N575,0)</f>
        <v/>
      </c>
      <c r="T575" t="n">
        <v>0</v>
      </c>
      <c r="V575" t="n">
        <v>0</v>
      </c>
    </row>
    <row r="576">
      <c r="A576">
        <f>Skills!A21</f>
        <v/>
      </c>
      <c r="B576">
        <f>Skills!B21</f>
        <v/>
      </c>
      <c r="C576">
        <f>Inputs!$B$3&gt;=33</f>
        <v/>
      </c>
      <c r="D576">
        <f>IF(Skills!C21=1,60+Inputs!$B$25+Inputs!$B$29,IF(Skills!C21=2,90+Inputs!$B$26+Inputs!$B$29,IF(Skills!C21=3,120+Inputs!$B$27+Inputs!$B$29,MAX(0,(Inputs!$B$3-100)*3)+Inputs!$B$28+Inputs!$B$29)))</f>
        <v/>
      </c>
      <c r="E576">
        <f>INDEX(FactorTable!$B$2:$Y$301, MATCH(ROUND(MIN(300,MAX(1,D576)),0), FactorTable!$A$2:$A$301,0), Skills!M21+1)</f>
        <v/>
      </c>
      <c r="F576">
        <f>IF(Skills!N21=TRUE,(Skills!L21/10)*(E576/1000),Skills!L21/10)+Skills!O21</f>
        <v/>
      </c>
      <c r="G576">
        <f>Skills!G21*IF(Skills!H21&gt;0,Skills!I21/Skills!H21,1)</f>
        <v/>
      </c>
      <c r="H576">
        <f>1-(1-Skills!J21/100)^Skills!K21</f>
        <v/>
      </c>
      <c r="I576" t="inlineStr">
        <is>
          <t>1</t>
        </is>
      </c>
      <c r="J576" t="inlineStr"/>
      <c r="K576" t="inlineStr"/>
      <c r="L576" t="inlineStr"/>
      <c r="M576" t="inlineStr"/>
      <c r="N576" t="inlineStr"/>
      <c r="O576">
        <f>(1-Summary!$B$11)*T576+Summary!$B$11*V576</f>
        <v/>
      </c>
      <c r="P576">
        <f>IF(B596=0,0,O576/B596)</f>
        <v/>
      </c>
      <c r="Q576" t="n">
        <v>0</v>
      </c>
      <c r="R576" t="n">
        <v>0</v>
      </c>
      <c r="S576">
        <f>IFERROR(O576/N576,0)</f>
        <v/>
      </c>
      <c r="T576" t="n">
        <v>0</v>
      </c>
      <c r="V576" t="n">
        <v>0</v>
      </c>
    </row>
    <row r="577">
      <c r="A577">
        <f>Skills!A22</f>
        <v/>
      </c>
      <c r="B577">
        <f>Skills!B22</f>
        <v/>
      </c>
      <c r="C577">
        <f>Inputs!$B$3&gt;=43</f>
        <v/>
      </c>
      <c r="D577">
        <f>IF(Skills!C22=1,60+Inputs!$B$25+Inputs!$B$29,IF(Skills!C22=2,90+Inputs!$B$26+Inputs!$B$29,IF(Skills!C22=3,120+Inputs!$B$27+Inputs!$B$29,MAX(0,(Inputs!$B$3-100)*3)+Inputs!$B$28+Inputs!$B$29)))</f>
        <v/>
      </c>
      <c r="E577">
        <f>INDEX(FactorTable!$B$2:$Y$301, MATCH(ROUND(MIN(300,MAX(1,D577)),0), FactorTable!$A$2:$A$301,0), Skills!M22+1)</f>
        <v/>
      </c>
      <c r="F577">
        <f>IF(Skills!N22=TRUE,(Skills!L22/10)*(E577/1000),Skills!L22/10)+Skills!O22</f>
        <v/>
      </c>
      <c r="G577">
        <f>Skills!G22*IF(Skills!H22&gt;0,Skills!I22/Skills!H22,1)</f>
        <v/>
      </c>
      <c r="H577">
        <f>1-(1-Skills!J22/100)^Skills!K22</f>
        <v/>
      </c>
      <c r="I577" t="inlineStr">
        <is>
          <t>1</t>
        </is>
      </c>
      <c r="J577" t="inlineStr"/>
      <c r="K577" t="inlineStr"/>
      <c r="L577" t="inlineStr"/>
      <c r="M577" t="inlineStr"/>
      <c r="N577" t="inlineStr"/>
      <c r="O577">
        <f>(1-Summary!$B$11)*T577+Summary!$B$11*V577</f>
        <v/>
      </c>
      <c r="P577">
        <f>IF(B596=0,0,O577/B596)</f>
        <v/>
      </c>
      <c r="Q577" t="n">
        <v>0</v>
      </c>
      <c r="R577" t="n">
        <v>0</v>
      </c>
      <c r="S577">
        <f>IFERROR(O577/N577,0)</f>
        <v/>
      </c>
      <c r="T577" t="n">
        <v>0</v>
      </c>
      <c r="V577" t="n">
        <v>0</v>
      </c>
    </row>
    <row r="578">
      <c r="A578">
        <f>Skills!A23</f>
        <v/>
      </c>
      <c r="B578">
        <f>Skills!B23</f>
        <v/>
      </c>
      <c r="C578">
        <f>Inputs!$B$3&gt;=38</f>
        <v/>
      </c>
      <c r="D578">
        <f>IF(Skills!C23=1,60+Inputs!$B$25+Inputs!$B$29,IF(Skills!C23=2,90+Inputs!$B$26+Inputs!$B$29,IF(Skills!C23=3,120+Inputs!$B$27+Inputs!$B$29,MAX(0,(Inputs!$B$3-100)*3)+Inputs!$B$28+Inputs!$B$29)))</f>
        <v/>
      </c>
      <c r="E578">
        <f>INDEX(FactorTable!$B$2:$Y$301, MATCH(ROUND(MIN(300,MAX(1,D578)),0), FactorTable!$A$2:$A$301,0), Skills!M23+1)</f>
        <v/>
      </c>
      <c r="F578">
        <f>IF(Skills!N23=TRUE,(Skills!L23/10)*(E578/1000),Skills!L23/10)+Skills!O23</f>
        <v/>
      </c>
      <c r="G578">
        <f>Skills!G23*IF(Skills!H23&gt;0,Skills!I23/Skills!H23,1)</f>
        <v/>
      </c>
      <c r="H578">
        <f>1-(1-Skills!J23/100)^Skills!K23</f>
        <v/>
      </c>
      <c r="I578" t="inlineStr">
        <is>
          <t>1</t>
        </is>
      </c>
      <c r="J578" t="inlineStr"/>
      <c r="K578" t="inlineStr"/>
      <c r="L578" t="inlineStr"/>
      <c r="M578" t="inlineStr"/>
      <c r="N578" t="inlineStr"/>
      <c r="O578">
        <f>(1-Summary!$B$11)*T578+Summary!$B$11*V578</f>
        <v/>
      </c>
      <c r="P578">
        <f>IF(B596=0,0,O578/B596)</f>
        <v/>
      </c>
      <c r="Q578" t="n">
        <v>0</v>
      </c>
      <c r="R578" t="n">
        <v>0</v>
      </c>
      <c r="S578">
        <f>IFERROR(O578/N578,0)</f>
        <v/>
      </c>
      <c r="T578" t="n">
        <v>0</v>
      </c>
      <c r="V578" t="n">
        <v>0</v>
      </c>
    </row>
    <row r="579">
      <c r="A579">
        <f>Skills!A24</f>
        <v/>
      </c>
      <c r="B579">
        <f>Skills!B24</f>
        <v/>
      </c>
      <c r="C579">
        <f>Inputs!$B$3&gt;=40</f>
        <v/>
      </c>
      <c r="D579">
        <f>IF(Skills!C24=1,60+Inputs!$B$25+Inputs!$B$29,IF(Skills!C24=2,90+Inputs!$B$26+Inputs!$B$29,IF(Skills!C24=3,120+Inputs!$B$27+Inputs!$B$29,MAX(0,(Inputs!$B$3-100)*3)+Inputs!$B$28+Inputs!$B$29)))</f>
        <v/>
      </c>
      <c r="E579">
        <f>INDEX(FactorTable!$B$2:$Y$301, MATCH(ROUND(MIN(300,MAX(1,D579)),0), FactorTable!$A$2:$A$301,0), Skills!M24+1)</f>
        <v/>
      </c>
      <c r="F579">
        <f>IF(Skills!N24=TRUE,(Skills!L24/10)*(E579/1000),Skills!L24/10)+Skills!O24</f>
        <v/>
      </c>
      <c r="G579">
        <f>Skills!G24*IF(Skills!H24&gt;0,Skills!I24/Skills!H24,1)</f>
        <v/>
      </c>
      <c r="H579">
        <f>1-(1-Skills!J24/100)^Skills!K24</f>
        <v/>
      </c>
      <c r="I579" t="inlineStr">
        <is>
          <t>1</t>
        </is>
      </c>
      <c r="J579" t="inlineStr"/>
      <c r="K579" t="inlineStr"/>
      <c r="L579" t="inlineStr"/>
      <c r="M579" t="inlineStr"/>
      <c r="N579" t="inlineStr"/>
      <c r="O579">
        <f>(1-Summary!$B$11)*T579+Summary!$B$11*V579</f>
        <v/>
      </c>
      <c r="P579">
        <f>IF(B596=0,0,O579/B596)</f>
        <v/>
      </c>
      <c r="Q579" t="n">
        <v>0</v>
      </c>
      <c r="R579" t="n">
        <v>0</v>
      </c>
      <c r="S579">
        <f>IFERROR(O579/N579,0)</f>
        <v/>
      </c>
      <c r="T579" t="n">
        <v>0</v>
      </c>
      <c r="V579" t="n">
        <v>0</v>
      </c>
    </row>
    <row r="580">
      <c r="A580">
        <f>Skills!A25</f>
        <v/>
      </c>
      <c r="B580">
        <f>Skills!B25</f>
        <v/>
      </c>
      <c r="C580">
        <f>Inputs!$B$3&gt;=72</f>
        <v/>
      </c>
      <c r="D580">
        <f>IF(Skills!C25=1,60+Inputs!$B$25+Inputs!$B$29,IF(Skills!C25=2,90+Inputs!$B$26+Inputs!$B$29,IF(Skills!C25=3,120+Inputs!$B$27+Inputs!$B$29,MAX(0,(Inputs!$B$3-100)*3)+Inputs!$B$28+Inputs!$B$29)))</f>
        <v/>
      </c>
      <c r="E580">
        <f>INDEX(FactorTable!$B$2:$Y$301, MATCH(ROUND(MIN(300,MAX(1,D580)),0), FactorTable!$A$2:$A$301,0), Skills!M25+1)</f>
        <v/>
      </c>
      <c r="F580">
        <f>IF(Skills!N25=TRUE,(Skills!L25/10)*(E580/1000),Skills!L25/10)+Skills!O25</f>
        <v/>
      </c>
      <c r="G580">
        <f>Skills!G25*IF(Skills!H25&gt;0,Skills!I25/Skills!H25,1)</f>
        <v/>
      </c>
      <c r="H580">
        <f>1-(1-Skills!J25/100)^Skills!K25</f>
        <v/>
      </c>
      <c r="I580" t="inlineStr">
        <is>
          <t>1</t>
        </is>
      </c>
      <c r="J580" t="inlineStr"/>
      <c r="K580" t="inlineStr"/>
      <c r="L580" t="inlineStr"/>
      <c r="M580" t="inlineStr"/>
      <c r="N580" t="inlineStr"/>
      <c r="O580">
        <f>(1-Summary!$B$11)*T580+Summary!$B$11*V580</f>
        <v/>
      </c>
      <c r="P580">
        <f>IF(B596=0,0,O580/B596)</f>
        <v/>
      </c>
      <c r="Q580" t="n">
        <v>0</v>
      </c>
      <c r="R580" t="n">
        <v>0</v>
      </c>
      <c r="S580">
        <f>IFERROR(O580/N580,0)</f>
        <v/>
      </c>
      <c r="T580" t="n">
        <v>0</v>
      </c>
      <c r="V580" t="n">
        <v>0</v>
      </c>
    </row>
    <row r="581">
      <c r="A581">
        <f>Skills!A26</f>
        <v/>
      </c>
      <c r="B581">
        <f>Skills!B26</f>
        <v/>
      </c>
      <c r="C581">
        <f>Inputs!$B$3&gt;=75</f>
        <v/>
      </c>
      <c r="D581">
        <f>IF(Skills!C26=1,60+Inputs!$B$25+Inputs!$B$29,IF(Skills!C26=2,90+Inputs!$B$26+Inputs!$B$29,IF(Skills!C26=3,120+Inputs!$B$27+Inputs!$B$29,MAX(0,(Inputs!$B$3-100)*3)+Inputs!$B$28+Inputs!$B$29)))</f>
        <v/>
      </c>
      <c r="E581">
        <f>INDEX(FactorTable!$B$2:$Y$301, MATCH(ROUND(MIN(300,MAX(1,D581)),0), FactorTable!$A$2:$A$301,0), Skills!M26+1)</f>
        <v/>
      </c>
      <c r="F581">
        <f>IF(Skills!N26=TRUE,(Skills!L26/10)*(E581/1000),Skills!L26/10)+Skills!O26</f>
        <v/>
      </c>
      <c r="G581">
        <f>Skills!G26*IF(Skills!H26&gt;0,Skills!I26/Skills!H26,1)</f>
        <v/>
      </c>
      <c r="H581">
        <f>1-(1-Skills!J26/100)^Skills!K26</f>
        <v/>
      </c>
      <c r="I581" t="inlineStr">
        <is>
          <t>1</t>
        </is>
      </c>
      <c r="J581" t="inlineStr"/>
      <c r="K581" t="inlineStr"/>
      <c r="L581" t="inlineStr"/>
      <c r="M581" t="inlineStr"/>
      <c r="N581" t="inlineStr"/>
      <c r="O581">
        <f>(1-Summary!$B$11)*T581+Summary!$B$11*V581</f>
        <v/>
      </c>
      <c r="P581">
        <f>IF(B596=0,0,O581/B596)</f>
        <v/>
      </c>
      <c r="Q581" t="n">
        <v>0</v>
      </c>
      <c r="R581" t="n">
        <v>0</v>
      </c>
      <c r="S581">
        <f>IFERROR(O581/N581,0)</f>
        <v/>
      </c>
      <c r="T581" t="n">
        <v>0</v>
      </c>
      <c r="V581" t="n">
        <v>0</v>
      </c>
    </row>
    <row r="582">
      <c r="A582">
        <f>Skills!A27</f>
        <v/>
      </c>
      <c r="B582">
        <f>Skills!B27</f>
        <v/>
      </c>
      <c r="C582">
        <f>Inputs!$B$3&gt;=117</f>
        <v/>
      </c>
      <c r="D582">
        <f>IF(Skills!C27=1,60+Inputs!$B$25+Inputs!$B$29,IF(Skills!C27=2,90+Inputs!$B$26+Inputs!$B$29,IF(Skills!C27=3,120+Inputs!$B$27+Inputs!$B$29,MAX(0,(Inputs!$B$3-100)*3)+Inputs!$B$28+Inputs!$B$29)))</f>
        <v/>
      </c>
      <c r="E582">
        <f>INDEX(FactorTable!$B$2:$Y$301, MATCH(ROUND(MIN(300,MAX(1,D582)),0), FactorTable!$A$2:$A$301,0), Skills!M27+1)</f>
        <v/>
      </c>
      <c r="F582">
        <f>IF(Skills!N27=TRUE,(Skills!L27/10)*(E582/1000),Skills!L27/10)+Skills!O27</f>
        <v/>
      </c>
      <c r="G582">
        <f>Skills!G27*IF(Skills!H27&gt;0,Skills!I27/Skills!H27,1)</f>
        <v/>
      </c>
      <c r="H582">
        <f>1-(1-Skills!J27/100)^Skills!K27</f>
        <v/>
      </c>
      <c r="I582" t="inlineStr">
        <is>
          <t>1</t>
        </is>
      </c>
      <c r="J582" t="inlineStr"/>
      <c r="K582" t="inlineStr"/>
      <c r="L582" t="inlineStr"/>
      <c r="M582" t="inlineStr"/>
      <c r="N582" t="inlineStr"/>
      <c r="O582">
        <f>(1-Summary!$B$11)*T582+Summary!$B$11*V582</f>
        <v/>
      </c>
      <c r="P582">
        <f>IF(B596=0,0,O582/B596)</f>
        <v/>
      </c>
      <c r="Q582" t="n">
        <v>0</v>
      </c>
      <c r="R582" t="n">
        <v>0</v>
      </c>
      <c r="S582">
        <f>IFERROR(O582/N582,0)</f>
        <v/>
      </c>
      <c r="T582" t="n">
        <v>0</v>
      </c>
      <c r="V582" t="n">
        <v>0</v>
      </c>
    </row>
    <row r="583">
      <c r="A583">
        <f>Skills!A28</f>
        <v/>
      </c>
      <c r="B583">
        <f>Skills!B28</f>
        <v/>
      </c>
      <c r="C583">
        <f>TRUE</f>
        <v/>
      </c>
      <c r="D583">
        <f>IF(Skills!C28=1,60+Inputs!$B$25+Inputs!$B$29,IF(Skills!C28=2,90+Inputs!$B$26+Inputs!$B$29,IF(Skills!C28=3,120+Inputs!$B$27+Inputs!$B$29,MAX(0,(Inputs!$B$3-100)*3)+Inputs!$B$28+Inputs!$B$29)))</f>
        <v/>
      </c>
      <c r="E583">
        <f>INDEX(FactorTable!$B$2:$Y$301, MATCH(ROUND(MIN(300,MAX(1,D583)),0), FactorTable!$A$2:$A$301,0), Skills!M28+1)</f>
        <v/>
      </c>
      <c r="F583">
        <f>IF(Skills!N28=TRUE,(Skills!L28/10)*(E583/1000),Skills!L28/10)+Skills!O28</f>
        <v/>
      </c>
      <c r="G583">
        <f>Skills!G28*IF(Skills!H28&gt;0,Skills!I28/Skills!H28,1)</f>
        <v/>
      </c>
      <c r="H583">
        <f>1-(1-Skills!J28/100)^Skills!K28</f>
        <v/>
      </c>
      <c r="I583" t="inlineStr">
        <is>
          <t>1</t>
        </is>
      </c>
      <c r="J583" t="inlineStr"/>
      <c r="K583" t="inlineStr"/>
      <c r="L583" t="inlineStr"/>
      <c r="M583" t="inlineStr"/>
      <c r="N583" t="inlineStr"/>
      <c r="O583">
        <f>(1-Summary!$B$11)*T583+Summary!$B$11*V583</f>
        <v/>
      </c>
      <c r="P583">
        <f>IF(B596=0,0,O583/B596)</f>
        <v/>
      </c>
      <c r="Q583">
        <f>IFERROR(1/(IF(Inputs!$B$38="pvp",15,MAX(0.1,Skills!D28-IF(Skills!E28=TRUE,Inputs!$B$32,0)))*(1-IF(AND(ArtifactsInput!$M$27,Inputs!$B$4="Chapter Hunt"),CHOOSE(ArtifactsInput!$N$27+1,20,24,28,32,36,40),0)/100)),0)</f>
        <v/>
      </c>
      <c r="R583">
        <f>IF(AND(Inputs!$B$38&lt;&gt;"pvp",Inputs!$B$43&gt;0),IF(Inputs!$B$43&lt;=0,0,(INT(Inputs!$B$43/(IF(Inputs!$B$38="pvp",15,MAX(0.1,Skills!D28-IF(Skills!E28=TRUE,Inputs!$B$32,0)))*(1-IF(AND(ArtifactsInput!$M$27,Inputs!$B$4="Chapter Hunt"),CHOOSE(ArtifactsInput!$N$27+1,20,24,28,32,36,40),0)/100)))+1)),0)</f>
        <v/>
      </c>
      <c r="S583">
        <f>IFERROR(O583/N583,0)</f>
        <v/>
      </c>
      <c r="T583" t="n">
        <v>0</v>
      </c>
      <c r="V583" t="n">
        <v>0</v>
      </c>
    </row>
    <row r="585">
      <c r="A585" t="inlineStr">
        <is>
          <t>Attack% Bucket Multiplier</t>
        </is>
      </c>
      <c r="B585">
        <f>(1+(((C572=TRUE)*F572*5/7)+((C579=TRUE)*(F579-Calc!F24))+(IF(ArtifactsInput!$M$21,CHOOSE(ArtifactsInput!$N$21+1,25,30,35,40,45,50)*(IF(OR(Inputs!$B$4="Chapter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86">
      <c r="A586" t="inlineStr">
        <is>
          <t>Global Crit Rate Bonus %</t>
        </is>
      </c>
      <c r="B586" t="n">
        <v>0</v>
      </c>
    </row>
    <row r="587">
      <c r="A587" t="inlineStr">
        <is>
          <t>Attack Speed Buff Bonus % (Nimble Feet, duty-cycle averaged)</t>
        </is>
      </c>
      <c r="B587">
        <f>((C583=TRUE)*F583*IF(AND(Inputs!$B$38&lt;&gt;"pvp",Inputs!$B$43&gt;0),(((R583-1)*(Skills!T28*(1+Inputs!$B$34/100))+MIN((Skills!T28*(1+Inputs!$B$34/100)),MAX(0,Inputs!$B$43-((R583-1)*Skills!D28))))/Inputs!$B$43),IF(Inputs!$B$38="pvp",MIN((Skills!T28*(1+Inputs!$B$34/100)),15)/15,(Skills!T28*(1+Inputs!$B$34/100))/Skills!D28)))</f>
        <v/>
      </c>
    </row>
    <row r="588">
      <c r="A588" t="inlineStr">
        <is>
          <t>Actions Per Second</t>
        </is>
      </c>
      <c r="B588">
        <f>1+MIN(150,150*(1-(1-(Inputs!$B$11+((C575=TRUE)*(F575-Calc!F20))+((C576=TRUE)*(F576-Calc!F21)))/150)*(1-B587/150)))/100</f>
        <v/>
      </c>
    </row>
    <row r="589">
      <c r="A589" t="inlineStr">
        <is>
          <t>Skill + Buff Cast Rate</t>
        </is>
      </c>
      <c r="B589">
        <f>IF(AND(Inputs!$B$38&lt;&gt;"pvp",Inputs!$B$43&gt;0),SUMPRODUCT((Skills!E2:E28=TRUE)*(C557:C583=TRUE)*R557:R583*Skills!F2:F28)/Inputs!$B$43,SUMPRODUCT((Skills!E2:E28=TRUE)*(C557:C583=TRUE)*Q557:Q583*Skills!F2:F28))</f>
        <v/>
      </c>
    </row>
    <row r="590">
      <c r="A590" t="inlineStr">
        <is>
          <t>Eight-Legs Easton Casts Per Second</t>
        </is>
      </c>
      <c r="B590">
        <f>MAX(0,B588-B589)</f>
        <v/>
      </c>
    </row>
    <row r="591">
      <c r="A591" t="inlineStr">
        <is>
          <t>Global Critical Damage Bonus % (unused)</t>
        </is>
      </c>
      <c r="B591" t="n">
        <v>0</v>
      </c>
    </row>
    <row r="592">
      <c r="A592" t="inlineStr">
        <is>
          <t>Global Final Damage Bonus % (Jolly Roger + Ahoy Mateys - Final Damage proc)</t>
        </is>
      </c>
      <c r="B592">
        <f>((C573=TRUE)*F573*IF(AND(Inputs!$B$38&lt;&gt;"pvp",Inputs!$B$43&gt;0),(((R573-1)*(Skills!T18*(1+Inputs!$B$34/100))+MIN((Skills!T18*(1+Inputs!$B$34/100)),MAX(0,Inputs!$B$43-((R573-1)*Skills!D18))))/Inputs!$B$43),IF(Inputs!$B$38="pvp",MIN((Skills!T18*(1+Inputs!$B$34/100)),15)/15,(Skills!T18*(1+Inputs!$B$34/100))/Skills!D18)))+IF(Inputs!$B$3&gt;=122,20*IF(Inputs!$B$38="pvp",MIN((20*(1+Inputs!$B$34/100)),15)/15,(20*(1+Inputs!$B$34/100))/Skills!D4),0)</f>
        <v/>
      </c>
    </row>
    <row r="593">
      <c r="A593" t="inlineStr">
        <is>
          <t>Buff-Casting Startup Delay (s, fixed-duration only)</t>
        </is>
      </c>
      <c r="B593">
        <f>IF(AND(Inputs!$B$38&lt;&gt;"pvp",Inputs!$B$43&gt;0),SUMPRODUCT((Skills!T2:T28&gt;0)*(Skills!E2:E28=TRUE)*(C557:C583=TRUE))/B588,0)</f>
        <v/>
      </c>
    </row>
    <row r="594">
      <c r="A594" t="inlineStr">
        <is>
          <t>Boss-Only Total DPS (this block's swept value)</t>
        </is>
      </c>
      <c r="B594">
        <f>SUM(T557:T583)</f>
        <v/>
      </c>
    </row>
    <row r="595">
      <c r="A595" t="inlineStr">
        <is>
          <t>Normal-Only Total DPS (this block's swept value)</t>
        </is>
      </c>
      <c r="B595">
        <f>SUM(V557:V583)</f>
        <v/>
      </c>
    </row>
    <row r="596">
      <c r="A596" s="6" t="inlineStr">
        <is>
          <t>TOTAL DPS</t>
        </is>
      </c>
      <c r="B596" s="6">
        <f>SUM(O557:O583)</f>
        <v/>
      </c>
    </row>
    <row r="599">
      <c r="A599" s="6" t="inlineStr">
        <is>
          <t>Stat: ATTACK_SPEED % (diminishing returns, factor 150)</t>
        </is>
      </c>
    </row>
    <row r="600">
      <c r="A600" s="5" t="inlineStr">
        <is>
          <t>Key</t>
        </is>
      </c>
      <c r="B600" s="5" t="inlineStr">
        <is>
          <t>Name</t>
        </is>
      </c>
      <c r="C600" s="5" t="inlineStr">
        <is>
          <t>Unlocked</t>
        </is>
      </c>
      <c r="D600" s="5" t="inlineStr">
        <is>
          <t>InputLevel</t>
        </is>
      </c>
      <c r="E600" s="5" t="inlineStr">
        <is>
          <t>Factor</t>
        </is>
      </c>
      <c r="F600" s="5" t="inlineStr">
        <is>
          <t>CoefficientPercent</t>
        </is>
      </c>
      <c r="G600" s="5" t="inlineStr">
        <is>
          <t>EffectiveHits</t>
        </is>
      </c>
      <c r="H600" s="5" t="inlineStr">
        <is>
          <t>ProcProbability</t>
        </is>
      </c>
      <c r="I600" s="5" t="inlineStr">
        <is>
          <t>MapleHeroMultiplier</t>
        </is>
      </c>
      <c r="J600" s="5" t="inlineStr">
        <is>
          <t>BaseDamage</t>
        </is>
      </c>
      <c r="K600" s="5" t="inlineStr">
        <is>
          <t>BaseHitDamage</t>
        </is>
      </c>
      <c r="L600" s="5" t="inlineStr">
        <is>
          <t>NonCritAvg</t>
        </is>
      </c>
      <c r="M600" s="5" t="inlineStr">
        <is>
          <t>CritAvg</t>
        </is>
      </c>
      <c r="N600" s="5" t="inlineStr">
        <is>
          <t>ExpectedDamage(perHit)</t>
        </is>
      </c>
      <c r="O600" s="5" t="inlineStr">
        <is>
          <t>DPS</t>
        </is>
      </c>
      <c r="P600" s="5" t="inlineStr">
        <is>
          <t>% of Total</t>
        </is>
      </c>
      <c r="Q600" s="5" t="inlineStr">
        <is>
          <t>InvCooldown</t>
        </is>
      </c>
      <c r="R600" s="5" t="inlineStr">
        <is>
          <t>CastsInFight</t>
        </is>
      </c>
      <c r="S600" s="5" t="inlineStr">
        <is>
          <t>HitRate(perSec)</t>
        </is>
      </c>
      <c r="U600" t="inlineStr">
        <is>
          <t>helpers</t>
        </is>
      </c>
    </row>
    <row r="601">
      <c r="A601">
        <f>Skills!A2</f>
        <v/>
      </c>
      <c r="B601">
        <f>Skills!B2</f>
        <v/>
      </c>
      <c r="C601">
        <f>Inputs!$B$3&gt;=100</f>
        <v/>
      </c>
      <c r="D601" t="inlineStr"/>
      <c r="E601" t="inlineStr"/>
      <c r="F601">
        <f>U603+Skills!O2</f>
        <v/>
      </c>
      <c r="G601">
        <f>Skills!G2*IF(Skills!H2&gt;0,Skills!I2/Skills!H2,1)</f>
        <v/>
      </c>
      <c r="H601">
        <f>1-(1-Skills!J2/100)^Skills!K2</f>
        <v/>
      </c>
      <c r="I601" t="inlineStr">
        <is>
          <t>1</t>
        </is>
      </c>
      <c r="J601">
        <f>((Inputs!$B$6*(1+Inputs!$B$7/100))+(((Inputs!$B$12*(1+Inputs!$B$13/100))-(Inputs!$B$12*(1+Inputs!$B$13/100)))+0.25*(Inputs!$B$14-Inputs!$B$14))*(1+Inputs!$B$7/100))*(F601/100)</f>
        <v/>
      </c>
      <c r="K601">
        <f>J601*(1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601)</f>
        <v/>
      </c>
      <c r="L601">
        <f>K601*(MIN(Inputs!$B$22+((C621=TRUE)*(F621-Calc!F22)),(Inputs!$B$23+0+(IF(ArtifactsInput!$M$15,CHOOSE(ArtifactsInput!$N$15+1,25,30,35,40,45,50)/100*(((1-(1-Inputs!$B$11/150)*(1-1/150))*150)-Inputs!$B$11),0))))/100+(Inputs!$B$23+0+(IF(ArtifactsInput!$M$15,CHOOSE(ArtifactsInput!$N$15+1,25,30,35,40,45,50)/100*(((1-(1-Inputs!$B$11/150)*(1-1/150))*150)-Inputs!$B$11),0)))/100)/2</f>
        <v/>
      </c>
      <c r="M601">
        <f>L601*(1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1">
        <f>L601*(1-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1">
        <f>(1-Summary!$B$11)*T601+Summary!$B$11*V601</f>
        <v/>
      </c>
      <c r="P601">
        <f>IF(B640=0,0,O601/B640)</f>
        <v/>
      </c>
      <c r="Q601" t="n">
        <v>0</v>
      </c>
      <c r="R601" t="n">
        <v>0</v>
      </c>
      <c r="S601">
        <f>IFERROR(O601/N601,0)</f>
        <v/>
      </c>
      <c r="T601">
        <f>IF(C601,(Skills!G2*N601*B634)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601*(1-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601*(1-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1">
        <f>MAX(0,(Inputs!$B$3-100)*3)+Inputs!$B$28+Inputs!$B$29</f>
        <v/>
      </c>
      <c r="V601">
        <f>IF(C601,(Skills!G2*N601*B634)*IF(Inputs!$B$38="pvp",1,(1+(Inputs!$B$21+Skills!Q2+(IF(ArtifactsInput!$M$33,CHOOSE(ArtifactsInput!$N$33+1,30,36,42,48,54,60),0))+(IF(AND(ArtifactsInput!$M$35,Inputs!$B$4&lt;&gt;"Chapter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2">
      <c r="A602">
        <f>Skills!A3</f>
        <v/>
      </c>
      <c r="B602">
        <f>Skills!B3</f>
        <v/>
      </c>
      <c r="C602">
        <f>Inputs!$B$3&gt;=35</f>
        <v/>
      </c>
      <c r="D602">
        <f>IF(Skills!C3=1,60+Inputs!$B$25+Inputs!$B$29,IF(Skills!C3=2,90+Inputs!$B$26+Inputs!$B$29,IF(Skills!C3=3,120+Inputs!$B$27+Inputs!$B$29,MAX(0,(Inputs!$B$3-100)*3)+Inputs!$B$28+Inputs!$B$29)))</f>
        <v/>
      </c>
      <c r="E602">
        <f>INDEX(FactorTable!$B$2:$Y$301, MATCH(ROUND(MIN(300,MAX(1,D602)),0), FactorTable!$A$2:$A$301,0), Skills!M3+1)</f>
        <v/>
      </c>
      <c r="F602">
        <f>IF(Skills!N3=TRUE,(Skills!L3/10)*(E602/1000),Skills!L3/10)+Skills!O3</f>
        <v/>
      </c>
      <c r="G602">
        <f>Skills!G3*IF(Skills!H3&gt;0,Skills!I3/Skills!H3,1)</f>
        <v/>
      </c>
      <c r="H602">
        <f>1-(1-Skills!J3/100)^Skills!K3</f>
        <v/>
      </c>
      <c r="I602" t="inlineStr">
        <is>
          <t>1</t>
        </is>
      </c>
      <c r="J602">
        <f>((Inputs!$B$6*(1+Inputs!$B$7/100))+(((Inputs!$B$12*(1+Inputs!$B$13/100))-(Inputs!$B$12*(1+Inputs!$B$13/100)))+0.25*(Inputs!$B$14-Inputs!$B$14))*(1+Inputs!$B$7/100))*(F602/100)</f>
        <v/>
      </c>
      <c r="K602">
        <f>J602*(1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+4.0*IF(C614=TRUE,F614,0)/100)*(1+(IF(Skills!A3="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602)</f>
        <v/>
      </c>
      <c r="L602">
        <f>K602*(MIN(Inputs!$B$22+((C621=TRUE)*(F621-Calc!F22)),(Inputs!$B$23+0+(IF(ArtifactsInput!$M$15,CHOOSE(ArtifactsInput!$N$15+1,25,30,35,40,45,50)/100*(((1-(1-Inputs!$B$11/150)*(1-1/150))*150)-Inputs!$B$11),0))))/100+(Inputs!$B$23+0+(IF(ArtifactsInput!$M$15,CHOOSE(ArtifactsInput!$N$15+1,25,30,35,40,45,50)/100*(((1-(1-Inputs!$B$11/150)*(1-1/150))*150)-Inputs!$B$11),0)))/100)/2</f>
        <v/>
      </c>
      <c r="M602">
        <f>L602*(1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2">
        <f>L602*(1-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602*(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2">
        <f>(1-Summary!$B$11)*T602+Summary!$B$11*V602</f>
        <v/>
      </c>
      <c r="P602">
        <f>IF(B640=0,0,O602/B640)</f>
        <v/>
      </c>
      <c r="Q602">
        <f>IFERROR(1/(IF(Inputs!$B$38="pvp",15,MAX(0.1,Skills!D3-IF(Skills!E3=TRUE,Inputs!$B$32,0)))*(1-IF(AND(ArtifactsInput!$M$27,Inputs!$B$4="Chapter Hunt"),CHOOSE(ArtifactsInput!$N$27+1,20,24,28,32,36,40),0)/100)),0)</f>
        <v/>
      </c>
      <c r="R602">
        <f>IF(AND(Inputs!$B$38&lt;&gt;"pvp",Inputs!$B$43&gt;0),IF(MAX(0,Inputs!$B$43-B637)&lt;=0,0,(INT(MAX(0,Inputs!$B$43-B637)/(IF(Inputs!$B$38="pvp",15,MAX(0.1,Skills!D3-IF(Skills!E3=TRUE,Inputs!$B$32,0)))*(1-IF(AND(ArtifactsInput!$M$27,Inputs!$B$4="Chapter Hunt"),CHOOSE(ArtifactsInput!$N$27+1,20,24,28,32,36,40),0)/100)))+1)),0)</f>
        <v/>
      </c>
      <c r="S602">
        <f>IFERROR(O602/N602,0)</f>
        <v/>
      </c>
      <c r="T602">
        <f>IF(C602,(H602*N602*IF(AND(Inputs!$B$38&lt;&gt;"pvp",Inputs!$B$43&gt;0),((Skills!G3*((R602-1)*IF(Skills!H3&gt;0,Skills!I3/Skills!H3,1)+IF(Skills!H3&gt;0,MIN(Skills!I3,MAX(0,MAX(0,Inputs!$B$43-B637)-((R602-1)*(IF(Inputs!$B$38="pvp",15,MAX(0.1,Skills!D3-IF(Skills!E3=TRUE,Inputs!$B$32,0)))*(1-IF(AND(ArtifactsInput!$M$27,Inputs!$B$4="Chapter Hunt"),CHOOSE(ArtifactsInput!$N$27+1,20,24,28,32,36,40),0)/100)))))/Skills!H3,1)))/Inputs!$B$43),G602*Q602)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602*(1-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602*(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602*(1-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602*(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2">
        <f>INDEX(FactorTable!$B$2:$Y$301, MATCH(ROUND(MIN(300,MAX(1,U601)),0), FactorTable!$A$2:$A$301,0), 22)</f>
        <v/>
      </c>
      <c r="V602">
        <f>IF(C602,(H602*N602*IF(AND(Inputs!$B$38&lt;&gt;"pvp",Inputs!$B$43&gt;0),((Skills!G3*((R602-1)*IF(Skills!H3&gt;0,Skills!I3/Skills!H3,1)+IF(Skills!H3&gt;0,MIN(Skills!I3,MAX(0,MAX(0,Inputs!$B$43-B637)-((R602-1)*(IF(Inputs!$B$38="pvp",15,MAX(0.1,Skills!D3-IF(Skills!E3=TRUE,Inputs!$B$32,0)))*(1-IF(AND(ArtifactsInput!$M$27,Inputs!$B$4="Chapter Hunt"),CHOOSE(ArtifactsInput!$N$27+1,20,24,28,32,36,40),0)/100)))))/Skills!H3,1)))/Inputs!$B$43),G602*Q602))*IF(Inputs!$B$38="pvp",1,(1+(Inputs!$B$21+Skills!Q3+(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3">
      <c r="A603">
        <f>Skills!A4</f>
        <v/>
      </c>
      <c r="B603">
        <f>Skills!B4</f>
        <v/>
      </c>
      <c r="C603">
        <f>Inputs!$B$3&gt;=40</f>
        <v/>
      </c>
      <c r="D603">
        <f>IF(Skills!C4=1,60+Inputs!$B$25+Inputs!$B$29,IF(Skills!C4=2,90+Inputs!$B$26+Inputs!$B$29,IF(Skills!C4=3,120+Inputs!$B$27+Inputs!$B$29,MAX(0,(Inputs!$B$3-100)*3)+Inputs!$B$28+Inputs!$B$29)))</f>
        <v/>
      </c>
      <c r="E603">
        <f>INDEX(FactorTable!$B$2:$Y$301, MATCH(ROUND(MIN(300,MAX(1,D603)),0), FactorTable!$A$2:$A$301,0), Skills!M4+1)</f>
        <v/>
      </c>
      <c r="F603">
        <f>IF(Skills!N4=TRUE,(Skills!L4/10)*(E603/1000),Skills!L4/10)+Skills!O4</f>
        <v/>
      </c>
      <c r="G603">
        <f>Skills!G4*IF(Skills!H4&gt;0,Skills!I4/Skills!H4,1)</f>
        <v/>
      </c>
      <c r="H603">
        <f>1-(1-Skills!J4/100)^Skills!K4</f>
        <v/>
      </c>
      <c r="I603" t="inlineStr">
        <is>
          <t>1</t>
        </is>
      </c>
      <c r="J603">
        <f>((Inputs!$B$6*(1+Inputs!$B$7/100))+(((Inputs!$B$12*(1+Inputs!$B$13/100))-(Inputs!$B$12*(1+Inputs!$B$13/100)))+0.25*(Inputs!$B$14-Inputs!$B$14))*(1+Inputs!$B$7/100))*(F603/100)</f>
        <v/>
      </c>
      <c r="K603">
        <f>J603*(1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615=TRUE,F615,0)/100)*(1+(IF(Skills!A4="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603)</f>
        <v/>
      </c>
      <c r="L603">
        <f>K603*(MIN(Inputs!$B$22+((C621=TRUE)*(F621-Calc!F22)),(Inputs!$B$23+0+(IF(ArtifactsInput!$M$15,CHOOSE(ArtifactsInput!$N$15+1,25,30,35,40,45,50)/100*(((1-(1-Inputs!$B$11/150)*(1-1/150))*150)-Inputs!$B$11),0))))/100+(Inputs!$B$23+0+(IF(ArtifactsInput!$M$15,CHOOSE(ArtifactsInput!$N$15+1,25,30,35,40,45,50)/100*(((1-(1-Inputs!$B$11/150)*(1-1/150))*150)-Inputs!$B$11),0)))/100)/2</f>
        <v/>
      </c>
      <c r="M603">
        <f>L603*(1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3">
        <f>L603*(1-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603*(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3">
        <f>(1-Summary!$B$11)*T603+Summary!$B$11*V603</f>
        <v/>
      </c>
      <c r="P603">
        <f>IF(B640=0,0,O603/B640)</f>
        <v/>
      </c>
      <c r="Q603">
        <f>IFERROR(1/(IF(Inputs!$B$38="pvp",15,MAX(0.1,Skills!D4-IF(Skills!E4=TRUE,Inputs!$B$32,0)))*(1-IF(AND(ArtifactsInput!$M$27,Inputs!$B$4="Chapter Hunt"),CHOOSE(ArtifactsInput!$N$27+1,20,24,28,32,36,40),0)/100)),0)</f>
        <v/>
      </c>
      <c r="R603">
        <f>IF(AND(Inputs!$B$38&lt;&gt;"pvp",Inputs!$B$43&gt;0),IF(MAX(0,Inputs!$B$43-B637)&lt;=0,0,(INT(MAX(0,Inputs!$B$43-B637)/(IF(Inputs!$B$38="pvp",15,MAX(0.1,Skills!D4-IF(Skills!E4=TRUE,Inputs!$B$32,0)))*(1-IF(AND(ArtifactsInput!$M$27,Inputs!$B$4="Chapter Hunt"),CHOOSE(ArtifactsInput!$N$27+1,20,24,28,32,36,40),0)/100)))+1)),0)</f>
        <v/>
      </c>
      <c r="S603">
        <f>IFERROR(O603/N603,0)</f>
        <v/>
      </c>
      <c r="T603">
        <f>IF(C603,(H603*N603*IF(AND(Inputs!$B$38&lt;&gt;"pvp",Inputs!$B$43&gt;0),((Skills!G4*((R603-1)*IF(Skills!H4&gt;0,Skills!I4/Skills!H4,1)+IF(Skills!H4&gt;0,MIN(Skills!I4,MAX(0,MAX(0,Inputs!$B$43-B637)-((R603-1)*(IF(Inputs!$B$38="pvp",15,MAX(0.1,Skills!D4-IF(Skills!E4=TRUE,Inputs!$B$32,0)))*(1-IF(AND(ArtifactsInput!$M$27,Inputs!$B$4="Chapter Hunt"),CHOOSE(ArtifactsInput!$N$27+1,20,24,28,32,36,40),0)/100)))))/Skills!H4,1)))/Inputs!$B$43),G603*Q603)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603*(1-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603*(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603*(1-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603*(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3">
        <f>290*U602/1000</f>
        <v/>
      </c>
      <c r="V603">
        <f>IF(C603,(H603*N603*IF(AND(Inputs!$B$38&lt;&gt;"pvp",Inputs!$B$43&gt;0),((Skills!G4*((R603-1)*IF(Skills!H4&gt;0,Skills!I4/Skills!H4,1)+IF(Skills!H4&gt;0,MIN(Skills!I4,MAX(0,MAX(0,Inputs!$B$43-B637)-((R603-1)*(IF(Inputs!$B$38="pvp",15,MAX(0.1,Skills!D4-IF(Skills!E4=TRUE,Inputs!$B$32,0)))*(1-IF(AND(ArtifactsInput!$M$27,Inputs!$B$4="Chapter Hunt"),CHOOSE(ArtifactsInput!$N$27+1,20,24,28,32,36,40),0)/100)))))/Skills!H4,1)))/Inputs!$B$43),G603*Q603))*IF(Inputs!$B$38="pvp",1,(1+(Inputs!$B$21+Skills!Q4+(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4">
      <c r="A604">
        <f>Skills!A5</f>
        <v/>
      </c>
      <c r="B604">
        <f>Skills!B5</f>
        <v/>
      </c>
      <c r="C604">
        <f>Inputs!$B$3&gt;=45</f>
        <v/>
      </c>
      <c r="D604">
        <f>IF(Skills!C5=1,60+Inputs!$B$25+Inputs!$B$29,IF(Skills!C5=2,90+Inputs!$B$26+Inputs!$B$29,IF(Skills!C5=3,120+Inputs!$B$27+Inputs!$B$29,MAX(0,(Inputs!$B$3-100)*3)+Inputs!$B$28+Inputs!$B$29)))</f>
        <v/>
      </c>
      <c r="E604">
        <f>INDEX(FactorTable!$B$2:$Y$301, MATCH(ROUND(MIN(300,MAX(1,D604)),0), FactorTable!$A$2:$A$301,0), Skills!M5+1)</f>
        <v/>
      </c>
      <c r="F604">
        <f>IF(Skills!N5=TRUE,(Skills!L5/10)*(E604/1000),Skills!L5/10)+Skills!O5</f>
        <v/>
      </c>
      <c r="G604">
        <f>Skills!G5*IF(Skills!H5&gt;0,Skills!I5/Skills!H5,1)</f>
        <v/>
      </c>
      <c r="H604">
        <f>1-(1-Skills!J5/100)^Skills!K5</f>
        <v/>
      </c>
      <c r="I604" t="inlineStr">
        <is>
          <t>1</t>
        </is>
      </c>
      <c r="J604">
        <f>((Inputs!$B$6*(1+Inputs!$B$7/100))+(((Inputs!$B$12*(1+Inputs!$B$13/100))-(Inputs!$B$12*(1+Inputs!$B$13/100)))+0.25*(Inputs!$B$14-Inputs!$B$14))*(1+Inputs!$B$7/100))*(F604/100)</f>
        <v/>
      </c>
      <c r="K604">
        <f>J604*(1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+0.4*IF(C615=TRUE,F615,0)/100)*(1+(IF(Skills!A5="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604)</f>
        <v/>
      </c>
      <c r="L604">
        <f>K604*(MIN(Inputs!$B$22+((C621=TRUE)*(F621-Calc!F22)),(Inputs!$B$23+0+(IF(ArtifactsInput!$M$15,CHOOSE(ArtifactsInput!$N$15+1,25,30,35,40,45,50)/100*(((1-(1-Inputs!$B$11/150)*(1-1/150))*150)-Inputs!$B$11),0))))/100+(Inputs!$B$23+0+(IF(ArtifactsInput!$M$15,CHOOSE(ArtifactsInput!$N$15+1,25,30,35,40,45,50)/100*(((1-(1-Inputs!$B$11/150)*(1-1/150))*150)-Inputs!$B$11),0)))/100)/2</f>
        <v/>
      </c>
      <c r="M604">
        <f>L604*(1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4">
        <f>L604*(1-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604*(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4">
        <f>(1-Summary!$B$11)*T604+Summary!$B$11*V604</f>
        <v/>
      </c>
      <c r="P604">
        <f>IF(B640=0,0,O604/B640)</f>
        <v/>
      </c>
      <c r="Q604">
        <f>IFERROR(1/(IF(Inputs!$B$38="pvp",15,MAX(0.1,Skills!D5-IF(Skills!E5=TRUE,Inputs!$B$32,0)))*(1-IF(AND(ArtifactsInput!$M$27,Inputs!$B$4="Chapter Hunt"),CHOOSE(ArtifactsInput!$N$27+1,20,24,28,32,36,40),0)/100)),0)</f>
        <v/>
      </c>
      <c r="R604">
        <f>IF(AND(Inputs!$B$38&lt;&gt;"pvp",Inputs!$B$43&gt;0),IF(MAX(0,Inputs!$B$43-B637)&lt;=0,0,(INT(MAX(0,Inputs!$B$43-B637)/(IF(Inputs!$B$38="pvp",15,MAX(0.1,Skills!D5-IF(Skills!E5=TRUE,Inputs!$B$32,0)))*(1-IF(AND(ArtifactsInput!$M$27,Inputs!$B$4="Chapter Hunt"),CHOOSE(ArtifactsInput!$N$27+1,20,24,28,32,36,40),0)/100)))+1)),0)</f>
        <v/>
      </c>
      <c r="S604">
        <f>IFERROR(O604/N604,0)</f>
        <v/>
      </c>
      <c r="T604">
        <f>IF(C604,(H604*N604*IF(AND(Inputs!$B$38&lt;&gt;"pvp",Inputs!$B$43&gt;0),((Skills!G5*((R604-1)*IF(Skills!H5&gt;0,Skills!I5/Skills!H5,1)+IF(Skills!H5&gt;0,MIN(Skills!I5,MAX(0,MAX(0,Inputs!$B$43-B637)-((R604-1)*(IF(Inputs!$B$38="pvp",15,MAX(0.1,Skills!D5-IF(Skills!E5=TRUE,Inputs!$B$32,0)))*(1-IF(AND(ArtifactsInput!$M$27,Inputs!$B$4="Chapter Hunt"),CHOOSE(ArtifactsInput!$N$27+1,20,24,28,32,36,40),0)/100)))))/Skills!H5,1)))/Inputs!$B$43),G604*Q604)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604*(1-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604*(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604*(1-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604*(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4">
        <f>IF(C604,(H604*N604*IF(AND(Inputs!$B$38&lt;&gt;"pvp",Inputs!$B$43&gt;0),((Skills!G5*((R604-1)*IF(Skills!H5&gt;0,Skills!I5/Skills!H5,1)+IF(Skills!H5&gt;0,MIN(Skills!I5,MAX(0,MAX(0,Inputs!$B$43-B637)-((R604-1)*(IF(Inputs!$B$38="pvp",15,MAX(0.1,Skills!D5-IF(Skills!E5=TRUE,Inputs!$B$32,0)))*(1-IF(AND(ArtifactsInput!$M$27,Inputs!$B$4="Chapter Hunt"),CHOOSE(ArtifactsInput!$N$27+1,20,24,28,32,36,40),0)/100)))))/Skills!H5,1)))/Inputs!$B$43),G604*Q604))*IF(Inputs!$B$38="pvp",1,(1+(Inputs!$B$21+Skills!Q5+(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5">
      <c r="A605">
        <f>Skills!A6</f>
        <v/>
      </c>
      <c r="B605">
        <f>Skills!B6</f>
        <v/>
      </c>
      <c r="C605">
        <f>Inputs!$B$3&gt;=63</f>
        <v/>
      </c>
      <c r="D605">
        <f>IF(Skills!C6=1,60+Inputs!$B$25+Inputs!$B$29,IF(Skills!C6=2,90+Inputs!$B$26+Inputs!$B$29,IF(Skills!C6=3,120+Inputs!$B$27+Inputs!$B$29,MAX(0,(Inputs!$B$3-100)*3)+Inputs!$B$28+Inputs!$B$29)))</f>
        <v/>
      </c>
      <c r="E605">
        <f>INDEX(FactorTable!$B$2:$Y$301, MATCH(ROUND(MIN(300,MAX(1,D605)),0), FactorTable!$A$2:$A$301,0), Skills!M6+1)</f>
        <v/>
      </c>
      <c r="F605">
        <f>IF(Skills!N6=TRUE,(Skills!L6/10)*(E605/1000),Skills!L6/10)+Skills!O6</f>
        <v/>
      </c>
      <c r="G605">
        <f>Skills!G6*IF(Skills!H6&gt;0,Skills!I6/Skills!H6,1)</f>
        <v/>
      </c>
      <c r="H605">
        <f>1-(1-Skills!J6/100)^Skills!K6</f>
        <v/>
      </c>
      <c r="I605" t="inlineStr">
        <is>
          <t>1</t>
        </is>
      </c>
      <c r="J605">
        <f>((Inputs!$B$6*(1+Inputs!$B$7/100))+(((Inputs!$B$12*(1+Inputs!$B$13/100))-(Inputs!$B$12*(1+Inputs!$B$13/100)))+0.25*(Inputs!$B$14-Inputs!$B$14))*(1+Inputs!$B$7/100))*(F605/100)</f>
        <v/>
      </c>
      <c r="K605">
        <f>J605*(1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+2.0*IF(C614=TRUE,F614,0)/100)*(1+(IF(Skills!A6="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605)</f>
        <v/>
      </c>
      <c r="L605">
        <f>K605*(MIN(Inputs!$B$22+((C621=TRUE)*(F621-Calc!F22)),(Inputs!$B$23+0+(IF(ArtifactsInput!$M$15,CHOOSE(ArtifactsInput!$N$15+1,25,30,35,40,45,50)/100*(((1-(1-Inputs!$B$11/150)*(1-1/150))*150)-Inputs!$B$11),0))))/100+(Inputs!$B$23+0+(IF(ArtifactsInput!$M$15,CHOOSE(ArtifactsInput!$N$15+1,25,30,35,40,45,50)/100*(((1-(1-Inputs!$B$11/150)*(1-1/150))*150)-Inputs!$B$11),0)))/100)/2</f>
        <v/>
      </c>
      <c r="M605">
        <f>L605*(1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5">
        <f>L605*(1-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605*(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5">
        <f>(1-Summary!$B$11)*T605+Summary!$B$11*V605</f>
        <v/>
      </c>
      <c r="P605">
        <f>IF(B640=0,0,O605/B640)</f>
        <v/>
      </c>
      <c r="Q605">
        <f>IFERROR(1/(IF(Inputs!$B$38="pvp",15,MAX(0.1,Skills!D6-IF(Skills!E6=TRUE,Inputs!$B$32,0)))*(1-IF(AND(ArtifactsInput!$M$27,Inputs!$B$4="Chapter Hunt"),CHOOSE(ArtifactsInput!$N$27+1,20,24,28,32,36,40),0)/100)),0)</f>
        <v/>
      </c>
      <c r="R605">
        <f>IF(AND(Inputs!$B$38&lt;&gt;"pvp",Inputs!$B$43&gt;0),IF(MAX(0,Inputs!$B$43-B637)&lt;=0,0,(INT(MAX(0,Inputs!$B$43-B637)/(IF(Inputs!$B$38="pvp",15,MAX(0.1,Skills!D6-IF(Skills!E6=TRUE,Inputs!$B$32,0)))*(1-IF(AND(ArtifactsInput!$M$27,Inputs!$B$4="Chapter Hunt"),CHOOSE(ArtifactsInput!$N$27+1,20,24,28,32,36,40),0)/100)))+1)),0)</f>
        <v/>
      </c>
      <c r="S605">
        <f>IFERROR(O605/N605,0)</f>
        <v/>
      </c>
      <c r="T605">
        <f>IF(C605,(H605*N605*IF(AND(Inputs!$B$38&lt;&gt;"pvp",Inputs!$B$43&gt;0),((Skills!G6*((R605-1)*IF(Skills!H6&gt;0,Skills!I6/Skills!H6,1)+IF(Skills!H6&gt;0,MIN(Skills!I6,MAX(0,MAX(0,Inputs!$B$43-B637)-((R605-1)*(IF(Inputs!$B$38="pvp",15,MAX(0.1,Skills!D6-IF(Skills!E6=TRUE,Inputs!$B$32,0)))*(1-IF(AND(ArtifactsInput!$M$27,Inputs!$B$4="Chapter Hunt"),CHOOSE(ArtifactsInput!$N$27+1,20,24,28,32,36,40),0)/100)))))/Skills!H6,1)))/Inputs!$B$43),G605*Q605)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605*(1-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605*(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605*(1-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605*(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5">
        <f>IF(C605,(H605*N605*IF(AND(Inputs!$B$38&lt;&gt;"pvp",Inputs!$B$43&gt;0),((Skills!G6*((R605-1)*IF(Skills!H6&gt;0,Skills!I6/Skills!H6,1)+IF(Skills!H6&gt;0,MIN(Skills!I6,MAX(0,MAX(0,Inputs!$B$43-B637)-((R605-1)*(IF(Inputs!$B$38="pvp",15,MAX(0.1,Skills!D6-IF(Skills!E6=TRUE,Inputs!$B$32,0)))*(1-IF(AND(ArtifactsInput!$M$27,Inputs!$B$4="Chapter Hunt"),CHOOSE(ArtifactsInput!$N$27+1,20,24,28,32,36,40),0)/100)))))/Skills!H6,1)))/Inputs!$B$43),G605*Q605))*IF(Inputs!$B$38="pvp",1,(1+(Inputs!$B$21+Skills!Q6+(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6">
      <c r="A606">
        <f>Skills!A7</f>
        <v/>
      </c>
      <c r="B606">
        <f>Skills!B7</f>
        <v/>
      </c>
      <c r="C606">
        <f>Inputs!$B$3&gt;=66</f>
        <v/>
      </c>
      <c r="D606">
        <f>IF(Skills!C7=1,60+Inputs!$B$25+Inputs!$B$29,IF(Skills!C7=2,90+Inputs!$B$26+Inputs!$B$29,IF(Skills!C7=3,120+Inputs!$B$27+Inputs!$B$29,MAX(0,(Inputs!$B$3-100)*3)+Inputs!$B$28+Inputs!$B$29)))</f>
        <v/>
      </c>
      <c r="E606">
        <f>INDEX(FactorTable!$B$2:$Y$301, MATCH(ROUND(MIN(300,MAX(1,D606)),0), FactorTable!$A$2:$A$301,0), Skills!M7+1)</f>
        <v/>
      </c>
      <c r="F606">
        <f>IF(Skills!N7=TRUE,(Skills!L7/10)*(E606/1000),Skills!L7/10)+Skills!O7</f>
        <v/>
      </c>
      <c r="G606">
        <f>Skills!G7*IF(Skills!H7&gt;0,Skills!I7/Skills!H7,1)</f>
        <v/>
      </c>
      <c r="H606">
        <f>1-(1-Skills!J7/100)^Skills!K7</f>
        <v/>
      </c>
      <c r="I606" t="inlineStr">
        <is>
          <t>1</t>
        </is>
      </c>
      <c r="J606">
        <f>((Inputs!$B$6*(1+Inputs!$B$7/100))+(((Inputs!$B$12*(1+Inputs!$B$13/100))-(Inputs!$B$12*(1+Inputs!$B$13/100)))+0.25*(Inputs!$B$14-Inputs!$B$14))*(1+Inputs!$B$7/100))*(F606/100)</f>
        <v/>
      </c>
      <c r="K606">
        <f>J606*(1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614=TRUE,F614,0)/100)*(1+(IF(Skills!A7="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606)</f>
        <v/>
      </c>
      <c r="L606">
        <f>K606*(MIN(Inputs!$B$22+((C621=TRUE)*(F621-Calc!F22)),(Inputs!$B$23+0+(IF(ArtifactsInput!$M$15,CHOOSE(ArtifactsInput!$N$15+1,25,30,35,40,45,50)/100*(((1-(1-Inputs!$B$11/150)*(1-1/150))*150)-Inputs!$B$11),0))))/100+(Inputs!$B$23+0+(IF(ArtifactsInput!$M$15,CHOOSE(ArtifactsInput!$N$15+1,25,30,35,40,45,50)/100*(((1-(1-Inputs!$B$11/150)*(1-1/150))*150)-Inputs!$B$11),0)))/100)/2</f>
        <v/>
      </c>
      <c r="M606">
        <f>L606*(1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6">
        <f>L606*(1-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606*(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6">
        <f>(1-Summary!$B$11)*T606+Summary!$B$11*V606</f>
        <v/>
      </c>
      <c r="P606">
        <f>IF(B640=0,0,O606/B640)</f>
        <v/>
      </c>
      <c r="Q606">
        <f>IFERROR(1/(IF(Inputs!$B$38="pvp",15,MAX(0.1,Skills!D7-IF(Skills!E7=TRUE,Inputs!$B$32,0)))*(1-IF(AND(ArtifactsInput!$M$27,Inputs!$B$4="Chapter Hunt"),CHOOSE(ArtifactsInput!$N$27+1,20,24,28,32,36,40),0)/100)),0)</f>
        <v/>
      </c>
      <c r="R606">
        <f>IF(AND(Inputs!$B$38&lt;&gt;"pvp",Inputs!$B$43&gt;0),IF(MAX(0,Inputs!$B$43-B637)&lt;=0,0,(INT(MAX(0,Inputs!$B$43-B637)/(IF(Inputs!$B$38="pvp",15,MAX(0.1,Skills!D7-IF(Skills!E7=TRUE,Inputs!$B$32,0)))*(1-IF(AND(ArtifactsInput!$M$27,Inputs!$B$4="Chapter Hunt"),CHOOSE(ArtifactsInput!$N$27+1,20,24,28,32,36,40),0)/100)))+1)),0)</f>
        <v/>
      </c>
      <c r="S606">
        <f>IFERROR(O606/N606,0)</f>
        <v/>
      </c>
      <c r="T606">
        <f>IF(C606,(H606*N606*IF(AND(Inputs!$B$38&lt;&gt;"pvp",Inputs!$B$43&gt;0),((Skills!G7*((R606-1)*IF(Skills!H7&gt;0,Skills!I7/Skills!H7,1)+IF(Skills!H7&gt;0,MIN(Skills!I7,MAX(0,MAX(0,Inputs!$B$43-B637)-((R606-1)*(IF(Inputs!$B$38="pvp",15,MAX(0.1,Skills!D7-IF(Skills!E7=TRUE,Inputs!$B$32,0)))*(1-IF(AND(ArtifactsInput!$M$27,Inputs!$B$4="Chapter Hunt"),CHOOSE(ArtifactsInput!$N$27+1,20,24,28,32,36,40),0)/100)))))/Skills!H7,1)))/Inputs!$B$43),G606*Q606)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606*(1-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606*(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606*(1-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606*(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6">
        <f>IF(C606,(H606*N606*IF(AND(Inputs!$B$38&lt;&gt;"pvp",Inputs!$B$43&gt;0),((Skills!G7*((R606-1)*IF(Skills!H7&gt;0,Skills!I7/Skills!H7,1)+IF(Skills!H7&gt;0,MIN(Skills!I7,MAX(0,MAX(0,Inputs!$B$43-B637)-((R606-1)*(IF(Inputs!$B$38="pvp",15,MAX(0.1,Skills!D7-IF(Skills!E7=TRUE,Inputs!$B$32,0)))*(1-IF(AND(ArtifactsInput!$M$27,Inputs!$B$4="Chapter Hunt"),CHOOSE(ArtifactsInput!$N$27+1,20,24,28,32,36,40),0)/100)))))/Skills!H7,1)))/Inputs!$B$43),G606*Q606))*IF(Inputs!$B$38="pvp",1,(1+(Inputs!$B$21+Skills!Q7+(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7">
      <c r="A607">
        <f>Skills!A8</f>
        <v/>
      </c>
      <c r="B607">
        <f>Skills!B8</f>
        <v/>
      </c>
      <c r="C607">
        <f>Inputs!$B$3&gt;=100</f>
        <v/>
      </c>
      <c r="D607">
        <f>IF(Skills!C8=1,60+Inputs!$B$25+Inputs!$B$29,IF(Skills!C8=2,90+Inputs!$B$26+Inputs!$B$29,IF(Skills!C8=3,120+Inputs!$B$27+Inputs!$B$29,MAX(0,(Inputs!$B$3-100)*3)+Inputs!$B$28+Inputs!$B$29)))</f>
        <v/>
      </c>
      <c r="E607">
        <f>INDEX(FactorTable!$B$2:$Y$301, MATCH(ROUND(MIN(300,MAX(1,D607)),0), FactorTable!$A$2:$A$301,0), Skills!M8+1)</f>
        <v/>
      </c>
      <c r="F607">
        <f>IF(Skills!N8=TRUE,(Skills!L8/10)*(E607/1000),Skills!L8/10)+Skills!O8</f>
        <v/>
      </c>
      <c r="G607">
        <f>Skills!G8*IF(Skills!H8&gt;0,Skills!I8/Skills!H8,1)</f>
        <v/>
      </c>
      <c r="H607">
        <f>1-(1-Skills!J8/100)^Skills!K8</f>
        <v/>
      </c>
      <c r="I607" t="inlineStr">
        <is>
          <t>1</t>
        </is>
      </c>
      <c r="J607">
        <f>((Inputs!$B$6*(1+Inputs!$B$7/100))+(((Inputs!$B$12*(1+Inputs!$B$13/100))-(Inputs!$B$12*(1+Inputs!$B$13/100)))+0.25*(Inputs!$B$14-Inputs!$B$14))*(1+Inputs!$B$7/100))*(F607/100)</f>
        <v/>
      </c>
      <c r="K607">
        <f>J607*(1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8="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607)</f>
        <v/>
      </c>
      <c r="L607">
        <f>K607*(MIN(Inputs!$B$22+((C621=TRUE)*(F621-Calc!F22)),(Inputs!$B$23+0+(IF(ArtifactsInput!$M$15,CHOOSE(ArtifactsInput!$N$15+1,25,30,35,40,45,50)/100*(((1-(1-Inputs!$B$11/150)*(1-1/150))*150)-Inputs!$B$11),0))))/100+(Inputs!$B$23+0+(IF(ArtifactsInput!$M$15,CHOOSE(ArtifactsInput!$N$15+1,25,30,35,40,45,50)/100*(((1-(1-Inputs!$B$11/150)*(1-1/150))*150)-Inputs!$B$11),0)))/100)/2</f>
        <v/>
      </c>
      <c r="M607">
        <f>L607*(1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7">
        <f>L607*(1-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607*(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7">
        <f>(1-Summary!$B$11)*T607+Summary!$B$11*V607</f>
        <v/>
      </c>
      <c r="P607">
        <f>IF(B640=0,0,O607/B640)</f>
        <v/>
      </c>
      <c r="Q607">
        <f>IFERROR(1/(IF(Inputs!$B$38="pvp",15,MAX(0.1,Skills!D8-IF(Skills!E8=TRUE,Inputs!$B$32,0)))*(1-IF(AND(ArtifactsInput!$M$27,Inputs!$B$4="Chapter Hunt"),CHOOSE(ArtifactsInput!$N$27+1,20,24,28,32,36,40),0)/100)),0)</f>
        <v/>
      </c>
      <c r="R607">
        <f>IF(AND(Inputs!$B$38&lt;&gt;"pvp",Inputs!$B$43&gt;0),IF(MAX(0,Inputs!$B$43-B637)&lt;=0,0,(INT(MAX(0,Inputs!$B$43-B637)/(IF(Inputs!$B$38="pvp",15,MAX(0.1,Skills!D8-IF(Skills!E8=TRUE,Inputs!$B$32,0)))*(1-IF(AND(ArtifactsInput!$M$27,Inputs!$B$4="Chapter Hunt"),CHOOSE(ArtifactsInput!$N$27+1,20,24,28,32,36,40),0)/100)))+1)),0)</f>
        <v/>
      </c>
      <c r="S607">
        <f>IFERROR(O607/N607,0)</f>
        <v/>
      </c>
      <c r="T607">
        <f>IF(C607,(H607*N607*IF(AND(Inputs!$B$38&lt;&gt;"pvp",Inputs!$B$43&gt;0),((Skills!G8*((R607-1)*IF(Skills!H8&gt;0,Skills!I8/Skills!H8,1)+IF(Skills!H8&gt;0,MIN(Skills!I8,MAX(0,MAX(0,Inputs!$B$43-B637)-((R607-1)*(IF(Inputs!$B$38="pvp",15,MAX(0.1,Skills!D8-IF(Skills!E8=TRUE,Inputs!$B$32,0)))*(1-IF(AND(ArtifactsInput!$M$27,Inputs!$B$4="Chapter Hunt"),CHOOSE(ArtifactsInput!$N$27+1,20,24,28,32,36,40),0)/100)))))/Skills!H8,1)))/Inputs!$B$43),G607*Q607)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607*(1-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607*(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607*(1-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607*(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7">
        <f>IF(C607,(H607*N607*IF(AND(Inputs!$B$38&lt;&gt;"pvp",Inputs!$B$43&gt;0),((Skills!G8*((R607-1)*IF(Skills!H8&gt;0,Skills!I8/Skills!H8,1)+IF(Skills!H8&gt;0,MIN(Skills!I8,MAX(0,MAX(0,Inputs!$B$43-B637)-((R607-1)*(IF(Inputs!$B$38="pvp",15,MAX(0.1,Skills!D8-IF(Skills!E8=TRUE,Inputs!$B$32,0)))*(1-IF(AND(ArtifactsInput!$M$27,Inputs!$B$4="Chapter Hunt"),CHOOSE(ArtifactsInput!$N$27+1,20,24,28,32,36,40),0)/100)))))/Skills!H8,1)))/Inputs!$B$43),G607*Q607))*IF(Inputs!$B$38="pvp",1,(1+(Inputs!$B$21+Skills!Q8+(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8">
      <c r="A608">
        <f>Skills!A9</f>
        <v/>
      </c>
      <c r="B608">
        <f>Skills!B9</f>
        <v/>
      </c>
      <c r="C608">
        <f>Inputs!$B$3&gt;=103</f>
        <v/>
      </c>
      <c r="D608">
        <f>IF(Skills!C9=1,60+Inputs!$B$25+Inputs!$B$29,IF(Skills!C9=2,90+Inputs!$B$26+Inputs!$B$29,IF(Skills!C9=3,120+Inputs!$B$27+Inputs!$B$29,MAX(0,(Inputs!$B$3-100)*3)+Inputs!$B$28+Inputs!$B$29)))</f>
        <v/>
      </c>
      <c r="E608">
        <f>INDEX(FactorTable!$B$2:$Y$301, MATCH(ROUND(MIN(300,MAX(1,D608)),0), FactorTable!$A$2:$A$301,0), Skills!M9+1)</f>
        <v/>
      </c>
      <c r="F608">
        <f>IF(Skills!N9=TRUE,(Skills!L9/10)*(E608/1000),Skills!L9/10)+Skills!O9</f>
        <v/>
      </c>
      <c r="G608">
        <f>Skills!G9*IF(Skills!H9&gt;0,Skills!I9/Skills!H9,1)</f>
        <v/>
      </c>
      <c r="H608">
        <f>1-(1-Skills!J9/100)^Skills!K9</f>
        <v/>
      </c>
      <c r="I608" t="inlineStr">
        <is>
          <t>1</t>
        </is>
      </c>
      <c r="J608">
        <f>((Inputs!$B$6*(1+Inputs!$B$7/100))+(((Inputs!$B$12*(1+Inputs!$B$13/100))-(Inputs!$B$12*(1+Inputs!$B$13/100)))+0.25*(Inputs!$B$14-Inputs!$B$14))*(1+Inputs!$B$7/100))*(F608/100)</f>
        <v/>
      </c>
      <c r="K608">
        <f>J608*(1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608)</f>
        <v/>
      </c>
      <c r="L608">
        <f>K608*(MIN(Inputs!$B$22+((C621=TRUE)*(F621-Calc!F22)),(Inputs!$B$23+0+(IF(ArtifactsInput!$M$15,CHOOSE(ArtifactsInput!$N$15+1,25,30,35,40,45,50)/100*(((1-(1-Inputs!$B$11/150)*(1-1/150))*150)-Inputs!$B$11),0))))/100+(Inputs!$B$23+0+(IF(ArtifactsInput!$M$15,CHOOSE(ArtifactsInput!$N$15+1,25,30,35,40,45,50)/100*(((1-(1-Inputs!$B$11/150)*(1-1/150))*150)-Inputs!$B$11),0)))/100)/2</f>
        <v/>
      </c>
      <c r="M608">
        <f>L608*(1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8">
        <f>L608*(1-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608*(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8">
        <f>(1-Summary!$B$11)*T608+Summary!$B$11*V608</f>
        <v/>
      </c>
      <c r="P608">
        <f>IF(B640=0,0,O608/B640)</f>
        <v/>
      </c>
      <c r="Q608">
        <f>IFERROR(1/(IF(Inputs!$B$38="pvp",15,MAX(0.1,Skills!D9-IF(Skills!E9=TRUE,Inputs!$B$32,0)))*(1-IF(AND(ArtifactsInput!$M$27,Inputs!$B$4="Chapter Hunt"),CHOOSE(ArtifactsInput!$N$27+1,20,24,28,32,36,40),0)/100)),0)</f>
        <v/>
      </c>
      <c r="R608">
        <f>IF(AND(Inputs!$B$38&lt;&gt;"pvp",Inputs!$B$43&gt;0),IF(MAX(0,Inputs!$B$43-B637)&lt;=0,0,(INT(MAX(0,Inputs!$B$43-B637)/(IF(Inputs!$B$38="pvp",15,MAX(0.1,Skills!D9-IF(Skills!E9=TRUE,Inputs!$B$32,0)))*(1-IF(AND(ArtifactsInput!$M$27,Inputs!$B$4="Chapter Hunt"),CHOOSE(ArtifactsInput!$N$27+1,20,24,28,32,36,40),0)/100)))+1)),0)</f>
        <v/>
      </c>
      <c r="S608">
        <f>IFERROR(O608/N608,0)</f>
        <v/>
      </c>
      <c r="T608">
        <f>IF(C608,(H608*N608*IF(AND(Inputs!$B$38&lt;&gt;"pvp",Inputs!$B$43&gt;0),((Skills!G9*((R608-1)*IF(Skills!H9&gt;0,Skills!I9/Skills!H9,1)+IF(Skills!H9&gt;0,MIN(Skills!I9,MAX(0,MAX(0,Inputs!$B$43-B637)-((R608-1)*(IF(Inputs!$B$38="pvp",15,MAX(0.1,Skills!D9-IF(Skills!E9=TRUE,Inputs!$B$32,0)))*(1-IF(AND(ArtifactsInput!$M$27,Inputs!$B$4="Chapter Hunt"),CHOOSE(ArtifactsInput!$N$27+1,20,24,28,32,36,40),0)/100)))))/Skills!H9,1)))/Inputs!$B$43),G608*Q608)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608*(1-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608*(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608*(1-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608*(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8">
        <f>IF(C608,(H608*N608*IF(AND(Inputs!$B$38&lt;&gt;"pvp",Inputs!$B$43&gt;0),((Skills!G9*((R608-1)*IF(Skills!H9&gt;0,Skills!I9/Skills!H9,1)+IF(Skills!H9&gt;0,MIN(Skills!I9,MAX(0,MAX(0,Inputs!$B$43-B637)-((R608-1)*(IF(Inputs!$B$38="pvp",15,MAX(0.1,Skills!D9-IF(Skills!E9=TRUE,Inputs!$B$32,0)))*(1-IF(AND(ArtifactsInput!$M$27,Inputs!$B$4="Chapter Hunt"),CHOOSE(ArtifactsInput!$N$27+1,20,24,28,32,36,40),0)/100)))))/Skills!H9,1)))/Inputs!$B$43),G608*Q608))*IF(Inputs!$B$38="pvp",1,(1+(Inputs!$B$21+Skills!Q9+(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9">
      <c r="A609">
        <f>Skills!A10</f>
        <v/>
      </c>
      <c r="B609">
        <f>Skills!B10</f>
        <v/>
      </c>
      <c r="C609">
        <f>Inputs!$B$3&gt;=113</f>
        <v/>
      </c>
      <c r="D609">
        <f>IF(Skills!C10=1,60+Inputs!$B$25+Inputs!$B$29,IF(Skills!C10=2,90+Inputs!$B$26+Inputs!$B$29,IF(Skills!C10=3,120+Inputs!$B$27+Inputs!$B$29,MAX(0,(Inputs!$B$3-100)*3)+Inputs!$B$28+Inputs!$B$29)))</f>
        <v/>
      </c>
      <c r="E609">
        <f>INDEX(FactorTable!$B$2:$Y$301, MATCH(ROUND(MIN(300,MAX(1,D609)),0), FactorTable!$A$2:$A$301,0), Skills!M10+1)</f>
        <v/>
      </c>
      <c r="F609">
        <f>IF(Skills!N10=TRUE,(Skills!L10/10)*(E609/1000),Skills!L10/10)+Skills!O10</f>
        <v/>
      </c>
      <c r="G609">
        <f>Skills!G10*IF(Skills!H10&gt;0,Skills!I10/Skills!H10,1)</f>
        <v/>
      </c>
      <c r="H609">
        <f>1-(1-Skills!J10/100)^Skills!K10</f>
        <v/>
      </c>
      <c r="I609" t="inlineStr">
        <is>
          <t>1</t>
        </is>
      </c>
      <c r="J609">
        <f>((Inputs!$B$6*(1+Inputs!$B$7/100))+(((Inputs!$B$12*(1+Inputs!$B$13/100))-(Inputs!$B$12*(1+Inputs!$B$13/100)))+0.25*(Inputs!$B$14-Inputs!$B$14))*(1+Inputs!$B$7/100))*(F609/100)</f>
        <v/>
      </c>
      <c r="K609">
        <f>J609*(1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609)</f>
        <v/>
      </c>
      <c r="L609">
        <f>K609*(MIN(Inputs!$B$22+((C621=TRUE)*(F621-Calc!F22)),(Inputs!$B$23+0+(IF(ArtifactsInput!$M$15,CHOOSE(ArtifactsInput!$N$15+1,25,30,35,40,45,50)/100*(((1-(1-Inputs!$B$11/150)*(1-1/150))*150)-Inputs!$B$11),0))))/100+(Inputs!$B$23+0+(IF(ArtifactsInput!$M$15,CHOOSE(ArtifactsInput!$N$15+1,25,30,35,40,45,50)/100*(((1-(1-Inputs!$B$11/150)*(1-1/150))*150)-Inputs!$B$11),0)))/100)/2</f>
        <v/>
      </c>
      <c r="M609">
        <f>L609*(1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9">
        <f>L609*(1-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609*(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9">
        <f>(1-Summary!$B$11)*T609+Summary!$B$11*V609</f>
        <v/>
      </c>
      <c r="P609">
        <f>IF(B640=0,0,O609/B640)</f>
        <v/>
      </c>
      <c r="Q609">
        <f>IFERROR(1/(IF(Inputs!$B$38="pvp",15,MAX(0.1,Skills!D10-IF(Skills!E10=TRUE,Inputs!$B$32,0)))*(1-IF(AND(ArtifactsInput!$M$27,Inputs!$B$4="Chapter Hunt"),CHOOSE(ArtifactsInput!$N$27+1,20,24,28,32,36,40),0)/100)),0)</f>
        <v/>
      </c>
      <c r="R609">
        <f>IF(AND(Inputs!$B$38&lt;&gt;"pvp",Inputs!$B$43&gt;0),IF(MAX(0,Inputs!$B$43-B637)&lt;=0,0,(INT(MAX(0,Inputs!$B$43-B637)/(IF(Inputs!$B$38="pvp",15,MAX(0.1,Skills!D10-IF(Skills!E10=TRUE,Inputs!$B$32,0)))*(1-IF(AND(ArtifactsInput!$M$27,Inputs!$B$4="Chapter Hunt"),CHOOSE(ArtifactsInput!$N$27+1,20,24,28,32,36,40),0)/100)))+1)),0)</f>
        <v/>
      </c>
      <c r="S609">
        <f>IFERROR(O609/N609,0)</f>
        <v/>
      </c>
      <c r="T609">
        <f>IF(C609,(H609*N609*IF(AND(Inputs!$B$38&lt;&gt;"pvp",Inputs!$B$43&gt;0),((Skills!G10*((R609-1)*IF(Skills!H10&gt;0,Skills!I10/Skills!H10,1)+IF(Skills!H10&gt;0,MIN(Skills!I10,MAX(0,MAX(0,Inputs!$B$43-B637)-((R609-1)*(IF(Inputs!$B$38="pvp",15,MAX(0.1,Skills!D10-IF(Skills!E10=TRUE,Inputs!$B$32,0)))*(1-IF(AND(ArtifactsInput!$M$27,Inputs!$B$4="Chapter Hunt"),CHOOSE(ArtifactsInput!$N$27+1,20,24,28,32,36,40),0)/100)))))/Skills!H10,1)))/Inputs!$B$43),G609*Q609)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609*(1-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609*(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609*(1-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609*(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9">
        <f>IF(C609,(H609*N609*IF(AND(Inputs!$B$38&lt;&gt;"pvp",Inputs!$B$43&gt;0),((Skills!G10*((R609-1)*IF(Skills!H10&gt;0,Skills!I10/Skills!H10,1)+IF(Skills!H10&gt;0,MIN(Skills!I10,MAX(0,MAX(0,Inputs!$B$43-B637)-((R609-1)*(IF(Inputs!$B$38="pvp",15,MAX(0.1,Skills!D10-IF(Skills!E10=TRUE,Inputs!$B$32,0)))*(1-IF(AND(ArtifactsInput!$M$27,Inputs!$B$4="Chapter Hunt"),CHOOSE(ArtifactsInput!$N$27+1,20,24,28,32,36,40),0)/100)))))/Skills!H10,1)))/Inputs!$B$43),G609*Q609))*IF(Inputs!$B$38="pvp",1,(1+(Inputs!$B$21+Skills!Q10+(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0">
      <c r="A610">
        <f>Skills!A11</f>
        <v/>
      </c>
      <c r="B610">
        <f>Skills!B11</f>
        <v/>
      </c>
      <c r="C610">
        <f>Inputs!$B$3&gt;=107</f>
        <v/>
      </c>
      <c r="D610">
        <f>IF(Skills!C11=1,60+Inputs!$B$25+Inputs!$B$29,IF(Skills!C11=2,90+Inputs!$B$26+Inputs!$B$29,IF(Skills!C11=3,120+Inputs!$B$27+Inputs!$B$29,MAX(0,(Inputs!$B$3-100)*3)+Inputs!$B$28+Inputs!$B$29)))</f>
        <v/>
      </c>
      <c r="E610">
        <f>INDEX(FactorTable!$B$2:$Y$301, MATCH(ROUND(MIN(300,MAX(1,D610)),0), FactorTable!$A$2:$A$301,0), Skills!M11+1)</f>
        <v/>
      </c>
      <c r="F610">
        <f>IF(Skills!N11=TRUE,(Skills!L11/10)*(E610/1000),Skills!L11/10)+Skills!O11</f>
        <v/>
      </c>
      <c r="G610">
        <f>Skills!G11*IF(Skills!H11&gt;0,Skills!I11/Skills!H11,1)</f>
        <v/>
      </c>
      <c r="H610">
        <f>1-(1-Skills!J11/100)^Skills!K11</f>
        <v/>
      </c>
      <c r="I610" t="inlineStr">
        <is>
          <t>1</t>
        </is>
      </c>
      <c r="J610">
        <f>((Inputs!$B$6*(1+Inputs!$B$7/100))+(((Inputs!$B$12*(1+Inputs!$B$13/100))-(Inputs!$B$12*(1+Inputs!$B$13/100)))+0.25*(Inputs!$B$14-Inputs!$B$14))*(1+Inputs!$B$7/100))*(F610/100)</f>
        <v/>
      </c>
      <c r="K610">
        <f>J610*(1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11="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610)</f>
        <v/>
      </c>
      <c r="L610">
        <f>K610*(MIN(Inputs!$B$22+((C621=TRUE)*(F621-Calc!F22)),(Inputs!$B$23+0+(IF(ArtifactsInput!$M$15,CHOOSE(ArtifactsInput!$N$15+1,25,30,35,40,45,50)/100*(((1-(1-Inputs!$B$11/150)*(1-1/150))*150)-Inputs!$B$11),0))))/100+(Inputs!$B$23+0+(IF(ArtifactsInput!$M$15,CHOOSE(ArtifactsInput!$N$15+1,25,30,35,40,45,50)/100*(((1-(1-Inputs!$B$11/150)*(1-1/150))*150)-Inputs!$B$11),0)))/100)/2</f>
        <v/>
      </c>
      <c r="M610">
        <f>L610*(1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0">
        <f>L610*(1-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610*(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0">
        <f>(1-Summary!$B$11)*T610+Summary!$B$11*V610</f>
        <v/>
      </c>
      <c r="P610">
        <f>IF(B640=0,0,O610/B640)</f>
        <v/>
      </c>
      <c r="Q610">
        <f>IFERROR(1/(IF(Inputs!$B$38="pvp",15,MAX(0.1,Skills!D11-IF(Skills!E11=TRUE,Inputs!$B$32,0)))*(1-IF(AND(ArtifactsInput!$M$27,Inputs!$B$4="Chapter Hunt"),CHOOSE(ArtifactsInput!$N$27+1,20,24,28,32,36,40),0)/100)),0)</f>
        <v/>
      </c>
      <c r="R610">
        <f>IF(AND(Inputs!$B$38&lt;&gt;"pvp",Inputs!$B$43&gt;0),IF(MAX(0,Inputs!$B$43-B637)&lt;=0,0,(INT(MAX(0,Inputs!$B$43-B637)/(IF(Inputs!$B$38="pvp",15,MAX(0.1,Skills!D11-IF(Skills!E11=TRUE,Inputs!$B$32,0)))*(1-IF(AND(ArtifactsInput!$M$27,Inputs!$B$4="Chapter Hunt"),CHOOSE(ArtifactsInput!$N$27+1,20,24,28,32,36,40),0)/100)))+1)),0)</f>
        <v/>
      </c>
      <c r="S610">
        <f>IFERROR(O610/N610,0)</f>
        <v/>
      </c>
      <c r="T610">
        <f>IF(C610,(H610*N610*IF(AND(Inputs!$B$38&lt;&gt;"pvp",Inputs!$B$43&gt;0),((Skills!G11*((R610-1)*IF(Skills!H11&gt;0,Skills!I11/Skills!H11,1)+IF(Skills!H11&gt;0,MIN(Skills!I11,MAX(0,MAX(0,Inputs!$B$43-B637)-((R610-1)*(IF(Inputs!$B$38="pvp",15,MAX(0.1,Skills!D11-IF(Skills!E11=TRUE,Inputs!$B$32,0)))*(1-IF(AND(ArtifactsInput!$M$27,Inputs!$B$4="Chapter Hunt"),CHOOSE(ArtifactsInput!$N$27+1,20,24,28,32,36,40),0)/100)))))/Skills!H11,1)))/Inputs!$B$43),G610*Q610)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610*(1-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610*(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610*(1-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610*(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0">
        <f>IF(C610,(H610*N610*IF(AND(Inputs!$B$38&lt;&gt;"pvp",Inputs!$B$43&gt;0),((Skills!G11*((R610-1)*IF(Skills!H11&gt;0,Skills!I11/Skills!H11,1)+IF(Skills!H11&gt;0,MIN(Skills!I11,MAX(0,MAX(0,Inputs!$B$43-B637)-((R610-1)*(IF(Inputs!$B$38="pvp",15,MAX(0.1,Skills!D11-IF(Skills!E11=TRUE,Inputs!$B$32,0)))*(1-IF(AND(ArtifactsInput!$M$27,Inputs!$B$4="Chapter Hunt"),CHOOSE(ArtifactsInput!$N$27+1,20,24,28,32,36,40),0)/100)))))/Skills!H11,1)))/Inputs!$B$43),G610*Q610))*IF(Inputs!$B$38="pvp",1,(1+(Inputs!$B$21+Skills!Q11+(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1">
      <c r="A611">
        <f>Skills!A12</f>
        <v/>
      </c>
      <c r="B611">
        <f>Skills!B12</f>
        <v/>
      </c>
      <c r="C611">
        <f>Inputs!$B$3&gt;=110</f>
        <v/>
      </c>
      <c r="D611">
        <f>IF(Skills!C12=1,60+Inputs!$B$25+Inputs!$B$29,IF(Skills!C12=2,90+Inputs!$B$26+Inputs!$B$29,IF(Skills!C12=3,120+Inputs!$B$27+Inputs!$B$29,MAX(0,(Inputs!$B$3-100)*3)+Inputs!$B$28+Inputs!$B$29)))</f>
        <v/>
      </c>
      <c r="E611">
        <f>INDEX(FactorTable!$B$2:$Y$301, MATCH(ROUND(MIN(300,MAX(1,D611)),0), FactorTable!$A$2:$A$301,0), Skills!M12+1)</f>
        <v/>
      </c>
      <c r="F611">
        <f>IF(Skills!N12=TRUE,(Skills!L12/10)*(E611/1000),Skills!L12/10)+Skills!O12</f>
        <v/>
      </c>
      <c r="G611">
        <f>Skills!G12*IF(Skills!H12&gt;0,Skills!I12/Skills!H12,1)</f>
        <v/>
      </c>
      <c r="H611">
        <f>1-(1-Skills!J12/100)^Skills!K12</f>
        <v/>
      </c>
      <c r="I611" t="inlineStr">
        <is>
          <t>1</t>
        </is>
      </c>
      <c r="J611">
        <f>((Inputs!$B$6*(1+Inputs!$B$7/100))+(((Inputs!$B$12*(1+Inputs!$B$13/100))-(Inputs!$B$12*(1+Inputs!$B$13/100)))+0.25*(Inputs!$B$14-Inputs!$B$14))*(1+Inputs!$B$7/100))*(F611/100)</f>
        <v/>
      </c>
      <c r="K611">
        <f>J611*(1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12="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611)</f>
        <v/>
      </c>
      <c r="L611">
        <f>K611*(MIN(Inputs!$B$22+((C621=TRUE)*(F621-Calc!F22)),(Inputs!$B$23+0+(IF(ArtifactsInput!$M$15,CHOOSE(ArtifactsInput!$N$15+1,25,30,35,40,45,50)/100*(((1-(1-Inputs!$B$11/150)*(1-1/150))*150)-Inputs!$B$11),0))))/100+(Inputs!$B$23+0+(IF(ArtifactsInput!$M$15,CHOOSE(ArtifactsInput!$N$15+1,25,30,35,40,45,50)/100*(((1-(1-Inputs!$B$11/150)*(1-1/150))*150)-Inputs!$B$11),0)))/100)/2</f>
        <v/>
      </c>
      <c r="M611">
        <f>L611*(1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1">
        <f>L611*(1-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1">
        <f>(1-Summary!$B$11)*T611+Summary!$B$11*V611</f>
        <v/>
      </c>
      <c r="P611">
        <f>IF(B640=0,0,O611/B640)</f>
        <v/>
      </c>
      <c r="Q611">
        <f>IFERROR(1/(IF(Inputs!$B$38="pvp",15,MAX(0.1,Skills!D12-IF(Skills!E12=TRUE,Inputs!$B$32,0)))*(1-IF(AND(ArtifactsInput!$M$27,Inputs!$B$4="Chapter Hunt"),CHOOSE(ArtifactsInput!$N$27+1,20,24,28,32,36,40),0)/100)),0)</f>
        <v/>
      </c>
      <c r="R611">
        <f>IF(AND(Inputs!$B$38&lt;&gt;"pvp",Inputs!$B$43&gt;0),IF(MAX(0,Inputs!$B$43-B637)&lt;=0,0,(INT(MAX(0,Inputs!$B$43-B637)/(IF(Inputs!$B$38="pvp",15,MAX(0.1,Skills!D12-IF(Skills!E12=TRUE,Inputs!$B$32,0)))*(1-IF(AND(ArtifactsInput!$M$27,Inputs!$B$4="Chapter Hunt"),CHOOSE(ArtifactsInput!$N$27+1,20,24,28,32,36,40),0)/100)))+1)),0)</f>
        <v/>
      </c>
      <c r="S611">
        <f>IFERROR(O611/N611,0)</f>
        <v/>
      </c>
      <c r="T611">
        <f>IF(C611,(H611*N611*IF(AND(Inputs!$B$38&lt;&gt;"pvp",Inputs!$B$43&gt;0),((Skills!G12*((R611-1)*IF(Skills!H12&gt;0,Skills!I12/Skills!H12,1)+IF(Skills!H12&gt;0,MIN(Skills!I12,MAX(0,MAX(0,Inputs!$B$43-B637)-((R611-1)*(IF(Inputs!$B$38="pvp",15,MAX(0.1,Skills!D12-IF(Skills!E12=TRUE,Inputs!$B$32,0)))*(1-IF(AND(ArtifactsInput!$M$27,Inputs!$B$4="Chapter Hunt"),CHOOSE(ArtifactsInput!$N$27+1,20,24,28,32,36,40),0)/100)))))/Skills!H12,1)))/Inputs!$B$43),G611*Q611)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611*(1-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611*(1-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1">
        <f>IF(C611,(H611*N611*IF(AND(Inputs!$B$38&lt;&gt;"pvp",Inputs!$B$43&gt;0),((Skills!G12*((R611-1)*IF(Skills!H12&gt;0,Skills!I12/Skills!H12,1)+IF(Skills!H12&gt;0,MIN(Skills!I12,MAX(0,MAX(0,Inputs!$B$43-B637)-((R611-1)*(IF(Inputs!$B$38="pvp",15,MAX(0.1,Skills!D12-IF(Skills!E12=TRUE,Inputs!$B$32,0)))*(1-IF(AND(ArtifactsInput!$M$27,Inputs!$B$4="Chapter Hunt"),CHOOSE(ArtifactsInput!$N$27+1,20,24,28,32,36,40),0)/100)))))/Skills!H12,1)))/Inputs!$B$43),G611*Q611))*IF(Inputs!$B$38="pvp",1,(1+(Inputs!$B$21+Skills!Q12+(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2">
      <c r="A612">
        <f>Skills!A13</f>
        <v/>
      </c>
      <c r="B612">
        <f>Skills!B13</f>
        <v/>
      </c>
      <c r="C612">
        <f>Inputs!$B$3&gt;=110</f>
        <v/>
      </c>
      <c r="D612">
        <f>IF(Skills!C13=1,60+Inputs!$B$25+Inputs!$B$29,IF(Skills!C13=2,90+Inputs!$B$26+Inputs!$B$29,IF(Skills!C13=3,120+Inputs!$B$27+Inputs!$B$29,MAX(0,(Inputs!$B$3-100)*3)+Inputs!$B$28+Inputs!$B$29)))</f>
        <v/>
      </c>
      <c r="E612">
        <f>INDEX(FactorTable!$B$2:$Y$301, MATCH(ROUND(MIN(300,MAX(1,D612)),0), FactorTable!$A$2:$A$301,0), Skills!M13+1)</f>
        <v/>
      </c>
      <c r="F612">
        <f>IF(Skills!N13=TRUE,(Skills!L13/10)*(E612/1000),Skills!L13/10)+Skills!O13</f>
        <v/>
      </c>
      <c r="G612">
        <f>Skills!G13*IF(Skills!H13&gt;0,Skills!I13/Skills!H13,1)</f>
        <v/>
      </c>
      <c r="H612">
        <f>1-(1-Skills!J13/100)^Skills!K13</f>
        <v/>
      </c>
      <c r="I612" t="inlineStr">
        <is>
          <t>1</t>
        </is>
      </c>
      <c r="J612">
        <f>((Inputs!$B$6*(1+Inputs!$B$7/100))+(((Inputs!$B$12*(1+Inputs!$B$13/100))-(Inputs!$B$12*(1+Inputs!$B$13/100)))+0.25*(Inputs!$B$14-Inputs!$B$14))*(1+Inputs!$B$7/100))*(F612/100)</f>
        <v/>
      </c>
      <c r="K612">
        <f>J612*(1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13="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612)</f>
        <v/>
      </c>
      <c r="L612">
        <f>K612*(MIN(Inputs!$B$22+((C621=TRUE)*(F621-Calc!F22)),(Inputs!$B$23+0+(IF(ArtifactsInput!$M$15,CHOOSE(ArtifactsInput!$N$15+1,25,30,35,40,45,50)/100*(((1-(1-Inputs!$B$11/150)*(1-1/150))*150)-Inputs!$B$11),0))))/100+(Inputs!$B$23+0+(IF(ArtifactsInput!$M$15,CHOOSE(ArtifactsInput!$N$15+1,25,30,35,40,45,50)/100*(((1-(1-Inputs!$B$11/150)*(1-1/150))*150)-Inputs!$B$11),0)))/100)/2</f>
        <v/>
      </c>
      <c r="M612">
        <f>L612*(1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2">
        <f>L612*(1-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612*(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2">
        <f>(1-Summary!$B$11)*T612+Summary!$B$11*V612</f>
        <v/>
      </c>
      <c r="P612">
        <f>IF(B640=0,0,O612/B640)</f>
        <v/>
      </c>
      <c r="Q612">
        <f>IFERROR(1/(IF(Inputs!$B$38="pvp",15,MAX(0.1,Skills!D13-IF(Skills!E13=TRUE,Inputs!$B$32,0)))*(1-IF(AND(ArtifactsInput!$M$27,Inputs!$B$4="Chapter Hunt"),CHOOSE(ArtifactsInput!$N$27+1,20,24,28,32,36,40),0)/100)),0)</f>
        <v/>
      </c>
      <c r="R612">
        <f>IF(AND(Inputs!$B$38&lt;&gt;"pvp",Inputs!$B$43&gt;0),IF(MAX(0,Inputs!$B$43-B637)&lt;=0,0,(INT(MAX(0,Inputs!$B$43-B637)/(IF(Inputs!$B$38="pvp",15,MAX(0.1,Skills!D13-IF(Skills!E13=TRUE,Inputs!$B$32,0)))*(1-IF(AND(ArtifactsInput!$M$27,Inputs!$B$4="Chapter Hunt"),CHOOSE(ArtifactsInput!$N$27+1,20,24,28,32,36,40),0)/100)))+1)),0)</f>
        <v/>
      </c>
      <c r="S612">
        <f>IFERROR(O612/N612,0)</f>
        <v/>
      </c>
      <c r="T612">
        <f>IF(C612,(H612*N612*IF(AND(Inputs!$B$38&lt;&gt;"pvp",Inputs!$B$43&gt;0),((Skills!G13*((R612-1)*IF(Skills!H13&gt;0,Skills!I13/Skills!H13,1)+IF(Skills!H13&gt;0,MIN(Skills!I13,MAX(0,MAX(0,Inputs!$B$43-B637)-((R612-1)*(IF(Inputs!$B$38="pvp",15,MAX(0.1,Skills!D13-IF(Skills!E13=TRUE,Inputs!$B$32,0)))*(1-IF(AND(ArtifactsInput!$M$27,Inputs!$B$4="Chapter Hunt"),CHOOSE(ArtifactsInput!$N$27+1,20,24,28,32,36,40),0)/100)))))/Skills!H13,1)))/Inputs!$B$43),G612*Q612)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612*(1-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612*(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612*(1-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612*(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2">
        <f>IF(C612,(H612*N612*IF(AND(Inputs!$B$38&lt;&gt;"pvp",Inputs!$B$43&gt;0),((Skills!G13*((R612-1)*IF(Skills!H13&gt;0,Skills!I13/Skills!H13,1)+IF(Skills!H13&gt;0,MIN(Skills!I13,MAX(0,MAX(0,Inputs!$B$43-B637)-((R612-1)*(IF(Inputs!$B$38="pvp",15,MAX(0.1,Skills!D13-IF(Skills!E13=TRUE,Inputs!$B$32,0)))*(1-IF(AND(ArtifactsInput!$M$27,Inputs!$B$4="Chapter Hunt"),CHOOSE(ArtifactsInput!$N$27+1,20,24,28,32,36,40),0)/100)))))/Skills!H13,1)))/Inputs!$B$43),G612*Q612))*IF(Inputs!$B$38="pvp",1,(1+(Inputs!$B$21+Skills!Q13+(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3">
      <c r="A613">
        <f>Skills!A14</f>
        <v/>
      </c>
      <c r="B613">
        <f>Skills!B14</f>
        <v/>
      </c>
      <c r="C613">
        <f>Inputs!$B$3&gt;=125</f>
        <v/>
      </c>
      <c r="D613">
        <f>IF(Skills!C14=1,60+Inputs!$B$25+Inputs!$B$29,IF(Skills!C14=2,90+Inputs!$B$26+Inputs!$B$29,IF(Skills!C14=3,120+Inputs!$B$27+Inputs!$B$29,MAX(0,(Inputs!$B$3-100)*3)+Inputs!$B$28+Inputs!$B$29)))</f>
        <v/>
      </c>
      <c r="E613">
        <f>INDEX(FactorTable!$B$2:$Y$301, MATCH(ROUND(MIN(300,MAX(1,D613)),0), FactorTable!$A$2:$A$301,0), Skills!M14+1)</f>
        <v/>
      </c>
      <c r="F613">
        <f>IF(Skills!N14=TRUE,(Skills!L14/10)*(E613/1000),Skills!L14/10)+Skills!O14</f>
        <v/>
      </c>
      <c r="G613">
        <f>Skills!G14*IF(Skills!H14&gt;0,Skills!I14/Skills!H14,1)</f>
        <v/>
      </c>
      <c r="H613">
        <f>1-(1-Skills!J14/100)^Skills!K14</f>
        <v/>
      </c>
      <c r="I613" t="inlineStr">
        <is>
          <t>1</t>
        </is>
      </c>
      <c r="J613">
        <f>((Inputs!$B$6*(1+Inputs!$B$7/100))+(((Inputs!$B$12*(1+Inputs!$B$13/100))-(Inputs!$B$12*(1+Inputs!$B$13/100)))+0.25*(Inputs!$B$14-Inputs!$B$14))*(1+Inputs!$B$7/100))*(F613/100)</f>
        <v/>
      </c>
      <c r="K613">
        <f>J613*(1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14="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613)</f>
        <v/>
      </c>
      <c r="L613">
        <f>K613*(MIN(Inputs!$B$22+((C621=TRUE)*(F621-Calc!F22)),(Inputs!$B$23+0+(IF(ArtifactsInput!$M$15,CHOOSE(ArtifactsInput!$N$15+1,25,30,35,40,45,50)/100*(((1-(1-Inputs!$B$11/150)*(1-1/150))*150)-Inputs!$B$11),0))))/100+(Inputs!$B$23+0+(IF(ArtifactsInput!$M$15,CHOOSE(ArtifactsInput!$N$15+1,25,30,35,40,45,50)/100*(((1-(1-Inputs!$B$11/150)*(1-1/150))*150)-Inputs!$B$11),0)))/100)/2</f>
        <v/>
      </c>
      <c r="M613">
        <f>L613*(1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3">
        <f>L613*(1-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613*(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3">
        <f>(1-Summary!$B$11)*T613+Summary!$B$11*V613</f>
        <v/>
      </c>
      <c r="P613">
        <f>IF(B640=0,0,O613/B640)</f>
        <v/>
      </c>
      <c r="Q613" t="n">
        <v>0</v>
      </c>
      <c r="R613" t="n">
        <v>0</v>
      </c>
      <c r="S613">
        <f>IFERROR(O613/N613,0)</f>
        <v/>
      </c>
      <c r="T613">
        <f>IF(C613,(H613*N613*(B634+IF(AND(Inputs!$B$38&lt;&gt;"pvp",Inputs!$B$43&gt;0),((Skills!G8*((R607-1)*IF(Skills!H8&gt;0,Skills!I8/Skills!H8,1)+IF(Skills!H8&gt;0,MIN(Skills!I8,MAX(0,MAX(0,Inputs!$B$43-B637)-((R607-1)*(IF(Inputs!$B$38="pvp",15,MAX(0.1,Skills!D8-IF(Skills!E8=TRUE,Inputs!$B$32,0)))*(1-IF(AND(ArtifactsInput!$M$27,Inputs!$B$4="Chapter Hunt"),CHOOSE(ArtifactsInput!$N$27+1,20,24,28,32,36,40),0)/100)))))/Skills!H8,1)))/Inputs!$B$43),G607*Q607)+IF(AND(Inputs!$B$38&lt;&gt;"pvp",Inputs!$B$43&gt;0),((Skills!G11*((R610-1)*IF(Skills!H11&gt;0,Skills!I11/Skills!H11,1)+IF(Skills!H11&gt;0,MIN(Skills!I11,MAX(0,MAX(0,Inputs!$B$43-B637)-((R610-1)*(IF(Inputs!$B$38="pvp",15,MAX(0.1,Skills!D11-IF(Skills!E11=TRUE,Inputs!$B$32,0)))*(1-IF(AND(ArtifactsInput!$M$27,Inputs!$B$4="Chapter Hunt"),CHOOSE(ArtifactsInput!$N$27+1,20,24,28,32,36,40),0)/100)))))/Skills!H11,1)))/Inputs!$B$43),G610*Q610)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613*(1-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613*(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613*(1-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613*(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3">
        <f>IF(C613,(H613*N613*(B634+IF(AND(Inputs!$B$38&lt;&gt;"pvp",Inputs!$B$43&gt;0),((Skills!G8*((R607-1)*IF(Skills!H8&gt;0,Skills!I8/Skills!H8,1)+IF(Skills!H8&gt;0,MIN(Skills!I8,MAX(0,MAX(0,Inputs!$B$43-B637)-((R607-1)*(IF(Inputs!$B$38="pvp",15,MAX(0.1,Skills!D8-IF(Skills!E8=TRUE,Inputs!$B$32,0)))*(1-IF(AND(ArtifactsInput!$M$27,Inputs!$B$4="Chapter Hunt"),CHOOSE(ArtifactsInput!$N$27+1,20,24,28,32,36,40),0)/100)))))/Skills!H8,1)))/Inputs!$B$43),G607*Q607)+IF(AND(Inputs!$B$38&lt;&gt;"pvp",Inputs!$B$43&gt;0),((Skills!G11*((R610-1)*IF(Skills!H11&gt;0,Skills!I11/Skills!H11,1)+IF(Skills!H11&gt;0,MIN(Skills!I11,MAX(0,MAX(0,Inputs!$B$43-B637)-((R610-1)*(IF(Inputs!$B$38="pvp",15,MAX(0.1,Skills!D11-IF(Skills!E11=TRUE,Inputs!$B$32,0)))*(1-IF(AND(ArtifactsInput!$M$27,Inputs!$B$4="Chapter Hunt"),CHOOSE(ArtifactsInput!$N$27+1,20,24,28,32,36,40),0)/100)))))/Skills!H11,1)))/Inputs!$B$43),G610*Q610)))*IF(Inputs!$B$38="pvp",1,(1+(Inputs!$B$21+Skills!Q14+(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4">
      <c r="A614">
        <f>Skills!A15</f>
        <v/>
      </c>
      <c r="B614">
        <f>Skills!B15</f>
        <v/>
      </c>
      <c r="C614">
        <f>Inputs!$B$3&gt;=100</f>
        <v/>
      </c>
      <c r="D614">
        <f>IF(Skills!C15=1,60+Inputs!$B$25+Inputs!$B$29,IF(Skills!C15=2,90+Inputs!$B$26+Inputs!$B$29,IF(Skills!C15=3,120+Inputs!$B$27+Inputs!$B$29,MAX(0,(Inputs!$B$3-100)*3)+Inputs!$B$28+Inputs!$B$29)))</f>
        <v/>
      </c>
      <c r="E614">
        <f>INDEX(FactorTable!$B$2:$Y$301, MATCH(ROUND(MIN(300,MAX(1,D614)),0), FactorTable!$A$2:$A$301,0), Skills!M15+1)</f>
        <v/>
      </c>
      <c r="F614">
        <f>IF(Skills!N15=TRUE,(Skills!L15/10)*(E614/1000),Skills!L15/10)+Skills!O15</f>
        <v/>
      </c>
      <c r="G614" t="inlineStr"/>
      <c r="H614" t="inlineStr"/>
      <c r="I614" t="inlineStr">
        <is>
          <t>1</t>
        </is>
      </c>
      <c r="J614" t="inlineStr"/>
      <c r="K614" t="inlineStr"/>
      <c r="L614" t="inlineStr"/>
      <c r="M614" t="inlineStr"/>
      <c r="N614" t="inlineStr"/>
      <c r="O614" t="inlineStr"/>
      <c r="P614" t="inlineStr"/>
      <c r="Q614" t="inlineStr"/>
      <c r="R614" t="inlineStr"/>
      <c r="S614" t="inlineStr"/>
    </row>
    <row r="615">
      <c r="A615">
        <f>Skills!A16</f>
        <v/>
      </c>
      <c r="B615">
        <f>Skills!B16</f>
        <v/>
      </c>
      <c r="C615">
        <f>Inputs!$B$3&gt;=120</f>
        <v/>
      </c>
      <c r="D615">
        <f>IF(Skills!C16=1,60+Inputs!$B$25+Inputs!$B$29,IF(Skills!C16=2,90+Inputs!$B$26+Inputs!$B$29,IF(Skills!C16=3,120+Inputs!$B$27+Inputs!$B$29,MAX(0,(Inputs!$B$3-100)*3)+Inputs!$B$28+Inputs!$B$29)))</f>
        <v/>
      </c>
      <c r="E615">
        <f>INDEX(FactorTable!$B$2:$Y$301, MATCH(ROUND(MIN(300,MAX(1,D615)),0), FactorTable!$A$2:$A$301,0), Skills!M16+1)</f>
        <v/>
      </c>
      <c r="F615">
        <f>IF(Skills!N16=TRUE,(Skills!L16/10)*(E615/1000),Skills!L16/10)+Skills!O16</f>
        <v/>
      </c>
      <c r="G615" t="inlineStr"/>
      <c r="H615" t="inlineStr"/>
      <c r="I615" t="inlineStr">
        <is>
          <t>1</t>
        </is>
      </c>
      <c r="J615" t="inlineStr"/>
      <c r="K615" t="inlineStr"/>
      <c r="L615" t="inlineStr"/>
      <c r="M615" t="inlineStr"/>
      <c r="N615" t="inlineStr"/>
      <c r="O615" t="inlineStr"/>
      <c r="P615" t="inlineStr"/>
      <c r="Q615" t="inlineStr"/>
      <c r="R615" t="inlineStr"/>
      <c r="S615" t="inlineStr"/>
    </row>
    <row r="616">
      <c r="A616">
        <f>Skills!A17</f>
        <v/>
      </c>
      <c r="B616">
        <f>Skills!B17</f>
        <v/>
      </c>
      <c r="C616">
        <f>Inputs!$B$3&gt;=66</f>
        <v/>
      </c>
      <c r="D616">
        <f>IF(Skills!C17=1,60+Inputs!$B$25+Inputs!$B$29,IF(Skills!C17=2,90+Inputs!$B$26+Inputs!$B$29,IF(Skills!C17=3,120+Inputs!$B$27+Inputs!$B$29,MAX(0,(Inputs!$B$3-100)*3)+Inputs!$B$28+Inputs!$B$29)))</f>
        <v/>
      </c>
      <c r="E616">
        <f>INDEX(FactorTable!$B$2:$Y$301, MATCH(ROUND(MIN(300,MAX(1,D616)),0), FactorTable!$A$2:$A$301,0), Skills!M17+1)</f>
        <v/>
      </c>
      <c r="F616">
        <f>IF(Skills!N17=TRUE,(Skills!L17/10)*(E616/1000),Skills!L17/10)+Skills!O17</f>
        <v/>
      </c>
      <c r="G616">
        <f>Skills!G17*IF(Skills!H17&gt;0,Skills!I17/Skills!H17,1)</f>
        <v/>
      </c>
      <c r="H616">
        <f>1-(1-Skills!J17/100)^Skills!K17</f>
        <v/>
      </c>
      <c r="I616" t="inlineStr">
        <is>
          <t>1</t>
        </is>
      </c>
      <c r="J616" t="inlineStr"/>
      <c r="K616" t="inlineStr"/>
      <c r="L616" t="inlineStr"/>
      <c r="M616" t="inlineStr"/>
      <c r="N616" t="inlineStr"/>
      <c r="O616">
        <f>(1-Summary!$B$11)*T616+Summary!$B$11*V616</f>
        <v/>
      </c>
      <c r="P616">
        <f>IF(B640=0,0,O616/B640)</f>
        <v/>
      </c>
      <c r="Q616" t="n">
        <v>0</v>
      </c>
      <c r="R616" t="n">
        <v>0</v>
      </c>
      <c r="S616">
        <f>IFERROR(O616/N616,0)</f>
        <v/>
      </c>
      <c r="T616" t="n">
        <v>0</v>
      </c>
      <c r="V616" t="n">
        <v>0</v>
      </c>
    </row>
    <row r="617">
      <c r="A617">
        <f>Skills!A18</f>
        <v/>
      </c>
      <c r="B617">
        <f>Skills!B18</f>
        <v/>
      </c>
      <c r="C617">
        <f>Inputs!$B$3&gt;=115</f>
        <v/>
      </c>
      <c r="D617">
        <f>IF(Skills!C18=1,60+Inputs!$B$25+Inputs!$B$29,IF(Skills!C18=2,90+Inputs!$B$26+Inputs!$B$29,IF(Skills!C18=3,120+Inputs!$B$27+Inputs!$B$29,MAX(0,(Inputs!$B$3-100)*3)+Inputs!$B$28+Inputs!$B$29)))</f>
        <v/>
      </c>
      <c r="E617">
        <f>INDEX(FactorTable!$B$2:$Y$301, MATCH(ROUND(MIN(300,MAX(1,D617)),0), FactorTable!$A$2:$A$301,0), Skills!M18+1)</f>
        <v/>
      </c>
      <c r="F617">
        <f>IF(Skills!N18=TRUE,(Skills!L18/10)*(E617/1000),Skills!L18/10)+Skills!O18</f>
        <v/>
      </c>
      <c r="G617">
        <f>Skills!G18*IF(Skills!H18&gt;0,Skills!I18/Skills!H18,1)</f>
        <v/>
      </c>
      <c r="H617">
        <f>1-(1-Skills!J18/100)^Skills!K18</f>
        <v/>
      </c>
      <c r="I617" t="inlineStr">
        <is>
          <t>1</t>
        </is>
      </c>
      <c r="J617" t="inlineStr"/>
      <c r="K617" t="inlineStr"/>
      <c r="L617" t="inlineStr"/>
      <c r="M617" t="inlineStr"/>
      <c r="N617" t="inlineStr"/>
      <c r="O617">
        <f>(1-Summary!$B$11)*T617+Summary!$B$11*V617</f>
        <v/>
      </c>
      <c r="P617">
        <f>IF(B640=0,0,O617/B640)</f>
        <v/>
      </c>
      <c r="Q617">
        <f>IFERROR(1/(IF(Inputs!$B$38="pvp",15,MAX(0.1,Skills!D18-IF(Skills!E18=TRUE,Inputs!$B$32,0)))*(1-IF(AND(ArtifactsInput!$M$27,Inputs!$B$4="Chapter Hunt"),CHOOSE(ArtifactsInput!$N$27+1,20,24,28,32,36,40),0)/100)),0)</f>
        <v/>
      </c>
      <c r="R617">
        <f>IF(AND(Inputs!$B$38&lt;&gt;"pvp",Inputs!$B$43&gt;0),IF(Inputs!$B$43&lt;=0,0,(INT(Inputs!$B$43/(IF(Inputs!$B$38="pvp",15,MAX(0.1,Skills!D18-IF(Skills!E18=TRUE,Inputs!$B$32,0)))*(1-IF(AND(ArtifactsInput!$M$27,Inputs!$B$4="Chapter Hunt"),CHOOSE(ArtifactsInput!$N$27+1,20,24,28,32,36,40),0)/100)))+1)),0)</f>
        <v/>
      </c>
      <c r="S617">
        <f>IFERROR(O617/N617,0)</f>
        <v/>
      </c>
      <c r="T617" t="n">
        <v>0</v>
      </c>
      <c r="V617" t="n">
        <v>0</v>
      </c>
    </row>
    <row r="618">
      <c r="A618">
        <f>Skills!A19</f>
        <v/>
      </c>
      <c r="B618">
        <f>Skills!B19</f>
        <v/>
      </c>
      <c r="C618">
        <f>Inputs!$B$3&gt;=15</f>
        <v/>
      </c>
      <c r="D618">
        <f>IF(Skills!C19=1,60+Inputs!$B$25+Inputs!$B$29,IF(Skills!C19=2,90+Inputs!$B$26+Inputs!$B$29,IF(Skills!C19=3,120+Inputs!$B$27+Inputs!$B$29,MAX(0,(Inputs!$B$3-100)*3)+Inputs!$B$28+Inputs!$B$29)))</f>
        <v/>
      </c>
      <c r="E618">
        <f>INDEX(FactorTable!$B$2:$Y$301, MATCH(ROUND(MIN(300,MAX(1,D618)),0), FactorTable!$A$2:$A$301,0), Skills!M19+1)</f>
        <v/>
      </c>
      <c r="F618">
        <f>IF(Skills!N19=TRUE,(Skills!L19/10)*(E618/1000),Skills!L19/10)+Skills!O19</f>
        <v/>
      </c>
      <c r="G618">
        <f>Skills!G19*IF(Skills!H19&gt;0,Skills!I19/Skills!H19,1)</f>
        <v/>
      </c>
      <c r="H618">
        <f>1-(1-Skills!J19/100)^Skills!K19</f>
        <v/>
      </c>
      <c r="I618" t="inlineStr">
        <is>
          <t>1</t>
        </is>
      </c>
      <c r="J618" t="inlineStr"/>
      <c r="K618" t="inlineStr"/>
      <c r="L618" t="inlineStr"/>
      <c r="M618" t="inlineStr"/>
      <c r="N618" t="inlineStr"/>
      <c r="O618">
        <f>(1-Summary!$B$11)*T618+Summary!$B$11*V618</f>
        <v/>
      </c>
      <c r="P618">
        <f>IF(B640=0,0,O618/B640)</f>
        <v/>
      </c>
      <c r="Q618" t="n">
        <v>0</v>
      </c>
      <c r="R618" t="n">
        <v>0</v>
      </c>
      <c r="S618">
        <f>IFERROR(O618/N618,0)</f>
        <v/>
      </c>
      <c r="T618" t="n">
        <v>0</v>
      </c>
      <c r="V618" t="n">
        <v>0</v>
      </c>
    </row>
    <row r="619">
      <c r="A619">
        <f>Skills!A20</f>
        <v/>
      </c>
      <c r="B619">
        <f>Skills!B20</f>
        <v/>
      </c>
      <c r="C619">
        <f>Inputs!$B$3&gt;=10</f>
        <v/>
      </c>
      <c r="D619">
        <f>IF(Skills!C20=1,60+Inputs!$B$25+Inputs!$B$29,IF(Skills!C20=2,90+Inputs!$B$26+Inputs!$B$29,IF(Skills!C20=3,120+Inputs!$B$27+Inputs!$B$29,MAX(0,(Inputs!$B$3-100)*3)+Inputs!$B$28+Inputs!$B$29)))</f>
        <v/>
      </c>
      <c r="E619">
        <f>INDEX(FactorTable!$B$2:$Y$301, MATCH(ROUND(MIN(300,MAX(1,D619)),0), FactorTable!$A$2:$A$301,0), Skills!M20+1)</f>
        <v/>
      </c>
      <c r="F619">
        <f>IF(Skills!N20=TRUE,(Skills!L20/10)*(E619/1000),Skills!L20/10)+Skills!O20</f>
        <v/>
      </c>
      <c r="G619">
        <f>Skills!G20*IF(Skills!H20&gt;0,Skills!I20/Skills!H20,1)</f>
        <v/>
      </c>
      <c r="H619">
        <f>1-(1-Skills!J20/100)^Skills!K20</f>
        <v/>
      </c>
      <c r="I619" t="inlineStr">
        <is>
          <t>1</t>
        </is>
      </c>
      <c r="J619" t="inlineStr"/>
      <c r="K619" t="inlineStr"/>
      <c r="L619" t="inlineStr"/>
      <c r="M619" t="inlineStr"/>
      <c r="N619" t="inlineStr"/>
      <c r="O619">
        <f>(1-Summary!$B$11)*T619+Summary!$B$11*V619</f>
        <v/>
      </c>
      <c r="P619">
        <f>IF(B640=0,0,O619/B640)</f>
        <v/>
      </c>
      <c r="Q619" t="n">
        <v>0</v>
      </c>
      <c r="R619" t="n">
        <v>0</v>
      </c>
      <c r="S619">
        <f>IFERROR(O619/N619,0)</f>
        <v/>
      </c>
      <c r="T619" t="n">
        <v>0</v>
      </c>
      <c r="V619" t="n">
        <v>0</v>
      </c>
    </row>
    <row r="620">
      <c r="A620">
        <f>Skills!A21</f>
        <v/>
      </c>
      <c r="B620">
        <f>Skills!B21</f>
        <v/>
      </c>
      <c r="C620">
        <f>Inputs!$B$3&gt;=33</f>
        <v/>
      </c>
      <c r="D620">
        <f>IF(Skills!C21=1,60+Inputs!$B$25+Inputs!$B$29,IF(Skills!C21=2,90+Inputs!$B$26+Inputs!$B$29,IF(Skills!C21=3,120+Inputs!$B$27+Inputs!$B$29,MAX(0,(Inputs!$B$3-100)*3)+Inputs!$B$28+Inputs!$B$29)))</f>
        <v/>
      </c>
      <c r="E620">
        <f>INDEX(FactorTable!$B$2:$Y$301, MATCH(ROUND(MIN(300,MAX(1,D620)),0), FactorTable!$A$2:$A$301,0), Skills!M21+1)</f>
        <v/>
      </c>
      <c r="F620">
        <f>IF(Skills!N21=TRUE,(Skills!L21/10)*(E620/1000),Skills!L21/10)+Skills!O21</f>
        <v/>
      </c>
      <c r="G620">
        <f>Skills!G21*IF(Skills!H21&gt;0,Skills!I21/Skills!H21,1)</f>
        <v/>
      </c>
      <c r="H620">
        <f>1-(1-Skills!J21/100)^Skills!K21</f>
        <v/>
      </c>
      <c r="I620" t="inlineStr">
        <is>
          <t>1</t>
        </is>
      </c>
      <c r="J620" t="inlineStr"/>
      <c r="K620" t="inlineStr"/>
      <c r="L620" t="inlineStr"/>
      <c r="M620" t="inlineStr"/>
      <c r="N620" t="inlineStr"/>
      <c r="O620">
        <f>(1-Summary!$B$11)*T620+Summary!$B$11*V620</f>
        <v/>
      </c>
      <c r="P620">
        <f>IF(B640=0,0,O620/B640)</f>
        <v/>
      </c>
      <c r="Q620" t="n">
        <v>0</v>
      </c>
      <c r="R620" t="n">
        <v>0</v>
      </c>
      <c r="S620">
        <f>IFERROR(O620/N620,0)</f>
        <v/>
      </c>
      <c r="T620" t="n">
        <v>0</v>
      </c>
      <c r="V620" t="n">
        <v>0</v>
      </c>
    </row>
    <row r="621">
      <c r="A621">
        <f>Skills!A22</f>
        <v/>
      </c>
      <c r="B621">
        <f>Skills!B22</f>
        <v/>
      </c>
      <c r="C621">
        <f>Inputs!$B$3&gt;=43</f>
        <v/>
      </c>
      <c r="D621">
        <f>IF(Skills!C22=1,60+Inputs!$B$25+Inputs!$B$29,IF(Skills!C22=2,90+Inputs!$B$26+Inputs!$B$29,IF(Skills!C22=3,120+Inputs!$B$27+Inputs!$B$29,MAX(0,(Inputs!$B$3-100)*3)+Inputs!$B$28+Inputs!$B$29)))</f>
        <v/>
      </c>
      <c r="E621">
        <f>INDEX(FactorTable!$B$2:$Y$301, MATCH(ROUND(MIN(300,MAX(1,D621)),0), FactorTable!$A$2:$A$301,0), Skills!M22+1)</f>
        <v/>
      </c>
      <c r="F621">
        <f>IF(Skills!N22=TRUE,(Skills!L22/10)*(E621/1000),Skills!L22/10)+Skills!O22</f>
        <v/>
      </c>
      <c r="G621">
        <f>Skills!G22*IF(Skills!H22&gt;0,Skills!I22/Skills!H22,1)</f>
        <v/>
      </c>
      <c r="H621">
        <f>1-(1-Skills!J22/100)^Skills!K22</f>
        <v/>
      </c>
      <c r="I621" t="inlineStr">
        <is>
          <t>1</t>
        </is>
      </c>
      <c r="J621" t="inlineStr"/>
      <c r="K621" t="inlineStr"/>
      <c r="L621" t="inlineStr"/>
      <c r="M621" t="inlineStr"/>
      <c r="N621" t="inlineStr"/>
      <c r="O621">
        <f>(1-Summary!$B$11)*T621+Summary!$B$11*V621</f>
        <v/>
      </c>
      <c r="P621">
        <f>IF(B640=0,0,O621/B640)</f>
        <v/>
      </c>
      <c r="Q621" t="n">
        <v>0</v>
      </c>
      <c r="R621" t="n">
        <v>0</v>
      </c>
      <c r="S621">
        <f>IFERROR(O621/N621,0)</f>
        <v/>
      </c>
      <c r="T621" t="n">
        <v>0</v>
      </c>
      <c r="V621" t="n">
        <v>0</v>
      </c>
    </row>
    <row r="622">
      <c r="A622">
        <f>Skills!A23</f>
        <v/>
      </c>
      <c r="B622">
        <f>Skills!B23</f>
        <v/>
      </c>
      <c r="C622">
        <f>Inputs!$B$3&gt;=38</f>
        <v/>
      </c>
      <c r="D622">
        <f>IF(Skills!C23=1,60+Inputs!$B$25+Inputs!$B$29,IF(Skills!C23=2,90+Inputs!$B$26+Inputs!$B$29,IF(Skills!C23=3,120+Inputs!$B$27+Inputs!$B$29,MAX(0,(Inputs!$B$3-100)*3)+Inputs!$B$28+Inputs!$B$29)))</f>
        <v/>
      </c>
      <c r="E622">
        <f>INDEX(FactorTable!$B$2:$Y$301, MATCH(ROUND(MIN(300,MAX(1,D622)),0), FactorTable!$A$2:$A$301,0), Skills!M23+1)</f>
        <v/>
      </c>
      <c r="F622">
        <f>IF(Skills!N23=TRUE,(Skills!L23/10)*(E622/1000),Skills!L23/10)+Skills!O23</f>
        <v/>
      </c>
      <c r="G622">
        <f>Skills!G23*IF(Skills!H23&gt;0,Skills!I23/Skills!H23,1)</f>
        <v/>
      </c>
      <c r="H622">
        <f>1-(1-Skills!J23/100)^Skills!K23</f>
        <v/>
      </c>
      <c r="I622" t="inlineStr">
        <is>
          <t>1</t>
        </is>
      </c>
      <c r="J622" t="inlineStr"/>
      <c r="K622" t="inlineStr"/>
      <c r="L622" t="inlineStr"/>
      <c r="M622" t="inlineStr"/>
      <c r="N622" t="inlineStr"/>
      <c r="O622">
        <f>(1-Summary!$B$11)*T622+Summary!$B$11*V622</f>
        <v/>
      </c>
      <c r="P622">
        <f>IF(B640=0,0,O622/B640)</f>
        <v/>
      </c>
      <c r="Q622" t="n">
        <v>0</v>
      </c>
      <c r="R622" t="n">
        <v>0</v>
      </c>
      <c r="S622">
        <f>IFERROR(O622/N622,0)</f>
        <v/>
      </c>
      <c r="T622" t="n">
        <v>0</v>
      </c>
      <c r="V622" t="n">
        <v>0</v>
      </c>
    </row>
    <row r="623">
      <c r="A623">
        <f>Skills!A24</f>
        <v/>
      </c>
      <c r="B623">
        <f>Skills!B24</f>
        <v/>
      </c>
      <c r="C623">
        <f>Inputs!$B$3&gt;=40</f>
        <v/>
      </c>
      <c r="D623">
        <f>IF(Skills!C24=1,60+Inputs!$B$25+Inputs!$B$29,IF(Skills!C24=2,90+Inputs!$B$26+Inputs!$B$29,IF(Skills!C24=3,120+Inputs!$B$27+Inputs!$B$29,MAX(0,(Inputs!$B$3-100)*3)+Inputs!$B$28+Inputs!$B$29)))</f>
        <v/>
      </c>
      <c r="E623">
        <f>INDEX(FactorTable!$B$2:$Y$301, MATCH(ROUND(MIN(300,MAX(1,D623)),0), FactorTable!$A$2:$A$301,0), Skills!M24+1)</f>
        <v/>
      </c>
      <c r="F623">
        <f>IF(Skills!N24=TRUE,(Skills!L24/10)*(E623/1000),Skills!L24/10)+Skills!O24</f>
        <v/>
      </c>
      <c r="G623">
        <f>Skills!G24*IF(Skills!H24&gt;0,Skills!I24/Skills!H24,1)</f>
        <v/>
      </c>
      <c r="H623">
        <f>1-(1-Skills!J24/100)^Skills!K24</f>
        <v/>
      </c>
      <c r="I623" t="inlineStr">
        <is>
          <t>1</t>
        </is>
      </c>
      <c r="J623" t="inlineStr"/>
      <c r="K623" t="inlineStr"/>
      <c r="L623" t="inlineStr"/>
      <c r="M623" t="inlineStr"/>
      <c r="N623" t="inlineStr"/>
      <c r="O623">
        <f>(1-Summary!$B$11)*T623+Summary!$B$11*V623</f>
        <v/>
      </c>
      <c r="P623">
        <f>IF(B640=0,0,O623/B640)</f>
        <v/>
      </c>
      <c r="Q623" t="n">
        <v>0</v>
      </c>
      <c r="R623" t="n">
        <v>0</v>
      </c>
      <c r="S623">
        <f>IFERROR(O623/N623,0)</f>
        <v/>
      </c>
      <c r="T623" t="n">
        <v>0</v>
      </c>
      <c r="V623" t="n">
        <v>0</v>
      </c>
    </row>
    <row r="624">
      <c r="A624">
        <f>Skills!A25</f>
        <v/>
      </c>
      <c r="B624">
        <f>Skills!B25</f>
        <v/>
      </c>
      <c r="C624">
        <f>Inputs!$B$3&gt;=72</f>
        <v/>
      </c>
      <c r="D624">
        <f>IF(Skills!C25=1,60+Inputs!$B$25+Inputs!$B$29,IF(Skills!C25=2,90+Inputs!$B$26+Inputs!$B$29,IF(Skills!C25=3,120+Inputs!$B$27+Inputs!$B$29,MAX(0,(Inputs!$B$3-100)*3)+Inputs!$B$28+Inputs!$B$29)))</f>
        <v/>
      </c>
      <c r="E624">
        <f>INDEX(FactorTable!$B$2:$Y$301, MATCH(ROUND(MIN(300,MAX(1,D624)),0), FactorTable!$A$2:$A$301,0), Skills!M25+1)</f>
        <v/>
      </c>
      <c r="F624">
        <f>IF(Skills!N25=TRUE,(Skills!L25/10)*(E624/1000),Skills!L25/10)+Skills!O25</f>
        <v/>
      </c>
      <c r="G624">
        <f>Skills!G25*IF(Skills!H25&gt;0,Skills!I25/Skills!H25,1)</f>
        <v/>
      </c>
      <c r="H624">
        <f>1-(1-Skills!J25/100)^Skills!K25</f>
        <v/>
      </c>
      <c r="I624" t="inlineStr">
        <is>
          <t>1</t>
        </is>
      </c>
      <c r="J624" t="inlineStr"/>
      <c r="K624" t="inlineStr"/>
      <c r="L624" t="inlineStr"/>
      <c r="M624" t="inlineStr"/>
      <c r="N624" t="inlineStr"/>
      <c r="O624">
        <f>(1-Summary!$B$11)*T624+Summary!$B$11*V624</f>
        <v/>
      </c>
      <c r="P624">
        <f>IF(B640=0,0,O624/B640)</f>
        <v/>
      </c>
      <c r="Q624" t="n">
        <v>0</v>
      </c>
      <c r="R624" t="n">
        <v>0</v>
      </c>
      <c r="S624">
        <f>IFERROR(O624/N624,0)</f>
        <v/>
      </c>
      <c r="T624" t="n">
        <v>0</v>
      </c>
      <c r="V624" t="n">
        <v>0</v>
      </c>
    </row>
    <row r="625">
      <c r="A625">
        <f>Skills!A26</f>
        <v/>
      </c>
      <c r="B625">
        <f>Skills!B26</f>
        <v/>
      </c>
      <c r="C625">
        <f>Inputs!$B$3&gt;=75</f>
        <v/>
      </c>
      <c r="D625">
        <f>IF(Skills!C26=1,60+Inputs!$B$25+Inputs!$B$29,IF(Skills!C26=2,90+Inputs!$B$26+Inputs!$B$29,IF(Skills!C26=3,120+Inputs!$B$27+Inputs!$B$29,MAX(0,(Inputs!$B$3-100)*3)+Inputs!$B$28+Inputs!$B$29)))</f>
        <v/>
      </c>
      <c r="E625">
        <f>INDEX(FactorTable!$B$2:$Y$301, MATCH(ROUND(MIN(300,MAX(1,D625)),0), FactorTable!$A$2:$A$301,0), Skills!M26+1)</f>
        <v/>
      </c>
      <c r="F625">
        <f>IF(Skills!N26=TRUE,(Skills!L26/10)*(E625/1000),Skills!L26/10)+Skills!O26</f>
        <v/>
      </c>
      <c r="G625">
        <f>Skills!G26*IF(Skills!H26&gt;0,Skills!I26/Skills!H26,1)</f>
        <v/>
      </c>
      <c r="H625">
        <f>1-(1-Skills!J26/100)^Skills!K26</f>
        <v/>
      </c>
      <c r="I625" t="inlineStr">
        <is>
          <t>1</t>
        </is>
      </c>
      <c r="J625" t="inlineStr"/>
      <c r="K625" t="inlineStr"/>
      <c r="L625" t="inlineStr"/>
      <c r="M625" t="inlineStr"/>
      <c r="N625" t="inlineStr"/>
      <c r="O625">
        <f>(1-Summary!$B$11)*T625+Summary!$B$11*V625</f>
        <v/>
      </c>
      <c r="P625">
        <f>IF(B640=0,0,O625/B640)</f>
        <v/>
      </c>
      <c r="Q625" t="n">
        <v>0</v>
      </c>
      <c r="R625" t="n">
        <v>0</v>
      </c>
      <c r="S625">
        <f>IFERROR(O625/N625,0)</f>
        <v/>
      </c>
      <c r="T625" t="n">
        <v>0</v>
      </c>
      <c r="V625" t="n">
        <v>0</v>
      </c>
    </row>
    <row r="626">
      <c r="A626">
        <f>Skills!A27</f>
        <v/>
      </c>
      <c r="B626">
        <f>Skills!B27</f>
        <v/>
      </c>
      <c r="C626">
        <f>Inputs!$B$3&gt;=117</f>
        <v/>
      </c>
      <c r="D626">
        <f>IF(Skills!C27=1,60+Inputs!$B$25+Inputs!$B$29,IF(Skills!C27=2,90+Inputs!$B$26+Inputs!$B$29,IF(Skills!C27=3,120+Inputs!$B$27+Inputs!$B$29,MAX(0,(Inputs!$B$3-100)*3)+Inputs!$B$28+Inputs!$B$29)))</f>
        <v/>
      </c>
      <c r="E626">
        <f>INDEX(FactorTable!$B$2:$Y$301, MATCH(ROUND(MIN(300,MAX(1,D626)),0), FactorTable!$A$2:$A$301,0), Skills!M27+1)</f>
        <v/>
      </c>
      <c r="F626">
        <f>IF(Skills!N27=TRUE,(Skills!L27/10)*(E626/1000),Skills!L27/10)+Skills!O27</f>
        <v/>
      </c>
      <c r="G626">
        <f>Skills!G27*IF(Skills!H27&gt;0,Skills!I27/Skills!H27,1)</f>
        <v/>
      </c>
      <c r="H626">
        <f>1-(1-Skills!J27/100)^Skills!K27</f>
        <v/>
      </c>
      <c r="I626" t="inlineStr">
        <is>
          <t>1</t>
        </is>
      </c>
      <c r="J626" t="inlineStr"/>
      <c r="K626" t="inlineStr"/>
      <c r="L626" t="inlineStr"/>
      <c r="M626" t="inlineStr"/>
      <c r="N626" t="inlineStr"/>
      <c r="O626">
        <f>(1-Summary!$B$11)*T626+Summary!$B$11*V626</f>
        <v/>
      </c>
      <c r="P626">
        <f>IF(B640=0,0,O626/B640)</f>
        <v/>
      </c>
      <c r="Q626" t="n">
        <v>0</v>
      </c>
      <c r="R626" t="n">
        <v>0</v>
      </c>
      <c r="S626">
        <f>IFERROR(O626/N626,0)</f>
        <v/>
      </c>
      <c r="T626" t="n">
        <v>0</v>
      </c>
      <c r="V626" t="n">
        <v>0</v>
      </c>
    </row>
    <row r="627">
      <c r="A627">
        <f>Skills!A28</f>
        <v/>
      </c>
      <c r="B627">
        <f>Skills!B28</f>
        <v/>
      </c>
      <c r="C627">
        <f>TRUE</f>
        <v/>
      </c>
      <c r="D627">
        <f>IF(Skills!C28=1,60+Inputs!$B$25+Inputs!$B$29,IF(Skills!C28=2,90+Inputs!$B$26+Inputs!$B$29,IF(Skills!C28=3,120+Inputs!$B$27+Inputs!$B$29,MAX(0,(Inputs!$B$3-100)*3)+Inputs!$B$28+Inputs!$B$29)))</f>
        <v/>
      </c>
      <c r="E627">
        <f>INDEX(FactorTable!$B$2:$Y$301, MATCH(ROUND(MIN(300,MAX(1,D627)),0), FactorTable!$A$2:$A$301,0), Skills!M28+1)</f>
        <v/>
      </c>
      <c r="F627">
        <f>IF(Skills!N28=TRUE,(Skills!L28/10)*(E627/1000),Skills!L28/10)+Skills!O28</f>
        <v/>
      </c>
      <c r="G627">
        <f>Skills!G28*IF(Skills!H28&gt;0,Skills!I28/Skills!H28,1)</f>
        <v/>
      </c>
      <c r="H627">
        <f>1-(1-Skills!J28/100)^Skills!K28</f>
        <v/>
      </c>
      <c r="I627" t="inlineStr">
        <is>
          <t>1</t>
        </is>
      </c>
      <c r="J627" t="inlineStr"/>
      <c r="K627" t="inlineStr"/>
      <c r="L627" t="inlineStr"/>
      <c r="M627" t="inlineStr"/>
      <c r="N627" t="inlineStr"/>
      <c r="O627">
        <f>(1-Summary!$B$11)*T627+Summary!$B$11*V627</f>
        <v/>
      </c>
      <c r="P627">
        <f>IF(B640=0,0,O627/B640)</f>
        <v/>
      </c>
      <c r="Q627">
        <f>IFERROR(1/(IF(Inputs!$B$38="pvp",15,MAX(0.1,Skills!D28-IF(Skills!E28=TRUE,Inputs!$B$32,0)))*(1-IF(AND(ArtifactsInput!$M$27,Inputs!$B$4="Chapter Hunt"),CHOOSE(ArtifactsInput!$N$27+1,20,24,28,32,36,40),0)/100)),0)</f>
        <v/>
      </c>
      <c r="R627">
        <f>IF(AND(Inputs!$B$38&lt;&gt;"pvp",Inputs!$B$43&gt;0),IF(Inputs!$B$43&lt;=0,0,(INT(Inputs!$B$43/(IF(Inputs!$B$38="pvp",15,MAX(0.1,Skills!D28-IF(Skills!E28=TRUE,Inputs!$B$32,0)))*(1-IF(AND(ArtifactsInput!$M$27,Inputs!$B$4="Chapter Hunt"),CHOOSE(ArtifactsInput!$N$27+1,20,24,28,32,36,40),0)/100)))+1)),0)</f>
        <v/>
      </c>
      <c r="S627">
        <f>IFERROR(O627/N627,0)</f>
        <v/>
      </c>
      <c r="T627" t="n">
        <v>0</v>
      </c>
      <c r="V627" t="n">
        <v>0</v>
      </c>
    </row>
    <row r="629">
      <c r="A629" t="inlineStr">
        <is>
          <t>Attack% Bucket Multiplier</t>
        </is>
      </c>
      <c r="B629">
        <f>(1+(((C616=TRUE)*F616*5/7)+((C623=TRUE)*(F623-Calc!F24))+(IF(ArtifactsInput!$M$21,CHOOSE(ArtifactsInput!$N$21+1,25,30,35,40,45,50)*(IF(OR(Inputs!$B$4="Chapter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30">
      <c r="A630" t="inlineStr">
        <is>
          <t>Global Crit Rate Bonus %</t>
        </is>
      </c>
      <c r="B630" t="n">
        <v>0</v>
      </c>
    </row>
    <row r="631">
      <c r="A631" t="inlineStr">
        <is>
          <t>Attack Speed Buff Bonus % (Nimble Feet, duty-cycle averaged)</t>
        </is>
      </c>
      <c r="B631">
        <f>((C627=TRUE)*F627*IF(AND(Inputs!$B$38&lt;&gt;"pvp",Inputs!$B$43&gt;0),(((R627-1)*(Skills!T28*(1+Inputs!$B$34/100))+MIN((Skills!T28*(1+Inputs!$B$34/100)),MAX(0,Inputs!$B$43-((R627-1)*Skills!D28))))/Inputs!$B$43),IF(Inputs!$B$38="pvp",MIN((Skills!T28*(1+Inputs!$B$34/100)),15)/15,(Skills!T28*(1+Inputs!$B$34/100))/Skills!D28)))</f>
        <v/>
      </c>
    </row>
    <row r="632">
      <c r="A632" t="inlineStr">
        <is>
          <t>Actions Per Second</t>
        </is>
      </c>
      <c r="B632">
        <f>1+MIN(150,150*(1-(1-(((1-(1-Inputs!$B$11/150)*(1-1/150))*150)+((C619=TRUE)*(F619-Calc!F20))+((C620=TRUE)*(F620-Calc!F21)))/150)*(1-B631/150)))/100</f>
        <v/>
      </c>
    </row>
    <row r="633">
      <c r="A633" t="inlineStr">
        <is>
          <t>Skill + Buff Cast Rate</t>
        </is>
      </c>
      <c r="B633">
        <f>IF(AND(Inputs!$B$38&lt;&gt;"pvp",Inputs!$B$43&gt;0),SUMPRODUCT((Skills!E2:E28=TRUE)*(C601:C627=TRUE)*R601:R627*Skills!F2:F28)/Inputs!$B$43,SUMPRODUCT((Skills!E2:E28=TRUE)*(C601:C627=TRUE)*Q601:Q627*Skills!F2:F28))</f>
        <v/>
      </c>
    </row>
    <row r="634">
      <c r="A634" t="inlineStr">
        <is>
          <t>Eight-Legs Easton Casts Per Second</t>
        </is>
      </c>
      <c r="B634">
        <f>MAX(0,B632-B633)</f>
        <v/>
      </c>
    </row>
    <row r="635">
      <c r="A635" t="inlineStr">
        <is>
          <t>Global Critical Damage Bonus % (unused)</t>
        </is>
      </c>
      <c r="B635" t="n">
        <v>0</v>
      </c>
    </row>
    <row r="636">
      <c r="A636" t="inlineStr">
        <is>
          <t>Global Final Damage Bonus % (Jolly Roger + Ahoy Mateys - Final Damage proc)</t>
        </is>
      </c>
      <c r="B636">
        <f>((C617=TRUE)*F617*IF(AND(Inputs!$B$38&lt;&gt;"pvp",Inputs!$B$43&gt;0),(((R617-1)*(Skills!T18*(1+Inputs!$B$34/100))+MIN((Skills!T18*(1+Inputs!$B$34/100)),MAX(0,Inputs!$B$43-((R617-1)*Skills!D18))))/Inputs!$B$43),IF(Inputs!$B$38="pvp",MIN((Skills!T18*(1+Inputs!$B$34/100)),15)/15,(Skills!T18*(1+Inputs!$B$34/100))/Skills!D18)))+IF(Inputs!$B$3&gt;=122,20*IF(Inputs!$B$38="pvp",MIN((20*(1+Inputs!$B$34/100)),15)/15,(20*(1+Inputs!$B$34/100))/Skills!D4),0)</f>
        <v/>
      </c>
    </row>
    <row r="637">
      <c r="A637" t="inlineStr">
        <is>
          <t>Buff-Casting Startup Delay (s, fixed-duration only)</t>
        </is>
      </c>
      <c r="B637">
        <f>IF(AND(Inputs!$B$38&lt;&gt;"pvp",Inputs!$B$43&gt;0),SUMPRODUCT((Skills!T2:T28&gt;0)*(Skills!E2:E28=TRUE)*(C601:C627=TRUE))/B632,0)</f>
        <v/>
      </c>
    </row>
    <row r="638">
      <c r="A638" t="inlineStr">
        <is>
          <t>Boss-Only Total DPS (this block's swept value)</t>
        </is>
      </c>
      <c r="B638">
        <f>SUM(T601:T627)</f>
        <v/>
      </c>
    </row>
    <row r="639">
      <c r="A639" t="inlineStr">
        <is>
          <t>Normal-Only Total DPS (this block's swept value)</t>
        </is>
      </c>
      <c r="B639">
        <f>SUM(V601:V627)</f>
        <v/>
      </c>
    </row>
    <row r="640">
      <c r="A640" s="6" t="inlineStr">
        <is>
          <t>TOTAL DPS</t>
        </is>
      </c>
      <c r="B640" s="6">
        <f>SUM(O601:O627)</f>
        <v/>
      </c>
    </row>
    <row r="643">
      <c r="A643" s="6" t="inlineStr">
        <is>
          <t>Stat: DEF_PEN % (diminishing returns, factor 100)</t>
        </is>
      </c>
    </row>
    <row r="644">
      <c r="A644" s="5" t="inlineStr">
        <is>
          <t>Key</t>
        </is>
      </c>
      <c r="B644" s="5" t="inlineStr">
        <is>
          <t>Name</t>
        </is>
      </c>
      <c r="C644" s="5" t="inlineStr">
        <is>
          <t>Unlocked</t>
        </is>
      </c>
      <c r="D644" s="5" t="inlineStr">
        <is>
          <t>InputLevel</t>
        </is>
      </c>
      <c r="E644" s="5" t="inlineStr">
        <is>
          <t>Factor</t>
        </is>
      </c>
      <c r="F644" s="5" t="inlineStr">
        <is>
          <t>CoefficientPercent</t>
        </is>
      </c>
      <c r="G644" s="5" t="inlineStr">
        <is>
          <t>EffectiveHits</t>
        </is>
      </c>
      <c r="H644" s="5" t="inlineStr">
        <is>
          <t>ProcProbability</t>
        </is>
      </c>
      <c r="I644" s="5" t="inlineStr">
        <is>
          <t>MapleHeroMultiplier</t>
        </is>
      </c>
      <c r="J644" s="5" t="inlineStr">
        <is>
          <t>BaseDamage</t>
        </is>
      </c>
      <c r="K644" s="5" t="inlineStr">
        <is>
          <t>BaseHitDamage</t>
        </is>
      </c>
      <c r="L644" s="5" t="inlineStr">
        <is>
          <t>NonCritAvg</t>
        </is>
      </c>
      <c r="M644" s="5" t="inlineStr">
        <is>
          <t>CritAvg</t>
        </is>
      </c>
      <c r="N644" s="5" t="inlineStr">
        <is>
          <t>ExpectedDamage(perHit)</t>
        </is>
      </c>
      <c r="O644" s="5" t="inlineStr">
        <is>
          <t>DPS</t>
        </is>
      </c>
      <c r="P644" s="5" t="inlineStr">
        <is>
          <t>% of Total</t>
        </is>
      </c>
      <c r="Q644" s="5" t="inlineStr">
        <is>
          <t>InvCooldown</t>
        </is>
      </c>
      <c r="R644" s="5" t="inlineStr">
        <is>
          <t>CastsInFight</t>
        </is>
      </c>
      <c r="S644" s="5" t="inlineStr">
        <is>
          <t>HitRate(perSec)</t>
        </is>
      </c>
      <c r="U644" t="inlineStr">
        <is>
          <t>helpers</t>
        </is>
      </c>
    </row>
    <row r="645">
      <c r="A645">
        <f>Skills!A2</f>
        <v/>
      </c>
      <c r="B645">
        <f>Skills!B2</f>
        <v/>
      </c>
      <c r="C645">
        <f>Inputs!$B$3&gt;=100</f>
        <v/>
      </c>
      <c r="D645" t="inlineStr"/>
      <c r="E645" t="inlineStr"/>
      <c r="F645">
        <f>U647+Skills!O2</f>
        <v/>
      </c>
      <c r="G645">
        <f>Skills!G2*IF(Skills!H2&gt;0,Skills!I2/Skills!H2,1)</f>
        <v/>
      </c>
      <c r="H645">
        <f>1-(1-Skills!J2/100)^Skills!K2</f>
        <v/>
      </c>
      <c r="I645" t="inlineStr">
        <is>
          <t>1</t>
        </is>
      </c>
      <c r="J645">
        <f>((Inputs!$B$6*(1+Inputs!$B$7/100))+(((Inputs!$B$12*(1+Inputs!$B$13/100))-(Inputs!$B$12*(1+Inputs!$B$13/100)))+0.25*(Inputs!$B$14-Inputs!$B$14))*(1+Inputs!$B$7/100))*(F645/100)</f>
        <v/>
      </c>
      <c r="K645">
        <f>J645*(1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645)</f>
        <v/>
      </c>
      <c r="L645">
        <f>K645*(MIN(Inputs!$B$22+((C665=TRUE)*(F665-Calc!F22)),(Inputs!$B$23+0+(IF(ArtifactsInput!$M$15,CHOOSE(ArtifactsInput!$N$15+1,25,30,35,40,45,50)/100*(Inputs!$B$11-Inputs!$B$11),0))))/100+(Inputs!$B$23+0+(IF(ArtifactsInput!$M$15,CHOOSE(ArtifactsInput!$N$15+1,25,30,35,40,45,50)/100*(Inputs!$B$11-Inputs!$B$11),0)))/100)/2</f>
        <v/>
      </c>
      <c r="M645">
        <f>L645*(1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5">
        <f>L645*(1-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645*(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5">
        <f>(1-Summary!$B$11)*T645+Summary!$B$11*V645</f>
        <v/>
      </c>
      <c r="P645">
        <f>IF(B684=0,0,O645/B684)</f>
        <v/>
      </c>
      <c r="Q645" t="n">
        <v>0</v>
      </c>
      <c r="R645" t="n">
        <v>0</v>
      </c>
      <c r="S645">
        <f>IFERROR(O645/N645,0)</f>
        <v/>
      </c>
      <c r="T645">
        <f>IF(C645,(Skills!G2*N645*B678)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645*(1-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645*(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645*(1-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645*(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5">
        <f>MAX(0,(Inputs!$B$3-100)*3)+Inputs!$B$28+Inputs!$B$29</f>
        <v/>
      </c>
      <c r="V645">
        <f>IF(C645,(Skills!G2*N645*B678)*IF(Inputs!$B$38="pvp",1,(1+(Inputs!$B$21+Skills!Q2+(IF(ArtifactsInput!$M$33,CHOOSE(ArtifactsInput!$N$33+1,30,36,42,48,54,60),0))+(IF(AND(ArtifactsInput!$M$35,Inputs!$B$4&lt;&gt;"Chapter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6">
      <c r="A646">
        <f>Skills!A3</f>
        <v/>
      </c>
      <c r="B646">
        <f>Skills!B3</f>
        <v/>
      </c>
      <c r="C646">
        <f>Inputs!$B$3&gt;=35</f>
        <v/>
      </c>
      <c r="D646">
        <f>IF(Skills!C3=1,60+Inputs!$B$25+Inputs!$B$29,IF(Skills!C3=2,90+Inputs!$B$26+Inputs!$B$29,IF(Skills!C3=3,120+Inputs!$B$27+Inputs!$B$29,MAX(0,(Inputs!$B$3-100)*3)+Inputs!$B$28+Inputs!$B$29)))</f>
        <v/>
      </c>
      <c r="E646">
        <f>INDEX(FactorTable!$B$2:$Y$301, MATCH(ROUND(MIN(300,MAX(1,D646)),0), FactorTable!$A$2:$A$301,0), Skills!M3+1)</f>
        <v/>
      </c>
      <c r="F646">
        <f>IF(Skills!N3=TRUE,(Skills!L3/10)*(E646/1000),Skills!L3/10)+Skills!O3</f>
        <v/>
      </c>
      <c r="G646">
        <f>Skills!G3*IF(Skills!H3&gt;0,Skills!I3/Skills!H3,1)</f>
        <v/>
      </c>
      <c r="H646">
        <f>1-(1-Skills!J3/100)^Skills!K3</f>
        <v/>
      </c>
      <c r="I646" t="inlineStr">
        <is>
          <t>1</t>
        </is>
      </c>
      <c r="J646">
        <f>((Inputs!$B$6*(1+Inputs!$B$7/100))+(((Inputs!$B$12*(1+Inputs!$B$13/100))-(Inputs!$B$12*(1+Inputs!$B$13/100)))+0.25*(Inputs!$B$14-Inputs!$B$14))*(1+Inputs!$B$7/100))*(F646/100)</f>
        <v/>
      </c>
      <c r="K646">
        <f>J646*(1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658=TRUE,F658,0)/100)*(1+(IF(Skills!A3="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646)</f>
        <v/>
      </c>
      <c r="L646">
        <f>K646*(MIN(Inputs!$B$22+((C665=TRUE)*(F665-Calc!F22)),(Inputs!$B$23+0+(IF(ArtifactsInput!$M$15,CHOOSE(ArtifactsInput!$N$15+1,25,30,35,40,45,50)/100*(Inputs!$B$11-Inputs!$B$11),0))))/100+(Inputs!$B$23+0+(IF(ArtifactsInput!$M$15,CHOOSE(ArtifactsInput!$N$15+1,25,30,35,40,45,50)/100*(Inputs!$B$11-Inputs!$B$11),0)))/100)/2</f>
        <v/>
      </c>
      <c r="M646">
        <f>L646*(1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6">
        <f>L646*(1-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646*(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6">
        <f>(1-Summary!$B$11)*T646+Summary!$B$11*V646</f>
        <v/>
      </c>
      <c r="P646">
        <f>IF(B684=0,0,O646/B684)</f>
        <v/>
      </c>
      <c r="Q646">
        <f>IFERROR(1/(IF(Inputs!$B$38="pvp",15,MAX(0.1,Skills!D3-IF(Skills!E3=TRUE,Inputs!$B$32,0)))*(1-IF(AND(ArtifactsInput!$M$27,Inputs!$B$4="Chapter Hunt"),CHOOSE(ArtifactsInput!$N$27+1,20,24,28,32,36,40),0)/100)),0)</f>
        <v/>
      </c>
      <c r="R646">
        <f>IF(AND(Inputs!$B$38&lt;&gt;"pvp",Inputs!$B$43&gt;0),IF(MAX(0,Inputs!$B$43-B681)&lt;=0,0,(INT(MAX(0,Inputs!$B$43-B681)/(IF(Inputs!$B$38="pvp",15,MAX(0.1,Skills!D3-IF(Skills!E3=TRUE,Inputs!$B$32,0)))*(1-IF(AND(ArtifactsInput!$M$27,Inputs!$B$4="Chapter Hunt"),CHOOSE(ArtifactsInput!$N$27+1,20,24,28,32,36,40),0)/100)))+1)),0)</f>
        <v/>
      </c>
      <c r="S646">
        <f>IFERROR(O646/N646,0)</f>
        <v/>
      </c>
      <c r="T646">
        <f>IF(C646,(H646*N646*IF(AND(Inputs!$B$38&lt;&gt;"pvp",Inputs!$B$43&gt;0),((Skills!G3*((R646-1)*IF(Skills!H3&gt;0,Skills!I3/Skills!H3,1)+IF(Skills!H3&gt;0,MIN(Skills!I3,MAX(0,MAX(0,Inputs!$B$43-B681)-((R646-1)*(IF(Inputs!$B$38="pvp",15,MAX(0.1,Skills!D3-IF(Skills!E3=TRUE,Inputs!$B$32,0)))*(1-IF(AND(ArtifactsInput!$M$27,Inputs!$B$4="Chapter Hunt"),CHOOSE(ArtifactsInput!$N$27+1,20,24,28,32,36,40),0)/100)))))/Skills!H3,1)))/Inputs!$B$43),G646*Q646)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646*(1-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646*(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646*(1-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646*(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6">
        <f>INDEX(FactorTable!$B$2:$Y$301, MATCH(ROUND(MIN(300,MAX(1,U645)),0), FactorTable!$A$2:$A$301,0), 22)</f>
        <v/>
      </c>
      <c r="V646">
        <f>IF(C646,(H646*N646*IF(AND(Inputs!$B$38&lt;&gt;"pvp",Inputs!$B$43&gt;0),((Skills!G3*((R646-1)*IF(Skills!H3&gt;0,Skills!I3/Skills!H3,1)+IF(Skills!H3&gt;0,MIN(Skills!I3,MAX(0,MAX(0,Inputs!$B$43-B681)-((R646-1)*(IF(Inputs!$B$38="pvp",15,MAX(0.1,Skills!D3-IF(Skills!E3=TRUE,Inputs!$B$32,0)))*(1-IF(AND(ArtifactsInput!$M$27,Inputs!$B$4="Chapter Hunt"),CHOOSE(ArtifactsInput!$N$27+1,20,24,28,32,36,40),0)/100)))))/Skills!H3,1)))/Inputs!$B$43),G646*Q646))*IF(Inputs!$B$38="pvp",1,(1+(Inputs!$B$21+Skills!Q3+(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7">
      <c r="A647">
        <f>Skills!A4</f>
        <v/>
      </c>
      <c r="B647">
        <f>Skills!B4</f>
        <v/>
      </c>
      <c r="C647">
        <f>Inputs!$B$3&gt;=40</f>
        <v/>
      </c>
      <c r="D647">
        <f>IF(Skills!C4=1,60+Inputs!$B$25+Inputs!$B$29,IF(Skills!C4=2,90+Inputs!$B$26+Inputs!$B$29,IF(Skills!C4=3,120+Inputs!$B$27+Inputs!$B$29,MAX(0,(Inputs!$B$3-100)*3)+Inputs!$B$28+Inputs!$B$29)))</f>
        <v/>
      </c>
      <c r="E647">
        <f>INDEX(FactorTable!$B$2:$Y$301, MATCH(ROUND(MIN(300,MAX(1,D647)),0), FactorTable!$A$2:$A$301,0), Skills!M4+1)</f>
        <v/>
      </c>
      <c r="F647">
        <f>IF(Skills!N4=TRUE,(Skills!L4/10)*(E647/1000),Skills!L4/10)+Skills!O4</f>
        <v/>
      </c>
      <c r="G647">
        <f>Skills!G4*IF(Skills!H4&gt;0,Skills!I4/Skills!H4,1)</f>
        <v/>
      </c>
      <c r="H647">
        <f>1-(1-Skills!J4/100)^Skills!K4</f>
        <v/>
      </c>
      <c r="I647" t="inlineStr">
        <is>
          <t>1</t>
        </is>
      </c>
      <c r="J647">
        <f>((Inputs!$B$6*(1+Inputs!$B$7/100))+(((Inputs!$B$12*(1+Inputs!$B$13/100))-(Inputs!$B$12*(1+Inputs!$B$13/100)))+0.25*(Inputs!$B$14-Inputs!$B$14))*(1+Inputs!$B$7/100))*(F647/100)</f>
        <v/>
      </c>
      <c r="K647">
        <f>J647*(1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659=TRUE,F659,0)/100)*(1+(IF(Skills!A4="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647)</f>
        <v/>
      </c>
      <c r="L647">
        <f>K647*(MIN(Inputs!$B$22+((C665=TRUE)*(F665-Calc!F22)),(Inputs!$B$23+0+(IF(ArtifactsInput!$M$15,CHOOSE(ArtifactsInput!$N$15+1,25,30,35,40,45,50)/100*(Inputs!$B$11-Inputs!$B$11),0))))/100+(Inputs!$B$23+0+(IF(ArtifactsInput!$M$15,CHOOSE(ArtifactsInput!$N$15+1,25,30,35,40,45,50)/100*(Inputs!$B$11-Inputs!$B$11),0)))/100)/2</f>
        <v/>
      </c>
      <c r="M647">
        <f>L647*(1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7">
        <f>L647*(1-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647*(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7">
        <f>(1-Summary!$B$11)*T647+Summary!$B$11*V647</f>
        <v/>
      </c>
      <c r="P647">
        <f>IF(B684=0,0,O647/B684)</f>
        <v/>
      </c>
      <c r="Q647">
        <f>IFERROR(1/(IF(Inputs!$B$38="pvp",15,MAX(0.1,Skills!D4-IF(Skills!E4=TRUE,Inputs!$B$32,0)))*(1-IF(AND(ArtifactsInput!$M$27,Inputs!$B$4="Chapter Hunt"),CHOOSE(ArtifactsInput!$N$27+1,20,24,28,32,36,40),0)/100)),0)</f>
        <v/>
      </c>
      <c r="R647">
        <f>IF(AND(Inputs!$B$38&lt;&gt;"pvp",Inputs!$B$43&gt;0),IF(MAX(0,Inputs!$B$43-B681)&lt;=0,0,(INT(MAX(0,Inputs!$B$43-B681)/(IF(Inputs!$B$38="pvp",15,MAX(0.1,Skills!D4-IF(Skills!E4=TRUE,Inputs!$B$32,0)))*(1-IF(AND(ArtifactsInput!$M$27,Inputs!$B$4="Chapter Hunt"),CHOOSE(ArtifactsInput!$N$27+1,20,24,28,32,36,40),0)/100)))+1)),0)</f>
        <v/>
      </c>
      <c r="S647">
        <f>IFERROR(O647/N647,0)</f>
        <v/>
      </c>
      <c r="T647">
        <f>IF(C647,(H647*N647*IF(AND(Inputs!$B$38&lt;&gt;"pvp",Inputs!$B$43&gt;0),((Skills!G4*((R647-1)*IF(Skills!H4&gt;0,Skills!I4/Skills!H4,1)+IF(Skills!H4&gt;0,MIN(Skills!I4,MAX(0,MAX(0,Inputs!$B$43-B681)-((R647-1)*(IF(Inputs!$B$38="pvp",15,MAX(0.1,Skills!D4-IF(Skills!E4=TRUE,Inputs!$B$32,0)))*(1-IF(AND(ArtifactsInput!$M$27,Inputs!$B$4="Chapter Hunt"),CHOOSE(ArtifactsInput!$N$27+1,20,24,28,32,36,40),0)/100)))))/Skills!H4,1)))/Inputs!$B$43),G647*Q647)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647*(1-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647*(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647*(1-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647*(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7">
        <f>290*U646/1000</f>
        <v/>
      </c>
      <c r="V647">
        <f>IF(C647,(H647*N647*IF(AND(Inputs!$B$38&lt;&gt;"pvp",Inputs!$B$43&gt;0),((Skills!G4*((R647-1)*IF(Skills!H4&gt;0,Skills!I4/Skills!H4,1)+IF(Skills!H4&gt;0,MIN(Skills!I4,MAX(0,MAX(0,Inputs!$B$43-B681)-((R647-1)*(IF(Inputs!$B$38="pvp",15,MAX(0.1,Skills!D4-IF(Skills!E4=TRUE,Inputs!$B$32,0)))*(1-IF(AND(ArtifactsInput!$M$27,Inputs!$B$4="Chapter Hunt"),CHOOSE(ArtifactsInput!$N$27+1,20,24,28,32,36,40),0)/100)))))/Skills!H4,1)))/Inputs!$B$43),G647*Q647))*IF(Inputs!$B$38="pvp",1,(1+(Inputs!$B$21+Skills!Q4+(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8">
      <c r="A648">
        <f>Skills!A5</f>
        <v/>
      </c>
      <c r="B648">
        <f>Skills!B5</f>
        <v/>
      </c>
      <c r="C648">
        <f>Inputs!$B$3&gt;=45</f>
        <v/>
      </c>
      <c r="D648">
        <f>IF(Skills!C5=1,60+Inputs!$B$25+Inputs!$B$29,IF(Skills!C5=2,90+Inputs!$B$26+Inputs!$B$29,IF(Skills!C5=3,120+Inputs!$B$27+Inputs!$B$29,MAX(0,(Inputs!$B$3-100)*3)+Inputs!$B$28+Inputs!$B$29)))</f>
        <v/>
      </c>
      <c r="E648">
        <f>INDEX(FactorTable!$B$2:$Y$301, MATCH(ROUND(MIN(300,MAX(1,D648)),0), FactorTable!$A$2:$A$301,0), Skills!M5+1)</f>
        <v/>
      </c>
      <c r="F648">
        <f>IF(Skills!N5=TRUE,(Skills!L5/10)*(E648/1000),Skills!L5/10)+Skills!O5</f>
        <v/>
      </c>
      <c r="G648">
        <f>Skills!G5*IF(Skills!H5&gt;0,Skills!I5/Skills!H5,1)</f>
        <v/>
      </c>
      <c r="H648">
        <f>1-(1-Skills!J5/100)^Skills!K5</f>
        <v/>
      </c>
      <c r="I648" t="inlineStr">
        <is>
          <t>1</t>
        </is>
      </c>
      <c r="J648">
        <f>((Inputs!$B$6*(1+Inputs!$B$7/100))+(((Inputs!$B$12*(1+Inputs!$B$13/100))-(Inputs!$B$12*(1+Inputs!$B$13/100)))+0.25*(Inputs!$B$14-Inputs!$B$14))*(1+Inputs!$B$7/100))*(F648/100)</f>
        <v/>
      </c>
      <c r="K648">
        <f>J648*(1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659=TRUE,F659,0)/100)*(1+(IF(Skills!A5="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648)</f>
        <v/>
      </c>
      <c r="L648">
        <f>K648*(MIN(Inputs!$B$22+((C665=TRUE)*(F665-Calc!F22)),(Inputs!$B$23+0+(IF(ArtifactsInput!$M$15,CHOOSE(ArtifactsInput!$N$15+1,25,30,35,40,45,50)/100*(Inputs!$B$11-Inputs!$B$11),0))))/100+(Inputs!$B$23+0+(IF(ArtifactsInput!$M$15,CHOOSE(ArtifactsInput!$N$15+1,25,30,35,40,45,50)/100*(Inputs!$B$11-Inputs!$B$11),0)))/100)/2</f>
        <v/>
      </c>
      <c r="M648">
        <f>L648*(1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8">
        <f>L648*(1-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648*(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8">
        <f>(1-Summary!$B$11)*T648+Summary!$B$11*V648</f>
        <v/>
      </c>
      <c r="P648">
        <f>IF(B684=0,0,O648/B684)</f>
        <v/>
      </c>
      <c r="Q648">
        <f>IFERROR(1/(IF(Inputs!$B$38="pvp",15,MAX(0.1,Skills!D5-IF(Skills!E5=TRUE,Inputs!$B$32,0)))*(1-IF(AND(ArtifactsInput!$M$27,Inputs!$B$4="Chapter Hunt"),CHOOSE(ArtifactsInput!$N$27+1,20,24,28,32,36,40),0)/100)),0)</f>
        <v/>
      </c>
      <c r="R648">
        <f>IF(AND(Inputs!$B$38&lt;&gt;"pvp",Inputs!$B$43&gt;0),IF(MAX(0,Inputs!$B$43-B681)&lt;=0,0,(INT(MAX(0,Inputs!$B$43-B681)/(IF(Inputs!$B$38="pvp",15,MAX(0.1,Skills!D5-IF(Skills!E5=TRUE,Inputs!$B$32,0)))*(1-IF(AND(ArtifactsInput!$M$27,Inputs!$B$4="Chapter Hunt"),CHOOSE(ArtifactsInput!$N$27+1,20,24,28,32,36,40),0)/100)))+1)),0)</f>
        <v/>
      </c>
      <c r="S648">
        <f>IFERROR(O648/N648,0)</f>
        <v/>
      </c>
      <c r="T648">
        <f>IF(C648,(H648*N648*IF(AND(Inputs!$B$38&lt;&gt;"pvp",Inputs!$B$43&gt;0),((Skills!G5*((R648-1)*IF(Skills!H5&gt;0,Skills!I5/Skills!H5,1)+IF(Skills!H5&gt;0,MIN(Skills!I5,MAX(0,MAX(0,Inputs!$B$43-B681)-((R648-1)*(IF(Inputs!$B$38="pvp",15,MAX(0.1,Skills!D5-IF(Skills!E5=TRUE,Inputs!$B$32,0)))*(1-IF(AND(ArtifactsInput!$M$27,Inputs!$B$4="Chapter Hunt"),CHOOSE(ArtifactsInput!$N$27+1,20,24,28,32,36,40),0)/100)))))/Skills!H5,1)))/Inputs!$B$43),G648*Q648)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648*(1-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648*(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648*(1-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648*(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8">
        <f>IF(C648,(H648*N648*IF(AND(Inputs!$B$38&lt;&gt;"pvp",Inputs!$B$43&gt;0),((Skills!G5*((R648-1)*IF(Skills!H5&gt;0,Skills!I5/Skills!H5,1)+IF(Skills!H5&gt;0,MIN(Skills!I5,MAX(0,MAX(0,Inputs!$B$43-B681)-((R648-1)*(IF(Inputs!$B$38="pvp",15,MAX(0.1,Skills!D5-IF(Skills!E5=TRUE,Inputs!$B$32,0)))*(1-IF(AND(ArtifactsInput!$M$27,Inputs!$B$4="Chapter Hunt"),CHOOSE(ArtifactsInput!$N$27+1,20,24,28,32,36,40),0)/100)))))/Skills!H5,1)))/Inputs!$B$43),G648*Q648))*IF(Inputs!$B$38="pvp",1,(1+(Inputs!$B$21+Skills!Q5+(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9">
      <c r="A649">
        <f>Skills!A6</f>
        <v/>
      </c>
      <c r="B649">
        <f>Skills!B6</f>
        <v/>
      </c>
      <c r="C649">
        <f>Inputs!$B$3&gt;=63</f>
        <v/>
      </c>
      <c r="D649">
        <f>IF(Skills!C6=1,60+Inputs!$B$25+Inputs!$B$29,IF(Skills!C6=2,90+Inputs!$B$26+Inputs!$B$29,IF(Skills!C6=3,120+Inputs!$B$27+Inputs!$B$29,MAX(0,(Inputs!$B$3-100)*3)+Inputs!$B$28+Inputs!$B$29)))</f>
        <v/>
      </c>
      <c r="E649">
        <f>INDEX(FactorTable!$B$2:$Y$301, MATCH(ROUND(MIN(300,MAX(1,D649)),0), FactorTable!$A$2:$A$301,0), Skills!M6+1)</f>
        <v/>
      </c>
      <c r="F649">
        <f>IF(Skills!N6=TRUE,(Skills!L6/10)*(E649/1000),Skills!L6/10)+Skills!O6</f>
        <v/>
      </c>
      <c r="G649">
        <f>Skills!G6*IF(Skills!H6&gt;0,Skills!I6/Skills!H6,1)</f>
        <v/>
      </c>
      <c r="H649">
        <f>1-(1-Skills!J6/100)^Skills!K6</f>
        <v/>
      </c>
      <c r="I649" t="inlineStr">
        <is>
          <t>1</t>
        </is>
      </c>
      <c r="J649">
        <f>((Inputs!$B$6*(1+Inputs!$B$7/100))+(((Inputs!$B$12*(1+Inputs!$B$13/100))-(Inputs!$B$12*(1+Inputs!$B$13/100)))+0.25*(Inputs!$B$14-Inputs!$B$14))*(1+Inputs!$B$7/100))*(F649/100)</f>
        <v/>
      </c>
      <c r="K649">
        <f>J649*(1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658=TRUE,F658,0)/100)*(1+(IF(Skills!A6="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649)</f>
        <v/>
      </c>
      <c r="L649">
        <f>K649*(MIN(Inputs!$B$22+((C665=TRUE)*(F665-Calc!F22)),(Inputs!$B$23+0+(IF(ArtifactsInput!$M$15,CHOOSE(ArtifactsInput!$N$15+1,25,30,35,40,45,50)/100*(Inputs!$B$11-Inputs!$B$11),0))))/100+(Inputs!$B$23+0+(IF(ArtifactsInput!$M$15,CHOOSE(ArtifactsInput!$N$15+1,25,30,35,40,45,50)/100*(Inputs!$B$11-Inputs!$B$11),0)))/100)/2</f>
        <v/>
      </c>
      <c r="M649">
        <f>L649*(1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9">
        <f>L649*(1-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649*(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9">
        <f>(1-Summary!$B$11)*T649+Summary!$B$11*V649</f>
        <v/>
      </c>
      <c r="P649">
        <f>IF(B684=0,0,O649/B684)</f>
        <v/>
      </c>
      <c r="Q649">
        <f>IFERROR(1/(IF(Inputs!$B$38="pvp",15,MAX(0.1,Skills!D6-IF(Skills!E6=TRUE,Inputs!$B$32,0)))*(1-IF(AND(ArtifactsInput!$M$27,Inputs!$B$4="Chapter Hunt"),CHOOSE(ArtifactsInput!$N$27+1,20,24,28,32,36,40),0)/100)),0)</f>
        <v/>
      </c>
      <c r="R649">
        <f>IF(AND(Inputs!$B$38&lt;&gt;"pvp",Inputs!$B$43&gt;0),IF(MAX(0,Inputs!$B$43-B681)&lt;=0,0,(INT(MAX(0,Inputs!$B$43-B681)/(IF(Inputs!$B$38="pvp",15,MAX(0.1,Skills!D6-IF(Skills!E6=TRUE,Inputs!$B$32,0)))*(1-IF(AND(ArtifactsInput!$M$27,Inputs!$B$4="Chapter Hunt"),CHOOSE(ArtifactsInput!$N$27+1,20,24,28,32,36,40),0)/100)))+1)),0)</f>
        <v/>
      </c>
      <c r="S649">
        <f>IFERROR(O649/N649,0)</f>
        <v/>
      </c>
      <c r="T649">
        <f>IF(C649,(H649*N649*IF(AND(Inputs!$B$38&lt;&gt;"pvp",Inputs!$B$43&gt;0),((Skills!G6*((R649-1)*IF(Skills!H6&gt;0,Skills!I6/Skills!H6,1)+IF(Skills!H6&gt;0,MIN(Skills!I6,MAX(0,MAX(0,Inputs!$B$43-B681)-((R649-1)*(IF(Inputs!$B$38="pvp",15,MAX(0.1,Skills!D6-IF(Skills!E6=TRUE,Inputs!$B$32,0)))*(1-IF(AND(ArtifactsInput!$M$27,Inputs!$B$4="Chapter Hunt"),CHOOSE(ArtifactsInput!$N$27+1,20,24,28,32,36,40),0)/100)))))/Skills!H6,1)))/Inputs!$B$43),G649*Q649)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649*(1-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649*(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649*(1-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649*(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9">
        <f>IF(C649,(H649*N649*IF(AND(Inputs!$B$38&lt;&gt;"pvp",Inputs!$B$43&gt;0),((Skills!G6*((R649-1)*IF(Skills!H6&gt;0,Skills!I6/Skills!H6,1)+IF(Skills!H6&gt;0,MIN(Skills!I6,MAX(0,MAX(0,Inputs!$B$43-B681)-((R649-1)*(IF(Inputs!$B$38="pvp",15,MAX(0.1,Skills!D6-IF(Skills!E6=TRUE,Inputs!$B$32,0)))*(1-IF(AND(ArtifactsInput!$M$27,Inputs!$B$4="Chapter Hunt"),CHOOSE(ArtifactsInput!$N$27+1,20,24,28,32,36,40),0)/100)))))/Skills!H6,1)))/Inputs!$B$43),G649*Q649))*IF(Inputs!$B$38="pvp",1,(1+(Inputs!$B$21+Skills!Q6+(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0">
      <c r="A650">
        <f>Skills!A7</f>
        <v/>
      </c>
      <c r="B650">
        <f>Skills!B7</f>
        <v/>
      </c>
      <c r="C650">
        <f>Inputs!$B$3&gt;=66</f>
        <v/>
      </c>
      <c r="D650">
        <f>IF(Skills!C7=1,60+Inputs!$B$25+Inputs!$B$29,IF(Skills!C7=2,90+Inputs!$B$26+Inputs!$B$29,IF(Skills!C7=3,120+Inputs!$B$27+Inputs!$B$29,MAX(0,(Inputs!$B$3-100)*3)+Inputs!$B$28+Inputs!$B$29)))</f>
        <v/>
      </c>
      <c r="E650">
        <f>INDEX(FactorTable!$B$2:$Y$301, MATCH(ROUND(MIN(300,MAX(1,D650)),0), FactorTable!$A$2:$A$301,0), Skills!M7+1)</f>
        <v/>
      </c>
      <c r="F650">
        <f>IF(Skills!N7=TRUE,(Skills!L7/10)*(E650/1000),Skills!L7/10)+Skills!O7</f>
        <v/>
      </c>
      <c r="G650">
        <f>Skills!G7*IF(Skills!H7&gt;0,Skills!I7/Skills!H7,1)</f>
        <v/>
      </c>
      <c r="H650">
        <f>1-(1-Skills!J7/100)^Skills!K7</f>
        <v/>
      </c>
      <c r="I650" t="inlineStr">
        <is>
          <t>1</t>
        </is>
      </c>
      <c r="J650">
        <f>((Inputs!$B$6*(1+Inputs!$B$7/100))+(((Inputs!$B$12*(1+Inputs!$B$13/100))-(Inputs!$B$12*(1+Inputs!$B$13/100)))+0.25*(Inputs!$B$14-Inputs!$B$14))*(1+Inputs!$B$7/100))*(F650/100)</f>
        <v/>
      </c>
      <c r="K650">
        <f>J650*(1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658=TRUE,F658,0)/100)*(1+(IF(Skills!A7="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650)</f>
        <v/>
      </c>
      <c r="L650">
        <f>K650*(MIN(Inputs!$B$22+((C665=TRUE)*(F665-Calc!F22)),(Inputs!$B$23+0+(IF(ArtifactsInput!$M$15,CHOOSE(ArtifactsInput!$N$15+1,25,30,35,40,45,50)/100*(Inputs!$B$11-Inputs!$B$11),0))))/100+(Inputs!$B$23+0+(IF(ArtifactsInput!$M$15,CHOOSE(ArtifactsInput!$N$15+1,25,30,35,40,45,50)/100*(Inputs!$B$11-Inputs!$B$11),0)))/100)/2</f>
        <v/>
      </c>
      <c r="M650">
        <f>L650*(1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0">
        <f>L650*(1-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650*(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0">
        <f>(1-Summary!$B$11)*T650+Summary!$B$11*V650</f>
        <v/>
      </c>
      <c r="P650">
        <f>IF(B684=0,0,O650/B684)</f>
        <v/>
      </c>
      <c r="Q650">
        <f>IFERROR(1/(IF(Inputs!$B$38="pvp",15,MAX(0.1,Skills!D7-IF(Skills!E7=TRUE,Inputs!$B$32,0)))*(1-IF(AND(ArtifactsInput!$M$27,Inputs!$B$4="Chapter Hunt"),CHOOSE(ArtifactsInput!$N$27+1,20,24,28,32,36,40),0)/100)),0)</f>
        <v/>
      </c>
      <c r="R650">
        <f>IF(AND(Inputs!$B$38&lt;&gt;"pvp",Inputs!$B$43&gt;0),IF(MAX(0,Inputs!$B$43-B681)&lt;=0,0,(INT(MAX(0,Inputs!$B$43-B681)/(IF(Inputs!$B$38="pvp",15,MAX(0.1,Skills!D7-IF(Skills!E7=TRUE,Inputs!$B$32,0)))*(1-IF(AND(ArtifactsInput!$M$27,Inputs!$B$4="Chapter Hunt"),CHOOSE(ArtifactsInput!$N$27+1,20,24,28,32,36,40),0)/100)))+1)),0)</f>
        <v/>
      </c>
      <c r="S650">
        <f>IFERROR(O650/N650,0)</f>
        <v/>
      </c>
      <c r="T650">
        <f>IF(C650,(H650*N650*IF(AND(Inputs!$B$38&lt;&gt;"pvp",Inputs!$B$43&gt;0),((Skills!G7*((R650-1)*IF(Skills!H7&gt;0,Skills!I7/Skills!H7,1)+IF(Skills!H7&gt;0,MIN(Skills!I7,MAX(0,MAX(0,Inputs!$B$43-B681)-((R650-1)*(IF(Inputs!$B$38="pvp",15,MAX(0.1,Skills!D7-IF(Skills!E7=TRUE,Inputs!$B$32,0)))*(1-IF(AND(ArtifactsInput!$M$27,Inputs!$B$4="Chapter Hunt"),CHOOSE(ArtifactsInput!$N$27+1,20,24,28,32,36,40),0)/100)))))/Skills!H7,1)))/Inputs!$B$43),G650*Q650)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650*(1-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650*(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650*(1-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650*(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0">
        <f>IF(C650,(H650*N650*IF(AND(Inputs!$B$38&lt;&gt;"pvp",Inputs!$B$43&gt;0),((Skills!G7*((R650-1)*IF(Skills!H7&gt;0,Skills!I7/Skills!H7,1)+IF(Skills!H7&gt;0,MIN(Skills!I7,MAX(0,MAX(0,Inputs!$B$43-B681)-((R650-1)*(IF(Inputs!$B$38="pvp",15,MAX(0.1,Skills!D7-IF(Skills!E7=TRUE,Inputs!$B$32,0)))*(1-IF(AND(ArtifactsInput!$M$27,Inputs!$B$4="Chapter Hunt"),CHOOSE(ArtifactsInput!$N$27+1,20,24,28,32,36,40),0)/100)))))/Skills!H7,1)))/Inputs!$B$43),G650*Q650))*IF(Inputs!$B$38="pvp",1,(1+(Inputs!$B$21+Skills!Q7+(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1">
      <c r="A651">
        <f>Skills!A8</f>
        <v/>
      </c>
      <c r="B651">
        <f>Skills!B8</f>
        <v/>
      </c>
      <c r="C651">
        <f>Inputs!$B$3&gt;=100</f>
        <v/>
      </c>
      <c r="D651">
        <f>IF(Skills!C8=1,60+Inputs!$B$25+Inputs!$B$29,IF(Skills!C8=2,90+Inputs!$B$26+Inputs!$B$29,IF(Skills!C8=3,120+Inputs!$B$27+Inputs!$B$29,MAX(0,(Inputs!$B$3-100)*3)+Inputs!$B$28+Inputs!$B$29)))</f>
        <v/>
      </c>
      <c r="E651">
        <f>INDEX(FactorTable!$B$2:$Y$301, MATCH(ROUND(MIN(300,MAX(1,D651)),0), FactorTable!$A$2:$A$301,0), Skills!M8+1)</f>
        <v/>
      </c>
      <c r="F651">
        <f>IF(Skills!N8=TRUE,(Skills!L8/10)*(E651/1000),Skills!L8/10)+Skills!O8</f>
        <v/>
      </c>
      <c r="G651">
        <f>Skills!G8*IF(Skills!H8&gt;0,Skills!I8/Skills!H8,1)</f>
        <v/>
      </c>
      <c r="H651">
        <f>1-(1-Skills!J8/100)^Skills!K8</f>
        <v/>
      </c>
      <c r="I651" t="inlineStr">
        <is>
          <t>1</t>
        </is>
      </c>
      <c r="J651">
        <f>((Inputs!$B$6*(1+Inputs!$B$7/100))+(((Inputs!$B$12*(1+Inputs!$B$13/100))-(Inputs!$B$12*(1+Inputs!$B$13/100)))+0.25*(Inputs!$B$14-Inputs!$B$14))*(1+Inputs!$B$7/100))*(F651/100)</f>
        <v/>
      </c>
      <c r="K651">
        <f>J651*(1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651)</f>
        <v/>
      </c>
      <c r="L651">
        <f>K651*(MIN(Inputs!$B$22+((C665=TRUE)*(F665-Calc!F22)),(Inputs!$B$23+0+(IF(ArtifactsInput!$M$15,CHOOSE(ArtifactsInput!$N$15+1,25,30,35,40,45,50)/100*(Inputs!$B$11-Inputs!$B$11),0))))/100+(Inputs!$B$23+0+(IF(ArtifactsInput!$M$15,CHOOSE(ArtifactsInput!$N$15+1,25,30,35,40,45,50)/100*(Inputs!$B$11-Inputs!$B$11),0)))/100)/2</f>
        <v/>
      </c>
      <c r="M651">
        <f>L651*(1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1">
        <f>L651*(1-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1">
        <f>(1-Summary!$B$11)*T651+Summary!$B$11*V651</f>
        <v/>
      </c>
      <c r="P651">
        <f>IF(B684=0,0,O651/B684)</f>
        <v/>
      </c>
      <c r="Q651">
        <f>IFERROR(1/(IF(Inputs!$B$38="pvp",15,MAX(0.1,Skills!D8-IF(Skills!E8=TRUE,Inputs!$B$32,0)))*(1-IF(AND(ArtifactsInput!$M$27,Inputs!$B$4="Chapter Hunt"),CHOOSE(ArtifactsInput!$N$27+1,20,24,28,32,36,40),0)/100)),0)</f>
        <v/>
      </c>
      <c r="R651">
        <f>IF(AND(Inputs!$B$38&lt;&gt;"pvp",Inputs!$B$43&gt;0),IF(MAX(0,Inputs!$B$43-B681)&lt;=0,0,(INT(MAX(0,Inputs!$B$43-B681)/(IF(Inputs!$B$38="pvp",15,MAX(0.1,Skills!D8-IF(Skills!E8=TRUE,Inputs!$B$32,0)))*(1-IF(AND(ArtifactsInput!$M$27,Inputs!$B$4="Chapter Hunt"),CHOOSE(ArtifactsInput!$N$27+1,20,24,28,32,36,40),0)/100)))+1)),0)</f>
        <v/>
      </c>
      <c r="S651">
        <f>IFERROR(O651/N651,0)</f>
        <v/>
      </c>
      <c r="T651">
        <f>IF(C651,(H651*N651*IF(AND(Inputs!$B$38&lt;&gt;"pvp",Inputs!$B$43&gt;0),((Skills!G8*((R651-1)*IF(Skills!H8&gt;0,Skills!I8/Skills!H8,1)+IF(Skills!H8&gt;0,MIN(Skills!I8,MAX(0,MAX(0,Inputs!$B$43-B681)-((R651-1)*(IF(Inputs!$B$38="pvp",15,MAX(0.1,Skills!D8-IF(Skills!E8=TRUE,Inputs!$B$32,0)))*(1-IF(AND(ArtifactsInput!$M$27,Inputs!$B$4="Chapter Hunt"),CHOOSE(ArtifactsInput!$N$27+1,20,24,28,32,36,40),0)/100)))))/Skills!H8,1)))/Inputs!$B$43),G651*Q651)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651*(1-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651*(1-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1">
        <f>IF(C651,(H651*N651*IF(AND(Inputs!$B$38&lt;&gt;"pvp",Inputs!$B$43&gt;0),((Skills!G8*((R651-1)*IF(Skills!H8&gt;0,Skills!I8/Skills!H8,1)+IF(Skills!H8&gt;0,MIN(Skills!I8,MAX(0,MAX(0,Inputs!$B$43-B681)-((R651-1)*(IF(Inputs!$B$38="pvp",15,MAX(0.1,Skills!D8-IF(Skills!E8=TRUE,Inputs!$B$32,0)))*(1-IF(AND(ArtifactsInput!$M$27,Inputs!$B$4="Chapter Hunt"),CHOOSE(ArtifactsInput!$N$27+1,20,24,28,32,36,40),0)/100)))))/Skills!H8,1)))/Inputs!$B$43),G651*Q651))*IF(Inputs!$B$38="pvp",1,(1+(Inputs!$B$21+Skills!Q8+(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2">
      <c r="A652">
        <f>Skills!A9</f>
        <v/>
      </c>
      <c r="B652">
        <f>Skills!B9</f>
        <v/>
      </c>
      <c r="C652">
        <f>Inputs!$B$3&gt;=103</f>
        <v/>
      </c>
      <c r="D652">
        <f>IF(Skills!C9=1,60+Inputs!$B$25+Inputs!$B$29,IF(Skills!C9=2,90+Inputs!$B$26+Inputs!$B$29,IF(Skills!C9=3,120+Inputs!$B$27+Inputs!$B$29,MAX(0,(Inputs!$B$3-100)*3)+Inputs!$B$28+Inputs!$B$29)))</f>
        <v/>
      </c>
      <c r="E652">
        <f>INDEX(FactorTable!$B$2:$Y$301, MATCH(ROUND(MIN(300,MAX(1,D652)),0), FactorTable!$A$2:$A$301,0), Skills!M9+1)</f>
        <v/>
      </c>
      <c r="F652">
        <f>IF(Skills!N9=TRUE,(Skills!L9/10)*(E652/1000),Skills!L9/10)+Skills!O9</f>
        <v/>
      </c>
      <c r="G652">
        <f>Skills!G9*IF(Skills!H9&gt;0,Skills!I9/Skills!H9,1)</f>
        <v/>
      </c>
      <c r="H652">
        <f>1-(1-Skills!J9/100)^Skills!K9</f>
        <v/>
      </c>
      <c r="I652" t="inlineStr">
        <is>
          <t>1</t>
        </is>
      </c>
      <c r="J652">
        <f>((Inputs!$B$6*(1+Inputs!$B$7/100))+(((Inputs!$B$12*(1+Inputs!$B$13/100))-(Inputs!$B$12*(1+Inputs!$B$13/100)))+0.25*(Inputs!$B$14-Inputs!$B$14))*(1+Inputs!$B$7/100))*(F652/100)</f>
        <v/>
      </c>
      <c r="K652">
        <f>J652*(1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652)</f>
        <v/>
      </c>
      <c r="L652">
        <f>K652*(MIN(Inputs!$B$22+((C665=TRUE)*(F665-Calc!F22)),(Inputs!$B$23+0+(IF(ArtifactsInput!$M$15,CHOOSE(ArtifactsInput!$N$15+1,25,30,35,40,45,50)/100*(Inputs!$B$11-Inputs!$B$11),0))))/100+(Inputs!$B$23+0+(IF(ArtifactsInput!$M$15,CHOOSE(ArtifactsInput!$N$15+1,25,30,35,40,45,50)/100*(Inputs!$B$11-Inputs!$B$11),0)))/100)/2</f>
        <v/>
      </c>
      <c r="M652">
        <f>L652*(1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2">
        <f>L652*(1-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652*(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2">
        <f>(1-Summary!$B$11)*T652+Summary!$B$11*V652</f>
        <v/>
      </c>
      <c r="P652">
        <f>IF(B684=0,0,O652/B684)</f>
        <v/>
      </c>
      <c r="Q652">
        <f>IFERROR(1/(IF(Inputs!$B$38="pvp",15,MAX(0.1,Skills!D9-IF(Skills!E9=TRUE,Inputs!$B$32,0)))*(1-IF(AND(ArtifactsInput!$M$27,Inputs!$B$4="Chapter Hunt"),CHOOSE(ArtifactsInput!$N$27+1,20,24,28,32,36,40),0)/100)),0)</f>
        <v/>
      </c>
      <c r="R652">
        <f>IF(AND(Inputs!$B$38&lt;&gt;"pvp",Inputs!$B$43&gt;0),IF(MAX(0,Inputs!$B$43-B681)&lt;=0,0,(INT(MAX(0,Inputs!$B$43-B681)/(IF(Inputs!$B$38="pvp",15,MAX(0.1,Skills!D9-IF(Skills!E9=TRUE,Inputs!$B$32,0)))*(1-IF(AND(ArtifactsInput!$M$27,Inputs!$B$4="Chapter Hunt"),CHOOSE(ArtifactsInput!$N$27+1,20,24,28,32,36,40),0)/100)))+1)),0)</f>
        <v/>
      </c>
      <c r="S652">
        <f>IFERROR(O652/N652,0)</f>
        <v/>
      </c>
      <c r="T652">
        <f>IF(C652,(H652*N652*IF(AND(Inputs!$B$38&lt;&gt;"pvp",Inputs!$B$43&gt;0),((Skills!G9*((R652-1)*IF(Skills!H9&gt;0,Skills!I9/Skills!H9,1)+IF(Skills!H9&gt;0,MIN(Skills!I9,MAX(0,MAX(0,Inputs!$B$43-B681)-((R652-1)*(IF(Inputs!$B$38="pvp",15,MAX(0.1,Skills!D9-IF(Skills!E9=TRUE,Inputs!$B$32,0)))*(1-IF(AND(ArtifactsInput!$M$27,Inputs!$B$4="Chapter Hunt"),CHOOSE(ArtifactsInput!$N$27+1,20,24,28,32,36,40),0)/100)))))/Skills!H9,1)))/Inputs!$B$43),G652*Q652)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652*(1-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652*(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652*(1-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652*(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2">
        <f>IF(C652,(H652*N652*IF(AND(Inputs!$B$38&lt;&gt;"pvp",Inputs!$B$43&gt;0),((Skills!G9*((R652-1)*IF(Skills!H9&gt;0,Skills!I9/Skills!H9,1)+IF(Skills!H9&gt;0,MIN(Skills!I9,MAX(0,MAX(0,Inputs!$B$43-B681)-((R652-1)*(IF(Inputs!$B$38="pvp",15,MAX(0.1,Skills!D9-IF(Skills!E9=TRUE,Inputs!$B$32,0)))*(1-IF(AND(ArtifactsInput!$M$27,Inputs!$B$4="Chapter Hunt"),CHOOSE(ArtifactsInput!$N$27+1,20,24,28,32,36,40),0)/100)))))/Skills!H9,1)))/Inputs!$B$43),G652*Q652))*IF(Inputs!$B$38="pvp",1,(1+(Inputs!$B$21+Skills!Q9+(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3">
      <c r="A653">
        <f>Skills!A10</f>
        <v/>
      </c>
      <c r="B653">
        <f>Skills!B10</f>
        <v/>
      </c>
      <c r="C653">
        <f>Inputs!$B$3&gt;=113</f>
        <v/>
      </c>
      <c r="D653">
        <f>IF(Skills!C10=1,60+Inputs!$B$25+Inputs!$B$29,IF(Skills!C10=2,90+Inputs!$B$26+Inputs!$B$29,IF(Skills!C10=3,120+Inputs!$B$27+Inputs!$B$29,MAX(0,(Inputs!$B$3-100)*3)+Inputs!$B$28+Inputs!$B$29)))</f>
        <v/>
      </c>
      <c r="E653">
        <f>INDEX(FactorTable!$B$2:$Y$301, MATCH(ROUND(MIN(300,MAX(1,D653)),0), FactorTable!$A$2:$A$301,0), Skills!M10+1)</f>
        <v/>
      </c>
      <c r="F653">
        <f>IF(Skills!N10=TRUE,(Skills!L10/10)*(E653/1000),Skills!L10/10)+Skills!O10</f>
        <v/>
      </c>
      <c r="G653">
        <f>Skills!G10*IF(Skills!H10&gt;0,Skills!I10/Skills!H10,1)</f>
        <v/>
      </c>
      <c r="H653">
        <f>1-(1-Skills!J10/100)^Skills!K10</f>
        <v/>
      </c>
      <c r="I653" t="inlineStr">
        <is>
          <t>1</t>
        </is>
      </c>
      <c r="J653">
        <f>((Inputs!$B$6*(1+Inputs!$B$7/100))+(((Inputs!$B$12*(1+Inputs!$B$13/100))-(Inputs!$B$12*(1+Inputs!$B$13/100)))+0.25*(Inputs!$B$14-Inputs!$B$14))*(1+Inputs!$B$7/100))*(F653/100)</f>
        <v/>
      </c>
      <c r="K653">
        <f>J653*(1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653)</f>
        <v/>
      </c>
      <c r="L653">
        <f>K653*(MIN(Inputs!$B$22+((C665=TRUE)*(F665-Calc!F22)),(Inputs!$B$23+0+(IF(ArtifactsInput!$M$15,CHOOSE(ArtifactsInput!$N$15+1,25,30,35,40,45,50)/100*(Inputs!$B$11-Inputs!$B$11),0))))/100+(Inputs!$B$23+0+(IF(ArtifactsInput!$M$15,CHOOSE(ArtifactsInput!$N$15+1,25,30,35,40,45,50)/100*(Inputs!$B$11-Inputs!$B$11),0)))/100)/2</f>
        <v/>
      </c>
      <c r="M653">
        <f>L653*(1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3">
        <f>L653*(1-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653*(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3">
        <f>(1-Summary!$B$11)*T653+Summary!$B$11*V653</f>
        <v/>
      </c>
      <c r="P653">
        <f>IF(B684=0,0,O653/B684)</f>
        <v/>
      </c>
      <c r="Q653">
        <f>IFERROR(1/(IF(Inputs!$B$38="pvp",15,MAX(0.1,Skills!D10-IF(Skills!E10=TRUE,Inputs!$B$32,0)))*(1-IF(AND(ArtifactsInput!$M$27,Inputs!$B$4="Chapter Hunt"),CHOOSE(ArtifactsInput!$N$27+1,20,24,28,32,36,40),0)/100)),0)</f>
        <v/>
      </c>
      <c r="R653">
        <f>IF(AND(Inputs!$B$38&lt;&gt;"pvp",Inputs!$B$43&gt;0),IF(MAX(0,Inputs!$B$43-B681)&lt;=0,0,(INT(MAX(0,Inputs!$B$43-B681)/(IF(Inputs!$B$38="pvp",15,MAX(0.1,Skills!D10-IF(Skills!E10=TRUE,Inputs!$B$32,0)))*(1-IF(AND(ArtifactsInput!$M$27,Inputs!$B$4="Chapter Hunt"),CHOOSE(ArtifactsInput!$N$27+1,20,24,28,32,36,40),0)/100)))+1)),0)</f>
        <v/>
      </c>
      <c r="S653">
        <f>IFERROR(O653/N653,0)</f>
        <v/>
      </c>
      <c r="T653">
        <f>IF(C653,(H653*N653*IF(AND(Inputs!$B$38&lt;&gt;"pvp",Inputs!$B$43&gt;0),((Skills!G10*((R653-1)*IF(Skills!H10&gt;0,Skills!I10/Skills!H10,1)+IF(Skills!H10&gt;0,MIN(Skills!I10,MAX(0,MAX(0,Inputs!$B$43-B681)-((R653-1)*(IF(Inputs!$B$38="pvp",15,MAX(0.1,Skills!D10-IF(Skills!E10=TRUE,Inputs!$B$32,0)))*(1-IF(AND(ArtifactsInput!$M$27,Inputs!$B$4="Chapter Hunt"),CHOOSE(ArtifactsInput!$N$27+1,20,24,28,32,36,40),0)/100)))))/Skills!H10,1)))/Inputs!$B$43),G653*Q653)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653*(1-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653*(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653*(1-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653*(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3">
        <f>IF(C653,(H653*N653*IF(AND(Inputs!$B$38&lt;&gt;"pvp",Inputs!$B$43&gt;0),((Skills!G10*((R653-1)*IF(Skills!H10&gt;0,Skills!I10/Skills!H10,1)+IF(Skills!H10&gt;0,MIN(Skills!I10,MAX(0,MAX(0,Inputs!$B$43-B681)-((R653-1)*(IF(Inputs!$B$38="pvp",15,MAX(0.1,Skills!D10-IF(Skills!E10=TRUE,Inputs!$B$32,0)))*(1-IF(AND(ArtifactsInput!$M$27,Inputs!$B$4="Chapter Hunt"),CHOOSE(ArtifactsInput!$N$27+1,20,24,28,32,36,40),0)/100)))))/Skills!H10,1)))/Inputs!$B$43),G653*Q653))*IF(Inputs!$B$38="pvp",1,(1+(Inputs!$B$21+Skills!Q10+(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4">
      <c r="A654">
        <f>Skills!A11</f>
        <v/>
      </c>
      <c r="B654">
        <f>Skills!B11</f>
        <v/>
      </c>
      <c r="C654">
        <f>Inputs!$B$3&gt;=107</f>
        <v/>
      </c>
      <c r="D654">
        <f>IF(Skills!C11=1,60+Inputs!$B$25+Inputs!$B$29,IF(Skills!C11=2,90+Inputs!$B$26+Inputs!$B$29,IF(Skills!C11=3,120+Inputs!$B$27+Inputs!$B$29,MAX(0,(Inputs!$B$3-100)*3)+Inputs!$B$28+Inputs!$B$29)))</f>
        <v/>
      </c>
      <c r="E654">
        <f>INDEX(FactorTable!$B$2:$Y$301, MATCH(ROUND(MIN(300,MAX(1,D654)),0), FactorTable!$A$2:$A$301,0), Skills!M11+1)</f>
        <v/>
      </c>
      <c r="F654">
        <f>IF(Skills!N11=TRUE,(Skills!L11/10)*(E654/1000),Skills!L11/10)+Skills!O11</f>
        <v/>
      </c>
      <c r="G654">
        <f>Skills!G11*IF(Skills!H11&gt;0,Skills!I11/Skills!H11,1)</f>
        <v/>
      </c>
      <c r="H654">
        <f>1-(1-Skills!J11/100)^Skills!K11</f>
        <v/>
      </c>
      <c r="I654" t="inlineStr">
        <is>
          <t>1</t>
        </is>
      </c>
      <c r="J654">
        <f>((Inputs!$B$6*(1+Inputs!$B$7/100))+(((Inputs!$B$12*(1+Inputs!$B$13/100))-(Inputs!$B$12*(1+Inputs!$B$13/100)))+0.25*(Inputs!$B$14-Inputs!$B$14))*(1+Inputs!$B$7/100))*(F654/100)</f>
        <v/>
      </c>
      <c r="K654">
        <f>J654*(1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654)</f>
        <v/>
      </c>
      <c r="L654">
        <f>K654*(MIN(Inputs!$B$22+((C665=TRUE)*(F665-Calc!F22)),(Inputs!$B$23+0+(IF(ArtifactsInput!$M$15,CHOOSE(ArtifactsInput!$N$15+1,25,30,35,40,45,50)/100*(Inputs!$B$11-Inputs!$B$11),0))))/100+(Inputs!$B$23+0+(IF(ArtifactsInput!$M$15,CHOOSE(ArtifactsInput!$N$15+1,25,30,35,40,45,50)/100*(Inputs!$B$11-Inputs!$B$11),0)))/100)/2</f>
        <v/>
      </c>
      <c r="M654">
        <f>L654*(1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4">
        <f>L654*(1-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654*(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4">
        <f>(1-Summary!$B$11)*T654+Summary!$B$11*V654</f>
        <v/>
      </c>
      <c r="P654">
        <f>IF(B684=0,0,O654/B684)</f>
        <v/>
      </c>
      <c r="Q654">
        <f>IFERROR(1/(IF(Inputs!$B$38="pvp",15,MAX(0.1,Skills!D11-IF(Skills!E11=TRUE,Inputs!$B$32,0)))*(1-IF(AND(ArtifactsInput!$M$27,Inputs!$B$4="Chapter Hunt"),CHOOSE(ArtifactsInput!$N$27+1,20,24,28,32,36,40),0)/100)),0)</f>
        <v/>
      </c>
      <c r="R654">
        <f>IF(AND(Inputs!$B$38&lt;&gt;"pvp",Inputs!$B$43&gt;0),IF(MAX(0,Inputs!$B$43-B681)&lt;=0,0,(INT(MAX(0,Inputs!$B$43-B681)/(IF(Inputs!$B$38="pvp",15,MAX(0.1,Skills!D11-IF(Skills!E11=TRUE,Inputs!$B$32,0)))*(1-IF(AND(ArtifactsInput!$M$27,Inputs!$B$4="Chapter Hunt"),CHOOSE(ArtifactsInput!$N$27+1,20,24,28,32,36,40),0)/100)))+1)),0)</f>
        <v/>
      </c>
      <c r="S654">
        <f>IFERROR(O654/N654,0)</f>
        <v/>
      </c>
      <c r="T654">
        <f>IF(C654,(H654*N654*IF(AND(Inputs!$B$38&lt;&gt;"pvp",Inputs!$B$43&gt;0),((Skills!G11*((R654-1)*IF(Skills!H11&gt;0,Skills!I11/Skills!H11,1)+IF(Skills!H11&gt;0,MIN(Skills!I11,MAX(0,MAX(0,Inputs!$B$43-B681)-((R654-1)*(IF(Inputs!$B$38="pvp",15,MAX(0.1,Skills!D11-IF(Skills!E11=TRUE,Inputs!$B$32,0)))*(1-IF(AND(ArtifactsInput!$M$27,Inputs!$B$4="Chapter Hunt"),CHOOSE(ArtifactsInput!$N$27+1,20,24,28,32,36,40),0)/100)))))/Skills!H11,1)))/Inputs!$B$43),G654*Q654)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654*(1-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654*(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654*(1-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654*(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4">
        <f>IF(C654,(H654*N654*IF(AND(Inputs!$B$38&lt;&gt;"pvp",Inputs!$B$43&gt;0),((Skills!G11*((R654-1)*IF(Skills!H11&gt;0,Skills!I11/Skills!H11,1)+IF(Skills!H11&gt;0,MIN(Skills!I11,MAX(0,MAX(0,Inputs!$B$43-B681)-((R654-1)*(IF(Inputs!$B$38="pvp",15,MAX(0.1,Skills!D11-IF(Skills!E11=TRUE,Inputs!$B$32,0)))*(1-IF(AND(ArtifactsInput!$M$27,Inputs!$B$4="Chapter Hunt"),CHOOSE(ArtifactsInput!$N$27+1,20,24,28,32,36,40),0)/100)))))/Skills!H11,1)))/Inputs!$B$43),G654*Q654))*IF(Inputs!$B$38="pvp",1,(1+(Inputs!$B$21+Skills!Q11+(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5">
      <c r="A655">
        <f>Skills!A12</f>
        <v/>
      </c>
      <c r="B655">
        <f>Skills!B12</f>
        <v/>
      </c>
      <c r="C655">
        <f>Inputs!$B$3&gt;=110</f>
        <v/>
      </c>
      <c r="D655">
        <f>IF(Skills!C12=1,60+Inputs!$B$25+Inputs!$B$29,IF(Skills!C12=2,90+Inputs!$B$26+Inputs!$B$29,IF(Skills!C12=3,120+Inputs!$B$27+Inputs!$B$29,MAX(0,(Inputs!$B$3-100)*3)+Inputs!$B$28+Inputs!$B$29)))</f>
        <v/>
      </c>
      <c r="E655">
        <f>INDEX(FactorTable!$B$2:$Y$301, MATCH(ROUND(MIN(300,MAX(1,D655)),0), FactorTable!$A$2:$A$301,0), Skills!M12+1)</f>
        <v/>
      </c>
      <c r="F655">
        <f>IF(Skills!N12=TRUE,(Skills!L12/10)*(E655/1000),Skills!L12/10)+Skills!O12</f>
        <v/>
      </c>
      <c r="G655">
        <f>Skills!G12*IF(Skills!H12&gt;0,Skills!I12/Skills!H12,1)</f>
        <v/>
      </c>
      <c r="H655">
        <f>1-(1-Skills!J12/100)^Skills!K12</f>
        <v/>
      </c>
      <c r="I655" t="inlineStr">
        <is>
          <t>1</t>
        </is>
      </c>
      <c r="J655">
        <f>((Inputs!$B$6*(1+Inputs!$B$7/100))+(((Inputs!$B$12*(1+Inputs!$B$13/100))-(Inputs!$B$12*(1+Inputs!$B$13/100)))+0.25*(Inputs!$B$14-Inputs!$B$14))*(1+Inputs!$B$7/100))*(F655/100)</f>
        <v/>
      </c>
      <c r="K655">
        <f>J655*(1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655)</f>
        <v/>
      </c>
      <c r="L655">
        <f>K655*(MIN(Inputs!$B$22+((C665=TRUE)*(F665-Calc!F22)),(Inputs!$B$23+0+(IF(ArtifactsInput!$M$15,CHOOSE(ArtifactsInput!$N$15+1,25,30,35,40,45,50)/100*(Inputs!$B$11-Inputs!$B$11),0))))/100+(Inputs!$B$23+0+(IF(ArtifactsInput!$M$15,CHOOSE(ArtifactsInput!$N$15+1,25,30,35,40,45,50)/100*(Inputs!$B$11-Inputs!$B$11),0)))/100)/2</f>
        <v/>
      </c>
      <c r="M655">
        <f>L655*(1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5">
        <f>L655*(1-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655*(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5">
        <f>(1-Summary!$B$11)*T655+Summary!$B$11*V655</f>
        <v/>
      </c>
      <c r="P655">
        <f>IF(B684=0,0,O655/B684)</f>
        <v/>
      </c>
      <c r="Q655">
        <f>IFERROR(1/(IF(Inputs!$B$38="pvp",15,MAX(0.1,Skills!D12-IF(Skills!E12=TRUE,Inputs!$B$32,0)))*(1-IF(AND(ArtifactsInput!$M$27,Inputs!$B$4="Chapter Hunt"),CHOOSE(ArtifactsInput!$N$27+1,20,24,28,32,36,40),0)/100)),0)</f>
        <v/>
      </c>
      <c r="R655">
        <f>IF(AND(Inputs!$B$38&lt;&gt;"pvp",Inputs!$B$43&gt;0),IF(MAX(0,Inputs!$B$43-B681)&lt;=0,0,(INT(MAX(0,Inputs!$B$43-B681)/(IF(Inputs!$B$38="pvp",15,MAX(0.1,Skills!D12-IF(Skills!E12=TRUE,Inputs!$B$32,0)))*(1-IF(AND(ArtifactsInput!$M$27,Inputs!$B$4="Chapter Hunt"),CHOOSE(ArtifactsInput!$N$27+1,20,24,28,32,36,40),0)/100)))+1)),0)</f>
        <v/>
      </c>
      <c r="S655">
        <f>IFERROR(O655/N655,0)</f>
        <v/>
      </c>
      <c r="T655">
        <f>IF(C655,(H655*N655*IF(AND(Inputs!$B$38&lt;&gt;"pvp",Inputs!$B$43&gt;0),((Skills!G12*((R655-1)*IF(Skills!H12&gt;0,Skills!I12/Skills!H12,1)+IF(Skills!H12&gt;0,MIN(Skills!I12,MAX(0,MAX(0,Inputs!$B$43-B681)-((R655-1)*(IF(Inputs!$B$38="pvp",15,MAX(0.1,Skills!D12-IF(Skills!E12=TRUE,Inputs!$B$32,0)))*(1-IF(AND(ArtifactsInput!$M$27,Inputs!$B$4="Chapter Hunt"),CHOOSE(ArtifactsInput!$N$27+1,20,24,28,32,36,40),0)/100)))))/Skills!H12,1)))/Inputs!$B$43),G655*Q655)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655*(1-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655*(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655*(1-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655*(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5">
        <f>IF(C655,(H655*N655*IF(AND(Inputs!$B$38&lt;&gt;"pvp",Inputs!$B$43&gt;0),((Skills!G12*((R655-1)*IF(Skills!H12&gt;0,Skills!I12/Skills!H12,1)+IF(Skills!H12&gt;0,MIN(Skills!I12,MAX(0,MAX(0,Inputs!$B$43-B681)-((R655-1)*(IF(Inputs!$B$38="pvp",15,MAX(0.1,Skills!D12-IF(Skills!E12=TRUE,Inputs!$B$32,0)))*(1-IF(AND(ArtifactsInput!$M$27,Inputs!$B$4="Chapter Hunt"),CHOOSE(ArtifactsInput!$N$27+1,20,24,28,32,36,40),0)/100)))))/Skills!H12,1)))/Inputs!$B$43),G655*Q655))*IF(Inputs!$B$38="pvp",1,(1+(Inputs!$B$21+Skills!Q12+(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6">
      <c r="A656">
        <f>Skills!A13</f>
        <v/>
      </c>
      <c r="B656">
        <f>Skills!B13</f>
        <v/>
      </c>
      <c r="C656">
        <f>Inputs!$B$3&gt;=110</f>
        <v/>
      </c>
      <c r="D656">
        <f>IF(Skills!C13=1,60+Inputs!$B$25+Inputs!$B$29,IF(Skills!C13=2,90+Inputs!$B$26+Inputs!$B$29,IF(Skills!C13=3,120+Inputs!$B$27+Inputs!$B$29,MAX(0,(Inputs!$B$3-100)*3)+Inputs!$B$28+Inputs!$B$29)))</f>
        <v/>
      </c>
      <c r="E656">
        <f>INDEX(FactorTable!$B$2:$Y$301, MATCH(ROUND(MIN(300,MAX(1,D656)),0), FactorTable!$A$2:$A$301,0), Skills!M13+1)</f>
        <v/>
      </c>
      <c r="F656">
        <f>IF(Skills!N13=TRUE,(Skills!L13/10)*(E656/1000),Skills!L13/10)+Skills!O13</f>
        <v/>
      </c>
      <c r="G656">
        <f>Skills!G13*IF(Skills!H13&gt;0,Skills!I13/Skills!H13,1)</f>
        <v/>
      </c>
      <c r="H656">
        <f>1-(1-Skills!J13/100)^Skills!K13</f>
        <v/>
      </c>
      <c r="I656" t="inlineStr">
        <is>
          <t>1</t>
        </is>
      </c>
      <c r="J656">
        <f>((Inputs!$B$6*(1+Inputs!$B$7/100))+(((Inputs!$B$12*(1+Inputs!$B$13/100))-(Inputs!$B$12*(1+Inputs!$B$13/100)))+0.25*(Inputs!$B$14-Inputs!$B$14))*(1+Inputs!$B$7/100))*(F656/100)</f>
        <v/>
      </c>
      <c r="K656">
        <f>J656*(1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656)</f>
        <v/>
      </c>
      <c r="L656">
        <f>K656*(MIN(Inputs!$B$22+((C665=TRUE)*(F665-Calc!F22)),(Inputs!$B$23+0+(IF(ArtifactsInput!$M$15,CHOOSE(ArtifactsInput!$N$15+1,25,30,35,40,45,50)/100*(Inputs!$B$11-Inputs!$B$11),0))))/100+(Inputs!$B$23+0+(IF(ArtifactsInput!$M$15,CHOOSE(ArtifactsInput!$N$15+1,25,30,35,40,45,50)/100*(Inputs!$B$11-Inputs!$B$11),0)))/100)/2</f>
        <v/>
      </c>
      <c r="M656">
        <f>L656*(1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6">
        <f>L656*(1-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656*(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6">
        <f>(1-Summary!$B$11)*T656+Summary!$B$11*V656</f>
        <v/>
      </c>
      <c r="P656">
        <f>IF(B684=0,0,O656/B684)</f>
        <v/>
      </c>
      <c r="Q656">
        <f>IFERROR(1/(IF(Inputs!$B$38="pvp",15,MAX(0.1,Skills!D13-IF(Skills!E13=TRUE,Inputs!$B$32,0)))*(1-IF(AND(ArtifactsInput!$M$27,Inputs!$B$4="Chapter Hunt"),CHOOSE(ArtifactsInput!$N$27+1,20,24,28,32,36,40),0)/100)),0)</f>
        <v/>
      </c>
      <c r="R656">
        <f>IF(AND(Inputs!$B$38&lt;&gt;"pvp",Inputs!$B$43&gt;0),IF(MAX(0,Inputs!$B$43-B681)&lt;=0,0,(INT(MAX(0,Inputs!$B$43-B681)/(IF(Inputs!$B$38="pvp",15,MAX(0.1,Skills!D13-IF(Skills!E13=TRUE,Inputs!$B$32,0)))*(1-IF(AND(ArtifactsInput!$M$27,Inputs!$B$4="Chapter Hunt"),CHOOSE(ArtifactsInput!$N$27+1,20,24,28,32,36,40),0)/100)))+1)),0)</f>
        <v/>
      </c>
      <c r="S656">
        <f>IFERROR(O656/N656,0)</f>
        <v/>
      </c>
      <c r="T656">
        <f>IF(C656,(H656*N656*IF(AND(Inputs!$B$38&lt;&gt;"pvp",Inputs!$B$43&gt;0),((Skills!G13*((R656-1)*IF(Skills!H13&gt;0,Skills!I13/Skills!H13,1)+IF(Skills!H13&gt;0,MIN(Skills!I13,MAX(0,MAX(0,Inputs!$B$43-B681)-((R656-1)*(IF(Inputs!$B$38="pvp",15,MAX(0.1,Skills!D13-IF(Skills!E13=TRUE,Inputs!$B$32,0)))*(1-IF(AND(ArtifactsInput!$M$27,Inputs!$B$4="Chapter Hunt"),CHOOSE(ArtifactsInput!$N$27+1,20,24,28,32,36,40),0)/100)))))/Skills!H13,1)))/Inputs!$B$43),G656*Q656)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656*(1-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656*(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656*(1-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656*(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6">
        <f>IF(C656,(H656*N656*IF(AND(Inputs!$B$38&lt;&gt;"pvp",Inputs!$B$43&gt;0),((Skills!G13*((R656-1)*IF(Skills!H13&gt;0,Skills!I13/Skills!H13,1)+IF(Skills!H13&gt;0,MIN(Skills!I13,MAX(0,MAX(0,Inputs!$B$43-B681)-((R656-1)*(IF(Inputs!$B$38="pvp",15,MAX(0.1,Skills!D13-IF(Skills!E13=TRUE,Inputs!$B$32,0)))*(1-IF(AND(ArtifactsInput!$M$27,Inputs!$B$4="Chapter Hunt"),CHOOSE(ArtifactsInput!$N$27+1,20,24,28,32,36,40),0)/100)))))/Skills!H13,1)))/Inputs!$B$43),G656*Q656))*IF(Inputs!$B$38="pvp",1,(1+(Inputs!$B$21+Skills!Q13+(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7">
      <c r="A657">
        <f>Skills!A14</f>
        <v/>
      </c>
      <c r="B657">
        <f>Skills!B14</f>
        <v/>
      </c>
      <c r="C657">
        <f>Inputs!$B$3&gt;=125</f>
        <v/>
      </c>
      <c r="D657">
        <f>IF(Skills!C14=1,60+Inputs!$B$25+Inputs!$B$29,IF(Skills!C14=2,90+Inputs!$B$26+Inputs!$B$29,IF(Skills!C14=3,120+Inputs!$B$27+Inputs!$B$29,MAX(0,(Inputs!$B$3-100)*3)+Inputs!$B$28+Inputs!$B$29)))</f>
        <v/>
      </c>
      <c r="E657">
        <f>INDEX(FactorTable!$B$2:$Y$301, MATCH(ROUND(MIN(300,MAX(1,D657)),0), FactorTable!$A$2:$A$301,0), Skills!M14+1)</f>
        <v/>
      </c>
      <c r="F657">
        <f>IF(Skills!N14=TRUE,(Skills!L14/10)*(E657/1000),Skills!L14/10)+Skills!O14</f>
        <v/>
      </c>
      <c r="G657">
        <f>Skills!G14*IF(Skills!H14&gt;0,Skills!I14/Skills!H14,1)</f>
        <v/>
      </c>
      <c r="H657">
        <f>1-(1-Skills!J14/100)^Skills!K14</f>
        <v/>
      </c>
      <c r="I657" t="inlineStr">
        <is>
          <t>1</t>
        </is>
      </c>
      <c r="J657">
        <f>((Inputs!$B$6*(1+Inputs!$B$7/100))+(((Inputs!$B$12*(1+Inputs!$B$13/100))-(Inputs!$B$12*(1+Inputs!$B$13/100)))+0.25*(Inputs!$B$14-Inputs!$B$14))*(1+Inputs!$B$7/100))*(F657/100)</f>
        <v/>
      </c>
      <c r="K657">
        <f>J657*(1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657)</f>
        <v/>
      </c>
      <c r="L657">
        <f>K657*(MIN(Inputs!$B$22+((C665=TRUE)*(F665-Calc!F22)),(Inputs!$B$23+0+(IF(ArtifactsInput!$M$15,CHOOSE(ArtifactsInput!$N$15+1,25,30,35,40,45,50)/100*(Inputs!$B$11-Inputs!$B$11),0))))/100+(Inputs!$B$23+0+(IF(ArtifactsInput!$M$15,CHOOSE(ArtifactsInput!$N$15+1,25,30,35,40,45,50)/100*(Inputs!$B$11-Inputs!$B$11),0)))/100)/2</f>
        <v/>
      </c>
      <c r="M657">
        <f>L657*(1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7">
        <f>L657*(1-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657*(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7">
        <f>(1-Summary!$B$11)*T657+Summary!$B$11*V657</f>
        <v/>
      </c>
      <c r="P657">
        <f>IF(B684=0,0,O657/B684)</f>
        <v/>
      </c>
      <c r="Q657" t="n">
        <v>0</v>
      </c>
      <c r="R657" t="n">
        <v>0</v>
      </c>
      <c r="S657">
        <f>IFERROR(O657/N657,0)</f>
        <v/>
      </c>
      <c r="T657">
        <f>IF(C657,(H657*N657*(B678+IF(AND(Inputs!$B$38&lt;&gt;"pvp",Inputs!$B$43&gt;0),((Skills!G8*((R651-1)*IF(Skills!H8&gt;0,Skills!I8/Skills!H8,1)+IF(Skills!H8&gt;0,MIN(Skills!I8,MAX(0,MAX(0,Inputs!$B$43-B681)-((R651-1)*(IF(Inputs!$B$38="pvp",15,MAX(0.1,Skills!D8-IF(Skills!E8=TRUE,Inputs!$B$32,0)))*(1-IF(AND(ArtifactsInput!$M$27,Inputs!$B$4="Chapter Hunt"),CHOOSE(ArtifactsInput!$N$27+1,20,24,28,32,36,40),0)/100)))))/Skills!H8,1)))/Inputs!$B$43),G651*Q651)+IF(AND(Inputs!$B$38&lt;&gt;"pvp",Inputs!$B$43&gt;0),((Skills!G11*((R654-1)*IF(Skills!H11&gt;0,Skills!I11/Skills!H11,1)+IF(Skills!H11&gt;0,MIN(Skills!I11,MAX(0,MAX(0,Inputs!$B$43-B681)-((R654-1)*(IF(Inputs!$B$38="pvp",15,MAX(0.1,Skills!D11-IF(Skills!E11=TRUE,Inputs!$B$32,0)))*(1-IF(AND(ArtifactsInput!$M$27,Inputs!$B$4="Chapter Hunt"),CHOOSE(ArtifactsInput!$N$27+1,20,24,28,32,36,40),0)/100)))))/Skills!H11,1)))/Inputs!$B$43),G654*Q654)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657*(1-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657*(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657*(1-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657*(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7">
        <f>IF(C657,(H657*N657*(B678+IF(AND(Inputs!$B$38&lt;&gt;"pvp",Inputs!$B$43&gt;0),((Skills!G8*((R651-1)*IF(Skills!H8&gt;0,Skills!I8/Skills!H8,1)+IF(Skills!H8&gt;0,MIN(Skills!I8,MAX(0,MAX(0,Inputs!$B$43-B681)-((R651-1)*(IF(Inputs!$B$38="pvp",15,MAX(0.1,Skills!D8-IF(Skills!E8=TRUE,Inputs!$B$32,0)))*(1-IF(AND(ArtifactsInput!$M$27,Inputs!$B$4="Chapter Hunt"),CHOOSE(ArtifactsInput!$N$27+1,20,24,28,32,36,40),0)/100)))))/Skills!H8,1)))/Inputs!$B$43),G651*Q651)+IF(AND(Inputs!$B$38&lt;&gt;"pvp",Inputs!$B$43&gt;0),((Skills!G11*((R654-1)*IF(Skills!H11&gt;0,Skills!I11/Skills!H11,1)+IF(Skills!H11&gt;0,MIN(Skills!I11,MAX(0,MAX(0,Inputs!$B$43-B681)-((R654-1)*(IF(Inputs!$B$38="pvp",15,MAX(0.1,Skills!D11-IF(Skills!E11=TRUE,Inputs!$B$32,0)))*(1-IF(AND(ArtifactsInput!$M$27,Inputs!$B$4="Chapter Hunt"),CHOOSE(ArtifactsInput!$N$27+1,20,24,28,32,36,40),0)/100)))))/Skills!H11,1)))/Inputs!$B$43),G654*Q654)))*IF(Inputs!$B$38="pvp",1,(1+(Inputs!$B$21+Skills!Q14+(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8">
      <c r="A658">
        <f>Skills!A15</f>
        <v/>
      </c>
      <c r="B658">
        <f>Skills!B15</f>
        <v/>
      </c>
      <c r="C658">
        <f>Inputs!$B$3&gt;=100</f>
        <v/>
      </c>
      <c r="D658">
        <f>IF(Skills!C15=1,60+Inputs!$B$25+Inputs!$B$29,IF(Skills!C15=2,90+Inputs!$B$26+Inputs!$B$29,IF(Skills!C15=3,120+Inputs!$B$27+Inputs!$B$29,MAX(0,(Inputs!$B$3-100)*3)+Inputs!$B$28+Inputs!$B$29)))</f>
        <v/>
      </c>
      <c r="E658">
        <f>INDEX(FactorTable!$B$2:$Y$301, MATCH(ROUND(MIN(300,MAX(1,D658)),0), FactorTable!$A$2:$A$301,0), Skills!M15+1)</f>
        <v/>
      </c>
      <c r="F658">
        <f>IF(Skills!N15=TRUE,(Skills!L15/10)*(E658/1000),Skills!L15/10)+Skills!O15</f>
        <v/>
      </c>
      <c r="G658" t="inlineStr"/>
      <c r="H658" t="inlineStr"/>
      <c r="I658" t="inlineStr">
        <is>
          <t>1</t>
        </is>
      </c>
      <c r="J658" t="inlineStr"/>
      <c r="K658" t="inlineStr"/>
      <c r="L658" t="inlineStr"/>
      <c r="M658" t="inlineStr"/>
      <c r="N658" t="inlineStr"/>
      <c r="O658" t="inlineStr"/>
      <c r="P658" t="inlineStr"/>
      <c r="Q658" t="inlineStr"/>
      <c r="R658" t="inlineStr"/>
      <c r="S658" t="inlineStr"/>
    </row>
    <row r="659">
      <c r="A659">
        <f>Skills!A16</f>
        <v/>
      </c>
      <c r="B659">
        <f>Skills!B16</f>
        <v/>
      </c>
      <c r="C659">
        <f>Inputs!$B$3&gt;=120</f>
        <v/>
      </c>
      <c r="D659">
        <f>IF(Skills!C16=1,60+Inputs!$B$25+Inputs!$B$29,IF(Skills!C16=2,90+Inputs!$B$26+Inputs!$B$29,IF(Skills!C16=3,120+Inputs!$B$27+Inputs!$B$29,MAX(0,(Inputs!$B$3-100)*3)+Inputs!$B$28+Inputs!$B$29)))</f>
        <v/>
      </c>
      <c r="E659">
        <f>INDEX(FactorTable!$B$2:$Y$301, MATCH(ROUND(MIN(300,MAX(1,D659)),0), FactorTable!$A$2:$A$301,0), Skills!M16+1)</f>
        <v/>
      </c>
      <c r="F659">
        <f>IF(Skills!N16=TRUE,(Skills!L16/10)*(E659/1000),Skills!L16/10)+Skills!O16</f>
        <v/>
      </c>
      <c r="G659" t="inlineStr"/>
      <c r="H659" t="inlineStr"/>
      <c r="I659" t="inlineStr">
        <is>
          <t>1</t>
        </is>
      </c>
      <c r="J659" t="inlineStr"/>
      <c r="K659" t="inlineStr"/>
      <c r="L659" t="inlineStr"/>
      <c r="M659" t="inlineStr"/>
      <c r="N659" t="inlineStr"/>
      <c r="O659" t="inlineStr"/>
      <c r="P659" t="inlineStr"/>
      <c r="Q659" t="inlineStr"/>
      <c r="R659" t="inlineStr"/>
      <c r="S659" t="inlineStr"/>
    </row>
    <row r="660">
      <c r="A660">
        <f>Skills!A17</f>
        <v/>
      </c>
      <c r="B660">
        <f>Skills!B17</f>
        <v/>
      </c>
      <c r="C660">
        <f>Inputs!$B$3&gt;=66</f>
        <v/>
      </c>
      <c r="D660">
        <f>IF(Skills!C17=1,60+Inputs!$B$25+Inputs!$B$29,IF(Skills!C17=2,90+Inputs!$B$26+Inputs!$B$29,IF(Skills!C17=3,120+Inputs!$B$27+Inputs!$B$29,MAX(0,(Inputs!$B$3-100)*3)+Inputs!$B$28+Inputs!$B$29)))</f>
        <v/>
      </c>
      <c r="E660">
        <f>INDEX(FactorTable!$B$2:$Y$301, MATCH(ROUND(MIN(300,MAX(1,D660)),0), FactorTable!$A$2:$A$301,0), Skills!M17+1)</f>
        <v/>
      </c>
      <c r="F660">
        <f>IF(Skills!N17=TRUE,(Skills!L17/10)*(E660/1000),Skills!L17/10)+Skills!O17</f>
        <v/>
      </c>
      <c r="G660">
        <f>Skills!G17*IF(Skills!H17&gt;0,Skills!I17/Skills!H17,1)</f>
        <v/>
      </c>
      <c r="H660">
        <f>1-(1-Skills!J17/100)^Skills!K17</f>
        <v/>
      </c>
      <c r="I660" t="inlineStr">
        <is>
          <t>1</t>
        </is>
      </c>
      <c r="J660" t="inlineStr"/>
      <c r="K660" t="inlineStr"/>
      <c r="L660" t="inlineStr"/>
      <c r="M660" t="inlineStr"/>
      <c r="N660" t="inlineStr"/>
      <c r="O660">
        <f>(1-Summary!$B$11)*T660+Summary!$B$11*V660</f>
        <v/>
      </c>
      <c r="P660">
        <f>IF(B684=0,0,O660/B684)</f>
        <v/>
      </c>
      <c r="Q660" t="n">
        <v>0</v>
      </c>
      <c r="R660" t="n">
        <v>0</v>
      </c>
      <c r="S660">
        <f>IFERROR(O660/N660,0)</f>
        <v/>
      </c>
      <c r="T660" t="n">
        <v>0</v>
      </c>
      <c r="V660" t="n">
        <v>0</v>
      </c>
    </row>
    <row r="661">
      <c r="A661">
        <f>Skills!A18</f>
        <v/>
      </c>
      <c r="B661">
        <f>Skills!B18</f>
        <v/>
      </c>
      <c r="C661">
        <f>Inputs!$B$3&gt;=115</f>
        <v/>
      </c>
      <c r="D661">
        <f>IF(Skills!C18=1,60+Inputs!$B$25+Inputs!$B$29,IF(Skills!C18=2,90+Inputs!$B$26+Inputs!$B$29,IF(Skills!C18=3,120+Inputs!$B$27+Inputs!$B$29,MAX(0,(Inputs!$B$3-100)*3)+Inputs!$B$28+Inputs!$B$29)))</f>
        <v/>
      </c>
      <c r="E661">
        <f>INDEX(FactorTable!$B$2:$Y$301, MATCH(ROUND(MIN(300,MAX(1,D661)),0), FactorTable!$A$2:$A$301,0), Skills!M18+1)</f>
        <v/>
      </c>
      <c r="F661">
        <f>IF(Skills!N18=TRUE,(Skills!L18/10)*(E661/1000),Skills!L18/10)+Skills!O18</f>
        <v/>
      </c>
      <c r="G661">
        <f>Skills!G18*IF(Skills!H18&gt;0,Skills!I18/Skills!H18,1)</f>
        <v/>
      </c>
      <c r="H661">
        <f>1-(1-Skills!J18/100)^Skills!K18</f>
        <v/>
      </c>
      <c r="I661" t="inlineStr">
        <is>
          <t>1</t>
        </is>
      </c>
      <c r="J661" t="inlineStr"/>
      <c r="K661" t="inlineStr"/>
      <c r="L661" t="inlineStr"/>
      <c r="M661" t="inlineStr"/>
      <c r="N661" t="inlineStr"/>
      <c r="O661">
        <f>(1-Summary!$B$11)*T661+Summary!$B$11*V661</f>
        <v/>
      </c>
      <c r="P661">
        <f>IF(B684=0,0,O661/B684)</f>
        <v/>
      </c>
      <c r="Q661">
        <f>IFERROR(1/(IF(Inputs!$B$38="pvp",15,MAX(0.1,Skills!D18-IF(Skills!E18=TRUE,Inputs!$B$32,0)))*(1-IF(AND(ArtifactsInput!$M$27,Inputs!$B$4="Chapter Hunt"),CHOOSE(ArtifactsInput!$N$27+1,20,24,28,32,36,40),0)/100)),0)</f>
        <v/>
      </c>
      <c r="R661">
        <f>IF(AND(Inputs!$B$38&lt;&gt;"pvp",Inputs!$B$43&gt;0),IF(Inputs!$B$43&lt;=0,0,(INT(Inputs!$B$43/(IF(Inputs!$B$38="pvp",15,MAX(0.1,Skills!D18-IF(Skills!E18=TRUE,Inputs!$B$32,0)))*(1-IF(AND(ArtifactsInput!$M$27,Inputs!$B$4="Chapter Hunt"),CHOOSE(ArtifactsInput!$N$27+1,20,24,28,32,36,40),0)/100)))+1)),0)</f>
        <v/>
      </c>
      <c r="S661">
        <f>IFERROR(O661/N661,0)</f>
        <v/>
      </c>
      <c r="T661" t="n">
        <v>0</v>
      </c>
      <c r="V661" t="n">
        <v>0</v>
      </c>
    </row>
    <row r="662">
      <c r="A662">
        <f>Skills!A19</f>
        <v/>
      </c>
      <c r="B662">
        <f>Skills!B19</f>
        <v/>
      </c>
      <c r="C662">
        <f>Inputs!$B$3&gt;=15</f>
        <v/>
      </c>
      <c r="D662">
        <f>IF(Skills!C19=1,60+Inputs!$B$25+Inputs!$B$29,IF(Skills!C19=2,90+Inputs!$B$26+Inputs!$B$29,IF(Skills!C19=3,120+Inputs!$B$27+Inputs!$B$29,MAX(0,(Inputs!$B$3-100)*3)+Inputs!$B$28+Inputs!$B$29)))</f>
        <v/>
      </c>
      <c r="E662">
        <f>INDEX(FactorTable!$B$2:$Y$301, MATCH(ROUND(MIN(300,MAX(1,D662)),0), FactorTable!$A$2:$A$301,0), Skills!M19+1)</f>
        <v/>
      </c>
      <c r="F662">
        <f>IF(Skills!N19=TRUE,(Skills!L19/10)*(E662/1000),Skills!L19/10)+Skills!O19</f>
        <v/>
      </c>
      <c r="G662">
        <f>Skills!G19*IF(Skills!H19&gt;0,Skills!I19/Skills!H19,1)</f>
        <v/>
      </c>
      <c r="H662">
        <f>1-(1-Skills!J19/100)^Skills!K19</f>
        <v/>
      </c>
      <c r="I662" t="inlineStr">
        <is>
          <t>1</t>
        </is>
      </c>
      <c r="J662" t="inlineStr"/>
      <c r="K662" t="inlineStr"/>
      <c r="L662" t="inlineStr"/>
      <c r="M662" t="inlineStr"/>
      <c r="N662" t="inlineStr"/>
      <c r="O662">
        <f>(1-Summary!$B$11)*T662+Summary!$B$11*V662</f>
        <v/>
      </c>
      <c r="P662">
        <f>IF(B684=0,0,O662/B684)</f>
        <v/>
      </c>
      <c r="Q662" t="n">
        <v>0</v>
      </c>
      <c r="R662" t="n">
        <v>0</v>
      </c>
      <c r="S662">
        <f>IFERROR(O662/N662,0)</f>
        <v/>
      </c>
      <c r="T662" t="n">
        <v>0</v>
      </c>
      <c r="V662" t="n">
        <v>0</v>
      </c>
    </row>
    <row r="663">
      <c r="A663">
        <f>Skills!A20</f>
        <v/>
      </c>
      <c r="B663">
        <f>Skills!B20</f>
        <v/>
      </c>
      <c r="C663">
        <f>Inputs!$B$3&gt;=10</f>
        <v/>
      </c>
      <c r="D663">
        <f>IF(Skills!C20=1,60+Inputs!$B$25+Inputs!$B$29,IF(Skills!C20=2,90+Inputs!$B$26+Inputs!$B$29,IF(Skills!C20=3,120+Inputs!$B$27+Inputs!$B$29,MAX(0,(Inputs!$B$3-100)*3)+Inputs!$B$28+Inputs!$B$29)))</f>
        <v/>
      </c>
      <c r="E663">
        <f>INDEX(FactorTable!$B$2:$Y$301, MATCH(ROUND(MIN(300,MAX(1,D663)),0), FactorTable!$A$2:$A$301,0), Skills!M20+1)</f>
        <v/>
      </c>
      <c r="F663">
        <f>IF(Skills!N20=TRUE,(Skills!L20/10)*(E663/1000),Skills!L20/10)+Skills!O20</f>
        <v/>
      </c>
      <c r="G663">
        <f>Skills!G20*IF(Skills!H20&gt;0,Skills!I20/Skills!H20,1)</f>
        <v/>
      </c>
      <c r="H663">
        <f>1-(1-Skills!J20/100)^Skills!K20</f>
        <v/>
      </c>
      <c r="I663" t="inlineStr">
        <is>
          <t>1</t>
        </is>
      </c>
      <c r="J663" t="inlineStr"/>
      <c r="K663" t="inlineStr"/>
      <c r="L663" t="inlineStr"/>
      <c r="M663" t="inlineStr"/>
      <c r="N663" t="inlineStr"/>
      <c r="O663">
        <f>(1-Summary!$B$11)*T663+Summary!$B$11*V663</f>
        <v/>
      </c>
      <c r="P663">
        <f>IF(B684=0,0,O663/B684)</f>
        <v/>
      </c>
      <c r="Q663" t="n">
        <v>0</v>
      </c>
      <c r="R663" t="n">
        <v>0</v>
      </c>
      <c r="S663">
        <f>IFERROR(O663/N663,0)</f>
        <v/>
      </c>
      <c r="T663" t="n">
        <v>0</v>
      </c>
      <c r="V663" t="n">
        <v>0</v>
      </c>
    </row>
    <row r="664">
      <c r="A664">
        <f>Skills!A21</f>
        <v/>
      </c>
      <c r="B664">
        <f>Skills!B21</f>
        <v/>
      </c>
      <c r="C664">
        <f>Inputs!$B$3&gt;=33</f>
        <v/>
      </c>
      <c r="D664">
        <f>IF(Skills!C21=1,60+Inputs!$B$25+Inputs!$B$29,IF(Skills!C21=2,90+Inputs!$B$26+Inputs!$B$29,IF(Skills!C21=3,120+Inputs!$B$27+Inputs!$B$29,MAX(0,(Inputs!$B$3-100)*3)+Inputs!$B$28+Inputs!$B$29)))</f>
        <v/>
      </c>
      <c r="E664">
        <f>INDEX(FactorTable!$B$2:$Y$301, MATCH(ROUND(MIN(300,MAX(1,D664)),0), FactorTable!$A$2:$A$301,0), Skills!M21+1)</f>
        <v/>
      </c>
      <c r="F664">
        <f>IF(Skills!N21=TRUE,(Skills!L21/10)*(E664/1000),Skills!L21/10)+Skills!O21</f>
        <v/>
      </c>
      <c r="G664">
        <f>Skills!G21*IF(Skills!H21&gt;0,Skills!I21/Skills!H21,1)</f>
        <v/>
      </c>
      <c r="H664">
        <f>1-(1-Skills!J21/100)^Skills!K21</f>
        <v/>
      </c>
      <c r="I664" t="inlineStr">
        <is>
          <t>1</t>
        </is>
      </c>
      <c r="J664" t="inlineStr"/>
      <c r="K664" t="inlineStr"/>
      <c r="L664" t="inlineStr"/>
      <c r="M664" t="inlineStr"/>
      <c r="N664" t="inlineStr"/>
      <c r="O664">
        <f>(1-Summary!$B$11)*T664+Summary!$B$11*V664</f>
        <v/>
      </c>
      <c r="P664">
        <f>IF(B684=0,0,O664/B684)</f>
        <v/>
      </c>
      <c r="Q664" t="n">
        <v>0</v>
      </c>
      <c r="R664" t="n">
        <v>0</v>
      </c>
      <c r="S664">
        <f>IFERROR(O664/N664,0)</f>
        <v/>
      </c>
      <c r="T664" t="n">
        <v>0</v>
      </c>
      <c r="V664" t="n">
        <v>0</v>
      </c>
    </row>
    <row r="665">
      <c r="A665">
        <f>Skills!A22</f>
        <v/>
      </c>
      <c r="B665">
        <f>Skills!B22</f>
        <v/>
      </c>
      <c r="C665">
        <f>Inputs!$B$3&gt;=43</f>
        <v/>
      </c>
      <c r="D665">
        <f>IF(Skills!C22=1,60+Inputs!$B$25+Inputs!$B$29,IF(Skills!C22=2,90+Inputs!$B$26+Inputs!$B$29,IF(Skills!C22=3,120+Inputs!$B$27+Inputs!$B$29,MAX(0,(Inputs!$B$3-100)*3)+Inputs!$B$28+Inputs!$B$29)))</f>
        <v/>
      </c>
      <c r="E665">
        <f>INDEX(FactorTable!$B$2:$Y$301, MATCH(ROUND(MIN(300,MAX(1,D665)),0), FactorTable!$A$2:$A$301,0), Skills!M22+1)</f>
        <v/>
      </c>
      <c r="F665">
        <f>IF(Skills!N22=TRUE,(Skills!L22/10)*(E665/1000),Skills!L22/10)+Skills!O22</f>
        <v/>
      </c>
      <c r="G665">
        <f>Skills!G22*IF(Skills!H22&gt;0,Skills!I22/Skills!H22,1)</f>
        <v/>
      </c>
      <c r="H665">
        <f>1-(1-Skills!J22/100)^Skills!K22</f>
        <v/>
      </c>
      <c r="I665" t="inlineStr">
        <is>
          <t>1</t>
        </is>
      </c>
      <c r="J665" t="inlineStr"/>
      <c r="K665" t="inlineStr"/>
      <c r="L665" t="inlineStr"/>
      <c r="M665" t="inlineStr"/>
      <c r="N665" t="inlineStr"/>
      <c r="O665">
        <f>(1-Summary!$B$11)*T665+Summary!$B$11*V665</f>
        <v/>
      </c>
      <c r="P665">
        <f>IF(B684=0,0,O665/B684)</f>
        <v/>
      </c>
      <c r="Q665" t="n">
        <v>0</v>
      </c>
      <c r="R665" t="n">
        <v>0</v>
      </c>
      <c r="S665">
        <f>IFERROR(O665/N665,0)</f>
        <v/>
      </c>
      <c r="T665" t="n">
        <v>0</v>
      </c>
      <c r="V665" t="n">
        <v>0</v>
      </c>
    </row>
    <row r="666">
      <c r="A666">
        <f>Skills!A23</f>
        <v/>
      </c>
      <c r="B666">
        <f>Skills!B23</f>
        <v/>
      </c>
      <c r="C666">
        <f>Inputs!$B$3&gt;=38</f>
        <v/>
      </c>
      <c r="D666">
        <f>IF(Skills!C23=1,60+Inputs!$B$25+Inputs!$B$29,IF(Skills!C23=2,90+Inputs!$B$26+Inputs!$B$29,IF(Skills!C23=3,120+Inputs!$B$27+Inputs!$B$29,MAX(0,(Inputs!$B$3-100)*3)+Inputs!$B$28+Inputs!$B$29)))</f>
        <v/>
      </c>
      <c r="E666">
        <f>INDEX(FactorTable!$B$2:$Y$301, MATCH(ROUND(MIN(300,MAX(1,D666)),0), FactorTable!$A$2:$A$301,0), Skills!M23+1)</f>
        <v/>
      </c>
      <c r="F666">
        <f>IF(Skills!N23=TRUE,(Skills!L23/10)*(E666/1000),Skills!L23/10)+Skills!O23</f>
        <v/>
      </c>
      <c r="G666">
        <f>Skills!G23*IF(Skills!H23&gt;0,Skills!I23/Skills!H23,1)</f>
        <v/>
      </c>
      <c r="H666">
        <f>1-(1-Skills!J23/100)^Skills!K23</f>
        <v/>
      </c>
      <c r="I666" t="inlineStr">
        <is>
          <t>1</t>
        </is>
      </c>
      <c r="J666" t="inlineStr"/>
      <c r="K666" t="inlineStr"/>
      <c r="L666" t="inlineStr"/>
      <c r="M666" t="inlineStr"/>
      <c r="N666" t="inlineStr"/>
      <c r="O666">
        <f>(1-Summary!$B$11)*T666+Summary!$B$11*V666</f>
        <v/>
      </c>
      <c r="P666">
        <f>IF(B684=0,0,O666/B684)</f>
        <v/>
      </c>
      <c r="Q666" t="n">
        <v>0</v>
      </c>
      <c r="R666" t="n">
        <v>0</v>
      </c>
      <c r="S666">
        <f>IFERROR(O666/N666,0)</f>
        <v/>
      </c>
      <c r="T666" t="n">
        <v>0</v>
      </c>
      <c r="V666" t="n">
        <v>0</v>
      </c>
    </row>
    <row r="667">
      <c r="A667">
        <f>Skills!A24</f>
        <v/>
      </c>
      <c r="B667">
        <f>Skills!B24</f>
        <v/>
      </c>
      <c r="C667">
        <f>Inputs!$B$3&gt;=40</f>
        <v/>
      </c>
      <c r="D667">
        <f>IF(Skills!C24=1,60+Inputs!$B$25+Inputs!$B$29,IF(Skills!C24=2,90+Inputs!$B$26+Inputs!$B$29,IF(Skills!C24=3,120+Inputs!$B$27+Inputs!$B$29,MAX(0,(Inputs!$B$3-100)*3)+Inputs!$B$28+Inputs!$B$29)))</f>
        <v/>
      </c>
      <c r="E667">
        <f>INDEX(FactorTable!$B$2:$Y$301, MATCH(ROUND(MIN(300,MAX(1,D667)),0), FactorTable!$A$2:$A$301,0), Skills!M24+1)</f>
        <v/>
      </c>
      <c r="F667">
        <f>IF(Skills!N24=TRUE,(Skills!L24/10)*(E667/1000),Skills!L24/10)+Skills!O24</f>
        <v/>
      </c>
      <c r="G667">
        <f>Skills!G24*IF(Skills!H24&gt;0,Skills!I24/Skills!H24,1)</f>
        <v/>
      </c>
      <c r="H667">
        <f>1-(1-Skills!J24/100)^Skills!K24</f>
        <v/>
      </c>
      <c r="I667" t="inlineStr">
        <is>
          <t>1</t>
        </is>
      </c>
      <c r="J667" t="inlineStr"/>
      <c r="K667" t="inlineStr"/>
      <c r="L667" t="inlineStr"/>
      <c r="M667" t="inlineStr"/>
      <c r="N667" t="inlineStr"/>
      <c r="O667">
        <f>(1-Summary!$B$11)*T667+Summary!$B$11*V667</f>
        <v/>
      </c>
      <c r="P667">
        <f>IF(B684=0,0,O667/B684)</f>
        <v/>
      </c>
      <c r="Q667" t="n">
        <v>0</v>
      </c>
      <c r="R667" t="n">
        <v>0</v>
      </c>
      <c r="S667">
        <f>IFERROR(O667/N667,0)</f>
        <v/>
      </c>
      <c r="T667" t="n">
        <v>0</v>
      </c>
      <c r="V667" t="n">
        <v>0</v>
      </c>
    </row>
    <row r="668">
      <c r="A668">
        <f>Skills!A25</f>
        <v/>
      </c>
      <c r="B668">
        <f>Skills!B25</f>
        <v/>
      </c>
      <c r="C668">
        <f>Inputs!$B$3&gt;=72</f>
        <v/>
      </c>
      <c r="D668">
        <f>IF(Skills!C25=1,60+Inputs!$B$25+Inputs!$B$29,IF(Skills!C25=2,90+Inputs!$B$26+Inputs!$B$29,IF(Skills!C25=3,120+Inputs!$B$27+Inputs!$B$29,MAX(0,(Inputs!$B$3-100)*3)+Inputs!$B$28+Inputs!$B$29)))</f>
        <v/>
      </c>
      <c r="E668">
        <f>INDEX(FactorTable!$B$2:$Y$301, MATCH(ROUND(MIN(300,MAX(1,D668)),0), FactorTable!$A$2:$A$301,0), Skills!M25+1)</f>
        <v/>
      </c>
      <c r="F668">
        <f>IF(Skills!N25=TRUE,(Skills!L25/10)*(E668/1000),Skills!L25/10)+Skills!O25</f>
        <v/>
      </c>
      <c r="G668">
        <f>Skills!G25*IF(Skills!H25&gt;0,Skills!I25/Skills!H25,1)</f>
        <v/>
      </c>
      <c r="H668">
        <f>1-(1-Skills!J25/100)^Skills!K25</f>
        <v/>
      </c>
      <c r="I668" t="inlineStr">
        <is>
          <t>1</t>
        </is>
      </c>
      <c r="J668" t="inlineStr"/>
      <c r="K668" t="inlineStr"/>
      <c r="L668" t="inlineStr"/>
      <c r="M668" t="inlineStr"/>
      <c r="N668" t="inlineStr"/>
      <c r="O668">
        <f>(1-Summary!$B$11)*T668+Summary!$B$11*V668</f>
        <v/>
      </c>
      <c r="P668">
        <f>IF(B684=0,0,O668/B684)</f>
        <v/>
      </c>
      <c r="Q668" t="n">
        <v>0</v>
      </c>
      <c r="R668" t="n">
        <v>0</v>
      </c>
      <c r="S668">
        <f>IFERROR(O668/N668,0)</f>
        <v/>
      </c>
      <c r="T668" t="n">
        <v>0</v>
      </c>
      <c r="V668" t="n">
        <v>0</v>
      </c>
    </row>
    <row r="669">
      <c r="A669">
        <f>Skills!A26</f>
        <v/>
      </c>
      <c r="B669">
        <f>Skills!B26</f>
        <v/>
      </c>
      <c r="C669">
        <f>Inputs!$B$3&gt;=75</f>
        <v/>
      </c>
      <c r="D669">
        <f>IF(Skills!C26=1,60+Inputs!$B$25+Inputs!$B$29,IF(Skills!C26=2,90+Inputs!$B$26+Inputs!$B$29,IF(Skills!C26=3,120+Inputs!$B$27+Inputs!$B$29,MAX(0,(Inputs!$B$3-100)*3)+Inputs!$B$28+Inputs!$B$29)))</f>
        <v/>
      </c>
      <c r="E669">
        <f>INDEX(FactorTable!$B$2:$Y$301, MATCH(ROUND(MIN(300,MAX(1,D669)),0), FactorTable!$A$2:$A$301,0), Skills!M26+1)</f>
        <v/>
      </c>
      <c r="F669">
        <f>IF(Skills!N26=TRUE,(Skills!L26/10)*(E669/1000),Skills!L26/10)+Skills!O26</f>
        <v/>
      </c>
      <c r="G669">
        <f>Skills!G26*IF(Skills!H26&gt;0,Skills!I26/Skills!H26,1)</f>
        <v/>
      </c>
      <c r="H669">
        <f>1-(1-Skills!J26/100)^Skills!K26</f>
        <v/>
      </c>
      <c r="I669" t="inlineStr">
        <is>
          <t>1</t>
        </is>
      </c>
      <c r="J669" t="inlineStr"/>
      <c r="K669" t="inlineStr"/>
      <c r="L669" t="inlineStr"/>
      <c r="M669" t="inlineStr"/>
      <c r="N669" t="inlineStr"/>
      <c r="O669">
        <f>(1-Summary!$B$11)*T669+Summary!$B$11*V669</f>
        <v/>
      </c>
      <c r="P669">
        <f>IF(B684=0,0,O669/B684)</f>
        <v/>
      </c>
      <c r="Q669" t="n">
        <v>0</v>
      </c>
      <c r="R669" t="n">
        <v>0</v>
      </c>
      <c r="S669">
        <f>IFERROR(O669/N669,0)</f>
        <v/>
      </c>
      <c r="T669" t="n">
        <v>0</v>
      </c>
      <c r="V669" t="n">
        <v>0</v>
      </c>
    </row>
    <row r="670">
      <c r="A670">
        <f>Skills!A27</f>
        <v/>
      </c>
      <c r="B670">
        <f>Skills!B27</f>
        <v/>
      </c>
      <c r="C670">
        <f>Inputs!$B$3&gt;=117</f>
        <v/>
      </c>
      <c r="D670">
        <f>IF(Skills!C27=1,60+Inputs!$B$25+Inputs!$B$29,IF(Skills!C27=2,90+Inputs!$B$26+Inputs!$B$29,IF(Skills!C27=3,120+Inputs!$B$27+Inputs!$B$29,MAX(0,(Inputs!$B$3-100)*3)+Inputs!$B$28+Inputs!$B$29)))</f>
        <v/>
      </c>
      <c r="E670">
        <f>INDEX(FactorTable!$B$2:$Y$301, MATCH(ROUND(MIN(300,MAX(1,D670)),0), FactorTable!$A$2:$A$301,0), Skills!M27+1)</f>
        <v/>
      </c>
      <c r="F670">
        <f>IF(Skills!N27=TRUE,(Skills!L27/10)*(E670/1000),Skills!L27/10)+Skills!O27</f>
        <v/>
      </c>
      <c r="G670">
        <f>Skills!G27*IF(Skills!H27&gt;0,Skills!I27/Skills!H27,1)</f>
        <v/>
      </c>
      <c r="H670">
        <f>1-(1-Skills!J27/100)^Skills!K27</f>
        <v/>
      </c>
      <c r="I670" t="inlineStr">
        <is>
          <t>1</t>
        </is>
      </c>
      <c r="J670" t="inlineStr"/>
      <c r="K670" t="inlineStr"/>
      <c r="L670" t="inlineStr"/>
      <c r="M670" t="inlineStr"/>
      <c r="N670" t="inlineStr"/>
      <c r="O670">
        <f>(1-Summary!$B$11)*T670+Summary!$B$11*V670</f>
        <v/>
      </c>
      <c r="P670">
        <f>IF(B684=0,0,O670/B684)</f>
        <v/>
      </c>
      <c r="Q670" t="n">
        <v>0</v>
      </c>
      <c r="R670" t="n">
        <v>0</v>
      </c>
      <c r="S670">
        <f>IFERROR(O670/N670,0)</f>
        <v/>
      </c>
      <c r="T670" t="n">
        <v>0</v>
      </c>
      <c r="V670" t="n">
        <v>0</v>
      </c>
    </row>
    <row r="671">
      <c r="A671">
        <f>Skills!A28</f>
        <v/>
      </c>
      <c r="B671">
        <f>Skills!B28</f>
        <v/>
      </c>
      <c r="C671">
        <f>TRUE</f>
        <v/>
      </c>
      <c r="D671">
        <f>IF(Skills!C28=1,60+Inputs!$B$25+Inputs!$B$29,IF(Skills!C28=2,90+Inputs!$B$26+Inputs!$B$29,IF(Skills!C28=3,120+Inputs!$B$27+Inputs!$B$29,MAX(0,(Inputs!$B$3-100)*3)+Inputs!$B$28+Inputs!$B$29)))</f>
        <v/>
      </c>
      <c r="E671">
        <f>INDEX(FactorTable!$B$2:$Y$301, MATCH(ROUND(MIN(300,MAX(1,D671)),0), FactorTable!$A$2:$A$301,0), Skills!M28+1)</f>
        <v/>
      </c>
      <c r="F671">
        <f>IF(Skills!N28=TRUE,(Skills!L28/10)*(E671/1000),Skills!L28/10)+Skills!O28</f>
        <v/>
      </c>
      <c r="G671">
        <f>Skills!G28*IF(Skills!H28&gt;0,Skills!I28/Skills!H28,1)</f>
        <v/>
      </c>
      <c r="H671">
        <f>1-(1-Skills!J28/100)^Skills!K28</f>
        <v/>
      </c>
      <c r="I671" t="inlineStr">
        <is>
          <t>1</t>
        </is>
      </c>
      <c r="J671" t="inlineStr"/>
      <c r="K671" t="inlineStr"/>
      <c r="L671" t="inlineStr"/>
      <c r="M671" t="inlineStr"/>
      <c r="N671" t="inlineStr"/>
      <c r="O671">
        <f>(1-Summary!$B$11)*T671+Summary!$B$11*V671</f>
        <v/>
      </c>
      <c r="P671">
        <f>IF(B684=0,0,O671/B684)</f>
        <v/>
      </c>
      <c r="Q671">
        <f>IFERROR(1/(IF(Inputs!$B$38="pvp",15,MAX(0.1,Skills!D28-IF(Skills!E28=TRUE,Inputs!$B$32,0)))*(1-IF(AND(ArtifactsInput!$M$27,Inputs!$B$4="Chapter Hunt"),CHOOSE(ArtifactsInput!$N$27+1,20,24,28,32,36,40),0)/100)),0)</f>
        <v/>
      </c>
      <c r="R671">
        <f>IF(AND(Inputs!$B$38&lt;&gt;"pvp",Inputs!$B$43&gt;0),IF(Inputs!$B$43&lt;=0,0,(INT(Inputs!$B$43/(IF(Inputs!$B$38="pvp",15,MAX(0.1,Skills!D28-IF(Skills!E28=TRUE,Inputs!$B$32,0)))*(1-IF(AND(ArtifactsInput!$M$27,Inputs!$B$4="Chapter Hunt"),CHOOSE(ArtifactsInput!$N$27+1,20,24,28,32,36,40),0)/100)))+1)),0)</f>
        <v/>
      </c>
      <c r="S671">
        <f>IFERROR(O671/N671,0)</f>
        <v/>
      </c>
      <c r="T671" t="n">
        <v>0</v>
      </c>
      <c r="V671" t="n">
        <v>0</v>
      </c>
    </row>
    <row r="673">
      <c r="A673" t="inlineStr">
        <is>
          <t>Attack% Bucket Multiplier</t>
        </is>
      </c>
      <c r="B673">
        <f>(1+(((C660=TRUE)*F660*5/7)+((C667=TRUE)*(F667-Calc!F24))+(IF(ArtifactsInput!$M$21,CHOOSE(ArtifactsInput!$N$21+1,25,30,35,40,45,50)*(IF(OR(Inputs!$B$4="Chapter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74">
      <c r="A674" t="inlineStr">
        <is>
          <t>Global Crit Rate Bonus %</t>
        </is>
      </c>
      <c r="B674" t="n">
        <v>0</v>
      </c>
    </row>
    <row r="675">
      <c r="A675" t="inlineStr">
        <is>
          <t>Attack Speed Buff Bonus % (Nimble Feet, duty-cycle averaged)</t>
        </is>
      </c>
      <c r="B675">
        <f>((C671=TRUE)*F671*IF(AND(Inputs!$B$38&lt;&gt;"pvp",Inputs!$B$43&gt;0),(((R671-1)*(Skills!T28*(1+Inputs!$B$34/100))+MIN((Skills!T28*(1+Inputs!$B$34/100)),MAX(0,Inputs!$B$43-((R671-1)*Skills!D28))))/Inputs!$B$43),IF(Inputs!$B$38="pvp",MIN((Skills!T28*(1+Inputs!$B$34/100)),15)/15,(Skills!T28*(1+Inputs!$B$34/100))/Skills!D28)))</f>
        <v/>
      </c>
    </row>
    <row r="676">
      <c r="A676" t="inlineStr">
        <is>
          <t>Actions Per Second</t>
        </is>
      </c>
      <c r="B676">
        <f>1+MIN(150,150*(1-(1-(Inputs!$B$11+((C663=TRUE)*(F663-Calc!F20))+((C664=TRUE)*(F664-Calc!F21)))/150)*(1-B675/150)))/100</f>
        <v/>
      </c>
    </row>
    <row r="677">
      <c r="A677" t="inlineStr">
        <is>
          <t>Skill + Buff Cast Rate</t>
        </is>
      </c>
      <c r="B677">
        <f>IF(AND(Inputs!$B$38&lt;&gt;"pvp",Inputs!$B$43&gt;0),SUMPRODUCT((Skills!E2:E28=TRUE)*(C645:C671=TRUE)*R645:R671*Skills!F2:F28)/Inputs!$B$43,SUMPRODUCT((Skills!E2:E28=TRUE)*(C645:C671=TRUE)*Q645:Q671*Skills!F2:F28))</f>
        <v/>
      </c>
    </row>
    <row r="678">
      <c r="A678" t="inlineStr">
        <is>
          <t>Eight-Legs Easton Casts Per Second</t>
        </is>
      </c>
      <c r="B678">
        <f>MAX(0,B676-B677)</f>
        <v/>
      </c>
    </row>
    <row r="679">
      <c r="A679" t="inlineStr">
        <is>
          <t>Global Critical Damage Bonus % (unused)</t>
        </is>
      </c>
      <c r="B679" t="n">
        <v>0</v>
      </c>
    </row>
    <row r="680">
      <c r="A680" t="inlineStr">
        <is>
          <t>Global Final Damage Bonus % (Jolly Roger + Ahoy Mateys - Final Damage proc)</t>
        </is>
      </c>
      <c r="B680">
        <f>((C661=TRUE)*F661*IF(AND(Inputs!$B$38&lt;&gt;"pvp",Inputs!$B$43&gt;0),(((R661-1)*(Skills!T18*(1+Inputs!$B$34/100))+MIN((Skills!T18*(1+Inputs!$B$34/100)),MAX(0,Inputs!$B$43-((R661-1)*Skills!D18))))/Inputs!$B$43),IF(Inputs!$B$38="pvp",MIN((Skills!T18*(1+Inputs!$B$34/100)),15)/15,(Skills!T18*(1+Inputs!$B$34/100))/Skills!D18)))+IF(Inputs!$B$3&gt;=122,20*IF(Inputs!$B$38="pvp",MIN((20*(1+Inputs!$B$34/100)),15)/15,(20*(1+Inputs!$B$34/100))/Skills!D4),0)</f>
        <v/>
      </c>
    </row>
    <row r="681">
      <c r="A681" t="inlineStr">
        <is>
          <t>Buff-Casting Startup Delay (s, fixed-duration only)</t>
        </is>
      </c>
      <c r="B681">
        <f>IF(AND(Inputs!$B$38&lt;&gt;"pvp",Inputs!$B$43&gt;0),SUMPRODUCT((Skills!T2:T28&gt;0)*(Skills!E2:E28=TRUE)*(C645:C671=TRUE))/B676,0)</f>
        <v/>
      </c>
    </row>
    <row r="682">
      <c r="A682" t="inlineStr">
        <is>
          <t>Boss-Only Total DPS (this block's swept value)</t>
        </is>
      </c>
      <c r="B682">
        <f>SUM(T645:T671)</f>
        <v/>
      </c>
    </row>
    <row r="683">
      <c r="A683" t="inlineStr">
        <is>
          <t>Normal-Only Total DPS (this block's swept value)</t>
        </is>
      </c>
      <c r="B683">
        <f>SUM(V645:V671)</f>
        <v/>
      </c>
    </row>
    <row r="684">
      <c r="A684" s="6" t="inlineStr">
        <is>
          <t>TOTAL DPS</t>
        </is>
      </c>
      <c r="B684" s="6">
        <f>SUM(O645:O671)</f>
        <v/>
      </c>
    </row>
    <row r="687">
      <c r="A687" s="6" t="inlineStr">
        <is>
          <t>Stat: BASIC_ATTACK_DAMAGE %</t>
        </is>
      </c>
    </row>
    <row r="688">
      <c r="A688" s="5" t="inlineStr">
        <is>
          <t>Key</t>
        </is>
      </c>
      <c r="B688" s="5" t="inlineStr">
        <is>
          <t>Name</t>
        </is>
      </c>
      <c r="C688" s="5" t="inlineStr">
        <is>
          <t>Unlocked</t>
        </is>
      </c>
      <c r="D688" s="5" t="inlineStr">
        <is>
          <t>InputLevel</t>
        </is>
      </c>
      <c r="E688" s="5" t="inlineStr">
        <is>
          <t>Factor</t>
        </is>
      </c>
      <c r="F688" s="5" t="inlineStr">
        <is>
          <t>CoefficientPercent</t>
        </is>
      </c>
      <c r="G688" s="5" t="inlineStr">
        <is>
          <t>EffectiveHits</t>
        </is>
      </c>
      <c r="H688" s="5" t="inlineStr">
        <is>
          <t>ProcProbability</t>
        </is>
      </c>
      <c r="I688" s="5" t="inlineStr">
        <is>
          <t>MapleHeroMultiplier</t>
        </is>
      </c>
      <c r="J688" s="5" t="inlineStr">
        <is>
          <t>BaseDamage</t>
        </is>
      </c>
      <c r="K688" s="5" t="inlineStr">
        <is>
          <t>BaseHitDamage</t>
        </is>
      </c>
      <c r="L688" s="5" t="inlineStr">
        <is>
          <t>NonCritAvg</t>
        </is>
      </c>
      <c r="M688" s="5" t="inlineStr">
        <is>
          <t>CritAvg</t>
        </is>
      </c>
      <c r="N688" s="5" t="inlineStr">
        <is>
          <t>ExpectedDamage(perHit)</t>
        </is>
      </c>
      <c r="O688" s="5" t="inlineStr">
        <is>
          <t>DPS</t>
        </is>
      </c>
      <c r="P688" s="5" t="inlineStr">
        <is>
          <t>% of Total</t>
        </is>
      </c>
      <c r="Q688" s="5" t="inlineStr">
        <is>
          <t>InvCooldown</t>
        </is>
      </c>
      <c r="R688" s="5" t="inlineStr">
        <is>
          <t>CastsInFight</t>
        </is>
      </c>
      <c r="S688" s="5" t="inlineStr">
        <is>
          <t>HitRate(perSec)</t>
        </is>
      </c>
      <c r="U688" t="inlineStr">
        <is>
          <t>helpers</t>
        </is>
      </c>
    </row>
    <row r="689">
      <c r="A689">
        <f>Skills!A2</f>
        <v/>
      </c>
      <c r="B689">
        <f>Skills!B2</f>
        <v/>
      </c>
      <c r="C689">
        <f>Inputs!$B$3&gt;=100</f>
        <v/>
      </c>
      <c r="D689" t="inlineStr"/>
      <c r="E689" t="inlineStr"/>
      <c r="F689">
        <f>U691+Skills!O2</f>
        <v/>
      </c>
      <c r="G689">
        <f>Skills!G2*IF(Skills!H2&gt;0,Skills!I2/Skills!H2,1)</f>
        <v/>
      </c>
      <c r="H689">
        <f>1-(1-Skills!J2/100)^Skills!K2</f>
        <v/>
      </c>
      <c r="I689" t="inlineStr">
        <is>
          <t>1</t>
        </is>
      </c>
      <c r="J689">
        <f>((Inputs!$B$6*(1+Inputs!$B$7/100))+(((Inputs!$B$12*(1+Inputs!$B$13/100))-(Inputs!$B$12*(1+Inputs!$B$13/100)))+0.25*(Inputs!$B$14-Inputs!$B$14))*(1+Inputs!$B$7/100))*(F689/100)</f>
        <v/>
      </c>
      <c r="K689">
        <f>J689*(1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689)</f>
        <v/>
      </c>
      <c r="L689">
        <f>K689*(MIN(Inputs!$B$22+((C709=TRUE)*(F709-Calc!F22)),(Inputs!$B$23+0+(IF(ArtifactsInput!$M$15,CHOOSE(ArtifactsInput!$N$15+1,25,30,35,40,45,50)/100*(Inputs!$B$11-Inputs!$B$11),0))))/100+(Inputs!$B$23+0+(IF(ArtifactsInput!$M$15,CHOOSE(ArtifactsInput!$N$15+1,25,30,35,40,45,50)/100*(Inputs!$B$11-Inputs!$B$11),0)))/100)/2</f>
        <v/>
      </c>
      <c r="M689">
        <f>L689*(1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9">
        <f>L689*(1-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689*(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9">
        <f>(1-Summary!$B$11)*T689+Summary!$B$11*V689</f>
        <v/>
      </c>
      <c r="P689">
        <f>IF(B728=0,0,O689/B728)</f>
        <v/>
      </c>
      <c r="Q689" t="n">
        <v>0</v>
      </c>
      <c r="R689" t="n">
        <v>0</v>
      </c>
      <c r="S689">
        <f>IFERROR(O689/N689,0)</f>
        <v/>
      </c>
      <c r="T689">
        <f>IF(C689,(Skills!G2*N689*B722)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689*(1-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689*(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689*(1-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689*(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89">
        <f>MAX(0,(Inputs!$B$3-100)*3)+Inputs!$B$28+Inputs!$B$29</f>
        <v/>
      </c>
      <c r="V689">
        <f>IF(C689,(Skills!G2*N689*B722)*IF(Inputs!$B$38="pvp",1,(1+(Inputs!$B$21+Skills!Q2+(IF(ArtifactsInput!$M$33,CHOOSE(ArtifactsInput!$N$33+1,30,36,42,48,54,60),0))+(IF(AND(ArtifactsInput!$M$35,Inputs!$B$4&lt;&gt;"Chapter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0">
      <c r="A690">
        <f>Skills!A3</f>
        <v/>
      </c>
      <c r="B690">
        <f>Skills!B3</f>
        <v/>
      </c>
      <c r="C690">
        <f>Inputs!$B$3&gt;=35</f>
        <v/>
      </c>
      <c r="D690">
        <f>IF(Skills!C3=1,60+Inputs!$B$25+Inputs!$B$29,IF(Skills!C3=2,90+Inputs!$B$26+Inputs!$B$29,IF(Skills!C3=3,120+Inputs!$B$27+Inputs!$B$29,MAX(0,(Inputs!$B$3-100)*3)+Inputs!$B$28+Inputs!$B$29)))</f>
        <v/>
      </c>
      <c r="E690">
        <f>INDEX(FactorTable!$B$2:$Y$301, MATCH(ROUND(MIN(300,MAX(1,D690)),0), FactorTable!$A$2:$A$301,0), Skills!M3+1)</f>
        <v/>
      </c>
      <c r="F690">
        <f>IF(Skills!N3=TRUE,(Skills!L3/10)*(E690/1000),Skills!L3/10)+Skills!O3</f>
        <v/>
      </c>
      <c r="G690">
        <f>Skills!G3*IF(Skills!H3&gt;0,Skills!I3/Skills!H3,1)</f>
        <v/>
      </c>
      <c r="H690">
        <f>1-(1-Skills!J3/100)^Skills!K3</f>
        <v/>
      </c>
      <c r="I690" t="inlineStr">
        <is>
          <t>1</t>
        </is>
      </c>
      <c r="J690">
        <f>((Inputs!$B$6*(1+Inputs!$B$7/100))+(((Inputs!$B$12*(1+Inputs!$B$13/100))-(Inputs!$B$12*(1+Inputs!$B$13/100)))+0.25*(Inputs!$B$14-Inputs!$B$14))*(1+Inputs!$B$7/100))*(F690/100)</f>
        <v/>
      </c>
      <c r="K690">
        <f>J690*(1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702=TRUE,F702,0)/100)*(1+(IF(Skills!A3="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690)</f>
        <v/>
      </c>
      <c r="L690">
        <f>K690*(MIN(Inputs!$B$22+((C709=TRUE)*(F709-Calc!F22)),(Inputs!$B$23+0+(IF(ArtifactsInput!$M$15,CHOOSE(ArtifactsInput!$N$15+1,25,30,35,40,45,50)/100*(Inputs!$B$11-Inputs!$B$11),0))))/100+(Inputs!$B$23+0+(IF(ArtifactsInput!$M$15,CHOOSE(ArtifactsInput!$N$15+1,25,30,35,40,45,50)/100*(Inputs!$B$11-Inputs!$B$11),0)))/100)/2</f>
        <v/>
      </c>
      <c r="M690">
        <f>L690*(1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0">
        <f>L690*(1-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690*(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0">
        <f>(1-Summary!$B$11)*T690+Summary!$B$11*V690</f>
        <v/>
      </c>
      <c r="P690">
        <f>IF(B728=0,0,O690/B728)</f>
        <v/>
      </c>
      <c r="Q690">
        <f>IFERROR(1/(IF(Inputs!$B$38="pvp",15,MAX(0.1,Skills!D3-IF(Skills!E3=TRUE,Inputs!$B$32,0)))*(1-IF(AND(ArtifactsInput!$M$27,Inputs!$B$4="Chapter Hunt"),CHOOSE(ArtifactsInput!$N$27+1,20,24,28,32,36,40),0)/100)),0)</f>
        <v/>
      </c>
      <c r="R690">
        <f>IF(AND(Inputs!$B$38&lt;&gt;"pvp",Inputs!$B$43&gt;0),IF(MAX(0,Inputs!$B$43-B725)&lt;=0,0,(INT(MAX(0,Inputs!$B$43-B725)/(IF(Inputs!$B$38="pvp",15,MAX(0.1,Skills!D3-IF(Skills!E3=TRUE,Inputs!$B$32,0)))*(1-IF(AND(ArtifactsInput!$M$27,Inputs!$B$4="Chapter Hunt"),CHOOSE(ArtifactsInput!$N$27+1,20,24,28,32,36,40),0)/100)))+1)),0)</f>
        <v/>
      </c>
      <c r="S690">
        <f>IFERROR(O690/N690,0)</f>
        <v/>
      </c>
      <c r="T690">
        <f>IF(C690,(H690*N690*IF(AND(Inputs!$B$38&lt;&gt;"pvp",Inputs!$B$43&gt;0),((Skills!G3*((R690-1)*IF(Skills!H3&gt;0,Skills!I3/Skills!H3,1)+IF(Skills!H3&gt;0,MIN(Skills!I3,MAX(0,MAX(0,Inputs!$B$43-B725)-((R690-1)*(IF(Inputs!$B$38="pvp",15,MAX(0.1,Skills!D3-IF(Skills!E3=TRUE,Inputs!$B$32,0)))*(1-IF(AND(ArtifactsInput!$M$27,Inputs!$B$4="Chapter Hunt"),CHOOSE(ArtifactsInput!$N$27+1,20,24,28,32,36,40),0)/100)))))/Skills!H3,1)))/Inputs!$B$43),G690*Q690)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690*(1-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690*(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690*(1-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690*(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0">
        <f>INDEX(FactorTable!$B$2:$Y$301, MATCH(ROUND(MIN(300,MAX(1,U689)),0), FactorTable!$A$2:$A$301,0), 22)</f>
        <v/>
      </c>
      <c r="V690">
        <f>IF(C690,(H690*N690*IF(AND(Inputs!$B$38&lt;&gt;"pvp",Inputs!$B$43&gt;0),((Skills!G3*((R690-1)*IF(Skills!H3&gt;0,Skills!I3/Skills!H3,1)+IF(Skills!H3&gt;0,MIN(Skills!I3,MAX(0,MAX(0,Inputs!$B$43-B725)-((R690-1)*(IF(Inputs!$B$38="pvp",15,MAX(0.1,Skills!D3-IF(Skills!E3=TRUE,Inputs!$B$32,0)))*(1-IF(AND(ArtifactsInput!$M$27,Inputs!$B$4="Chapter Hunt"),CHOOSE(ArtifactsInput!$N$27+1,20,24,28,32,36,40),0)/100)))))/Skills!H3,1)))/Inputs!$B$43),G690*Q690))*IF(Inputs!$B$38="pvp",1,(1+(Inputs!$B$21+Skills!Q3+(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1">
      <c r="A691">
        <f>Skills!A4</f>
        <v/>
      </c>
      <c r="B691">
        <f>Skills!B4</f>
        <v/>
      </c>
      <c r="C691">
        <f>Inputs!$B$3&gt;=40</f>
        <v/>
      </c>
      <c r="D691">
        <f>IF(Skills!C4=1,60+Inputs!$B$25+Inputs!$B$29,IF(Skills!C4=2,90+Inputs!$B$26+Inputs!$B$29,IF(Skills!C4=3,120+Inputs!$B$27+Inputs!$B$29,MAX(0,(Inputs!$B$3-100)*3)+Inputs!$B$28+Inputs!$B$29)))</f>
        <v/>
      </c>
      <c r="E691">
        <f>INDEX(FactorTable!$B$2:$Y$301, MATCH(ROUND(MIN(300,MAX(1,D691)),0), FactorTable!$A$2:$A$301,0), Skills!M4+1)</f>
        <v/>
      </c>
      <c r="F691">
        <f>IF(Skills!N4=TRUE,(Skills!L4/10)*(E691/1000),Skills!L4/10)+Skills!O4</f>
        <v/>
      </c>
      <c r="G691">
        <f>Skills!G4*IF(Skills!H4&gt;0,Skills!I4/Skills!H4,1)</f>
        <v/>
      </c>
      <c r="H691">
        <f>1-(1-Skills!J4/100)^Skills!K4</f>
        <v/>
      </c>
      <c r="I691" t="inlineStr">
        <is>
          <t>1</t>
        </is>
      </c>
      <c r="J691">
        <f>((Inputs!$B$6*(1+Inputs!$B$7/100))+(((Inputs!$B$12*(1+Inputs!$B$13/100))-(Inputs!$B$12*(1+Inputs!$B$13/100)))+0.25*(Inputs!$B$14-Inputs!$B$14))*(1+Inputs!$B$7/100))*(F691/100)</f>
        <v/>
      </c>
      <c r="K691">
        <f>J691*(1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703=TRUE,F703,0)/100)*(1+(IF(Skills!A4="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691)</f>
        <v/>
      </c>
      <c r="L691">
        <f>K691*(MIN(Inputs!$B$22+((C709=TRUE)*(F709-Calc!F22)),(Inputs!$B$23+0+(IF(ArtifactsInput!$M$15,CHOOSE(ArtifactsInput!$N$15+1,25,30,35,40,45,50)/100*(Inputs!$B$11-Inputs!$B$11),0))))/100+(Inputs!$B$23+0+(IF(ArtifactsInput!$M$15,CHOOSE(ArtifactsInput!$N$15+1,25,30,35,40,45,50)/100*(Inputs!$B$11-Inputs!$B$11),0)))/100)/2</f>
        <v/>
      </c>
      <c r="M691">
        <f>L691*(1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1">
        <f>L691*(1-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1">
        <f>(1-Summary!$B$11)*T691+Summary!$B$11*V691</f>
        <v/>
      </c>
      <c r="P691">
        <f>IF(B728=0,0,O691/B728)</f>
        <v/>
      </c>
      <c r="Q691">
        <f>IFERROR(1/(IF(Inputs!$B$38="pvp",15,MAX(0.1,Skills!D4-IF(Skills!E4=TRUE,Inputs!$B$32,0)))*(1-IF(AND(ArtifactsInput!$M$27,Inputs!$B$4="Chapter Hunt"),CHOOSE(ArtifactsInput!$N$27+1,20,24,28,32,36,40),0)/100)),0)</f>
        <v/>
      </c>
      <c r="R691">
        <f>IF(AND(Inputs!$B$38&lt;&gt;"pvp",Inputs!$B$43&gt;0),IF(MAX(0,Inputs!$B$43-B725)&lt;=0,0,(INT(MAX(0,Inputs!$B$43-B725)/(IF(Inputs!$B$38="pvp",15,MAX(0.1,Skills!D4-IF(Skills!E4=TRUE,Inputs!$B$32,0)))*(1-IF(AND(ArtifactsInput!$M$27,Inputs!$B$4="Chapter Hunt"),CHOOSE(ArtifactsInput!$N$27+1,20,24,28,32,36,40),0)/100)))+1)),0)</f>
        <v/>
      </c>
      <c r="S691">
        <f>IFERROR(O691/N691,0)</f>
        <v/>
      </c>
      <c r="T691">
        <f>IF(C691,(H691*N691*IF(AND(Inputs!$B$38&lt;&gt;"pvp",Inputs!$B$43&gt;0),((Skills!G4*((R691-1)*IF(Skills!H4&gt;0,Skills!I4/Skills!H4,1)+IF(Skills!H4&gt;0,MIN(Skills!I4,MAX(0,MAX(0,Inputs!$B$43-B725)-((R691-1)*(IF(Inputs!$B$38="pvp",15,MAX(0.1,Skills!D4-IF(Skills!E4=TRUE,Inputs!$B$32,0)))*(1-IF(AND(ArtifactsInput!$M$27,Inputs!$B$4="Chapter Hunt"),CHOOSE(ArtifactsInput!$N$27+1,20,24,28,32,36,40),0)/100)))))/Skills!H4,1)))/Inputs!$B$43),G691*Q691)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691*(1-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691*(1-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1">
        <f>290*U690/1000</f>
        <v/>
      </c>
      <c r="V691">
        <f>IF(C691,(H691*N691*IF(AND(Inputs!$B$38&lt;&gt;"pvp",Inputs!$B$43&gt;0),((Skills!G4*((R691-1)*IF(Skills!H4&gt;0,Skills!I4/Skills!H4,1)+IF(Skills!H4&gt;0,MIN(Skills!I4,MAX(0,MAX(0,Inputs!$B$43-B725)-((R691-1)*(IF(Inputs!$B$38="pvp",15,MAX(0.1,Skills!D4-IF(Skills!E4=TRUE,Inputs!$B$32,0)))*(1-IF(AND(ArtifactsInput!$M$27,Inputs!$B$4="Chapter Hunt"),CHOOSE(ArtifactsInput!$N$27+1,20,24,28,32,36,40),0)/100)))))/Skills!H4,1)))/Inputs!$B$43),G691*Q691))*IF(Inputs!$B$38="pvp",1,(1+(Inputs!$B$21+Skills!Q4+(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2">
      <c r="A692">
        <f>Skills!A5</f>
        <v/>
      </c>
      <c r="B692">
        <f>Skills!B5</f>
        <v/>
      </c>
      <c r="C692">
        <f>Inputs!$B$3&gt;=45</f>
        <v/>
      </c>
      <c r="D692">
        <f>IF(Skills!C5=1,60+Inputs!$B$25+Inputs!$B$29,IF(Skills!C5=2,90+Inputs!$B$26+Inputs!$B$29,IF(Skills!C5=3,120+Inputs!$B$27+Inputs!$B$29,MAX(0,(Inputs!$B$3-100)*3)+Inputs!$B$28+Inputs!$B$29)))</f>
        <v/>
      </c>
      <c r="E692">
        <f>INDEX(FactorTable!$B$2:$Y$301, MATCH(ROUND(MIN(300,MAX(1,D692)),0), FactorTable!$A$2:$A$301,0), Skills!M5+1)</f>
        <v/>
      </c>
      <c r="F692">
        <f>IF(Skills!N5=TRUE,(Skills!L5/10)*(E692/1000),Skills!L5/10)+Skills!O5</f>
        <v/>
      </c>
      <c r="G692">
        <f>Skills!G5*IF(Skills!H5&gt;0,Skills!I5/Skills!H5,1)</f>
        <v/>
      </c>
      <c r="H692">
        <f>1-(1-Skills!J5/100)^Skills!K5</f>
        <v/>
      </c>
      <c r="I692" t="inlineStr">
        <is>
          <t>1</t>
        </is>
      </c>
      <c r="J692">
        <f>((Inputs!$B$6*(1+Inputs!$B$7/100))+(((Inputs!$B$12*(1+Inputs!$B$13/100))-(Inputs!$B$12*(1+Inputs!$B$13/100)))+0.25*(Inputs!$B$14-Inputs!$B$14))*(1+Inputs!$B$7/100))*(F692/100)</f>
        <v/>
      </c>
      <c r="K692">
        <f>J692*(1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703=TRUE,F703,0)/100)*(1+(IF(Skills!A5="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692)</f>
        <v/>
      </c>
      <c r="L692">
        <f>K692*(MIN(Inputs!$B$22+((C709=TRUE)*(F709-Calc!F22)),(Inputs!$B$23+0+(IF(ArtifactsInput!$M$15,CHOOSE(ArtifactsInput!$N$15+1,25,30,35,40,45,50)/100*(Inputs!$B$11-Inputs!$B$11),0))))/100+(Inputs!$B$23+0+(IF(ArtifactsInput!$M$15,CHOOSE(ArtifactsInput!$N$15+1,25,30,35,40,45,50)/100*(Inputs!$B$11-Inputs!$B$11),0)))/100)/2</f>
        <v/>
      </c>
      <c r="M692">
        <f>L692*(1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2">
        <f>L692*(1-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692*(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2">
        <f>(1-Summary!$B$11)*T692+Summary!$B$11*V692</f>
        <v/>
      </c>
      <c r="P692">
        <f>IF(B728=0,0,O692/B728)</f>
        <v/>
      </c>
      <c r="Q692">
        <f>IFERROR(1/(IF(Inputs!$B$38="pvp",15,MAX(0.1,Skills!D5-IF(Skills!E5=TRUE,Inputs!$B$32,0)))*(1-IF(AND(ArtifactsInput!$M$27,Inputs!$B$4="Chapter Hunt"),CHOOSE(ArtifactsInput!$N$27+1,20,24,28,32,36,40),0)/100)),0)</f>
        <v/>
      </c>
      <c r="R692">
        <f>IF(AND(Inputs!$B$38&lt;&gt;"pvp",Inputs!$B$43&gt;0),IF(MAX(0,Inputs!$B$43-B725)&lt;=0,0,(INT(MAX(0,Inputs!$B$43-B725)/(IF(Inputs!$B$38="pvp",15,MAX(0.1,Skills!D5-IF(Skills!E5=TRUE,Inputs!$B$32,0)))*(1-IF(AND(ArtifactsInput!$M$27,Inputs!$B$4="Chapter Hunt"),CHOOSE(ArtifactsInput!$N$27+1,20,24,28,32,36,40),0)/100)))+1)),0)</f>
        <v/>
      </c>
      <c r="S692">
        <f>IFERROR(O692/N692,0)</f>
        <v/>
      </c>
      <c r="T692">
        <f>IF(C692,(H692*N692*IF(AND(Inputs!$B$38&lt;&gt;"pvp",Inputs!$B$43&gt;0),((Skills!G5*((R692-1)*IF(Skills!H5&gt;0,Skills!I5/Skills!H5,1)+IF(Skills!H5&gt;0,MIN(Skills!I5,MAX(0,MAX(0,Inputs!$B$43-B725)-((R692-1)*(IF(Inputs!$B$38="pvp",15,MAX(0.1,Skills!D5-IF(Skills!E5=TRUE,Inputs!$B$32,0)))*(1-IF(AND(ArtifactsInput!$M$27,Inputs!$B$4="Chapter Hunt"),CHOOSE(ArtifactsInput!$N$27+1,20,24,28,32,36,40),0)/100)))))/Skills!H5,1)))/Inputs!$B$43),G692*Q692)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692*(1-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692*(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692*(1-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692*(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2">
        <f>IF(C692,(H692*N692*IF(AND(Inputs!$B$38&lt;&gt;"pvp",Inputs!$B$43&gt;0),((Skills!G5*((R692-1)*IF(Skills!H5&gt;0,Skills!I5/Skills!H5,1)+IF(Skills!H5&gt;0,MIN(Skills!I5,MAX(0,MAX(0,Inputs!$B$43-B725)-((R692-1)*(IF(Inputs!$B$38="pvp",15,MAX(0.1,Skills!D5-IF(Skills!E5=TRUE,Inputs!$B$32,0)))*(1-IF(AND(ArtifactsInput!$M$27,Inputs!$B$4="Chapter Hunt"),CHOOSE(ArtifactsInput!$N$27+1,20,24,28,32,36,40),0)/100)))))/Skills!H5,1)))/Inputs!$B$43),G692*Q692))*IF(Inputs!$B$38="pvp",1,(1+(Inputs!$B$21+Skills!Q5+(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3">
      <c r="A693">
        <f>Skills!A6</f>
        <v/>
      </c>
      <c r="B693">
        <f>Skills!B6</f>
        <v/>
      </c>
      <c r="C693">
        <f>Inputs!$B$3&gt;=63</f>
        <v/>
      </c>
      <c r="D693">
        <f>IF(Skills!C6=1,60+Inputs!$B$25+Inputs!$B$29,IF(Skills!C6=2,90+Inputs!$B$26+Inputs!$B$29,IF(Skills!C6=3,120+Inputs!$B$27+Inputs!$B$29,MAX(0,(Inputs!$B$3-100)*3)+Inputs!$B$28+Inputs!$B$29)))</f>
        <v/>
      </c>
      <c r="E693">
        <f>INDEX(FactorTable!$B$2:$Y$301, MATCH(ROUND(MIN(300,MAX(1,D693)),0), FactorTable!$A$2:$A$301,0), Skills!M6+1)</f>
        <v/>
      </c>
      <c r="F693">
        <f>IF(Skills!N6=TRUE,(Skills!L6/10)*(E693/1000),Skills!L6/10)+Skills!O6</f>
        <v/>
      </c>
      <c r="G693">
        <f>Skills!G6*IF(Skills!H6&gt;0,Skills!I6/Skills!H6,1)</f>
        <v/>
      </c>
      <c r="H693">
        <f>1-(1-Skills!J6/100)^Skills!K6</f>
        <v/>
      </c>
      <c r="I693" t="inlineStr">
        <is>
          <t>1</t>
        </is>
      </c>
      <c r="J693">
        <f>((Inputs!$B$6*(1+Inputs!$B$7/100))+(((Inputs!$B$12*(1+Inputs!$B$13/100))-(Inputs!$B$12*(1+Inputs!$B$13/100)))+0.25*(Inputs!$B$14-Inputs!$B$14))*(1+Inputs!$B$7/100))*(F693/100)</f>
        <v/>
      </c>
      <c r="K693">
        <f>J693*(1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702=TRUE,F702,0)/100)*(1+(IF(Skills!A6="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693)</f>
        <v/>
      </c>
      <c r="L693">
        <f>K693*(MIN(Inputs!$B$22+((C709=TRUE)*(F709-Calc!F22)),(Inputs!$B$23+0+(IF(ArtifactsInput!$M$15,CHOOSE(ArtifactsInput!$N$15+1,25,30,35,40,45,50)/100*(Inputs!$B$11-Inputs!$B$11),0))))/100+(Inputs!$B$23+0+(IF(ArtifactsInput!$M$15,CHOOSE(ArtifactsInput!$N$15+1,25,30,35,40,45,50)/100*(Inputs!$B$11-Inputs!$B$11),0)))/100)/2</f>
        <v/>
      </c>
      <c r="M693">
        <f>L693*(1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3">
        <f>L693*(1-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693*(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3">
        <f>(1-Summary!$B$11)*T693+Summary!$B$11*V693</f>
        <v/>
      </c>
      <c r="P693">
        <f>IF(B728=0,0,O693/B728)</f>
        <v/>
      </c>
      <c r="Q693">
        <f>IFERROR(1/(IF(Inputs!$B$38="pvp",15,MAX(0.1,Skills!D6-IF(Skills!E6=TRUE,Inputs!$B$32,0)))*(1-IF(AND(ArtifactsInput!$M$27,Inputs!$B$4="Chapter Hunt"),CHOOSE(ArtifactsInput!$N$27+1,20,24,28,32,36,40),0)/100)),0)</f>
        <v/>
      </c>
      <c r="R693">
        <f>IF(AND(Inputs!$B$38&lt;&gt;"pvp",Inputs!$B$43&gt;0),IF(MAX(0,Inputs!$B$43-B725)&lt;=0,0,(INT(MAX(0,Inputs!$B$43-B725)/(IF(Inputs!$B$38="pvp",15,MAX(0.1,Skills!D6-IF(Skills!E6=TRUE,Inputs!$B$32,0)))*(1-IF(AND(ArtifactsInput!$M$27,Inputs!$B$4="Chapter Hunt"),CHOOSE(ArtifactsInput!$N$27+1,20,24,28,32,36,40),0)/100)))+1)),0)</f>
        <v/>
      </c>
      <c r="S693">
        <f>IFERROR(O693/N693,0)</f>
        <v/>
      </c>
      <c r="T693">
        <f>IF(C693,(H693*N693*IF(AND(Inputs!$B$38&lt;&gt;"pvp",Inputs!$B$43&gt;0),((Skills!G6*((R693-1)*IF(Skills!H6&gt;0,Skills!I6/Skills!H6,1)+IF(Skills!H6&gt;0,MIN(Skills!I6,MAX(0,MAX(0,Inputs!$B$43-B725)-((R693-1)*(IF(Inputs!$B$38="pvp",15,MAX(0.1,Skills!D6-IF(Skills!E6=TRUE,Inputs!$B$32,0)))*(1-IF(AND(ArtifactsInput!$M$27,Inputs!$B$4="Chapter Hunt"),CHOOSE(ArtifactsInput!$N$27+1,20,24,28,32,36,40),0)/100)))))/Skills!H6,1)))/Inputs!$B$43),G693*Q693)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693*(1-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693*(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693*(1-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693*(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3">
        <f>IF(C693,(H693*N693*IF(AND(Inputs!$B$38&lt;&gt;"pvp",Inputs!$B$43&gt;0),((Skills!G6*((R693-1)*IF(Skills!H6&gt;0,Skills!I6/Skills!H6,1)+IF(Skills!H6&gt;0,MIN(Skills!I6,MAX(0,MAX(0,Inputs!$B$43-B725)-((R693-1)*(IF(Inputs!$B$38="pvp",15,MAX(0.1,Skills!D6-IF(Skills!E6=TRUE,Inputs!$B$32,0)))*(1-IF(AND(ArtifactsInput!$M$27,Inputs!$B$4="Chapter Hunt"),CHOOSE(ArtifactsInput!$N$27+1,20,24,28,32,36,40),0)/100)))))/Skills!H6,1)))/Inputs!$B$43),G693*Q693))*IF(Inputs!$B$38="pvp",1,(1+(Inputs!$B$21+Skills!Q6+(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4">
      <c r="A694">
        <f>Skills!A7</f>
        <v/>
      </c>
      <c r="B694">
        <f>Skills!B7</f>
        <v/>
      </c>
      <c r="C694">
        <f>Inputs!$B$3&gt;=66</f>
        <v/>
      </c>
      <c r="D694">
        <f>IF(Skills!C7=1,60+Inputs!$B$25+Inputs!$B$29,IF(Skills!C7=2,90+Inputs!$B$26+Inputs!$B$29,IF(Skills!C7=3,120+Inputs!$B$27+Inputs!$B$29,MAX(0,(Inputs!$B$3-100)*3)+Inputs!$B$28+Inputs!$B$29)))</f>
        <v/>
      </c>
      <c r="E694">
        <f>INDEX(FactorTable!$B$2:$Y$301, MATCH(ROUND(MIN(300,MAX(1,D694)),0), FactorTable!$A$2:$A$301,0), Skills!M7+1)</f>
        <v/>
      </c>
      <c r="F694">
        <f>IF(Skills!N7=TRUE,(Skills!L7/10)*(E694/1000),Skills!L7/10)+Skills!O7</f>
        <v/>
      </c>
      <c r="G694">
        <f>Skills!G7*IF(Skills!H7&gt;0,Skills!I7/Skills!H7,1)</f>
        <v/>
      </c>
      <c r="H694">
        <f>1-(1-Skills!J7/100)^Skills!K7</f>
        <v/>
      </c>
      <c r="I694" t="inlineStr">
        <is>
          <t>1</t>
        </is>
      </c>
      <c r="J694">
        <f>((Inputs!$B$6*(1+Inputs!$B$7/100))+(((Inputs!$B$12*(1+Inputs!$B$13/100))-(Inputs!$B$12*(1+Inputs!$B$13/100)))+0.25*(Inputs!$B$14-Inputs!$B$14))*(1+Inputs!$B$7/100))*(F694/100)</f>
        <v/>
      </c>
      <c r="K694">
        <f>J694*(1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702=TRUE,F702,0)/100)*(1+(IF(Skills!A7="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694)</f>
        <v/>
      </c>
      <c r="L694">
        <f>K694*(MIN(Inputs!$B$22+((C709=TRUE)*(F709-Calc!F22)),(Inputs!$B$23+0+(IF(ArtifactsInput!$M$15,CHOOSE(ArtifactsInput!$N$15+1,25,30,35,40,45,50)/100*(Inputs!$B$11-Inputs!$B$11),0))))/100+(Inputs!$B$23+0+(IF(ArtifactsInput!$M$15,CHOOSE(ArtifactsInput!$N$15+1,25,30,35,40,45,50)/100*(Inputs!$B$11-Inputs!$B$11),0)))/100)/2</f>
        <v/>
      </c>
      <c r="M694">
        <f>L694*(1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4">
        <f>L694*(1-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694*(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4">
        <f>(1-Summary!$B$11)*T694+Summary!$B$11*V694</f>
        <v/>
      </c>
      <c r="P694">
        <f>IF(B728=0,0,O694/B728)</f>
        <v/>
      </c>
      <c r="Q694">
        <f>IFERROR(1/(IF(Inputs!$B$38="pvp",15,MAX(0.1,Skills!D7-IF(Skills!E7=TRUE,Inputs!$B$32,0)))*(1-IF(AND(ArtifactsInput!$M$27,Inputs!$B$4="Chapter Hunt"),CHOOSE(ArtifactsInput!$N$27+1,20,24,28,32,36,40),0)/100)),0)</f>
        <v/>
      </c>
      <c r="R694">
        <f>IF(AND(Inputs!$B$38&lt;&gt;"pvp",Inputs!$B$43&gt;0),IF(MAX(0,Inputs!$B$43-B725)&lt;=0,0,(INT(MAX(0,Inputs!$B$43-B725)/(IF(Inputs!$B$38="pvp",15,MAX(0.1,Skills!D7-IF(Skills!E7=TRUE,Inputs!$B$32,0)))*(1-IF(AND(ArtifactsInput!$M$27,Inputs!$B$4="Chapter Hunt"),CHOOSE(ArtifactsInput!$N$27+1,20,24,28,32,36,40),0)/100)))+1)),0)</f>
        <v/>
      </c>
      <c r="S694">
        <f>IFERROR(O694/N694,0)</f>
        <v/>
      </c>
      <c r="T694">
        <f>IF(C694,(H694*N694*IF(AND(Inputs!$B$38&lt;&gt;"pvp",Inputs!$B$43&gt;0),((Skills!G7*((R694-1)*IF(Skills!H7&gt;0,Skills!I7/Skills!H7,1)+IF(Skills!H7&gt;0,MIN(Skills!I7,MAX(0,MAX(0,Inputs!$B$43-B725)-((R694-1)*(IF(Inputs!$B$38="pvp",15,MAX(0.1,Skills!D7-IF(Skills!E7=TRUE,Inputs!$B$32,0)))*(1-IF(AND(ArtifactsInput!$M$27,Inputs!$B$4="Chapter Hunt"),CHOOSE(ArtifactsInput!$N$27+1,20,24,28,32,36,40),0)/100)))))/Skills!H7,1)))/Inputs!$B$43),G694*Q694)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694*(1-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694*(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694*(1-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694*(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4">
        <f>IF(C694,(H694*N694*IF(AND(Inputs!$B$38&lt;&gt;"pvp",Inputs!$B$43&gt;0),((Skills!G7*((R694-1)*IF(Skills!H7&gt;0,Skills!I7/Skills!H7,1)+IF(Skills!H7&gt;0,MIN(Skills!I7,MAX(0,MAX(0,Inputs!$B$43-B725)-((R694-1)*(IF(Inputs!$B$38="pvp",15,MAX(0.1,Skills!D7-IF(Skills!E7=TRUE,Inputs!$B$32,0)))*(1-IF(AND(ArtifactsInput!$M$27,Inputs!$B$4="Chapter Hunt"),CHOOSE(ArtifactsInput!$N$27+1,20,24,28,32,36,40),0)/100)))))/Skills!H7,1)))/Inputs!$B$43),G694*Q694))*IF(Inputs!$B$38="pvp",1,(1+(Inputs!$B$21+Skills!Q7+(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5">
      <c r="A695">
        <f>Skills!A8</f>
        <v/>
      </c>
      <c r="B695">
        <f>Skills!B8</f>
        <v/>
      </c>
      <c r="C695">
        <f>Inputs!$B$3&gt;=100</f>
        <v/>
      </c>
      <c r="D695">
        <f>IF(Skills!C8=1,60+Inputs!$B$25+Inputs!$B$29,IF(Skills!C8=2,90+Inputs!$B$26+Inputs!$B$29,IF(Skills!C8=3,120+Inputs!$B$27+Inputs!$B$29,MAX(0,(Inputs!$B$3-100)*3)+Inputs!$B$28+Inputs!$B$29)))</f>
        <v/>
      </c>
      <c r="E695">
        <f>INDEX(FactorTable!$B$2:$Y$301, MATCH(ROUND(MIN(300,MAX(1,D695)),0), FactorTable!$A$2:$A$301,0), Skills!M8+1)</f>
        <v/>
      </c>
      <c r="F695">
        <f>IF(Skills!N8=TRUE,(Skills!L8/10)*(E695/1000),Skills!L8/10)+Skills!O8</f>
        <v/>
      </c>
      <c r="G695">
        <f>Skills!G8*IF(Skills!H8&gt;0,Skills!I8/Skills!H8,1)</f>
        <v/>
      </c>
      <c r="H695">
        <f>1-(1-Skills!J8/100)^Skills!K8</f>
        <v/>
      </c>
      <c r="I695" t="inlineStr">
        <is>
          <t>1</t>
        </is>
      </c>
      <c r="J695">
        <f>((Inputs!$B$6*(1+Inputs!$B$7/100))+(((Inputs!$B$12*(1+Inputs!$B$13/100))-(Inputs!$B$12*(1+Inputs!$B$13/100)))+0.25*(Inputs!$B$14-Inputs!$B$14))*(1+Inputs!$B$7/100))*(F695/100)</f>
        <v/>
      </c>
      <c r="K695">
        <f>J695*(1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695)</f>
        <v/>
      </c>
      <c r="L695">
        <f>K695*(MIN(Inputs!$B$22+((C709=TRUE)*(F709-Calc!F22)),(Inputs!$B$23+0+(IF(ArtifactsInput!$M$15,CHOOSE(ArtifactsInput!$N$15+1,25,30,35,40,45,50)/100*(Inputs!$B$11-Inputs!$B$11),0))))/100+(Inputs!$B$23+0+(IF(ArtifactsInput!$M$15,CHOOSE(ArtifactsInput!$N$15+1,25,30,35,40,45,50)/100*(Inputs!$B$11-Inputs!$B$11),0)))/100)/2</f>
        <v/>
      </c>
      <c r="M695">
        <f>L695*(1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5">
        <f>L695*(1-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695*(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5">
        <f>(1-Summary!$B$11)*T695+Summary!$B$11*V695</f>
        <v/>
      </c>
      <c r="P695">
        <f>IF(B728=0,0,O695/B728)</f>
        <v/>
      </c>
      <c r="Q695">
        <f>IFERROR(1/(IF(Inputs!$B$38="pvp",15,MAX(0.1,Skills!D8-IF(Skills!E8=TRUE,Inputs!$B$32,0)))*(1-IF(AND(ArtifactsInput!$M$27,Inputs!$B$4="Chapter Hunt"),CHOOSE(ArtifactsInput!$N$27+1,20,24,28,32,36,40),0)/100)),0)</f>
        <v/>
      </c>
      <c r="R695">
        <f>IF(AND(Inputs!$B$38&lt;&gt;"pvp",Inputs!$B$43&gt;0),IF(MAX(0,Inputs!$B$43-B725)&lt;=0,0,(INT(MAX(0,Inputs!$B$43-B725)/(IF(Inputs!$B$38="pvp",15,MAX(0.1,Skills!D8-IF(Skills!E8=TRUE,Inputs!$B$32,0)))*(1-IF(AND(ArtifactsInput!$M$27,Inputs!$B$4="Chapter Hunt"),CHOOSE(ArtifactsInput!$N$27+1,20,24,28,32,36,40),0)/100)))+1)),0)</f>
        <v/>
      </c>
      <c r="S695">
        <f>IFERROR(O695/N695,0)</f>
        <v/>
      </c>
      <c r="T695">
        <f>IF(C695,(H695*N695*IF(AND(Inputs!$B$38&lt;&gt;"pvp",Inputs!$B$43&gt;0),((Skills!G8*((R695-1)*IF(Skills!H8&gt;0,Skills!I8/Skills!H8,1)+IF(Skills!H8&gt;0,MIN(Skills!I8,MAX(0,MAX(0,Inputs!$B$43-B725)-((R695-1)*(IF(Inputs!$B$38="pvp",15,MAX(0.1,Skills!D8-IF(Skills!E8=TRUE,Inputs!$B$32,0)))*(1-IF(AND(ArtifactsInput!$M$27,Inputs!$B$4="Chapter Hunt"),CHOOSE(ArtifactsInput!$N$27+1,20,24,28,32,36,40),0)/100)))))/Skills!H8,1)))/Inputs!$B$43),G695*Q695)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695*(1-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695*(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695*(1-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695*(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5">
        <f>IF(C695,(H695*N695*IF(AND(Inputs!$B$38&lt;&gt;"pvp",Inputs!$B$43&gt;0),((Skills!G8*((R695-1)*IF(Skills!H8&gt;0,Skills!I8/Skills!H8,1)+IF(Skills!H8&gt;0,MIN(Skills!I8,MAX(0,MAX(0,Inputs!$B$43-B725)-((R695-1)*(IF(Inputs!$B$38="pvp",15,MAX(0.1,Skills!D8-IF(Skills!E8=TRUE,Inputs!$B$32,0)))*(1-IF(AND(ArtifactsInput!$M$27,Inputs!$B$4="Chapter Hunt"),CHOOSE(ArtifactsInput!$N$27+1,20,24,28,32,36,40),0)/100)))))/Skills!H8,1)))/Inputs!$B$43),G695*Q695))*IF(Inputs!$B$38="pvp",1,(1+(Inputs!$B$21+Skills!Q8+(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6">
      <c r="A696">
        <f>Skills!A9</f>
        <v/>
      </c>
      <c r="B696">
        <f>Skills!B9</f>
        <v/>
      </c>
      <c r="C696">
        <f>Inputs!$B$3&gt;=103</f>
        <v/>
      </c>
      <c r="D696">
        <f>IF(Skills!C9=1,60+Inputs!$B$25+Inputs!$B$29,IF(Skills!C9=2,90+Inputs!$B$26+Inputs!$B$29,IF(Skills!C9=3,120+Inputs!$B$27+Inputs!$B$29,MAX(0,(Inputs!$B$3-100)*3)+Inputs!$B$28+Inputs!$B$29)))</f>
        <v/>
      </c>
      <c r="E696">
        <f>INDEX(FactorTable!$B$2:$Y$301, MATCH(ROUND(MIN(300,MAX(1,D696)),0), FactorTable!$A$2:$A$301,0), Skills!M9+1)</f>
        <v/>
      </c>
      <c r="F696">
        <f>IF(Skills!N9=TRUE,(Skills!L9/10)*(E696/1000),Skills!L9/10)+Skills!O9</f>
        <v/>
      </c>
      <c r="G696">
        <f>Skills!G9*IF(Skills!H9&gt;0,Skills!I9/Skills!H9,1)</f>
        <v/>
      </c>
      <c r="H696">
        <f>1-(1-Skills!J9/100)^Skills!K9</f>
        <v/>
      </c>
      <c r="I696" t="inlineStr">
        <is>
          <t>1</t>
        </is>
      </c>
      <c r="J696">
        <f>((Inputs!$B$6*(1+Inputs!$B$7/100))+(((Inputs!$B$12*(1+Inputs!$B$13/100))-(Inputs!$B$12*(1+Inputs!$B$13/100)))+0.25*(Inputs!$B$14-Inputs!$B$14))*(1+Inputs!$B$7/100))*(F696/100)</f>
        <v/>
      </c>
      <c r="K696">
        <f>J696*(1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696)</f>
        <v/>
      </c>
      <c r="L696">
        <f>K696*(MIN(Inputs!$B$22+((C709=TRUE)*(F709-Calc!F22)),(Inputs!$B$23+0+(IF(ArtifactsInput!$M$15,CHOOSE(ArtifactsInput!$N$15+1,25,30,35,40,45,50)/100*(Inputs!$B$11-Inputs!$B$11),0))))/100+(Inputs!$B$23+0+(IF(ArtifactsInput!$M$15,CHOOSE(ArtifactsInput!$N$15+1,25,30,35,40,45,50)/100*(Inputs!$B$11-Inputs!$B$11),0)))/100)/2</f>
        <v/>
      </c>
      <c r="M696">
        <f>L696*(1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6">
        <f>L696*(1-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696*(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6">
        <f>(1-Summary!$B$11)*T696+Summary!$B$11*V696</f>
        <v/>
      </c>
      <c r="P696">
        <f>IF(B728=0,0,O696/B728)</f>
        <v/>
      </c>
      <c r="Q696">
        <f>IFERROR(1/(IF(Inputs!$B$38="pvp",15,MAX(0.1,Skills!D9-IF(Skills!E9=TRUE,Inputs!$B$32,0)))*(1-IF(AND(ArtifactsInput!$M$27,Inputs!$B$4="Chapter Hunt"),CHOOSE(ArtifactsInput!$N$27+1,20,24,28,32,36,40),0)/100)),0)</f>
        <v/>
      </c>
      <c r="R696">
        <f>IF(AND(Inputs!$B$38&lt;&gt;"pvp",Inputs!$B$43&gt;0),IF(MAX(0,Inputs!$B$43-B725)&lt;=0,0,(INT(MAX(0,Inputs!$B$43-B725)/(IF(Inputs!$B$38="pvp",15,MAX(0.1,Skills!D9-IF(Skills!E9=TRUE,Inputs!$B$32,0)))*(1-IF(AND(ArtifactsInput!$M$27,Inputs!$B$4="Chapter Hunt"),CHOOSE(ArtifactsInput!$N$27+1,20,24,28,32,36,40),0)/100)))+1)),0)</f>
        <v/>
      </c>
      <c r="S696">
        <f>IFERROR(O696/N696,0)</f>
        <v/>
      </c>
      <c r="T696">
        <f>IF(C696,(H696*N696*IF(AND(Inputs!$B$38&lt;&gt;"pvp",Inputs!$B$43&gt;0),((Skills!G9*((R696-1)*IF(Skills!H9&gt;0,Skills!I9/Skills!H9,1)+IF(Skills!H9&gt;0,MIN(Skills!I9,MAX(0,MAX(0,Inputs!$B$43-B725)-((R696-1)*(IF(Inputs!$B$38="pvp",15,MAX(0.1,Skills!D9-IF(Skills!E9=TRUE,Inputs!$B$32,0)))*(1-IF(AND(ArtifactsInput!$M$27,Inputs!$B$4="Chapter Hunt"),CHOOSE(ArtifactsInput!$N$27+1,20,24,28,32,36,40),0)/100)))))/Skills!H9,1)))/Inputs!$B$43),G696*Q696)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696*(1-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696*(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696*(1-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696*(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6">
        <f>IF(C696,(H696*N696*IF(AND(Inputs!$B$38&lt;&gt;"pvp",Inputs!$B$43&gt;0),((Skills!G9*((R696-1)*IF(Skills!H9&gt;0,Skills!I9/Skills!H9,1)+IF(Skills!H9&gt;0,MIN(Skills!I9,MAX(0,MAX(0,Inputs!$B$43-B725)-((R696-1)*(IF(Inputs!$B$38="pvp",15,MAX(0.1,Skills!D9-IF(Skills!E9=TRUE,Inputs!$B$32,0)))*(1-IF(AND(ArtifactsInput!$M$27,Inputs!$B$4="Chapter Hunt"),CHOOSE(ArtifactsInput!$N$27+1,20,24,28,32,36,40),0)/100)))))/Skills!H9,1)))/Inputs!$B$43),G696*Q696))*IF(Inputs!$B$38="pvp",1,(1+(Inputs!$B$21+Skills!Q9+(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7">
      <c r="A697">
        <f>Skills!A10</f>
        <v/>
      </c>
      <c r="B697">
        <f>Skills!B10</f>
        <v/>
      </c>
      <c r="C697">
        <f>Inputs!$B$3&gt;=113</f>
        <v/>
      </c>
      <c r="D697">
        <f>IF(Skills!C10=1,60+Inputs!$B$25+Inputs!$B$29,IF(Skills!C10=2,90+Inputs!$B$26+Inputs!$B$29,IF(Skills!C10=3,120+Inputs!$B$27+Inputs!$B$29,MAX(0,(Inputs!$B$3-100)*3)+Inputs!$B$28+Inputs!$B$29)))</f>
        <v/>
      </c>
      <c r="E697">
        <f>INDEX(FactorTable!$B$2:$Y$301, MATCH(ROUND(MIN(300,MAX(1,D697)),0), FactorTable!$A$2:$A$301,0), Skills!M10+1)</f>
        <v/>
      </c>
      <c r="F697">
        <f>IF(Skills!N10=TRUE,(Skills!L10/10)*(E697/1000),Skills!L10/10)+Skills!O10</f>
        <v/>
      </c>
      <c r="G697">
        <f>Skills!G10*IF(Skills!H10&gt;0,Skills!I10/Skills!H10,1)</f>
        <v/>
      </c>
      <c r="H697">
        <f>1-(1-Skills!J10/100)^Skills!K10</f>
        <v/>
      </c>
      <c r="I697" t="inlineStr">
        <is>
          <t>1</t>
        </is>
      </c>
      <c r="J697">
        <f>((Inputs!$B$6*(1+Inputs!$B$7/100))+(((Inputs!$B$12*(1+Inputs!$B$13/100))-(Inputs!$B$12*(1+Inputs!$B$13/100)))+0.25*(Inputs!$B$14-Inputs!$B$14))*(1+Inputs!$B$7/100))*(F697/100)</f>
        <v/>
      </c>
      <c r="K697">
        <f>J697*(1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697)</f>
        <v/>
      </c>
      <c r="L697">
        <f>K697*(MIN(Inputs!$B$22+((C709=TRUE)*(F709-Calc!F22)),(Inputs!$B$23+0+(IF(ArtifactsInput!$M$15,CHOOSE(ArtifactsInput!$N$15+1,25,30,35,40,45,50)/100*(Inputs!$B$11-Inputs!$B$11),0))))/100+(Inputs!$B$23+0+(IF(ArtifactsInput!$M$15,CHOOSE(ArtifactsInput!$N$15+1,25,30,35,40,45,50)/100*(Inputs!$B$11-Inputs!$B$11),0)))/100)/2</f>
        <v/>
      </c>
      <c r="M697">
        <f>L697*(1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7">
        <f>L697*(1-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697*(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7">
        <f>(1-Summary!$B$11)*T697+Summary!$B$11*V697</f>
        <v/>
      </c>
      <c r="P697">
        <f>IF(B728=0,0,O697/B728)</f>
        <v/>
      </c>
      <c r="Q697">
        <f>IFERROR(1/(IF(Inputs!$B$38="pvp",15,MAX(0.1,Skills!D10-IF(Skills!E10=TRUE,Inputs!$B$32,0)))*(1-IF(AND(ArtifactsInput!$M$27,Inputs!$B$4="Chapter Hunt"),CHOOSE(ArtifactsInput!$N$27+1,20,24,28,32,36,40),0)/100)),0)</f>
        <v/>
      </c>
      <c r="R697">
        <f>IF(AND(Inputs!$B$38&lt;&gt;"pvp",Inputs!$B$43&gt;0),IF(MAX(0,Inputs!$B$43-B725)&lt;=0,0,(INT(MAX(0,Inputs!$B$43-B725)/(IF(Inputs!$B$38="pvp",15,MAX(0.1,Skills!D10-IF(Skills!E10=TRUE,Inputs!$B$32,0)))*(1-IF(AND(ArtifactsInput!$M$27,Inputs!$B$4="Chapter Hunt"),CHOOSE(ArtifactsInput!$N$27+1,20,24,28,32,36,40),0)/100)))+1)),0)</f>
        <v/>
      </c>
      <c r="S697">
        <f>IFERROR(O697/N697,0)</f>
        <v/>
      </c>
      <c r="T697">
        <f>IF(C697,(H697*N697*IF(AND(Inputs!$B$38&lt;&gt;"pvp",Inputs!$B$43&gt;0),((Skills!G10*((R697-1)*IF(Skills!H10&gt;0,Skills!I10/Skills!H10,1)+IF(Skills!H10&gt;0,MIN(Skills!I10,MAX(0,MAX(0,Inputs!$B$43-B725)-((R697-1)*(IF(Inputs!$B$38="pvp",15,MAX(0.1,Skills!D10-IF(Skills!E10=TRUE,Inputs!$B$32,0)))*(1-IF(AND(ArtifactsInput!$M$27,Inputs!$B$4="Chapter Hunt"),CHOOSE(ArtifactsInput!$N$27+1,20,24,28,32,36,40),0)/100)))))/Skills!H10,1)))/Inputs!$B$43),G697*Q697)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697*(1-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697*(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697*(1-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697*(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7">
        <f>IF(C697,(H697*N697*IF(AND(Inputs!$B$38&lt;&gt;"pvp",Inputs!$B$43&gt;0),((Skills!G10*((R697-1)*IF(Skills!H10&gt;0,Skills!I10/Skills!H10,1)+IF(Skills!H10&gt;0,MIN(Skills!I10,MAX(0,MAX(0,Inputs!$B$43-B725)-((R697-1)*(IF(Inputs!$B$38="pvp",15,MAX(0.1,Skills!D10-IF(Skills!E10=TRUE,Inputs!$B$32,0)))*(1-IF(AND(ArtifactsInput!$M$27,Inputs!$B$4="Chapter Hunt"),CHOOSE(ArtifactsInput!$N$27+1,20,24,28,32,36,40),0)/100)))))/Skills!H10,1)))/Inputs!$B$43),G697*Q697))*IF(Inputs!$B$38="pvp",1,(1+(Inputs!$B$21+Skills!Q10+(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8">
      <c r="A698">
        <f>Skills!A11</f>
        <v/>
      </c>
      <c r="B698">
        <f>Skills!B11</f>
        <v/>
      </c>
      <c r="C698">
        <f>Inputs!$B$3&gt;=107</f>
        <v/>
      </c>
      <c r="D698">
        <f>IF(Skills!C11=1,60+Inputs!$B$25+Inputs!$B$29,IF(Skills!C11=2,90+Inputs!$B$26+Inputs!$B$29,IF(Skills!C11=3,120+Inputs!$B$27+Inputs!$B$29,MAX(0,(Inputs!$B$3-100)*3)+Inputs!$B$28+Inputs!$B$29)))</f>
        <v/>
      </c>
      <c r="E698">
        <f>INDEX(FactorTable!$B$2:$Y$301, MATCH(ROUND(MIN(300,MAX(1,D698)),0), FactorTable!$A$2:$A$301,0), Skills!M11+1)</f>
        <v/>
      </c>
      <c r="F698">
        <f>IF(Skills!N11=TRUE,(Skills!L11/10)*(E698/1000),Skills!L11/10)+Skills!O11</f>
        <v/>
      </c>
      <c r="G698">
        <f>Skills!G11*IF(Skills!H11&gt;0,Skills!I11/Skills!H11,1)</f>
        <v/>
      </c>
      <c r="H698">
        <f>1-(1-Skills!J11/100)^Skills!K11</f>
        <v/>
      </c>
      <c r="I698" t="inlineStr">
        <is>
          <t>1</t>
        </is>
      </c>
      <c r="J698">
        <f>((Inputs!$B$6*(1+Inputs!$B$7/100))+(((Inputs!$B$12*(1+Inputs!$B$13/100))-(Inputs!$B$12*(1+Inputs!$B$13/100)))+0.25*(Inputs!$B$14-Inputs!$B$14))*(1+Inputs!$B$7/100))*(F698/100)</f>
        <v/>
      </c>
      <c r="K698">
        <f>J698*(1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698)</f>
        <v/>
      </c>
      <c r="L698">
        <f>K698*(MIN(Inputs!$B$22+((C709=TRUE)*(F709-Calc!F22)),(Inputs!$B$23+0+(IF(ArtifactsInput!$M$15,CHOOSE(ArtifactsInput!$N$15+1,25,30,35,40,45,50)/100*(Inputs!$B$11-Inputs!$B$11),0))))/100+(Inputs!$B$23+0+(IF(ArtifactsInput!$M$15,CHOOSE(ArtifactsInput!$N$15+1,25,30,35,40,45,50)/100*(Inputs!$B$11-Inputs!$B$11),0)))/100)/2</f>
        <v/>
      </c>
      <c r="M698">
        <f>L698*(1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8">
        <f>L698*(1-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698*(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8">
        <f>(1-Summary!$B$11)*T698+Summary!$B$11*V698</f>
        <v/>
      </c>
      <c r="P698">
        <f>IF(B728=0,0,O698/B728)</f>
        <v/>
      </c>
      <c r="Q698">
        <f>IFERROR(1/(IF(Inputs!$B$38="pvp",15,MAX(0.1,Skills!D11-IF(Skills!E11=TRUE,Inputs!$B$32,0)))*(1-IF(AND(ArtifactsInput!$M$27,Inputs!$B$4="Chapter Hunt"),CHOOSE(ArtifactsInput!$N$27+1,20,24,28,32,36,40),0)/100)),0)</f>
        <v/>
      </c>
      <c r="R698">
        <f>IF(AND(Inputs!$B$38&lt;&gt;"pvp",Inputs!$B$43&gt;0),IF(MAX(0,Inputs!$B$43-B725)&lt;=0,0,(INT(MAX(0,Inputs!$B$43-B725)/(IF(Inputs!$B$38="pvp",15,MAX(0.1,Skills!D11-IF(Skills!E11=TRUE,Inputs!$B$32,0)))*(1-IF(AND(ArtifactsInput!$M$27,Inputs!$B$4="Chapter Hunt"),CHOOSE(ArtifactsInput!$N$27+1,20,24,28,32,36,40),0)/100)))+1)),0)</f>
        <v/>
      </c>
      <c r="S698">
        <f>IFERROR(O698/N698,0)</f>
        <v/>
      </c>
      <c r="T698">
        <f>IF(C698,(H698*N698*IF(AND(Inputs!$B$38&lt;&gt;"pvp",Inputs!$B$43&gt;0),((Skills!G11*((R698-1)*IF(Skills!H11&gt;0,Skills!I11/Skills!H11,1)+IF(Skills!H11&gt;0,MIN(Skills!I11,MAX(0,MAX(0,Inputs!$B$43-B725)-((R698-1)*(IF(Inputs!$B$38="pvp",15,MAX(0.1,Skills!D11-IF(Skills!E11=TRUE,Inputs!$B$32,0)))*(1-IF(AND(ArtifactsInput!$M$27,Inputs!$B$4="Chapter Hunt"),CHOOSE(ArtifactsInput!$N$27+1,20,24,28,32,36,40),0)/100)))))/Skills!H11,1)))/Inputs!$B$43),G698*Q698)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698*(1-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698*(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698*(1-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698*(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8">
        <f>IF(C698,(H698*N698*IF(AND(Inputs!$B$38&lt;&gt;"pvp",Inputs!$B$43&gt;0),((Skills!G11*((R698-1)*IF(Skills!H11&gt;0,Skills!I11/Skills!H11,1)+IF(Skills!H11&gt;0,MIN(Skills!I11,MAX(0,MAX(0,Inputs!$B$43-B725)-((R698-1)*(IF(Inputs!$B$38="pvp",15,MAX(0.1,Skills!D11-IF(Skills!E11=TRUE,Inputs!$B$32,0)))*(1-IF(AND(ArtifactsInput!$M$27,Inputs!$B$4="Chapter Hunt"),CHOOSE(ArtifactsInput!$N$27+1,20,24,28,32,36,40),0)/100)))))/Skills!H11,1)))/Inputs!$B$43),G698*Q698))*IF(Inputs!$B$38="pvp",1,(1+(Inputs!$B$21+Skills!Q11+(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9">
      <c r="A699">
        <f>Skills!A12</f>
        <v/>
      </c>
      <c r="B699">
        <f>Skills!B12</f>
        <v/>
      </c>
      <c r="C699">
        <f>Inputs!$B$3&gt;=110</f>
        <v/>
      </c>
      <c r="D699">
        <f>IF(Skills!C12=1,60+Inputs!$B$25+Inputs!$B$29,IF(Skills!C12=2,90+Inputs!$B$26+Inputs!$B$29,IF(Skills!C12=3,120+Inputs!$B$27+Inputs!$B$29,MAX(0,(Inputs!$B$3-100)*3)+Inputs!$B$28+Inputs!$B$29)))</f>
        <v/>
      </c>
      <c r="E699">
        <f>INDEX(FactorTable!$B$2:$Y$301, MATCH(ROUND(MIN(300,MAX(1,D699)),0), FactorTable!$A$2:$A$301,0), Skills!M12+1)</f>
        <v/>
      </c>
      <c r="F699">
        <f>IF(Skills!N12=TRUE,(Skills!L12/10)*(E699/1000),Skills!L12/10)+Skills!O12</f>
        <v/>
      </c>
      <c r="G699">
        <f>Skills!G12*IF(Skills!H12&gt;0,Skills!I12/Skills!H12,1)</f>
        <v/>
      </c>
      <c r="H699">
        <f>1-(1-Skills!J12/100)^Skills!K12</f>
        <v/>
      </c>
      <c r="I699" t="inlineStr">
        <is>
          <t>1</t>
        </is>
      </c>
      <c r="J699">
        <f>((Inputs!$B$6*(1+Inputs!$B$7/100))+(((Inputs!$B$12*(1+Inputs!$B$13/100))-(Inputs!$B$12*(1+Inputs!$B$13/100)))+0.25*(Inputs!$B$14-Inputs!$B$14))*(1+Inputs!$B$7/100))*(F699/100)</f>
        <v/>
      </c>
      <c r="K699">
        <f>J699*(1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699)</f>
        <v/>
      </c>
      <c r="L699">
        <f>K699*(MIN(Inputs!$B$22+((C709=TRUE)*(F709-Calc!F22)),(Inputs!$B$23+0+(IF(ArtifactsInput!$M$15,CHOOSE(ArtifactsInput!$N$15+1,25,30,35,40,45,50)/100*(Inputs!$B$11-Inputs!$B$11),0))))/100+(Inputs!$B$23+0+(IF(ArtifactsInput!$M$15,CHOOSE(ArtifactsInput!$N$15+1,25,30,35,40,45,50)/100*(Inputs!$B$11-Inputs!$B$11),0)))/100)/2</f>
        <v/>
      </c>
      <c r="M699">
        <f>L699*(1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9">
        <f>L699*(1-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699*(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9">
        <f>(1-Summary!$B$11)*T699+Summary!$B$11*V699</f>
        <v/>
      </c>
      <c r="P699">
        <f>IF(B728=0,0,O699/B728)</f>
        <v/>
      </c>
      <c r="Q699">
        <f>IFERROR(1/(IF(Inputs!$B$38="pvp",15,MAX(0.1,Skills!D12-IF(Skills!E12=TRUE,Inputs!$B$32,0)))*(1-IF(AND(ArtifactsInput!$M$27,Inputs!$B$4="Chapter Hunt"),CHOOSE(ArtifactsInput!$N$27+1,20,24,28,32,36,40),0)/100)),0)</f>
        <v/>
      </c>
      <c r="R699">
        <f>IF(AND(Inputs!$B$38&lt;&gt;"pvp",Inputs!$B$43&gt;0),IF(MAX(0,Inputs!$B$43-B725)&lt;=0,0,(INT(MAX(0,Inputs!$B$43-B725)/(IF(Inputs!$B$38="pvp",15,MAX(0.1,Skills!D12-IF(Skills!E12=TRUE,Inputs!$B$32,0)))*(1-IF(AND(ArtifactsInput!$M$27,Inputs!$B$4="Chapter Hunt"),CHOOSE(ArtifactsInput!$N$27+1,20,24,28,32,36,40),0)/100)))+1)),0)</f>
        <v/>
      </c>
      <c r="S699">
        <f>IFERROR(O699/N699,0)</f>
        <v/>
      </c>
      <c r="T699">
        <f>IF(C699,(H699*N699*IF(AND(Inputs!$B$38&lt;&gt;"pvp",Inputs!$B$43&gt;0),((Skills!G12*((R699-1)*IF(Skills!H12&gt;0,Skills!I12/Skills!H12,1)+IF(Skills!H12&gt;0,MIN(Skills!I12,MAX(0,MAX(0,Inputs!$B$43-B725)-((R699-1)*(IF(Inputs!$B$38="pvp",15,MAX(0.1,Skills!D12-IF(Skills!E12=TRUE,Inputs!$B$32,0)))*(1-IF(AND(ArtifactsInput!$M$27,Inputs!$B$4="Chapter Hunt"),CHOOSE(ArtifactsInput!$N$27+1,20,24,28,32,36,40),0)/100)))))/Skills!H12,1)))/Inputs!$B$43),G699*Q699)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699*(1-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699*(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699*(1-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699*(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9">
        <f>IF(C699,(H699*N699*IF(AND(Inputs!$B$38&lt;&gt;"pvp",Inputs!$B$43&gt;0),((Skills!G12*((R699-1)*IF(Skills!H12&gt;0,Skills!I12/Skills!H12,1)+IF(Skills!H12&gt;0,MIN(Skills!I12,MAX(0,MAX(0,Inputs!$B$43-B725)-((R699-1)*(IF(Inputs!$B$38="pvp",15,MAX(0.1,Skills!D12-IF(Skills!E12=TRUE,Inputs!$B$32,0)))*(1-IF(AND(ArtifactsInput!$M$27,Inputs!$B$4="Chapter Hunt"),CHOOSE(ArtifactsInput!$N$27+1,20,24,28,32,36,40),0)/100)))))/Skills!H12,1)))/Inputs!$B$43),G699*Q699))*IF(Inputs!$B$38="pvp",1,(1+(Inputs!$B$21+Skills!Q12+(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0">
      <c r="A700">
        <f>Skills!A13</f>
        <v/>
      </c>
      <c r="B700">
        <f>Skills!B13</f>
        <v/>
      </c>
      <c r="C700">
        <f>Inputs!$B$3&gt;=110</f>
        <v/>
      </c>
      <c r="D700">
        <f>IF(Skills!C13=1,60+Inputs!$B$25+Inputs!$B$29,IF(Skills!C13=2,90+Inputs!$B$26+Inputs!$B$29,IF(Skills!C13=3,120+Inputs!$B$27+Inputs!$B$29,MAX(0,(Inputs!$B$3-100)*3)+Inputs!$B$28+Inputs!$B$29)))</f>
        <v/>
      </c>
      <c r="E700">
        <f>INDEX(FactorTable!$B$2:$Y$301, MATCH(ROUND(MIN(300,MAX(1,D700)),0), FactorTable!$A$2:$A$301,0), Skills!M13+1)</f>
        <v/>
      </c>
      <c r="F700">
        <f>IF(Skills!N13=TRUE,(Skills!L13/10)*(E700/1000),Skills!L13/10)+Skills!O13</f>
        <v/>
      </c>
      <c r="G700">
        <f>Skills!G13*IF(Skills!H13&gt;0,Skills!I13/Skills!H13,1)</f>
        <v/>
      </c>
      <c r="H700">
        <f>1-(1-Skills!J13/100)^Skills!K13</f>
        <v/>
      </c>
      <c r="I700" t="inlineStr">
        <is>
          <t>1</t>
        </is>
      </c>
      <c r="J700">
        <f>((Inputs!$B$6*(1+Inputs!$B$7/100))+(((Inputs!$B$12*(1+Inputs!$B$13/100))-(Inputs!$B$12*(1+Inputs!$B$13/100)))+0.25*(Inputs!$B$14-Inputs!$B$14))*(1+Inputs!$B$7/100))*(F700/100)</f>
        <v/>
      </c>
      <c r="K700">
        <f>J700*(1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700)</f>
        <v/>
      </c>
      <c r="L700">
        <f>K700*(MIN(Inputs!$B$22+((C709=TRUE)*(F709-Calc!F22)),(Inputs!$B$23+0+(IF(ArtifactsInput!$M$15,CHOOSE(ArtifactsInput!$N$15+1,25,30,35,40,45,50)/100*(Inputs!$B$11-Inputs!$B$11),0))))/100+(Inputs!$B$23+0+(IF(ArtifactsInput!$M$15,CHOOSE(ArtifactsInput!$N$15+1,25,30,35,40,45,50)/100*(Inputs!$B$11-Inputs!$B$11),0)))/100)/2</f>
        <v/>
      </c>
      <c r="M700">
        <f>L700*(1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0">
        <f>L700*(1-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700*(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0">
        <f>(1-Summary!$B$11)*T700+Summary!$B$11*V700</f>
        <v/>
      </c>
      <c r="P700">
        <f>IF(B728=0,0,O700/B728)</f>
        <v/>
      </c>
      <c r="Q700">
        <f>IFERROR(1/(IF(Inputs!$B$38="pvp",15,MAX(0.1,Skills!D13-IF(Skills!E13=TRUE,Inputs!$B$32,0)))*(1-IF(AND(ArtifactsInput!$M$27,Inputs!$B$4="Chapter Hunt"),CHOOSE(ArtifactsInput!$N$27+1,20,24,28,32,36,40),0)/100)),0)</f>
        <v/>
      </c>
      <c r="R700">
        <f>IF(AND(Inputs!$B$38&lt;&gt;"pvp",Inputs!$B$43&gt;0),IF(MAX(0,Inputs!$B$43-B725)&lt;=0,0,(INT(MAX(0,Inputs!$B$43-B725)/(IF(Inputs!$B$38="pvp",15,MAX(0.1,Skills!D13-IF(Skills!E13=TRUE,Inputs!$B$32,0)))*(1-IF(AND(ArtifactsInput!$M$27,Inputs!$B$4="Chapter Hunt"),CHOOSE(ArtifactsInput!$N$27+1,20,24,28,32,36,40),0)/100)))+1)),0)</f>
        <v/>
      </c>
      <c r="S700">
        <f>IFERROR(O700/N700,0)</f>
        <v/>
      </c>
      <c r="T700">
        <f>IF(C700,(H700*N700*IF(AND(Inputs!$B$38&lt;&gt;"pvp",Inputs!$B$43&gt;0),((Skills!G13*((R700-1)*IF(Skills!H13&gt;0,Skills!I13/Skills!H13,1)+IF(Skills!H13&gt;0,MIN(Skills!I13,MAX(0,MAX(0,Inputs!$B$43-B725)-((R700-1)*(IF(Inputs!$B$38="pvp",15,MAX(0.1,Skills!D13-IF(Skills!E13=TRUE,Inputs!$B$32,0)))*(1-IF(AND(ArtifactsInput!$M$27,Inputs!$B$4="Chapter Hunt"),CHOOSE(ArtifactsInput!$N$27+1,20,24,28,32,36,40),0)/100)))))/Skills!H13,1)))/Inputs!$B$43),G700*Q700)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700*(1-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700*(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700*(1-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700*(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0">
        <f>IF(C700,(H700*N700*IF(AND(Inputs!$B$38&lt;&gt;"pvp",Inputs!$B$43&gt;0),((Skills!G13*((R700-1)*IF(Skills!H13&gt;0,Skills!I13/Skills!H13,1)+IF(Skills!H13&gt;0,MIN(Skills!I13,MAX(0,MAX(0,Inputs!$B$43-B725)-((R700-1)*(IF(Inputs!$B$38="pvp",15,MAX(0.1,Skills!D13-IF(Skills!E13=TRUE,Inputs!$B$32,0)))*(1-IF(AND(ArtifactsInput!$M$27,Inputs!$B$4="Chapter Hunt"),CHOOSE(ArtifactsInput!$N$27+1,20,24,28,32,36,40),0)/100)))))/Skills!H13,1)))/Inputs!$B$43),G700*Q700))*IF(Inputs!$B$38="pvp",1,(1+(Inputs!$B$21+Skills!Q13+(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1">
      <c r="A701">
        <f>Skills!A14</f>
        <v/>
      </c>
      <c r="B701">
        <f>Skills!B14</f>
        <v/>
      </c>
      <c r="C701">
        <f>Inputs!$B$3&gt;=125</f>
        <v/>
      </c>
      <c r="D701">
        <f>IF(Skills!C14=1,60+Inputs!$B$25+Inputs!$B$29,IF(Skills!C14=2,90+Inputs!$B$26+Inputs!$B$29,IF(Skills!C14=3,120+Inputs!$B$27+Inputs!$B$29,MAX(0,(Inputs!$B$3-100)*3)+Inputs!$B$28+Inputs!$B$29)))</f>
        <v/>
      </c>
      <c r="E701">
        <f>INDEX(FactorTable!$B$2:$Y$301, MATCH(ROUND(MIN(300,MAX(1,D701)),0), FactorTable!$A$2:$A$301,0), Skills!M14+1)</f>
        <v/>
      </c>
      <c r="F701">
        <f>IF(Skills!N14=TRUE,(Skills!L14/10)*(E701/1000),Skills!L14/10)+Skills!O14</f>
        <v/>
      </c>
      <c r="G701">
        <f>Skills!G14*IF(Skills!H14&gt;0,Skills!I14/Skills!H14,1)</f>
        <v/>
      </c>
      <c r="H701">
        <f>1-(1-Skills!J14/100)^Skills!K14</f>
        <v/>
      </c>
      <c r="I701" t="inlineStr">
        <is>
          <t>1</t>
        </is>
      </c>
      <c r="J701">
        <f>((Inputs!$B$6*(1+Inputs!$B$7/100))+(((Inputs!$B$12*(1+Inputs!$B$13/100))-(Inputs!$B$12*(1+Inputs!$B$13/100)))+0.25*(Inputs!$B$14-Inputs!$B$14))*(1+Inputs!$B$7/100))*(F701/100)</f>
        <v/>
      </c>
      <c r="K701">
        <f>J701*(1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701)</f>
        <v/>
      </c>
      <c r="L701">
        <f>K701*(MIN(Inputs!$B$22+((C709=TRUE)*(F709-Calc!F22)),(Inputs!$B$23+0+(IF(ArtifactsInput!$M$15,CHOOSE(ArtifactsInput!$N$15+1,25,30,35,40,45,50)/100*(Inputs!$B$11-Inputs!$B$11),0))))/100+(Inputs!$B$23+0+(IF(ArtifactsInput!$M$15,CHOOSE(ArtifactsInput!$N$15+1,25,30,35,40,45,50)/100*(Inputs!$B$11-Inputs!$B$11),0)))/100)/2</f>
        <v/>
      </c>
      <c r="M701">
        <f>L701*(1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1">
        <f>L701*(1-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1">
        <f>(1-Summary!$B$11)*T701+Summary!$B$11*V701</f>
        <v/>
      </c>
      <c r="P701">
        <f>IF(B728=0,0,O701/B728)</f>
        <v/>
      </c>
      <c r="Q701" t="n">
        <v>0</v>
      </c>
      <c r="R701" t="n">
        <v>0</v>
      </c>
      <c r="S701">
        <f>IFERROR(O701/N701,0)</f>
        <v/>
      </c>
      <c r="T701">
        <f>IF(C701,(H701*N701*(B722+IF(AND(Inputs!$B$38&lt;&gt;"pvp",Inputs!$B$43&gt;0),((Skills!G8*((R695-1)*IF(Skills!H8&gt;0,Skills!I8/Skills!H8,1)+IF(Skills!H8&gt;0,MIN(Skills!I8,MAX(0,MAX(0,Inputs!$B$43-B725)-((R695-1)*(IF(Inputs!$B$38="pvp",15,MAX(0.1,Skills!D8-IF(Skills!E8=TRUE,Inputs!$B$32,0)))*(1-IF(AND(ArtifactsInput!$M$27,Inputs!$B$4="Chapter Hunt"),CHOOSE(ArtifactsInput!$N$27+1,20,24,28,32,36,40),0)/100)))))/Skills!H8,1)))/Inputs!$B$43),G695*Q695)+IF(AND(Inputs!$B$38&lt;&gt;"pvp",Inputs!$B$43&gt;0),((Skills!G11*((R698-1)*IF(Skills!H11&gt;0,Skills!I11/Skills!H11,1)+IF(Skills!H11&gt;0,MIN(Skills!I11,MAX(0,MAX(0,Inputs!$B$43-B725)-((R698-1)*(IF(Inputs!$B$38="pvp",15,MAX(0.1,Skills!D11-IF(Skills!E11=TRUE,Inputs!$B$32,0)))*(1-IF(AND(ArtifactsInput!$M$27,Inputs!$B$4="Chapter Hunt"),CHOOSE(ArtifactsInput!$N$27+1,20,24,28,32,36,40),0)/100)))))/Skills!H11,1)))/Inputs!$B$43),G698*Q698)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701*(1-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701*(1-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1">
        <f>IF(C701,(H701*N701*(B722+IF(AND(Inputs!$B$38&lt;&gt;"pvp",Inputs!$B$43&gt;0),((Skills!G8*((R695-1)*IF(Skills!H8&gt;0,Skills!I8/Skills!H8,1)+IF(Skills!H8&gt;0,MIN(Skills!I8,MAX(0,MAX(0,Inputs!$B$43-B725)-((R695-1)*(IF(Inputs!$B$38="pvp",15,MAX(0.1,Skills!D8-IF(Skills!E8=TRUE,Inputs!$B$32,0)))*(1-IF(AND(ArtifactsInput!$M$27,Inputs!$B$4="Chapter Hunt"),CHOOSE(ArtifactsInput!$N$27+1,20,24,28,32,36,40),0)/100)))))/Skills!H8,1)))/Inputs!$B$43),G695*Q695)+IF(AND(Inputs!$B$38&lt;&gt;"pvp",Inputs!$B$43&gt;0),((Skills!G11*((R698-1)*IF(Skills!H11&gt;0,Skills!I11/Skills!H11,1)+IF(Skills!H11&gt;0,MIN(Skills!I11,MAX(0,MAX(0,Inputs!$B$43-B725)-((R698-1)*(IF(Inputs!$B$38="pvp",15,MAX(0.1,Skills!D11-IF(Skills!E11=TRUE,Inputs!$B$32,0)))*(1-IF(AND(ArtifactsInput!$M$27,Inputs!$B$4="Chapter Hunt"),CHOOSE(ArtifactsInput!$N$27+1,20,24,28,32,36,40),0)/100)))))/Skills!H11,1)))/Inputs!$B$43),G698*Q698)))*IF(Inputs!$B$38="pvp",1,(1+(Inputs!$B$21+Skills!Q14+(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2">
      <c r="A702">
        <f>Skills!A15</f>
        <v/>
      </c>
      <c r="B702">
        <f>Skills!B15</f>
        <v/>
      </c>
      <c r="C702">
        <f>Inputs!$B$3&gt;=100</f>
        <v/>
      </c>
      <c r="D702">
        <f>IF(Skills!C15=1,60+Inputs!$B$25+Inputs!$B$29,IF(Skills!C15=2,90+Inputs!$B$26+Inputs!$B$29,IF(Skills!C15=3,120+Inputs!$B$27+Inputs!$B$29,MAX(0,(Inputs!$B$3-100)*3)+Inputs!$B$28+Inputs!$B$29)))</f>
        <v/>
      </c>
      <c r="E702">
        <f>INDEX(FactorTable!$B$2:$Y$301, MATCH(ROUND(MIN(300,MAX(1,D702)),0), FactorTable!$A$2:$A$301,0), Skills!M15+1)</f>
        <v/>
      </c>
      <c r="F702">
        <f>IF(Skills!N15=TRUE,(Skills!L15/10)*(E702/1000),Skills!L15/10)+Skills!O15</f>
        <v/>
      </c>
      <c r="G702" t="inlineStr"/>
      <c r="H702" t="inlineStr"/>
      <c r="I702" t="inlineStr">
        <is>
          <t>1</t>
        </is>
      </c>
      <c r="J702" t="inlineStr"/>
      <c r="K702" t="inlineStr"/>
      <c r="L702" t="inlineStr"/>
      <c r="M702" t="inlineStr"/>
      <c r="N702" t="inlineStr"/>
      <c r="O702" t="inlineStr"/>
      <c r="P702" t="inlineStr"/>
      <c r="Q702" t="inlineStr"/>
      <c r="R702" t="inlineStr"/>
      <c r="S702" t="inlineStr"/>
    </row>
    <row r="703">
      <c r="A703">
        <f>Skills!A16</f>
        <v/>
      </c>
      <c r="B703">
        <f>Skills!B16</f>
        <v/>
      </c>
      <c r="C703">
        <f>Inputs!$B$3&gt;=120</f>
        <v/>
      </c>
      <c r="D703">
        <f>IF(Skills!C16=1,60+Inputs!$B$25+Inputs!$B$29,IF(Skills!C16=2,90+Inputs!$B$26+Inputs!$B$29,IF(Skills!C16=3,120+Inputs!$B$27+Inputs!$B$29,MAX(0,(Inputs!$B$3-100)*3)+Inputs!$B$28+Inputs!$B$29)))</f>
        <v/>
      </c>
      <c r="E703">
        <f>INDEX(FactorTable!$B$2:$Y$301, MATCH(ROUND(MIN(300,MAX(1,D703)),0), FactorTable!$A$2:$A$301,0), Skills!M16+1)</f>
        <v/>
      </c>
      <c r="F703">
        <f>IF(Skills!N16=TRUE,(Skills!L16/10)*(E703/1000),Skills!L16/10)+Skills!O16</f>
        <v/>
      </c>
      <c r="G703" t="inlineStr"/>
      <c r="H703" t="inlineStr"/>
      <c r="I703" t="inlineStr">
        <is>
          <t>1</t>
        </is>
      </c>
      <c r="J703" t="inlineStr"/>
      <c r="K703" t="inlineStr"/>
      <c r="L703" t="inlineStr"/>
      <c r="M703" t="inlineStr"/>
      <c r="N703" t="inlineStr"/>
      <c r="O703" t="inlineStr"/>
      <c r="P703" t="inlineStr"/>
      <c r="Q703" t="inlineStr"/>
      <c r="R703" t="inlineStr"/>
      <c r="S703" t="inlineStr"/>
    </row>
    <row r="704">
      <c r="A704">
        <f>Skills!A17</f>
        <v/>
      </c>
      <c r="B704">
        <f>Skills!B17</f>
        <v/>
      </c>
      <c r="C704">
        <f>Inputs!$B$3&gt;=66</f>
        <v/>
      </c>
      <c r="D704">
        <f>IF(Skills!C17=1,60+Inputs!$B$25+Inputs!$B$29,IF(Skills!C17=2,90+Inputs!$B$26+Inputs!$B$29,IF(Skills!C17=3,120+Inputs!$B$27+Inputs!$B$29,MAX(0,(Inputs!$B$3-100)*3)+Inputs!$B$28+Inputs!$B$29)))</f>
        <v/>
      </c>
      <c r="E704">
        <f>INDEX(FactorTable!$B$2:$Y$301, MATCH(ROUND(MIN(300,MAX(1,D704)),0), FactorTable!$A$2:$A$301,0), Skills!M17+1)</f>
        <v/>
      </c>
      <c r="F704">
        <f>IF(Skills!N17=TRUE,(Skills!L17/10)*(E704/1000),Skills!L17/10)+Skills!O17</f>
        <v/>
      </c>
      <c r="G704">
        <f>Skills!G17*IF(Skills!H17&gt;0,Skills!I17/Skills!H17,1)</f>
        <v/>
      </c>
      <c r="H704">
        <f>1-(1-Skills!J17/100)^Skills!K17</f>
        <v/>
      </c>
      <c r="I704" t="inlineStr">
        <is>
          <t>1</t>
        </is>
      </c>
      <c r="J704" t="inlineStr"/>
      <c r="K704" t="inlineStr"/>
      <c r="L704" t="inlineStr"/>
      <c r="M704" t="inlineStr"/>
      <c r="N704" t="inlineStr"/>
      <c r="O704">
        <f>(1-Summary!$B$11)*T704+Summary!$B$11*V704</f>
        <v/>
      </c>
      <c r="P704">
        <f>IF(B728=0,0,O704/B728)</f>
        <v/>
      </c>
      <c r="Q704" t="n">
        <v>0</v>
      </c>
      <c r="R704" t="n">
        <v>0</v>
      </c>
      <c r="S704">
        <f>IFERROR(O704/N704,0)</f>
        <v/>
      </c>
      <c r="T704" t="n">
        <v>0</v>
      </c>
      <c r="V704" t="n">
        <v>0</v>
      </c>
    </row>
    <row r="705">
      <c r="A705">
        <f>Skills!A18</f>
        <v/>
      </c>
      <c r="B705">
        <f>Skills!B18</f>
        <v/>
      </c>
      <c r="C705">
        <f>Inputs!$B$3&gt;=115</f>
        <v/>
      </c>
      <c r="D705">
        <f>IF(Skills!C18=1,60+Inputs!$B$25+Inputs!$B$29,IF(Skills!C18=2,90+Inputs!$B$26+Inputs!$B$29,IF(Skills!C18=3,120+Inputs!$B$27+Inputs!$B$29,MAX(0,(Inputs!$B$3-100)*3)+Inputs!$B$28+Inputs!$B$29)))</f>
        <v/>
      </c>
      <c r="E705">
        <f>INDEX(FactorTable!$B$2:$Y$301, MATCH(ROUND(MIN(300,MAX(1,D705)),0), FactorTable!$A$2:$A$301,0), Skills!M18+1)</f>
        <v/>
      </c>
      <c r="F705">
        <f>IF(Skills!N18=TRUE,(Skills!L18/10)*(E705/1000),Skills!L18/10)+Skills!O18</f>
        <v/>
      </c>
      <c r="G705">
        <f>Skills!G18*IF(Skills!H18&gt;0,Skills!I18/Skills!H18,1)</f>
        <v/>
      </c>
      <c r="H705">
        <f>1-(1-Skills!J18/100)^Skills!K18</f>
        <v/>
      </c>
      <c r="I705" t="inlineStr">
        <is>
          <t>1</t>
        </is>
      </c>
      <c r="J705" t="inlineStr"/>
      <c r="K705" t="inlineStr"/>
      <c r="L705" t="inlineStr"/>
      <c r="M705" t="inlineStr"/>
      <c r="N705" t="inlineStr"/>
      <c r="O705">
        <f>(1-Summary!$B$11)*T705+Summary!$B$11*V705</f>
        <v/>
      </c>
      <c r="P705">
        <f>IF(B728=0,0,O705/B728)</f>
        <v/>
      </c>
      <c r="Q705">
        <f>IFERROR(1/(IF(Inputs!$B$38="pvp",15,MAX(0.1,Skills!D18-IF(Skills!E18=TRUE,Inputs!$B$32,0)))*(1-IF(AND(ArtifactsInput!$M$27,Inputs!$B$4="Chapter Hunt"),CHOOSE(ArtifactsInput!$N$27+1,20,24,28,32,36,40),0)/100)),0)</f>
        <v/>
      </c>
      <c r="R705">
        <f>IF(AND(Inputs!$B$38&lt;&gt;"pvp",Inputs!$B$43&gt;0),IF(Inputs!$B$43&lt;=0,0,(INT(Inputs!$B$43/(IF(Inputs!$B$38="pvp",15,MAX(0.1,Skills!D18-IF(Skills!E18=TRUE,Inputs!$B$32,0)))*(1-IF(AND(ArtifactsInput!$M$27,Inputs!$B$4="Chapter Hunt"),CHOOSE(ArtifactsInput!$N$27+1,20,24,28,32,36,40),0)/100)))+1)),0)</f>
        <v/>
      </c>
      <c r="S705">
        <f>IFERROR(O705/N705,0)</f>
        <v/>
      </c>
      <c r="T705" t="n">
        <v>0</v>
      </c>
      <c r="V705" t="n">
        <v>0</v>
      </c>
    </row>
    <row r="706">
      <c r="A706">
        <f>Skills!A19</f>
        <v/>
      </c>
      <c r="B706">
        <f>Skills!B19</f>
        <v/>
      </c>
      <c r="C706">
        <f>Inputs!$B$3&gt;=15</f>
        <v/>
      </c>
      <c r="D706">
        <f>IF(Skills!C19=1,60+Inputs!$B$25+Inputs!$B$29,IF(Skills!C19=2,90+Inputs!$B$26+Inputs!$B$29,IF(Skills!C19=3,120+Inputs!$B$27+Inputs!$B$29,MAX(0,(Inputs!$B$3-100)*3)+Inputs!$B$28+Inputs!$B$29)))</f>
        <v/>
      </c>
      <c r="E706">
        <f>INDEX(FactorTable!$B$2:$Y$301, MATCH(ROUND(MIN(300,MAX(1,D706)),0), FactorTable!$A$2:$A$301,0), Skills!M19+1)</f>
        <v/>
      </c>
      <c r="F706">
        <f>IF(Skills!N19=TRUE,(Skills!L19/10)*(E706/1000),Skills!L19/10)+Skills!O19</f>
        <v/>
      </c>
      <c r="G706">
        <f>Skills!G19*IF(Skills!H19&gt;0,Skills!I19/Skills!H19,1)</f>
        <v/>
      </c>
      <c r="H706">
        <f>1-(1-Skills!J19/100)^Skills!K19</f>
        <v/>
      </c>
      <c r="I706" t="inlineStr">
        <is>
          <t>1</t>
        </is>
      </c>
      <c r="J706" t="inlineStr"/>
      <c r="K706" t="inlineStr"/>
      <c r="L706" t="inlineStr"/>
      <c r="M706" t="inlineStr"/>
      <c r="N706" t="inlineStr"/>
      <c r="O706">
        <f>(1-Summary!$B$11)*T706+Summary!$B$11*V706</f>
        <v/>
      </c>
      <c r="P706">
        <f>IF(B728=0,0,O706/B728)</f>
        <v/>
      </c>
      <c r="Q706" t="n">
        <v>0</v>
      </c>
      <c r="R706" t="n">
        <v>0</v>
      </c>
      <c r="S706">
        <f>IFERROR(O706/N706,0)</f>
        <v/>
      </c>
      <c r="T706" t="n">
        <v>0</v>
      </c>
      <c r="V706" t="n">
        <v>0</v>
      </c>
    </row>
    <row r="707">
      <c r="A707">
        <f>Skills!A20</f>
        <v/>
      </c>
      <c r="B707">
        <f>Skills!B20</f>
        <v/>
      </c>
      <c r="C707">
        <f>Inputs!$B$3&gt;=10</f>
        <v/>
      </c>
      <c r="D707">
        <f>IF(Skills!C20=1,60+Inputs!$B$25+Inputs!$B$29,IF(Skills!C20=2,90+Inputs!$B$26+Inputs!$B$29,IF(Skills!C20=3,120+Inputs!$B$27+Inputs!$B$29,MAX(0,(Inputs!$B$3-100)*3)+Inputs!$B$28+Inputs!$B$29)))</f>
        <v/>
      </c>
      <c r="E707">
        <f>INDEX(FactorTable!$B$2:$Y$301, MATCH(ROUND(MIN(300,MAX(1,D707)),0), FactorTable!$A$2:$A$301,0), Skills!M20+1)</f>
        <v/>
      </c>
      <c r="F707">
        <f>IF(Skills!N20=TRUE,(Skills!L20/10)*(E707/1000),Skills!L20/10)+Skills!O20</f>
        <v/>
      </c>
      <c r="G707">
        <f>Skills!G20*IF(Skills!H20&gt;0,Skills!I20/Skills!H20,1)</f>
        <v/>
      </c>
      <c r="H707">
        <f>1-(1-Skills!J20/100)^Skills!K20</f>
        <v/>
      </c>
      <c r="I707" t="inlineStr">
        <is>
          <t>1</t>
        </is>
      </c>
      <c r="J707" t="inlineStr"/>
      <c r="K707" t="inlineStr"/>
      <c r="L707" t="inlineStr"/>
      <c r="M707" t="inlineStr"/>
      <c r="N707" t="inlineStr"/>
      <c r="O707">
        <f>(1-Summary!$B$11)*T707+Summary!$B$11*V707</f>
        <v/>
      </c>
      <c r="P707">
        <f>IF(B728=0,0,O707/B728)</f>
        <v/>
      </c>
      <c r="Q707" t="n">
        <v>0</v>
      </c>
      <c r="R707" t="n">
        <v>0</v>
      </c>
      <c r="S707">
        <f>IFERROR(O707/N707,0)</f>
        <v/>
      </c>
      <c r="T707" t="n">
        <v>0</v>
      </c>
      <c r="V707" t="n">
        <v>0</v>
      </c>
    </row>
    <row r="708">
      <c r="A708">
        <f>Skills!A21</f>
        <v/>
      </c>
      <c r="B708">
        <f>Skills!B21</f>
        <v/>
      </c>
      <c r="C708">
        <f>Inputs!$B$3&gt;=33</f>
        <v/>
      </c>
      <c r="D708">
        <f>IF(Skills!C21=1,60+Inputs!$B$25+Inputs!$B$29,IF(Skills!C21=2,90+Inputs!$B$26+Inputs!$B$29,IF(Skills!C21=3,120+Inputs!$B$27+Inputs!$B$29,MAX(0,(Inputs!$B$3-100)*3)+Inputs!$B$28+Inputs!$B$29)))</f>
        <v/>
      </c>
      <c r="E708">
        <f>INDEX(FactorTable!$B$2:$Y$301, MATCH(ROUND(MIN(300,MAX(1,D708)),0), FactorTable!$A$2:$A$301,0), Skills!M21+1)</f>
        <v/>
      </c>
      <c r="F708">
        <f>IF(Skills!N21=TRUE,(Skills!L21/10)*(E708/1000),Skills!L21/10)+Skills!O21</f>
        <v/>
      </c>
      <c r="G708">
        <f>Skills!G21*IF(Skills!H21&gt;0,Skills!I21/Skills!H21,1)</f>
        <v/>
      </c>
      <c r="H708">
        <f>1-(1-Skills!J21/100)^Skills!K21</f>
        <v/>
      </c>
      <c r="I708" t="inlineStr">
        <is>
          <t>1</t>
        </is>
      </c>
      <c r="J708" t="inlineStr"/>
      <c r="K708" t="inlineStr"/>
      <c r="L708" t="inlineStr"/>
      <c r="M708" t="inlineStr"/>
      <c r="N708" t="inlineStr"/>
      <c r="O708">
        <f>(1-Summary!$B$11)*T708+Summary!$B$11*V708</f>
        <v/>
      </c>
      <c r="P708">
        <f>IF(B728=0,0,O708/B728)</f>
        <v/>
      </c>
      <c r="Q708" t="n">
        <v>0</v>
      </c>
      <c r="R708" t="n">
        <v>0</v>
      </c>
      <c r="S708">
        <f>IFERROR(O708/N708,0)</f>
        <v/>
      </c>
      <c r="T708" t="n">
        <v>0</v>
      </c>
      <c r="V708" t="n">
        <v>0</v>
      </c>
    </row>
    <row r="709">
      <c r="A709">
        <f>Skills!A22</f>
        <v/>
      </c>
      <c r="B709">
        <f>Skills!B22</f>
        <v/>
      </c>
      <c r="C709">
        <f>Inputs!$B$3&gt;=43</f>
        <v/>
      </c>
      <c r="D709">
        <f>IF(Skills!C22=1,60+Inputs!$B$25+Inputs!$B$29,IF(Skills!C22=2,90+Inputs!$B$26+Inputs!$B$29,IF(Skills!C22=3,120+Inputs!$B$27+Inputs!$B$29,MAX(0,(Inputs!$B$3-100)*3)+Inputs!$B$28+Inputs!$B$29)))</f>
        <v/>
      </c>
      <c r="E709">
        <f>INDEX(FactorTable!$B$2:$Y$301, MATCH(ROUND(MIN(300,MAX(1,D709)),0), FactorTable!$A$2:$A$301,0), Skills!M22+1)</f>
        <v/>
      </c>
      <c r="F709">
        <f>IF(Skills!N22=TRUE,(Skills!L22/10)*(E709/1000),Skills!L22/10)+Skills!O22</f>
        <v/>
      </c>
      <c r="G709">
        <f>Skills!G22*IF(Skills!H22&gt;0,Skills!I22/Skills!H22,1)</f>
        <v/>
      </c>
      <c r="H709">
        <f>1-(1-Skills!J22/100)^Skills!K22</f>
        <v/>
      </c>
      <c r="I709" t="inlineStr">
        <is>
          <t>1</t>
        </is>
      </c>
      <c r="J709" t="inlineStr"/>
      <c r="K709" t="inlineStr"/>
      <c r="L709" t="inlineStr"/>
      <c r="M709" t="inlineStr"/>
      <c r="N709" t="inlineStr"/>
      <c r="O709">
        <f>(1-Summary!$B$11)*T709+Summary!$B$11*V709</f>
        <v/>
      </c>
      <c r="P709">
        <f>IF(B728=0,0,O709/B728)</f>
        <v/>
      </c>
      <c r="Q709" t="n">
        <v>0</v>
      </c>
      <c r="R709" t="n">
        <v>0</v>
      </c>
      <c r="S709">
        <f>IFERROR(O709/N709,0)</f>
        <v/>
      </c>
      <c r="T709" t="n">
        <v>0</v>
      </c>
      <c r="V709" t="n">
        <v>0</v>
      </c>
    </row>
    <row r="710">
      <c r="A710">
        <f>Skills!A23</f>
        <v/>
      </c>
      <c r="B710">
        <f>Skills!B23</f>
        <v/>
      </c>
      <c r="C710">
        <f>Inputs!$B$3&gt;=38</f>
        <v/>
      </c>
      <c r="D710">
        <f>IF(Skills!C23=1,60+Inputs!$B$25+Inputs!$B$29,IF(Skills!C23=2,90+Inputs!$B$26+Inputs!$B$29,IF(Skills!C23=3,120+Inputs!$B$27+Inputs!$B$29,MAX(0,(Inputs!$B$3-100)*3)+Inputs!$B$28+Inputs!$B$29)))</f>
        <v/>
      </c>
      <c r="E710">
        <f>INDEX(FactorTable!$B$2:$Y$301, MATCH(ROUND(MIN(300,MAX(1,D710)),0), FactorTable!$A$2:$A$301,0), Skills!M23+1)</f>
        <v/>
      </c>
      <c r="F710">
        <f>IF(Skills!N23=TRUE,(Skills!L23/10)*(E710/1000),Skills!L23/10)+Skills!O23</f>
        <v/>
      </c>
      <c r="G710">
        <f>Skills!G23*IF(Skills!H23&gt;0,Skills!I23/Skills!H23,1)</f>
        <v/>
      </c>
      <c r="H710">
        <f>1-(1-Skills!J23/100)^Skills!K23</f>
        <v/>
      </c>
      <c r="I710" t="inlineStr">
        <is>
          <t>1</t>
        </is>
      </c>
      <c r="J710" t="inlineStr"/>
      <c r="K710" t="inlineStr"/>
      <c r="L710" t="inlineStr"/>
      <c r="M710" t="inlineStr"/>
      <c r="N710" t="inlineStr"/>
      <c r="O710">
        <f>(1-Summary!$B$11)*T710+Summary!$B$11*V710</f>
        <v/>
      </c>
      <c r="P710">
        <f>IF(B728=0,0,O710/B728)</f>
        <v/>
      </c>
      <c r="Q710" t="n">
        <v>0</v>
      </c>
      <c r="R710" t="n">
        <v>0</v>
      </c>
      <c r="S710">
        <f>IFERROR(O710/N710,0)</f>
        <v/>
      </c>
      <c r="T710" t="n">
        <v>0</v>
      </c>
      <c r="V710" t="n">
        <v>0</v>
      </c>
    </row>
    <row r="711">
      <c r="A711">
        <f>Skills!A24</f>
        <v/>
      </c>
      <c r="B711">
        <f>Skills!B24</f>
        <v/>
      </c>
      <c r="C711">
        <f>Inputs!$B$3&gt;=40</f>
        <v/>
      </c>
      <c r="D711">
        <f>IF(Skills!C24=1,60+Inputs!$B$25+Inputs!$B$29,IF(Skills!C24=2,90+Inputs!$B$26+Inputs!$B$29,IF(Skills!C24=3,120+Inputs!$B$27+Inputs!$B$29,MAX(0,(Inputs!$B$3-100)*3)+Inputs!$B$28+Inputs!$B$29)))</f>
        <v/>
      </c>
      <c r="E711">
        <f>INDEX(FactorTable!$B$2:$Y$301, MATCH(ROUND(MIN(300,MAX(1,D711)),0), FactorTable!$A$2:$A$301,0), Skills!M24+1)</f>
        <v/>
      </c>
      <c r="F711">
        <f>IF(Skills!N24=TRUE,(Skills!L24/10)*(E711/1000),Skills!L24/10)+Skills!O24</f>
        <v/>
      </c>
      <c r="G711">
        <f>Skills!G24*IF(Skills!H24&gt;0,Skills!I24/Skills!H24,1)</f>
        <v/>
      </c>
      <c r="H711">
        <f>1-(1-Skills!J24/100)^Skills!K24</f>
        <v/>
      </c>
      <c r="I711" t="inlineStr">
        <is>
          <t>1</t>
        </is>
      </c>
      <c r="J711" t="inlineStr"/>
      <c r="K711" t="inlineStr"/>
      <c r="L711" t="inlineStr"/>
      <c r="M711" t="inlineStr"/>
      <c r="N711" t="inlineStr"/>
      <c r="O711">
        <f>(1-Summary!$B$11)*T711+Summary!$B$11*V711</f>
        <v/>
      </c>
      <c r="P711">
        <f>IF(B728=0,0,O711/B728)</f>
        <v/>
      </c>
      <c r="Q711" t="n">
        <v>0</v>
      </c>
      <c r="R711" t="n">
        <v>0</v>
      </c>
      <c r="S711">
        <f>IFERROR(O711/N711,0)</f>
        <v/>
      </c>
      <c r="T711" t="n">
        <v>0</v>
      </c>
      <c r="V711" t="n">
        <v>0</v>
      </c>
    </row>
    <row r="712">
      <c r="A712">
        <f>Skills!A25</f>
        <v/>
      </c>
      <c r="B712">
        <f>Skills!B25</f>
        <v/>
      </c>
      <c r="C712">
        <f>Inputs!$B$3&gt;=72</f>
        <v/>
      </c>
      <c r="D712">
        <f>IF(Skills!C25=1,60+Inputs!$B$25+Inputs!$B$29,IF(Skills!C25=2,90+Inputs!$B$26+Inputs!$B$29,IF(Skills!C25=3,120+Inputs!$B$27+Inputs!$B$29,MAX(0,(Inputs!$B$3-100)*3)+Inputs!$B$28+Inputs!$B$29)))</f>
        <v/>
      </c>
      <c r="E712">
        <f>INDEX(FactorTable!$B$2:$Y$301, MATCH(ROUND(MIN(300,MAX(1,D712)),0), FactorTable!$A$2:$A$301,0), Skills!M25+1)</f>
        <v/>
      </c>
      <c r="F712">
        <f>IF(Skills!N25=TRUE,(Skills!L25/10)*(E712/1000),Skills!L25/10)+Skills!O25</f>
        <v/>
      </c>
      <c r="G712">
        <f>Skills!G25*IF(Skills!H25&gt;0,Skills!I25/Skills!H25,1)</f>
        <v/>
      </c>
      <c r="H712">
        <f>1-(1-Skills!J25/100)^Skills!K25</f>
        <v/>
      </c>
      <c r="I712" t="inlineStr">
        <is>
          <t>1</t>
        </is>
      </c>
      <c r="J712" t="inlineStr"/>
      <c r="K712" t="inlineStr"/>
      <c r="L712" t="inlineStr"/>
      <c r="M712" t="inlineStr"/>
      <c r="N712" t="inlineStr"/>
      <c r="O712">
        <f>(1-Summary!$B$11)*T712+Summary!$B$11*V712</f>
        <v/>
      </c>
      <c r="P712">
        <f>IF(B728=0,0,O712/B728)</f>
        <v/>
      </c>
      <c r="Q712" t="n">
        <v>0</v>
      </c>
      <c r="R712" t="n">
        <v>0</v>
      </c>
      <c r="S712">
        <f>IFERROR(O712/N712,0)</f>
        <v/>
      </c>
      <c r="T712" t="n">
        <v>0</v>
      </c>
      <c r="V712" t="n">
        <v>0</v>
      </c>
    </row>
    <row r="713">
      <c r="A713">
        <f>Skills!A26</f>
        <v/>
      </c>
      <c r="B713">
        <f>Skills!B26</f>
        <v/>
      </c>
      <c r="C713">
        <f>Inputs!$B$3&gt;=75</f>
        <v/>
      </c>
      <c r="D713">
        <f>IF(Skills!C26=1,60+Inputs!$B$25+Inputs!$B$29,IF(Skills!C26=2,90+Inputs!$B$26+Inputs!$B$29,IF(Skills!C26=3,120+Inputs!$B$27+Inputs!$B$29,MAX(0,(Inputs!$B$3-100)*3)+Inputs!$B$28+Inputs!$B$29)))</f>
        <v/>
      </c>
      <c r="E713">
        <f>INDEX(FactorTable!$B$2:$Y$301, MATCH(ROUND(MIN(300,MAX(1,D713)),0), FactorTable!$A$2:$A$301,0), Skills!M26+1)</f>
        <v/>
      </c>
      <c r="F713">
        <f>IF(Skills!N26=TRUE,(Skills!L26/10)*(E713/1000),Skills!L26/10)+Skills!O26</f>
        <v/>
      </c>
      <c r="G713">
        <f>Skills!G26*IF(Skills!H26&gt;0,Skills!I26/Skills!H26,1)</f>
        <v/>
      </c>
      <c r="H713">
        <f>1-(1-Skills!J26/100)^Skills!K26</f>
        <v/>
      </c>
      <c r="I713" t="inlineStr">
        <is>
          <t>1</t>
        </is>
      </c>
      <c r="J713" t="inlineStr"/>
      <c r="K713" t="inlineStr"/>
      <c r="L713" t="inlineStr"/>
      <c r="M713" t="inlineStr"/>
      <c r="N713" t="inlineStr"/>
      <c r="O713">
        <f>(1-Summary!$B$11)*T713+Summary!$B$11*V713</f>
        <v/>
      </c>
      <c r="P713">
        <f>IF(B728=0,0,O713/B728)</f>
        <v/>
      </c>
      <c r="Q713" t="n">
        <v>0</v>
      </c>
      <c r="R713" t="n">
        <v>0</v>
      </c>
      <c r="S713">
        <f>IFERROR(O713/N713,0)</f>
        <v/>
      </c>
      <c r="T713" t="n">
        <v>0</v>
      </c>
      <c r="V713" t="n">
        <v>0</v>
      </c>
    </row>
    <row r="714">
      <c r="A714">
        <f>Skills!A27</f>
        <v/>
      </c>
      <c r="B714">
        <f>Skills!B27</f>
        <v/>
      </c>
      <c r="C714">
        <f>Inputs!$B$3&gt;=117</f>
        <v/>
      </c>
      <c r="D714">
        <f>IF(Skills!C27=1,60+Inputs!$B$25+Inputs!$B$29,IF(Skills!C27=2,90+Inputs!$B$26+Inputs!$B$29,IF(Skills!C27=3,120+Inputs!$B$27+Inputs!$B$29,MAX(0,(Inputs!$B$3-100)*3)+Inputs!$B$28+Inputs!$B$29)))</f>
        <v/>
      </c>
      <c r="E714">
        <f>INDEX(FactorTable!$B$2:$Y$301, MATCH(ROUND(MIN(300,MAX(1,D714)),0), FactorTable!$A$2:$A$301,0), Skills!M27+1)</f>
        <v/>
      </c>
      <c r="F714">
        <f>IF(Skills!N27=TRUE,(Skills!L27/10)*(E714/1000),Skills!L27/10)+Skills!O27</f>
        <v/>
      </c>
      <c r="G714">
        <f>Skills!G27*IF(Skills!H27&gt;0,Skills!I27/Skills!H27,1)</f>
        <v/>
      </c>
      <c r="H714">
        <f>1-(1-Skills!J27/100)^Skills!K27</f>
        <v/>
      </c>
      <c r="I714" t="inlineStr">
        <is>
          <t>1</t>
        </is>
      </c>
      <c r="J714" t="inlineStr"/>
      <c r="K714" t="inlineStr"/>
      <c r="L714" t="inlineStr"/>
      <c r="M714" t="inlineStr"/>
      <c r="N714" t="inlineStr"/>
      <c r="O714">
        <f>(1-Summary!$B$11)*T714+Summary!$B$11*V714</f>
        <v/>
      </c>
      <c r="P714">
        <f>IF(B728=0,0,O714/B728)</f>
        <v/>
      </c>
      <c r="Q714" t="n">
        <v>0</v>
      </c>
      <c r="R714" t="n">
        <v>0</v>
      </c>
      <c r="S714">
        <f>IFERROR(O714/N714,0)</f>
        <v/>
      </c>
      <c r="T714" t="n">
        <v>0</v>
      </c>
      <c r="V714" t="n">
        <v>0</v>
      </c>
    </row>
    <row r="715">
      <c r="A715">
        <f>Skills!A28</f>
        <v/>
      </c>
      <c r="B715">
        <f>Skills!B28</f>
        <v/>
      </c>
      <c r="C715">
        <f>TRUE</f>
        <v/>
      </c>
      <c r="D715">
        <f>IF(Skills!C28=1,60+Inputs!$B$25+Inputs!$B$29,IF(Skills!C28=2,90+Inputs!$B$26+Inputs!$B$29,IF(Skills!C28=3,120+Inputs!$B$27+Inputs!$B$29,MAX(0,(Inputs!$B$3-100)*3)+Inputs!$B$28+Inputs!$B$29)))</f>
        <v/>
      </c>
      <c r="E715">
        <f>INDEX(FactorTable!$B$2:$Y$301, MATCH(ROUND(MIN(300,MAX(1,D715)),0), FactorTable!$A$2:$A$301,0), Skills!M28+1)</f>
        <v/>
      </c>
      <c r="F715">
        <f>IF(Skills!N28=TRUE,(Skills!L28/10)*(E715/1000),Skills!L28/10)+Skills!O28</f>
        <v/>
      </c>
      <c r="G715">
        <f>Skills!G28*IF(Skills!H28&gt;0,Skills!I28/Skills!H28,1)</f>
        <v/>
      </c>
      <c r="H715">
        <f>1-(1-Skills!J28/100)^Skills!K28</f>
        <v/>
      </c>
      <c r="I715" t="inlineStr">
        <is>
          <t>1</t>
        </is>
      </c>
      <c r="J715" t="inlineStr"/>
      <c r="K715" t="inlineStr"/>
      <c r="L715" t="inlineStr"/>
      <c r="M715" t="inlineStr"/>
      <c r="N715" t="inlineStr"/>
      <c r="O715">
        <f>(1-Summary!$B$11)*T715+Summary!$B$11*V715</f>
        <v/>
      </c>
      <c r="P715">
        <f>IF(B728=0,0,O715/B728)</f>
        <v/>
      </c>
      <c r="Q715">
        <f>IFERROR(1/(IF(Inputs!$B$38="pvp",15,MAX(0.1,Skills!D28-IF(Skills!E28=TRUE,Inputs!$B$32,0)))*(1-IF(AND(ArtifactsInput!$M$27,Inputs!$B$4="Chapter Hunt"),CHOOSE(ArtifactsInput!$N$27+1,20,24,28,32,36,40),0)/100)),0)</f>
        <v/>
      </c>
      <c r="R715">
        <f>IF(AND(Inputs!$B$38&lt;&gt;"pvp",Inputs!$B$43&gt;0),IF(Inputs!$B$43&lt;=0,0,(INT(Inputs!$B$43/(IF(Inputs!$B$38="pvp",15,MAX(0.1,Skills!D28-IF(Skills!E28=TRUE,Inputs!$B$32,0)))*(1-IF(AND(ArtifactsInput!$M$27,Inputs!$B$4="Chapter Hunt"),CHOOSE(ArtifactsInput!$N$27+1,20,24,28,32,36,40),0)/100)))+1)),0)</f>
        <v/>
      </c>
      <c r="S715">
        <f>IFERROR(O715/N715,0)</f>
        <v/>
      </c>
      <c r="T715" t="n">
        <v>0</v>
      </c>
      <c r="V715" t="n">
        <v>0</v>
      </c>
    </row>
    <row r="717">
      <c r="A717" t="inlineStr">
        <is>
          <t>Attack% Bucket Multiplier</t>
        </is>
      </c>
      <c r="B717">
        <f>(1+(((C704=TRUE)*F704*5/7)+((C711=TRUE)*(F711-Calc!F24))+(IF(ArtifactsInput!$M$21,CHOOSE(ArtifactsInput!$N$21+1,25,30,35,40,45,50)*(IF(OR(Inputs!$B$4="Chapter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18">
      <c r="A718" t="inlineStr">
        <is>
          <t>Global Crit Rate Bonus %</t>
        </is>
      </c>
      <c r="B718" t="n">
        <v>0</v>
      </c>
    </row>
    <row r="719">
      <c r="A719" t="inlineStr">
        <is>
          <t>Attack Speed Buff Bonus % (Nimble Feet, duty-cycle averaged)</t>
        </is>
      </c>
      <c r="B719">
        <f>((C715=TRUE)*F715*IF(AND(Inputs!$B$38&lt;&gt;"pvp",Inputs!$B$43&gt;0),(((R715-1)*(Skills!T28*(1+Inputs!$B$34/100))+MIN((Skills!T28*(1+Inputs!$B$34/100)),MAX(0,Inputs!$B$43-((R715-1)*Skills!D28))))/Inputs!$B$43),IF(Inputs!$B$38="pvp",MIN((Skills!T28*(1+Inputs!$B$34/100)),15)/15,(Skills!T28*(1+Inputs!$B$34/100))/Skills!D28)))</f>
        <v/>
      </c>
    </row>
    <row r="720">
      <c r="A720" t="inlineStr">
        <is>
          <t>Actions Per Second</t>
        </is>
      </c>
      <c r="B720">
        <f>1+MIN(150,150*(1-(1-(Inputs!$B$11+((C707=TRUE)*(F707-Calc!F20))+((C708=TRUE)*(F708-Calc!F21)))/150)*(1-B719/150)))/100</f>
        <v/>
      </c>
    </row>
    <row r="721">
      <c r="A721" t="inlineStr">
        <is>
          <t>Skill + Buff Cast Rate</t>
        </is>
      </c>
      <c r="B721">
        <f>IF(AND(Inputs!$B$38&lt;&gt;"pvp",Inputs!$B$43&gt;0),SUMPRODUCT((Skills!E2:E28=TRUE)*(C689:C715=TRUE)*R689:R715*Skills!F2:F28)/Inputs!$B$43,SUMPRODUCT((Skills!E2:E28=TRUE)*(C689:C715=TRUE)*Q689:Q715*Skills!F2:F28))</f>
        <v/>
      </c>
    </row>
    <row r="722">
      <c r="A722" t="inlineStr">
        <is>
          <t>Eight-Legs Easton Casts Per Second</t>
        </is>
      </c>
      <c r="B722">
        <f>MAX(0,B720-B721)</f>
        <v/>
      </c>
    </row>
    <row r="723">
      <c r="A723" t="inlineStr">
        <is>
          <t>Global Critical Damage Bonus % (unused)</t>
        </is>
      </c>
      <c r="B723" t="n">
        <v>0</v>
      </c>
    </row>
    <row r="724">
      <c r="A724" t="inlineStr">
        <is>
          <t>Global Final Damage Bonus % (Jolly Roger + Ahoy Mateys - Final Damage proc)</t>
        </is>
      </c>
      <c r="B724">
        <f>((C705=TRUE)*F705*IF(AND(Inputs!$B$38&lt;&gt;"pvp",Inputs!$B$43&gt;0),(((R705-1)*(Skills!T18*(1+Inputs!$B$34/100))+MIN((Skills!T18*(1+Inputs!$B$34/100)),MAX(0,Inputs!$B$43-((R705-1)*Skills!D18))))/Inputs!$B$43),IF(Inputs!$B$38="pvp",MIN((Skills!T18*(1+Inputs!$B$34/100)),15)/15,(Skills!T18*(1+Inputs!$B$34/100))/Skills!D18)))+IF(Inputs!$B$3&gt;=122,20*IF(Inputs!$B$38="pvp",MIN((20*(1+Inputs!$B$34/100)),15)/15,(20*(1+Inputs!$B$34/100))/Skills!D4),0)</f>
        <v/>
      </c>
    </row>
    <row r="725">
      <c r="A725" t="inlineStr">
        <is>
          <t>Buff-Casting Startup Delay (s, fixed-duration only)</t>
        </is>
      </c>
      <c r="B725">
        <f>IF(AND(Inputs!$B$38&lt;&gt;"pvp",Inputs!$B$43&gt;0),SUMPRODUCT((Skills!T2:T28&gt;0)*(Skills!E2:E28=TRUE)*(C689:C715=TRUE))/B720,0)</f>
        <v/>
      </c>
    </row>
    <row r="726">
      <c r="A726" t="inlineStr">
        <is>
          <t>Boss-Only Total DPS (this block's swept value)</t>
        </is>
      </c>
      <c r="B726">
        <f>SUM(T689:T715)</f>
        <v/>
      </c>
    </row>
    <row r="727">
      <c r="A727" t="inlineStr">
        <is>
          <t>Normal-Only Total DPS (this block's swept value)</t>
        </is>
      </c>
      <c r="B727">
        <f>SUM(V689:V715)</f>
        <v/>
      </c>
    </row>
    <row r="728">
      <c r="A728" s="6" t="inlineStr">
        <is>
          <t>TOTAL DPS</t>
        </is>
      </c>
      <c r="B728" s="6">
        <f>SUM(O689:O715)</f>
        <v/>
      </c>
    </row>
    <row r="731">
      <c r="A731" s="6" t="inlineStr">
        <is>
          <t>Stat: SKILL_DAMAGE %</t>
        </is>
      </c>
    </row>
    <row r="732">
      <c r="A732" s="5" t="inlineStr">
        <is>
          <t>Key</t>
        </is>
      </c>
      <c r="B732" s="5" t="inlineStr">
        <is>
          <t>Name</t>
        </is>
      </c>
      <c r="C732" s="5" t="inlineStr">
        <is>
          <t>Unlocked</t>
        </is>
      </c>
      <c r="D732" s="5" t="inlineStr">
        <is>
          <t>InputLevel</t>
        </is>
      </c>
      <c r="E732" s="5" t="inlineStr">
        <is>
          <t>Factor</t>
        </is>
      </c>
      <c r="F732" s="5" t="inlineStr">
        <is>
          <t>CoefficientPercent</t>
        </is>
      </c>
      <c r="G732" s="5" t="inlineStr">
        <is>
          <t>EffectiveHits</t>
        </is>
      </c>
      <c r="H732" s="5" t="inlineStr">
        <is>
          <t>ProcProbability</t>
        </is>
      </c>
      <c r="I732" s="5" t="inlineStr">
        <is>
          <t>MapleHeroMultiplier</t>
        </is>
      </c>
      <c r="J732" s="5" t="inlineStr">
        <is>
          <t>BaseDamage</t>
        </is>
      </c>
      <c r="K732" s="5" t="inlineStr">
        <is>
          <t>BaseHitDamage</t>
        </is>
      </c>
      <c r="L732" s="5" t="inlineStr">
        <is>
          <t>NonCritAvg</t>
        </is>
      </c>
      <c r="M732" s="5" t="inlineStr">
        <is>
          <t>CritAvg</t>
        </is>
      </c>
      <c r="N732" s="5" t="inlineStr">
        <is>
          <t>ExpectedDamage(perHit)</t>
        </is>
      </c>
      <c r="O732" s="5" t="inlineStr">
        <is>
          <t>DPS</t>
        </is>
      </c>
      <c r="P732" s="5" t="inlineStr">
        <is>
          <t>% of Total</t>
        </is>
      </c>
      <c r="Q732" s="5" t="inlineStr">
        <is>
          <t>InvCooldown</t>
        </is>
      </c>
      <c r="R732" s="5" t="inlineStr">
        <is>
          <t>CastsInFight</t>
        </is>
      </c>
      <c r="S732" s="5" t="inlineStr">
        <is>
          <t>HitRate(perSec)</t>
        </is>
      </c>
      <c r="U732" t="inlineStr">
        <is>
          <t>helpers</t>
        </is>
      </c>
    </row>
    <row r="733">
      <c r="A733">
        <f>Skills!A2</f>
        <v/>
      </c>
      <c r="B733">
        <f>Skills!B2</f>
        <v/>
      </c>
      <c r="C733">
        <f>Inputs!$B$3&gt;=100</f>
        <v/>
      </c>
      <c r="D733" t="inlineStr"/>
      <c r="E733" t="inlineStr"/>
      <c r="F733">
        <f>U735+Skills!O2</f>
        <v/>
      </c>
      <c r="G733">
        <f>Skills!G2*IF(Skills!H2&gt;0,Skills!I2/Skills!H2,1)</f>
        <v/>
      </c>
      <c r="H733">
        <f>1-(1-Skills!J2/100)^Skills!K2</f>
        <v/>
      </c>
      <c r="I733" t="inlineStr">
        <is>
          <t>1</t>
        </is>
      </c>
      <c r="J733">
        <f>((Inputs!$B$6*(1+Inputs!$B$7/100))+(((Inputs!$B$12*(1+Inputs!$B$13/100))-(Inputs!$B$12*(1+Inputs!$B$13/100)))+0.25*(Inputs!$B$14-Inputs!$B$14))*(1+Inputs!$B$7/100))*(F733/100)</f>
        <v/>
      </c>
      <c r="K733">
        <f>J733*(1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733)</f>
        <v/>
      </c>
      <c r="L733">
        <f>K733*(MIN(Inputs!$B$22+((C753=TRUE)*(F753-Calc!F22)),(Inputs!$B$23+0+(IF(ArtifactsInput!$M$15,CHOOSE(ArtifactsInput!$N$15+1,25,30,35,40,45,50)/100*(Inputs!$B$11-Inputs!$B$11),0))))/100+(Inputs!$B$23+0+(IF(ArtifactsInput!$M$15,CHOOSE(ArtifactsInput!$N$15+1,25,30,35,40,45,50)/100*(Inputs!$B$11-Inputs!$B$11),0)))/100)/2</f>
        <v/>
      </c>
      <c r="M733">
        <f>L733*(1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3">
        <f>L733*(1-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733*(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3">
        <f>(1-Summary!$B$11)*T733+Summary!$B$11*V733</f>
        <v/>
      </c>
      <c r="P733">
        <f>IF(B772=0,0,O733/B772)</f>
        <v/>
      </c>
      <c r="Q733" t="n">
        <v>0</v>
      </c>
      <c r="R733" t="n">
        <v>0</v>
      </c>
      <c r="S733">
        <f>IFERROR(O733/N733,0)</f>
        <v/>
      </c>
      <c r="T733">
        <f>IF(C733,(Skills!G2*N733*B766)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733*(1-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733*(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733*(1-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733*(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3">
        <f>MAX(0,(Inputs!$B$3-100)*3)+Inputs!$B$28+Inputs!$B$29</f>
        <v/>
      </c>
      <c r="V733">
        <f>IF(C733,(Skills!G2*N733*B766)*IF(Inputs!$B$38="pvp",1,(1+(Inputs!$B$21+Skills!Q2+(IF(ArtifactsInput!$M$33,CHOOSE(ArtifactsInput!$N$33+1,30,36,42,48,54,60),0))+(IF(AND(ArtifactsInput!$M$35,Inputs!$B$4&lt;&gt;"Chapter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4">
      <c r="A734">
        <f>Skills!A3</f>
        <v/>
      </c>
      <c r="B734">
        <f>Skills!B3</f>
        <v/>
      </c>
      <c r="C734">
        <f>Inputs!$B$3&gt;=35</f>
        <v/>
      </c>
      <c r="D734">
        <f>IF(Skills!C3=1,60+Inputs!$B$25+Inputs!$B$29,IF(Skills!C3=2,90+Inputs!$B$26+Inputs!$B$29,IF(Skills!C3=3,120+Inputs!$B$27+Inputs!$B$29,MAX(0,(Inputs!$B$3-100)*3)+Inputs!$B$28+Inputs!$B$29)))</f>
        <v/>
      </c>
      <c r="E734">
        <f>INDEX(FactorTable!$B$2:$Y$301, MATCH(ROUND(MIN(300,MAX(1,D734)),0), FactorTable!$A$2:$A$301,0), Skills!M3+1)</f>
        <v/>
      </c>
      <c r="F734">
        <f>IF(Skills!N3=TRUE,(Skills!L3/10)*(E734/1000),Skills!L3/10)+Skills!O3</f>
        <v/>
      </c>
      <c r="G734">
        <f>Skills!G3*IF(Skills!H3&gt;0,Skills!I3/Skills!H3,1)</f>
        <v/>
      </c>
      <c r="H734">
        <f>1-(1-Skills!J3/100)^Skills!K3</f>
        <v/>
      </c>
      <c r="I734" t="inlineStr">
        <is>
          <t>1</t>
        </is>
      </c>
      <c r="J734">
        <f>((Inputs!$B$6*(1+Inputs!$B$7/100))+(((Inputs!$B$12*(1+Inputs!$B$13/100))-(Inputs!$B$12*(1+Inputs!$B$13/100)))+0.25*(Inputs!$B$14-Inputs!$B$14))*(1+Inputs!$B$7/100))*(F734/100)</f>
        <v/>
      </c>
      <c r="K734">
        <f>J734*(1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746=TRUE,F746,0)/100)*(1+(IF(Skills!A3="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734)</f>
        <v/>
      </c>
      <c r="L734">
        <f>K734*(MIN(Inputs!$B$22+((C753=TRUE)*(F753-Calc!F22)),(Inputs!$B$23+0+(IF(ArtifactsInput!$M$15,CHOOSE(ArtifactsInput!$N$15+1,25,30,35,40,45,50)/100*(Inputs!$B$11-Inputs!$B$11),0))))/100+(Inputs!$B$23+0+(IF(ArtifactsInput!$M$15,CHOOSE(ArtifactsInput!$N$15+1,25,30,35,40,45,50)/100*(Inputs!$B$11-Inputs!$B$11),0)))/100)/2</f>
        <v/>
      </c>
      <c r="M734">
        <f>L734*(1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4">
        <f>L734*(1-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734*(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4">
        <f>(1-Summary!$B$11)*T734+Summary!$B$11*V734</f>
        <v/>
      </c>
      <c r="P734">
        <f>IF(B772=0,0,O734/B772)</f>
        <v/>
      </c>
      <c r="Q734">
        <f>IFERROR(1/(IF(Inputs!$B$38="pvp",15,MAX(0.1,Skills!D3-IF(Skills!E3=TRUE,Inputs!$B$32,0)))*(1-IF(AND(ArtifactsInput!$M$27,Inputs!$B$4="Chapter Hunt"),CHOOSE(ArtifactsInput!$N$27+1,20,24,28,32,36,40),0)/100)),0)</f>
        <v/>
      </c>
      <c r="R734">
        <f>IF(AND(Inputs!$B$38&lt;&gt;"pvp",Inputs!$B$43&gt;0),IF(MAX(0,Inputs!$B$43-B769)&lt;=0,0,(INT(MAX(0,Inputs!$B$43-B769)/(IF(Inputs!$B$38="pvp",15,MAX(0.1,Skills!D3-IF(Skills!E3=TRUE,Inputs!$B$32,0)))*(1-IF(AND(ArtifactsInput!$M$27,Inputs!$B$4="Chapter Hunt"),CHOOSE(ArtifactsInput!$N$27+1,20,24,28,32,36,40),0)/100)))+1)),0)</f>
        <v/>
      </c>
      <c r="S734">
        <f>IFERROR(O734/N734,0)</f>
        <v/>
      </c>
      <c r="T734">
        <f>IF(C734,(H734*N734*IF(AND(Inputs!$B$38&lt;&gt;"pvp",Inputs!$B$43&gt;0),((Skills!G3*((R734-1)*IF(Skills!H3&gt;0,Skills!I3/Skills!H3,1)+IF(Skills!H3&gt;0,MIN(Skills!I3,MAX(0,MAX(0,Inputs!$B$43-B769)-((R734-1)*(IF(Inputs!$B$38="pvp",15,MAX(0.1,Skills!D3-IF(Skills!E3=TRUE,Inputs!$B$32,0)))*(1-IF(AND(ArtifactsInput!$M$27,Inputs!$B$4="Chapter Hunt"),CHOOSE(ArtifactsInput!$N$27+1,20,24,28,32,36,40),0)/100)))))/Skills!H3,1)))/Inputs!$B$43),G734*Q734)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734*(1-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734*(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734*(1-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734*(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4">
        <f>INDEX(FactorTable!$B$2:$Y$301, MATCH(ROUND(MIN(300,MAX(1,U733)),0), FactorTable!$A$2:$A$301,0), 22)</f>
        <v/>
      </c>
      <c r="V734">
        <f>IF(C734,(H734*N734*IF(AND(Inputs!$B$38&lt;&gt;"pvp",Inputs!$B$43&gt;0),((Skills!G3*((R734-1)*IF(Skills!H3&gt;0,Skills!I3/Skills!H3,1)+IF(Skills!H3&gt;0,MIN(Skills!I3,MAX(0,MAX(0,Inputs!$B$43-B769)-((R734-1)*(IF(Inputs!$B$38="pvp",15,MAX(0.1,Skills!D3-IF(Skills!E3=TRUE,Inputs!$B$32,0)))*(1-IF(AND(ArtifactsInput!$M$27,Inputs!$B$4="Chapter Hunt"),CHOOSE(ArtifactsInput!$N$27+1,20,24,28,32,36,40),0)/100)))))/Skills!H3,1)))/Inputs!$B$43),G734*Q734))*IF(Inputs!$B$38="pvp",1,(1+(Inputs!$B$21+Skills!Q3+(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5">
      <c r="A735">
        <f>Skills!A4</f>
        <v/>
      </c>
      <c r="B735">
        <f>Skills!B4</f>
        <v/>
      </c>
      <c r="C735">
        <f>Inputs!$B$3&gt;=40</f>
        <v/>
      </c>
      <c r="D735">
        <f>IF(Skills!C4=1,60+Inputs!$B$25+Inputs!$B$29,IF(Skills!C4=2,90+Inputs!$B$26+Inputs!$B$29,IF(Skills!C4=3,120+Inputs!$B$27+Inputs!$B$29,MAX(0,(Inputs!$B$3-100)*3)+Inputs!$B$28+Inputs!$B$29)))</f>
        <v/>
      </c>
      <c r="E735">
        <f>INDEX(FactorTable!$B$2:$Y$301, MATCH(ROUND(MIN(300,MAX(1,D735)),0), FactorTable!$A$2:$A$301,0), Skills!M4+1)</f>
        <v/>
      </c>
      <c r="F735">
        <f>IF(Skills!N4=TRUE,(Skills!L4/10)*(E735/1000),Skills!L4/10)+Skills!O4</f>
        <v/>
      </c>
      <c r="G735">
        <f>Skills!G4*IF(Skills!H4&gt;0,Skills!I4/Skills!H4,1)</f>
        <v/>
      </c>
      <c r="H735">
        <f>1-(1-Skills!J4/100)^Skills!K4</f>
        <v/>
      </c>
      <c r="I735" t="inlineStr">
        <is>
          <t>1</t>
        </is>
      </c>
      <c r="J735">
        <f>((Inputs!$B$6*(1+Inputs!$B$7/100))+(((Inputs!$B$12*(1+Inputs!$B$13/100))-(Inputs!$B$12*(1+Inputs!$B$13/100)))+0.25*(Inputs!$B$14-Inputs!$B$14))*(1+Inputs!$B$7/100))*(F735/100)</f>
        <v/>
      </c>
      <c r="K735">
        <f>J735*(1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747=TRUE,F747,0)/100)*(1+(IF(Skills!A4="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735)</f>
        <v/>
      </c>
      <c r="L735">
        <f>K735*(MIN(Inputs!$B$22+((C753=TRUE)*(F753-Calc!F22)),(Inputs!$B$23+0+(IF(ArtifactsInput!$M$15,CHOOSE(ArtifactsInput!$N$15+1,25,30,35,40,45,50)/100*(Inputs!$B$11-Inputs!$B$11),0))))/100+(Inputs!$B$23+0+(IF(ArtifactsInput!$M$15,CHOOSE(ArtifactsInput!$N$15+1,25,30,35,40,45,50)/100*(Inputs!$B$11-Inputs!$B$11),0)))/100)/2</f>
        <v/>
      </c>
      <c r="M735">
        <f>L735*(1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5">
        <f>L735*(1-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735*(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5">
        <f>(1-Summary!$B$11)*T735+Summary!$B$11*V735</f>
        <v/>
      </c>
      <c r="P735">
        <f>IF(B772=0,0,O735/B772)</f>
        <v/>
      </c>
      <c r="Q735">
        <f>IFERROR(1/(IF(Inputs!$B$38="pvp",15,MAX(0.1,Skills!D4-IF(Skills!E4=TRUE,Inputs!$B$32,0)))*(1-IF(AND(ArtifactsInput!$M$27,Inputs!$B$4="Chapter Hunt"),CHOOSE(ArtifactsInput!$N$27+1,20,24,28,32,36,40),0)/100)),0)</f>
        <v/>
      </c>
      <c r="R735">
        <f>IF(AND(Inputs!$B$38&lt;&gt;"pvp",Inputs!$B$43&gt;0),IF(MAX(0,Inputs!$B$43-B769)&lt;=0,0,(INT(MAX(0,Inputs!$B$43-B769)/(IF(Inputs!$B$38="pvp",15,MAX(0.1,Skills!D4-IF(Skills!E4=TRUE,Inputs!$B$32,0)))*(1-IF(AND(ArtifactsInput!$M$27,Inputs!$B$4="Chapter Hunt"),CHOOSE(ArtifactsInput!$N$27+1,20,24,28,32,36,40),0)/100)))+1)),0)</f>
        <v/>
      </c>
      <c r="S735">
        <f>IFERROR(O735/N735,0)</f>
        <v/>
      </c>
      <c r="T735">
        <f>IF(C735,(H735*N735*IF(AND(Inputs!$B$38&lt;&gt;"pvp",Inputs!$B$43&gt;0),((Skills!G4*((R735-1)*IF(Skills!H4&gt;0,Skills!I4/Skills!H4,1)+IF(Skills!H4&gt;0,MIN(Skills!I4,MAX(0,MAX(0,Inputs!$B$43-B769)-((R735-1)*(IF(Inputs!$B$38="pvp",15,MAX(0.1,Skills!D4-IF(Skills!E4=TRUE,Inputs!$B$32,0)))*(1-IF(AND(ArtifactsInput!$M$27,Inputs!$B$4="Chapter Hunt"),CHOOSE(ArtifactsInput!$N$27+1,20,24,28,32,36,40),0)/100)))))/Skills!H4,1)))/Inputs!$B$43),G735*Q735)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735*(1-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735*(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735*(1-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735*(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5">
        <f>290*U734/1000</f>
        <v/>
      </c>
      <c r="V735">
        <f>IF(C735,(H735*N735*IF(AND(Inputs!$B$38&lt;&gt;"pvp",Inputs!$B$43&gt;0),((Skills!G4*((R735-1)*IF(Skills!H4&gt;0,Skills!I4/Skills!H4,1)+IF(Skills!H4&gt;0,MIN(Skills!I4,MAX(0,MAX(0,Inputs!$B$43-B769)-((R735-1)*(IF(Inputs!$B$38="pvp",15,MAX(0.1,Skills!D4-IF(Skills!E4=TRUE,Inputs!$B$32,0)))*(1-IF(AND(ArtifactsInput!$M$27,Inputs!$B$4="Chapter Hunt"),CHOOSE(ArtifactsInput!$N$27+1,20,24,28,32,36,40),0)/100)))))/Skills!H4,1)))/Inputs!$B$43),G735*Q735))*IF(Inputs!$B$38="pvp",1,(1+(Inputs!$B$21+Skills!Q4+(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6">
      <c r="A736">
        <f>Skills!A5</f>
        <v/>
      </c>
      <c r="B736">
        <f>Skills!B5</f>
        <v/>
      </c>
      <c r="C736">
        <f>Inputs!$B$3&gt;=45</f>
        <v/>
      </c>
      <c r="D736">
        <f>IF(Skills!C5=1,60+Inputs!$B$25+Inputs!$B$29,IF(Skills!C5=2,90+Inputs!$B$26+Inputs!$B$29,IF(Skills!C5=3,120+Inputs!$B$27+Inputs!$B$29,MAX(0,(Inputs!$B$3-100)*3)+Inputs!$B$28+Inputs!$B$29)))</f>
        <v/>
      </c>
      <c r="E736">
        <f>INDEX(FactorTable!$B$2:$Y$301, MATCH(ROUND(MIN(300,MAX(1,D736)),0), FactorTable!$A$2:$A$301,0), Skills!M5+1)</f>
        <v/>
      </c>
      <c r="F736">
        <f>IF(Skills!N5=TRUE,(Skills!L5/10)*(E736/1000),Skills!L5/10)+Skills!O5</f>
        <v/>
      </c>
      <c r="G736">
        <f>Skills!G5*IF(Skills!H5&gt;0,Skills!I5/Skills!H5,1)</f>
        <v/>
      </c>
      <c r="H736">
        <f>1-(1-Skills!J5/100)^Skills!K5</f>
        <v/>
      </c>
      <c r="I736" t="inlineStr">
        <is>
          <t>1</t>
        </is>
      </c>
      <c r="J736">
        <f>((Inputs!$B$6*(1+Inputs!$B$7/100))+(((Inputs!$B$12*(1+Inputs!$B$13/100))-(Inputs!$B$12*(1+Inputs!$B$13/100)))+0.25*(Inputs!$B$14-Inputs!$B$14))*(1+Inputs!$B$7/100))*(F736/100)</f>
        <v/>
      </c>
      <c r="K736">
        <f>J736*(1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747=TRUE,F747,0)/100)*(1+(IF(Skills!A5="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736)</f>
        <v/>
      </c>
      <c r="L736">
        <f>K736*(MIN(Inputs!$B$22+((C753=TRUE)*(F753-Calc!F22)),(Inputs!$B$23+0+(IF(ArtifactsInput!$M$15,CHOOSE(ArtifactsInput!$N$15+1,25,30,35,40,45,50)/100*(Inputs!$B$11-Inputs!$B$11),0))))/100+(Inputs!$B$23+0+(IF(ArtifactsInput!$M$15,CHOOSE(ArtifactsInput!$N$15+1,25,30,35,40,45,50)/100*(Inputs!$B$11-Inputs!$B$11),0)))/100)/2</f>
        <v/>
      </c>
      <c r="M736">
        <f>L736*(1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6">
        <f>L736*(1-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736*(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6">
        <f>(1-Summary!$B$11)*T736+Summary!$B$11*V736</f>
        <v/>
      </c>
      <c r="P736">
        <f>IF(B772=0,0,O736/B772)</f>
        <v/>
      </c>
      <c r="Q736">
        <f>IFERROR(1/(IF(Inputs!$B$38="pvp",15,MAX(0.1,Skills!D5-IF(Skills!E5=TRUE,Inputs!$B$32,0)))*(1-IF(AND(ArtifactsInput!$M$27,Inputs!$B$4="Chapter Hunt"),CHOOSE(ArtifactsInput!$N$27+1,20,24,28,32,36,40),0)/100)),0)</f>
        <v/>
      </c>
      <c r="R736">
        <f>IF(AND(Inputs!$B$38&lt;&gt;"pvp",Inputs!$B$43&gt;0),IF(MAX(0,Inputs!$B$43-B769)&lt;=0,0,(INT(MAX(0,Inputs!$B$43-B769)/(IF(Inputs!$B$38="pvp",15,MAX(0.1,Skills!D5-IF(Skills!E5=TRUE,Inputs!$B$32,0)))*(1-IF(AND(ArtifactsInput!$M$27,Inputs!$B$4="Chapter Hunt"),CHOOSE(ArtifactsInput!$N$27+1,20,24,28,32,36,40),0)/100)))+1)),0)</f>
        <v/>
      </c>
      <c r="S736">
        <f>IFERROR(O736/N736,0)</f>
        <v/>
      </c>
      <c r="T736">
        <f>IF(C736,(H736*N736*IF(AND(Inputs!$B$38&lt;&gt;"pvp",Inputs!$B$43&gt;0),((Skills!G5*((R736-1)*IF(Skills!H5&gt;0,Skills!I5/Skills!H5,1)+IF(Skills!H5&gt;0,MIN(Skills!I5,MAX(0,MAX(0,Inputs!$B$43-B769)-((R736-1)*(IF(Inputs!$B$38="pvp",15,MAX(0.1,Skills!D5-IF(Skills!E5=TRUE,Inputs!$B$32,0)))*(1-IF(AND(ArtifactsInput!$M$27,Inputs!$B$4="Chapter Hunt"),CHOOSE(ArtifactsInput!$N$27+1,20,24,28,32,36,40),0)/100)))))/Skills!H5,1)))/Inputs!$B$43),G736*Q736)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736*(1-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736*(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736*(1-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736*(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36">
        <f>IF(C736,(H736*N736*IF(AND(Inputs!$B$38&lt;&gt;"pvp",Inputs!$B$43&gt;0),((Skills!G5*((R736-1)*IF(Skills!H5&gt;0,Skills!I5/Skills!H5,1)+IF(Skills!H5&gt;0,MIN(Skills!I5,MAX(0,MAX(0,Inputs!$B$43-B769)-((R736-1)*(IF(Inputs!$B$38="pvp",15,MAX(0.1,Skills!D5-IF(Skills!E5=TRUE,Inputs!$B$32,0)))*(1-IF(AND(ArtifactsInput!$M$27,Inputs!$B$4="Chapter Hunt"),CHOOSE(ArtifactsInput!$N$27+1,20,24,28,32,36,40),0)/100)))))/Skills!H5,1)))/Inputs!$B$43),G736*Q736))*IF(Inputs!$B$38="pvp",1,(1+(Inputs!$B$21+Skills!Q5+(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7">
      <c r="A737">
        <f>Skills!A6</f>
        <v/>
      </c>
      <c r="B737">
        <f>Skills!B6</f>
        <v/>
      </c>
      <c r="C737">
        <f>Inputs!$B$3&gt;=63</f>
        <v/>
      </c>
      <c r="D737">
        <f>IF(Skills!C6=1,60+Inputs!$B$25+Inputs!$B$29,IF(Skills!C6=2,90+Inputs!$B$26+Inputs!$B$29,IF(Skills!C6=3,120+Inputs!$B$27+Inputs!$B$29,MAX(0,(Inputs!$B$3-100)*3)+Inputs!$B$28+Inputs!$B$29)))</f>
        <v/>
      </c>
      <c r="E737">
        <f>INDEX(FactorTable!$B$2:$Y$301, MATCH(ROUND(MIN(300,MAX(1,D737)),0), FactorTable!$A$2:$A$301,0), Skills!M6+1)</f>
        <v/>
      </c>
      <c r="F737">
        <f>IF(Skills!N6=TRUE,(Skills!L6/10)*(E737/1000),Skills!L6/10)+Skills!O6</f>
        <v/>
      </c>
      <c r="G737">
        <f>Skills!G6*IF(Skills!H6&gt;0,Skills!I6/Skills!H6,1)</f>
        <v/>
      </c>
      <c r="H737">
        <f>1-(1-Skills!J6/100)^Skills!K6</f>
        <v/>
      </c>
      <c r="I737" t="inlineStr">
        <is>
          <t>1</t>
        </is>
      </c>
      <c r="J737">
        <f>((Inputs!$B$6*(1+Inputs!$B$7/100))+(((Inputs!$B$12*(1+Inputs!$B$13/100))-(Inputs!$B$12*(1+Inputs!$B$13/100)))+0.25*(Inputs!$B$14-Inputs!$B$14))*(1+Inputs!$B$7/100))*(F737/100)</f>
        <v/>
      </c>
      <c r="K737">
        <f>J737*(1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746=TRUE,F746,0)/100)*(1+(IF(Skills!A6="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737)</f>
        <v/>
      </c>
      <c r="L737">
        <f>K737*(MIN(Inputs!$B$22+((C753=TRUE)*(F753-Calc!F22)),(Inputs!$B$23+0+(IF(ArtifactsInput!$M$15,CHOOSE(ArtifactsInput!$N$15+1,25,30,35,40,45,50)/100*(Inputs!$B$11-Inputs!$B$11),0))))/100+(Inputs!$B$23+0+(IF(ArtifactsInput!$M$15,CHOOSE(ArtifactsInput!$N$15+1,25,30,35,40,45,50)/100*(Inputs!$B$11-Inputs!$B$11),0)))/100)/2</f>
        <v/>
      </c>
      <c r="M737">
        <f>L737*(1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7">
        <f>L737*(1-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737*(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7">
        <f>(1-Summary!$B$11)*T737+Summary!$B$11*V737</f>
        <v/>
      </c>
      <c r="P737">
        <f>IF(B772=0,0,O737/B772)</f>
        <v/>
      </c>
      <c r="Q737">
        <f>IFERROR(1/(IF(Inputs!$B$38="pvp",15,MAX(0.1,Skills!D6-IF(Skills!E6=TRUE,Inputs!$B$32,0)))*(1-IF(AND(ArtifactsInput!$M$27,Inputs!$B$4="Chapter Hunt"),CHOOSE(ArtifactsInput!$N$27+1,20,24,28,32,36,40),0)/100)),0)</f>
        <v/>
      </c>
      <c r="R737">
        <f>IF(AND(Inputs!$B$38&lt;&gt;"pvp",Inputs!$B$43&gt;0),IF(MAX(0,Inputs!$B$43-B769)&lt;=0,0,(INT(MAX(0,Inputs!$B$43-B769)/(IF(Inputs!$B$38="pvp",15,MAX(0.1,Skills!D6-IF(Skills!E6=TRUE,Inputs!$B$32,0)))*(1-IF(AND(ArtifactsInput!$M$27,Inputs!$B$4="Chapter Hunt"),CHOOSE(ArtifactsInput!$N$27+1,20,24,28,32,36,40),0)/100)))+1)),0)</f>
        <v/>
      </c>
      <c r="S737">
        <f>IFERROR(O737/N737,0)</f>
        <v/>
      </c>
      <c r="T737">
        <f>IF(C737,(H737*N737*IF(AND(Inputs!$B$38&lt;&gt;"pvp",Inputs!$B$43&gt;0),((Skills!G6*((R737-1)*IF(Skills!H6&gt;0,Skills!I6/Skills!H6,1)+IF(Skills!H6&gt;0,MIN(Skills!I6,MAX(0,MAX(0,Inputs!$B$43-B769)-((R737-1)*(IF(Inputs!$B$38="pvp",15,MAX(0.1,Skills!D6-IF(Skills!E6=TRUE,Inputs!$B$32,0)))*(1-IF(AND(ArtifactsInput!$M$27,Inputs!$B$4="Chapter Hunt"),CHOOSE(ArtifactsInput!$N$27+1,20,24,28,32,36,40),0)/100)))))/Skills!H6,1)))/Inputs!$B$43),G737*Q737)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737*(1-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737*(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737*(1-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737*(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37">
        <f>IF(C737,(H737*N737*IF(AND(Inputs!$B$38&lt;&gt;"pvp",Inputs!$B$43&gt;0),((Skills!G6*((R737-1)*IF(Skills!H6&gt;0,Skills!I6/Skills!H6,1)+IF(Skills!H6&gt;0,MIN(Skills!I6,MAX(0,MAX(0,Inputs!$B$43-B769)-((R737-1)*(IF(Inputs!$B$38="pvp",15,MAX(0.1,Skills!D6-IF(Skills!E6=TRUE,Inputs!$B$32,0)))*(1-IF(AND(ArtifactsInput!$M$27,Inputs!$B$4="Chapter Hunt"),CHOOSE(ArtifactsInput!$N$27+1,20,24,28,32,36,40),0)/100)))))/Skills!H6,1)))/Inputs!$B$43),G737*Q737))*IF(Inputs!$B$38="pvp",1,(1+(Inputs!$B$21+Skills!Q6+(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8">
      <c r="A738">
        <f>Skills!A7</f>
        <v/>
      </c>
      <c r="B738">
        <f>Skills!B7</f>
        <v/>
      </c>
      <c r="C738">
        <f>Inputs!$B$3&gt;=66</f>
        <v/>
      </c>
      <c r="D738">
        <f>IF(Skills!C7=1,60+Inputs!$B$25+Inputs!$B$29,IF(Skills!C7=2,90+Inputs!$B$26+Inputs!$B$29,IF(Skills!C7=3,120+Inputs!$B$27+Inputs!$B$29,MAX(0,(Inputs!$B$3-100)*3)+Inputs!$B$28+Inputs!$B$29)))</f>
        <v/>
      </c>
      <c r="E738">
        <f>INDEX(FactorTable!$B$2:$Y$301, MATCH(ROUND(MIN(300,MAX(1,D738)),0), FactorTable!$A$2:$A$301,0), Skills!M7+1)</f>
        <v/>
      </c>
      <c r="F738">
        <f>IF(Skills!N7=TRUE,(Skills!L7/10)*(E738/1000),Skills!L7/10)+Skills!O7</f>
        <v/>
      </c>
      <c r="G738">
        <f>Skills!G7*IF(Skills!H7&gt;0,Skills!I7/Skills!H7,1)</f>
        <v/>
      </c>
      <c r="H738">
        <f>1-(1-Skills!J7/100)^Skills!K7</f>
        <v/>
      </c>
      <c r="I738" t="inlineStr">
        <is>
          <t>1</t>
        </is>
      </c>
      <c r="J738">
        <f>((Inputs!$B$6*(1+Inputs!$B$7/100))+(((Inputs!$B$12*(1+Inputs!$B$13/100))-(Inputs!$B$12*(1+Inputs!$B$13/100)))+0.25*(Inputs!$B$14-Inputs!$B$14))*(1+Inputs!$B$7/100))*(F738/100)</f>
        <v/>
      </c>
      <c r="K738">
        <f>J738*(1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746=TRUE,F746,0)/100)*(1+(IF(Skills!A7="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738)</f>
        <v/>
      </c>
      <c r="L738">
        <f>K738*(MIN(Inputs!$B$22+((C753=TRUE)*(F753-Calc!F22)),(Inputs!$B$23+0+(IF(ArtifactsInput!$M$15,CHOOSE(ArtifactsInput!$N$15+1,25,30,35,40,45,50)/100*(Inputs!$B$11-Inputs!$B$11),0))))/100+(Inputs!$B$23+0+(IF(ArtifactsInput!$M$15,CHOOSE(ArtifactsInput!$N$15+1,25,30,35,40,45,50)/100*(Inputs!$B$11-Inputs!$B$11),0)))/100)/2</f>
        <v/>
      </c>
      <c r="M738">
        <f>L738*(1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8">
        <f>L738*(1-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738*(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8">
        <f>(1-Summary!$B$11)*T738+Summary!$B$11*V738</f>
        <v/>
      </c>
      <c r="P738">
        <f>IF(B772=0,0,O738/B772)</f>
        <v/>
      </c>
      <c r="Q738">
        <f>IFERROR(1/(IF(Inputs!$B$38="pvp",15,MAX(0.1,Skills!D7-IF(Skills!E7=TRUE,Inputs!$B$32,0)))*(1-IF(AND(ArtifactsInput!$M$27,Inputs!$B$4="Chapter Hunt"),CHOOSE(ArtifactsInput!$N$27+1,20,24,28,32,36,40),0)/100)),0)</f>
        <v/>
      </c>
      <c r="R738">
        <f>IF(AND(Inputs!$B$38&lt;&gt;"pvp",Inputs!$B$43&gt;0),IF(MAX(0,Inputs!$B$43-B769)&lt;=0,0,(INT(MAX(0,Inputs!$B$43-B769)/(IF(Inputs!$B$38="pvp",15,MAX(0.1,Skills!D7-IF(Skills!E7=TRUE,Inputs!$B$32,0)))*(1-IF(AND(ArtifactsInput!$M$27,Inputs!$B$4="Chapter Hunt"),CHOOSE(ArtifactsInput!$N$27+1,20,24,28,32,36,40),0)/100)))+1)),0)</f>
        <v/>
      </c>
      <c r="S738">
        <f>IFERROR(O738/N738,0)</f>
        <v/>
      </c>
      <c r="T738">
        <f>IF(C738,(H738*N738*IF(AND(Inputs!$B$38&lt;&gt;"pvp",Inputs!$B$43&gt;0),((Skills!G7*((R738-1)*IF(Skills!H7&gt;0,Skills!I7/Skills!H7,1)+IF(Skills!H7&gt;0,MIN(Skills!I7,MAX(0,MAX(0,Inputs!$B$43-B769)-((R738-1)*(IF(Inputs!$B$38="pvp",15,MAX(0.1,Skills!D7-IF(Skills!E7=TRUE,Inputs!$B$32,0)))*(1-IF(AND(ArtifactsInput!$M$27,Inputs!$B$4="Chapter Hunt"),CHOOSE(ArtifactsInput!$N$27+1,20,24,28,32,36,40),0)/100)))))/Skills!H7,1)))/Inputs!$B$43),G738*Q738)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738*(1-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738*(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738*(1-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738*(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38">
        <f>IF(C738,(H738*N738*IF(AND(Inputs!$B$38&lt;&gt;"pvp",Inputs!$B$43&gt;0),((Skills!G7*((R738-1)*IF(Skills!H7&gt;0,Skills!I7/Skills!H7,1)+IF(Skills!H7&gt;0,MIN(Skills!I7,MAX(0,MAX(0,Inputs!$B$43-B769)-((R738-1)*(IF(Inputs!$B$38="pvp",15,MAX(0.1,Skills!D7-IF(Skills!E7=TRUE,Inputs!$B$32,0)))*(1-IF(AND(ArtifactsInput!$M$27,Inputs!$B$4="Chapter Hunt"),CHOOSE(ArtifactsInput!$N$27+1,20,24,28,32,36,40),0)/100)))))/Skills!H7,1)))/Inputs!$B$43),G738*Q738))*IF(Inputs!$B$38="pvp",1,(1+(Inputs!$B$21+Skills!Q7+(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9">
      <c r="A739">
        <f>Skills!A8</f>
        <v/>
      </c>
      <c r="B739">
        <f>Skills!B8</f>
        <v/>
      </c>
      <c r="C739">
        <f>Inputs!$B$3&gt;=100</f>
        <v/>
      </c>
      <c r="D739">
        <f>IF(Skills!C8=1,60+Inputs!$B$25+Inputs!$B$29,IF(Skills!C8=2,90+Inputs!$B$26+Inputs!$B$29,IF(Skills!C8=3,120+Inputs!$B$27+Inputs!$B$29,MAX(0,(Inputs!$B$3-100)*3)+Inputs!$B$28+Inputs!$B$29)))</f>
        <v/>
      </c>
      <c r="E739">
        <f>INDEX(FactorTable!$B$2:$Y$301, MATCH(ROUND(MIN(300,MAX(1,D739)),0), FactorTable!$A$2:$A$301,0), Skills!M8+1)</f>
        <v/>
      </c>
      <c r="F739">
        <f>IF(Skills!N8=TRUE,(Skills!L8/10)*(E739/1000),Skills!L8/10)+Skills!O8</f>
        <v/>
      </c>
      <c r="G739">
        <f>Skills!G8*IF(Skills!H8&gt;0,Skills!I8/Skills!H8,1)</f>
        <v/>
      </c>
      <c r="H739">
        <f>1-(1-Skills!J8/100)^Skills!K8</f>
        <v/>
      </c>
      <c r="I739" t="inlineStr">
        <is>
          <t>1</t>
        </is>
      </c>
      <c r="J739">
        <f>((Inputs!$B$6*(1+Inputs!$B$7/100))+(((Inputs!$B$12*(1+Inputs!$B$13/100))-(Inputs!$B$12*(1+Inputs!$B$13/100)))+0.25*(Inputs!$B$14-Inputs!$B$14))*(1+Inputs!$B$7/100))*(F739/100)</f>
        <v/>
      </c>
      <c r="K739">
        <f>J739*(1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739)</f>
        <v/>
      </c>
      <c r="L739">
        <f>K739*(MIN(Inputs!$B$22+((C753=TRUE)*(F753-Calc!F22)),(Inputs!$B$23+0+(IF(ArtifactsInput!$M$15,CHOOSE(ArtifactsInput!$N$15+1,25,30,35,40,45,50)/100*(Inputs!$B$11-Inputs!$B$11),0))))/100+(Inputs!$B$23+0+(IF(ArtifactsInput!$M$15,CHOOSE(ArtifactsInput!$N$15+1,25,30,35,40,45,50)/100*(Inputs!$B$11-Inputs!$B$11),0)))/100)/2</f>
        <v/>
      </c>
      <c r="M739">
        <f>L739*(1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9">
        <f>L739*(1-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739*(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9">
        <f>(1-Summary!$B$11)*T739+Summary!$B$11*V739</f>
        <v/>
      </c>
      <c r="P739">
        <f>IF(B772=0,0,O739/B772)</f>
        <v/>
      </c>
      <c r="Q739">
        <f>IFERROR(1/(IF(Inputs!$B$38="pvp",15,MAX(0.1,Skills!D8-IF(Skills!E8=TRUE,Inputs!$B$32,0)))*(1-IF(AND(ArtifactsInput!$M$27,Inputs!$B$4="Chapter Hunt"),CHOOSE(ArtifactsInput!$N$27+1,20,24,28,32,36,40),0)/100)),0)</f>
        <v/>
      </c>
      <c r="R739">
        <f>IF(AND(Inputs!$B$38&lt;&gt;"pvp",Inputs!$B$43&gt;0),IF(MAX(0,Inputs!$B$43-B769)&lt;=0,0,(INT(MAX(0,Inputs!$B$43-B769)/(IF(Inputs!$B$38="pvp",15,MAX(0.1,Skills!D8-IF(Skills!E8=TRUE,Inputs!$B$32,0)))*(1-IF(AND(ArtifactsInput!$M$27,Inputs!$B$4="Chapter Hunt"),CHOOSE(ArtifactsInput!$N$27+1,20,24,28,32,36,40),0)/100)))+1)),0)</f>
        <v/>
      </c>
      <c r="S739">
        <f>IFERROR(O739/N739,0)</f>
        <v/>
      </c>
      <c r="T739">
        <f>IF(C739,(H739*N739*IF(AND(Inputs!$B$38&lt;&gt;"pvp",Inputs!$B$43&gt;0),((Skills!G8*((R739-1)*IF(Skills!H8&gt;0,Skills!I8/Skills!H8,1)+IF(Skills!H8&gt;0,MIN(Skills!I8,MAX(0,MAX(0,Inputs!$B$43-B769)-((R739-1)*(IF(Inputs!$B$38="pvp",15,MAX(0.1,Skills!D8-IF(Skills!E8=TRUE,Inputs!$B$32,0)))*(1-IF(AND(ArtifactsInput!$M$27,Inputs!$B$4="Chapter Hunt"),CHOOSE(ArtifactsInput!$N$27+1,20,24,28,32,36,40),0)/100)))))/Skills!H8,1)))/Inputs!$B$43),G739*Q739)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739*(1-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739*(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739*(1-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739*(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39">
        <f>IF(C739,(H739*N739*IF(AND(Inputs!$B$38&lt;&gt;"pvp",Inputs!$B$43&gt;0),((Skills!G8*((R739-1)*IF(Skills!H8&gt;0,Skills!I8/Skills!H8,1)+IF(Skills!H8&gt;0,MIN(Skills!I8,MAX(0,MAX(0,Inputs!$B$43-B769)-((R739-1)*(IF(Inputs!$B$38="pvp",15,MAX(0.1,Skills!D8-IF(Skills!E8=TRUE,Inputs!$B$32,0)))*(1-IF(AND(ArtifactsInput!$M$27,Inputs!$B$4="Chapter Hunt"),CHOOSE(ArtifactsInput!$N$27+1,20,24,28,32,36,40),0)/100)))))/Skills!H8,1)))/Inputs!$B$43),G739*Q739))*IF(Inputs!$B$38="pvp",1,(1+(Inputs!$B$21+Skills!Q8+(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0">
      <c r="A740">
        <f>Skills!A9</f>
        <v/>
      </c>
      <c r="B740">
        <f>Skills!B9</f>
        <v/>
      </c>
      <c r="C740">
        <f>Inputs!$B$3&gt;=103</f>
        <v/>
      </c>
      <c r="D740">
        <f>IF(Skills!C9=1,60+Inputs!$B$25+Inputs!$B$29,IF(Skills!C9=2,90+Inputs!$B$26+Inputs!$B$29,IF(Skills!C9=3,120+Inputs!$B$27+Inputs!$B$29,MAX(0,(Inputs!$B$3-100)*3)+Inputs!$B$28+Inputs!$B$29)))</f>
        <v/>
      </c>
      <c r="E740">
        <f>INDEX(FactorTable!$B$2:$Y$301, MATCH(ROUND(MIN(300,MAX(1,D740)),0), FactorTable!$A$2:$A$301,0), Skills!M9+1)</f>
        <v/>
      </c>
      <c r="F740">
        <f>IF(Skills!N9=TRUE,(Skills!L9/10)*(E740/1000),Skills!L9/10)+Skills!O9</f>
        <v/>
      </c>
      <c r="G740">
        <f>Skills!G9*IF(Skills!H9&gt;0,Skills!I9/Skills!H9,1)</f>
        <v/>
      </c>
      <c r="H740">
        <f>1-(1-Skills!J9/100)^Skills!K9</f>
        <v/>
      </c>
      <c r="I740" t="inlineStr">
        <is>
          <t>1</t>
        </is>
      </c>
      <c r="J740">
        <f>((Inputs!$B$6*(1+Inputs!$B$7/100))+(((Inputs!$B$12*(1+Inputs!$B$13/100))-(Inputs!$B$12*(1+Inputs!$B$13/100)))+0.25*(Inputs!$B$14-Inputs!$B$14))*(1+Inputs!$B$7/100))*(F740/100)</f>
        <v/>
      </c>
      <c r="K740">
        <f>J740*(1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740)</f>
        <v/>
      </c>
      <c r="L740">
        <f>K740*(MIN(Inputs!$B$22+((C753=TRUE)*(F753-Calc!F22)),(Inputs!$B$23+0+(IF(ArtifactsInput!$M$15,CHOOSE(ArtifactsInput!$N$15+1,25,30,35,40,45,50)/100*(Inputs!$B$11-Inputs!$B$11),0))))/100+(Inputs!$B$23+0+(IF(ArtifactsInput!$M$15,CHOOSE(ArtifactsInput!$N$15+1,25,30,35,40,45,50)/100*(Inputs!$B$11-Inputs!$B$11),0)))/100)/2</f>
        <v/>
      </c>
      <c r="M740">
        <f>L740*(1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0">
        <f>L740*(1-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740*(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0">
        <f>(1-Summary!$B$11)*T740+Summary!$B$11*V740</f>
        <v/>
      </c>
      <c r="P740">
        <f>IF(B772=0,0,O740/B772)</f>
        <v/>
      </c>
      <c r="Q740">
        <f>IFERROR(1/(IF(Inputs!$B$38="pvp",15,MAX(0.1,Skills!D9-IF(Skills!E9=TRUE,Inputs!$B$32,0)))*(1-IF(AND(ArtifactsInput!$M$27,Inputs!$B$4="Chapter Hunt"),CHOOSE(ArtifactsInput!$N$27+1,20,24,28,32,36,40),0)/100)),0)</f>
        <v/>
      </c>
      <c r="R740">
        <f>IF(AND(Inputs!$B$38&lt;&gt;"pvp",Inputs!$B$43&gt;0),IF(MAX(0,Inputs!$B$43-B769)&lt;=0,0,(INT(MAX(0,Inputs!$B$43-B769)/(IF(Inputs!$B$38="pvp",15,MAX(0.1,Skills!D9-IF(Skills!E9=TRUE,Inputs!$B$32,0)))*(1-IF(AND(ArtifactsInput!$M$27,Inputs!$B$4="Chapter Hunt"),CHOOSE(ArtifactsInput!$N$27+1,20,24,28,32,36,40),0)/100)))+1)),0)</f>
        <v/>
      </c>
      <c r="S740">
        <f>IFERROR(O740/N740,0)</f>
        <v/>
      </c>
      <c r="T740">
        <f>IF(C740,(H740*N740*IF(AND(Inputs!$B$38&lt;&gt;"pvp",Inputs!$B$43&gt;0),((Skills!G9*((R740-1)*IF(Skills!H9&gt;0,Skills!I9/Skills!H9,1)+IF(Skills!H9&gt;0,MIN(Skills!I9,MAX(0,MAX(0,Inputs!$B$43-B769)-((R740-1)*(IF(Inputs!$B$38="pvp",15,MAX(0.1,Skills!D9-IF(Skills!E9=TRUE,Inputs!$B$32,0)))*(1-IF(AND(ArtifactsInput!$M$27,Inputs!$B$4="Chapter Hunt"),CHOOSE(ArtifactsInput!$N$27+1,20,24,28,32,36,40),0)/100)))))/Skills!H9,1)))/Inputs!$B$43),G740*Q740)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740*(1-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740*(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740*(1-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740*(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0">
        <f>IF(C740,(H740*N740*IF(AND(Inputs!$B$38&lt;&gt;"pvp",Inputs!$B$43&gt;0),((Skills!G9*((R740-1)*IF(Skills!H9&gt;0,Skills!I9/Skills!H9,1)+IF(Skills!H9&gt;0,MIN(Skills!I9,MAX(0,MAX(0,Inputs!$B$43-B769)-((R740-1)*(IF(Inputs!$B$38="pvp",15,MAX(0.1,Skills!D9-IF(Skills!E9=TRUE,Inputs!$B$32,0)))*(1-IF(AND(ArtifactsInput!$M$27,Inputs!$B$4="Chapter Hunt"),CHOOSE(ArtifactsInput!$N$27+1,20,24,28,32,36,40),0)/100)))))/Skills!H9,1)))/Inputs!$B$43),G740*Q740))*IF(Inputs!$B$38="pvp",1,(1+(Inputs!$B$21+Skills!Q9+(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1">
      <c r="A741">
        <f>Skills!A10</f>
        <v/>
      </c>
      <c r="B741">
        <f>Skills!B10</f>
        <v/>
      </c>
      <c r="C741">
        <f>Inputs!$B$3&gt;=113</f>
        <v/>
      </c>
      <c r="D741">
        <f>IF(Skills!C10=1,60+Inputs!$B$25+Inputs!$B$29,IF(Skills!C10=2,90+Inputs!$B$26+Inputs!$B$29,IF(Skills!C10=3,120+Inputs!$B$27+Inputs!$B$29,MAX(0,(Inputs!$B$3-100)*3)+Inputs!$B$28+Inputs!$B$29)))</f>
        <v/>
      </c>
      <c r="E741">
        <f>INDEX(FactorTable!$B$2:$Y$301, MATCH(ROUND(MIN(300,MAX(1,D741)),0), FactorTable!$A$2:$A$301,0), Skills!M10+1)</f>
        <v/>
      </c>
      <c r="F741">
        <f>IF(Skills!N10=TRUE,(Skills!L10/10)*(E741/1000),Skills!L10/10)+Skills!O10</f>
        <v/>
      </c>
      <c r="G741">
        <f>Skills!G10*IF(Skills!H10&gt;0,Skills!I10/Skills!H10,1)</f>
        <v/>
      </c>
      <c r="H741">
        <f>1-(1-Skills!J10/100)^Skills!K10</f>
        <v/>
      </c>
      <c r="I741" t="inlineStr">
        <is>
          <t>1</t>
        </is>
      </c>
      <c r="J741">
        <f>((Inputs!$B$6*(1+Inputs!$B$7/100))+(((Inputs!$B$12*(1+Inputs!$B$13/100))-(Inputs!$B$12*(1+Inputs!$B$13/100)))+0.25*(Inputs!$B$14-Inputs!$B$14))*(1+Inputs!$B$7/100))*(F741/100)</f>
        <v/>
      </c>
      <c r="K741">
        <f>J741*(1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741)</f>
        <v/>
      </c>
      <c r="L741">
        <f>K741*(MIN(Inputs!$B$22+((C753=TRUE)*(F753-Calc!F22)),(Inputs!$B$23+0+(IF(ArtifactsInput!$M$15,CHOOSE(ArtifactsInput!$N$15+1,25,30,35,40,45,50)/100*(Inputs!$B$11-Inputs!$B$11),0))))/100+(Inputs!$B$23+0+(IF(ArtifactsInput!$M$15,CHOOSE(ArtifactsInput!$N$15+1,25,30,35,40,45,50)/100*(Inputs!$B$11-Inputs!$B$11),0)))/100)/2</f>
        <v/>
      </c>
      <c r="M741">
        <f>L741*(1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1">
        <f>L741*(1-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1">
        <f>(1-Summary!$B$11)*T741+Summary!$B$11*V741</f>
        <v/>
      </c>
      <c r="P741">
        <f>IF(B772=0,0,O741/B772)</f>
        <v/>
      </c>
      <c r="Q741">
        <f>IFERROR(1/(IF(Inputs!$B$38="pvp",15,MAX(0.1,Skills!D10-IF(Skills!E10=TRUE,Inputs!$B$32,0)))*(1-IF(AND(ArtifactsInput!$M$27,Inputs!$B$4="Chapter Hunt"),CHOOSE(ArtifactsInput!$N$27+1,20,24,28,32,36,40),0)/100)),0)</f>
        <v/>
      </c>
      <c r="R741">
        <f>IF(AND(Inputs!$B$38&lt;&gt;"pvp",Inputs!$B$43&gt;0),IF(MAX(0,Inputs!$B$43-B769)&lt;=0,0,(INT(MAX(0,Inputs!$B$43-B769)/(IF(Inputs!$B$38="pvp",15,MAX(0.1,Skills!D10-IF(Skills!E10=TRUE,Inputs!$B$32,0)))*(1-IF(AND(ArtifactsInput!$M$27,Inputs!$B$4="Chapter Hunt"),CHOOSE(ArtifactsInput!$N$27+1,20,24,28,32,36,40),0)/100)))+1)),0)</f>
        <v/>
      </c>
      <c r="S741">
        <f>IFERROR(O741/N741,0)</f>
        <v/>
      </c>
      <c r="T741">
        <f>IF(C741,(H741*N741*IF(AND(Inputs!$B$38&lt;&gt;"pvp",Inputs!$B$43&gt;0),((Skills!G10*((R741-1)*IF(Skills!H10&gt;0,Skills!I10/Skills!H10,1)+IF(Skills!H10&gt;0,MIN(Skills!I10,MAX(0,MAX(0,Inputs!$B$43-B769)-((R741-1)*(IF(Inputs!$B$38="pvp",15,MAX(0.1,Skills!D10-IF(Skills!E10=TRUE,Inputs!$B$32,0)))*(1-IF(AND(ArtifactsInput!$M$27,Inputs!$B$4="Chapter Hunt"),CHOOSE(ArtifactsInput!$N$27+1,20,24,28,32,36,40),0)/100)))))/Skills!H10,1)))/Inputs!$B$43),G741*Q741)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741*(1-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1">
        <f>IF(C741,(H741*N741*IF(AND(Inputs!$B$38&lt;&gt;"pvp",Inputs!$B$43&gt;0),((Skills!G10*((R741-1)*IF(Skills!H10&gt;0,Skills!I10/Skills!H10,1)+IF(Skills!H10&gt;0,MIN(Skills!I10,MAX(0,MAX(0,Inputs!$B$43-B769)-((R741-1)*(IF(Inputs!$B$38="pvp",15,MAX(0.1,Skills!D10-IF(Skills!E10=TRUE,Inputs!$B$32,0)))*(1-IF(AND(ArtifactsInput!$M$27,Inputs!$B$4="Chapter Hunt"),CHOOSE(ArtifactsInput!$N$27+1,20,24,28,32,36,40),0)/100)))))/Skills!H10,1)))/Inputs!$B$43),G741*Q741))*IF(Inputs!$B$38="pvp",1,(1+(Inputs!$B$21+Skills!Q10+(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2">
      <c r="A742">
        <f>Skills!A11</f>
        <v/>
      </c>
      <c r="B742">
        <f>Skills!B11</f>
        <v/>
      </c>
      <c r="C742">
        <f>Inputs!$B$3&gt;=107</f>
        <v/>
      </c>
      <c r="D742">
        <f>IF(Skills!C11=1,60+Inputs!$B$25+Inputs!$B$29,IF(Skills!C11=2,90+Inputs!$B$26+Inputs!$B$29,IF(Skills!C11=3,120+Inputs!$B$27+Inputs!$B$29,MAX(0,(Inputs!$B$3-100)*3)+Inputs!$B$28+Inputs!$B$29)))</f>
        <v/>
      </c>
      <c r="E742">
        <f>INDEX(FactorTable!$B$2:$Y$301, MATCH(ROUND(MIN(300,MAX(1,D742)),0), FactorTable!$A$2:$A$301,0), Skills!M11+1)</f>
        <v/>
      </c>
      <c r="F742">
        <f>IF(Skills!N11=TRUE,(Skills!L11/10)*(E742/1000),Skills!L11/10)+Skills!O11</f>
        <v/>
      </c>
      <c r="G742">
        <f>Skills!G11*IF(Skills!H11&gt;0,Skills!I11/Skills!H11,1)</f>
        <v/>
      </c>
      <c r="H742">
        <f>1-(1-Skills!J11/100)^Skills!K11</f>
        <v/>
      </c>
      <c r="I742" t="inlineStr">
        <is>
          <t>1</t>
        </is>
      </c>
      <c r="J742">
        <f>((Inputs!$B$6*(1+Inputs!$B$7/100))+(((Inputs!$B$12*(1+Inputs!$B$13/100))-(Inputs!$B$12*(1+Inputs!$B$13/100)))+0.25*(Inputs!$B$14-Inputs!$B$14))*(1+Inputs!$B$7/100))*(F742/100)</f>
        <v/>
      </c>
      <c r="K742">
        <f>J742*(1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742)</f>
        <v/>
      </c>
      <c r="L742">
        <f>K742*(MIN(Inputs!$B$22+((C753=TRUE)*(F753-Calc!F22)),(Inputs!$B$23+0+(IF(ArtifactsInput!$M$15,CHOOSE(ArtifactsInput!$N$15+1,25,30,35,40,45,50)/100*(Inputs!$B$11-Inputs!$B$11),0))))/100+(Inputs!$B$23+0+(IF(ArtifactsInput!$M$15,CHOOSE(ArtifactsInput!$N$15+1,25,30,35,40,45,50)/100*(Inputs!$B$11-Inputs!$B$11),0)))/100)/2</f>
        <v/>
      </c>
      <c r="M742">
        <f>L742*(1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2">
        <f>L742*(1-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742*(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2">
        <f>(1-Summary!$B$11)*T742+Summary!$B$11*V742</f>
        <v/>
      </c>
      <c r="P742">
        <f>IF(B772=0,0,O742/B772)</f>
        <v/>
      </c>
      <c r="Q742">
        <f>IFERROR(1/(IF(Inputs!$B$38="pvp",15,MAX(0.1,Skills!D11-IF(Skills!E11=TRUE,Inputs!$B$32,0)))*(1-IF(AND(ArtifactsInput!$M$27,Inputs!$B$4="Chapter Hunt"),CHOOSE(ArtifactsInput!$N$27+1,20,24,28,32,36,40),0)/100)),0)</f>
        <v/>
      </c>
      <c r="R742">
        <f>IF(AND(Inputs!$B$38&lt;&gt;"pvp",Inputs!$B$43&gt;0),IF(MAX(0,Inputs!$B$43-B769)&lt;=0,0,(INT(MAX(0,Inputs!$B$43-B769)/(IF(Inputs!$B$38="pvp",15,MAX(0.1,Skills!D11-IF(Skills!E11=TRUE,Inputs!$B$32,0)))*(1-IF(AND(ArtifactsInput!$M$27,Inputs!$B$4="Chapter Hunt"),CHOOSE(ArtifactsInput!$N$27+1,20,24,28,32,36,40),0)/100)))+1)),0)</f>
        <v/>
      </c>
      <c r="S742">
        <f>IFERROR(O742/N742,0)</f>
        <v/>
      </c>
      <c r="T742">
        <f>IF(C742,(H742*N742*IF(AND(Inputs!$B$38&lt;&gt;"pvp",Inputs!$B$43&gt;0),((Skills!G11*((R742-1)*IF(Skills!H11&gt;0,Skills!I11/Skills!H11,1)+IF(Skills!H11&gt;0,MIN(Skills!I11,MAX(0,MAX(0,Inputs!$B$43-B769)-((R742-1)*(IF(Inputs!$B$38="pvp",15,MAX(0.1,Skills!D11-IF(Skills!E11=TRUE,Inputs!$B$32,0)))*(1-IF(AND(ArtifactsInput!$M$27,Inputs!$B$4="Chapter Hunt"),CHOOSE(ArtifactsInput!$N$27+1,20,24,28,32,36,40),0)/100)))))/Skills!H11,1)))/Inputs!$B$43),G742*Q742)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742*(1-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742*(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742*(1-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742*(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2">
        <f>IF(C742,(H742*N742*IF(AND(Inputs!$B$38&lt;&gt;"pvp",Inputs!$B$43&gt;0),((Skills!G11*((R742-1)*IF(Skills!H11&gt;0,Skills!I11/Skills!H11,1)+IF(Skills!H11&gt;0,MIN(Skills!I11,MAX(0,MAX(0,Inputs!$B$43-B769)-((R742-1)*(IF(Inputs!$B$38="pvp",15,MAX(0.1,Skills!D11-IF(Skills!E11=TRUE,Inputs!$B$32,0)))*(1-IF(AND(ArtifactsInput!$M$27,Inputs!$B$4="Chapter Hunt"),CHOOSE(ArtifactsInput!$N$27+1,20,24,28,32,36,40),0)/100)))))/Skills!H11,1)))/Inputs!$B$43),G742*Q742))*IF(Inputs!$B$38="pvp",1,(1+(Inputs!$B$21+Skills!Q11+(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3">
      <c r="A743">
        <f>Skills!A12</f>
        <v/>
      </c>
      <c r="B743">
        <f>Skills!B12</f>
        <v/>
      </c>
      <c r="C743">
        <f>Inputs!$B$3&gt;=110</f>
        <v/>
      </c>
      <c r="D743">
        <f>IF(Skills!C12=1,60+Inputs!$B$25+Inputs!$B$29,IF(Skills!C12=2,90+Inputs!$B$26+Inputs!$B$29,IF(Skills!C12=3,120+Inputs!$B$27+Inputs!$B$29,MAX(0,(Inputs!$B$3-100)*3)+Inputs!$B$28+Inputs!$B$29)))</f>
        <v/>
      </c>
      <c r="E743">
        <f>INDEX(FactorTable!$B$2:$Y$301, MATCH(ROUND(MIN(300,MAX(1,D743)),0), FactorTable!$A$2:$A$301,0), Skills!M12+1)</f>
        <v/>
      </c>
      <c r="F743">
        <f>IF(Skills!N12=TRUE,(Skills!L12/10)*(E743/1000),Skills!L12/10)+Skills!O12</f>
        <v/>
      </c>
      <c r="G743">
        <f>Skills!G12*IF(Skills!H12&gt;0,Skills!I12/Skills!H12,1)</f>
        <v/>
      </c>
      <c r="H743">
        <f>1-(1-Skills!J12/100)^Skills!K12</f>
        <v/>
      </c>
      <c r="I743" t="inlineStr">
        <is>
          <t>1</t>
        </is>
      </c>
      <c r="J743">
        <f>((Inputs!$B$6*(1+Inputs!$B$7/100))+(((Inputs!$B$12*(1+Inputs!$B$13/100))-(Inputs!$B$12*(1+Inputs!$B$13/100)))+0.25*(Inputs!$B$14-Inputs!$B$14))*(1+Inputs!$B$7/100))*(F743/100)</f>
        <v/>
      </c>
      <c r="K743">
        <f>J743*(1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743)</f>
        <v/>
      </c>
      <c r="L743">
        <f>K743*(MIN(Inputs!$B$22+((C753=TRUE)*(F753-Calc!F22)),(Inputs!$B$23+0+(IF(ArtifactsInput!$M$15,CHOOSE(ArtifactsInput!$N$15+1,25,30,35,40,45,50)/100*(Inputs!$B$11-Inputs!$B$11),0))))/100+(Inputs!$B$23+0+(IF(ArtifactsInput!$M$15,CHOOSE(ArtifactsInput!$N$15+1,25,30,35,40,45,50)/100*(Inputs!$B$11-Inputs!$B$11),0)))/100)/2</f>
        <v/>
      </c>
      <c r="M743">
        <f>L743*(1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3">
        <f>L743*(1-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743*(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3">
        <f>(1-Summary!$B$11)*T743+Summary!$B$11*V743</f>
        <v/>
      </c>
      <c r="P743">
        <f>IF(B772=0,0,O743/B772)</f>
        <v/>
      </c>
      <c r="Q743">
        <f>IFERROR(1/(IF(Inputs!$B$38="pvp",15,MAX(0.1,Skills!D12-IF(Skills!E12=TRUE,Inputs!$B$32,0)))*(1-IF(AND(ArtifactsInput!$M$27,Inputs!$B$4="Chapter Hunt"),CHOOSE(ArtifactsInput!$N$27+1,20,24,28,32,36,40),0)/100)),0)</f>
        <v/>
      </c>
      <c r="R743">
        <f>IF(AND(Inputs!$B$38&lt;&gt;"pvp",Inputs!$B$43&gt;0),IF(MAX(0,Inputs!$B$43-B769)&lt;=0,0,(INT(MAX(0,Inputs!$B$43-B769)/(IF(Inputs!$B$38="pvp",15,MAX(0.1,Skills!D12-IF(Skills!E12=TRUE,Inputs!$B$32,0)))*(1-IF(AND(ArtifactsInput!$M$27,Inputs!$B$4="Chapter Hunt"),CHOOSE(ArtifactsInput!$N$27+1,20,24,28,32,36,40),0)/100)))+1)),0)</f>
        <v/>
      </c>
      <c r="S743">
        <f>IFERROR(O743/N743,0)</f>
        <v/>
      </c>
      <c r="T743">
        <f>IF(C743,(H743*N743*IF(AND(Inputs!$B$38&lt;&gt;"pvp",Inputs!$B$43&gt;0),((Skills!G12*((R743-1)*IF(Skills!H12&gt;0,Skills!I12/Skills!H12,1)+IF(Skills!H12&gt;0,MIN(Skills!I12,MAX(0,MAX(0,Inputs!$B$43-B769)-((R743-1)*(IF(Inputs!$B$38="pvp",15,MAX(0.1,Skills!D12-IF(Skills!E12=TRUE,Inputs!$B$32,0)))*(1-IF(AND(ArtifactsInput!$M$27,Inputs!$B$4="Chapter Hunt"),CHOOSE(ArtifactsInput!$N$27+1,20,24,28,32,36,40),0)/100)))))/Skills!H12,1)))/Inputs!$B$43),G743*Q743)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743*(1-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743*(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743*(1-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743*(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3">
        <f>IF(C743,(H743*N743*IF(AND(Inputs!$B$38&lt;&gt;"pvp",Inputs!$B$43&gt;0),((Skills!G12*((R743-1)*IF(Skills!H12&gt;0,Skills!I12/Skills!H12,1)+IF(Skills!H12&gt;0,MIN(Skills!I12,MAX(0,MAX(0,Inputs!$B$43-B769)-((R743-1)*(IF(Inputs!$B$38="pvp",15,MAX(0.1,Skills!D12-IF(Skills!E12=TRUE,Inputs!$B$32,0)))*(1-IF(AND(ArtifactsInput!$M$27,Inputs!$B$4="Chapter Hunt"),CHOOSE(ArtifactsInput!$N$27+1,20,24,28,32,36,40),0)/100)))))/Skills!H12,1)))/Inputs!$B$43),G743*Q743))*IF(Inputs!$B$38="pvp",1,(1+(Inputs!$B$21+Skills!Q12+(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4">
      <c r="A744">
        <f>Skills!A13</f>
        <v/>
      </c>
      <c r="B744">
        <f>Skills!B13</f>
        <v/>
      </c>
      <c r="C744">
        <f>Inputs!$B$3&gt;=110</f>
        <v/>
      </c>
      <c r="D744">
        <f>IF(Skills!C13=1,60+Inputs!$B$25+Inputs!$B$29,IF(Skills!C13=2,90+Inputs!$B$26+Inputs!$B$29,IF(Skills!C13=3,120+Inputs!$B$27+Inputs!$B$29,MAX(0,(Inputs!$B$3-100)*3)+Inputs!$B$28+Inputs!$B$29)))</f>
        <v/>
      </c>
      <c r="E744">
        <f>INDEX(FactorTable!$B$2:$Y$301, MATCH(ROUND(MIN(300,MAX(1,D744)),0), FactorTable!$A$2:$A$301,0), Skills!M13+1)</f>
        <v/>
      </c>
      <c r="F744">
        <f>IF(Skills!N13=TRUE,(Skills!L13/10)*(E744/1000),Skills!L13/10)+Skills!O13</f>
        <v/>
      </c>
      <c r="G744">
        <f>Skills!G13*IF(Skills!H13&gt;0,Skills!I13/Skills!H13,1)</f>
        <v/>
      </c>
      <c r="H744">
        <f>1-(1-Skills!J13/100)^Skills!K13</f>
        <v/>
      </c>
      <c r="I744" t="inlineStr">
        <is>
          <t>1</t>
        </is>
      </c>
      <c r="J744">
        <f>((Inputs!$B$6*(1+Inputs!$B$7/100))+(((Inputs!$B$12*(1+Inputs!$B$13/100))-(Inputs!$B$12*(1+Inputs!$B$13/100)))+0.25*(Inputs!$B$14-Inputs!$B$14))*(1+Inputs!$B$7/100))*(F744/100)</f>
        <v/>
      </c>
      <c r="K744">
        <f>J744*(1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744)</f>
        <v/>
      </c>
      <c r="L744">
        <f>K744*(MIN(Inputs!$B$22+((C753=TRUE)*(F753-Calc!F22)),(Inputs!$B$23+0+(IF(ArtifactsInput!$M$15,CHOOSE(ArtifactsInput!$N$15+1,25,30,35,40,45,50)/100*(Inputs!$B$11-Inputs!$B$11),0))))/100+(Inputs!$B$23+0+(IF(ArtifactsInput!$M$15,CHOOSE(ArtifactsInput!$N$15+1,25,30,35,40,45,50)/100*(Inputs!$B$11-Inputs!$B$11),0)))/100)/2</f>
        <v/>
      </c>
      <c r="M744">
        <f>L744*(1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4">
        <f>L744*(1-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744*(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4">
        <f>(1-Summary!$B$11)*T744+Summary!$B$11*V744</f>
        <v/>
      </c>
      <c r="P744">
        <f>IF(B772=0,0,O744/B772)</f>
        <v/>
      </c>
      <c r="Q744">
        <f>IFERROR(1/(IF(Inputs!$B$38="pvp",15,MAX(0.1,Skills!D13-IF(Skills!E13=TRUE,Inputs!$B$32,0)))*(1-IF(AND(ArtifactsInput!$M$27,Inputs!$B$4="Chapter Hunt"),CHOOSE(ArtifactsInput!$N$27+1,20,24,28,32,36,40),0)/100)),0)</f>
        <v/>
      </c>
      <c r="R744">
        <f>IF(AND(Inputs!$B$38&lt;&gt;"pvp",Inputs!$B$43&gt;0),IF(MAX(0,Inputs!$B$43-B769)&lt;=0,0,(INT(MAX(0,Inputs!$B$43-B769)/(IF(Inputs!$B$38="pvp",15,MAX(0.1,Skills!D13-IF(Skills!E13=TRUE,Inputs!$B$32,0)))*(1-IF(AND(ArtifactsInput!$M$27,Inputs!$B$4="Chapter Hunt"),CHOOSE(ArtifactsInput!$N$27+1,20,24,28,32,36,40),0)/100)))+1)),0)</f>
        <v/>
      </c>
      <c r="S744">
        <f>IFERROR(O744/N744,0)</f>
        <v/>
      </c>
      <c r="T744">
        <f>IF(C744,(H744*N744*IF(AND(Inputs!$B$38&lt;&gt;"pvp",Inputs!$B$43&gt;0),((Skills!G13*((R744-1)*IF(Skills!H13&gt;0,Skills!I13/Skills!H13,1)+IF(Skills!H13&gt;0,MIN(Skills!I13,MAX(0,MAX(0,Inputs!$B$43-B769)-((R744-1)*(IF(Inputs!$B$38="pvp",15,MAX(0.1,Skills!D13-IF(Skills!E13=TRUE,Inputs!$B$32,0)))*(1-IF(AND(ArtifactsInput!$M$27,Inputs!$B$4="Chapter Hunt"),CHOOSE(ArtifactsInput!$N$27+1,20,24,28,32,36,40),0)/100)))))/Skills!H13,1)))/Inputs!$B$43),G744*Q744)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744*(1-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744*(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744*(1-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744*(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4">
        <f>IF(C744,(H744*N744*IF(AND(Inputs!$B$38&lt;&gt;"pvp",Inputs!$B$43&gt;0),((Skills!G13*((R744-1)*IF(Skills!H13&gt;0,Skills!I13/Skills!H13,1)+IF(Skills!H13&gt;0,MIN(Skills!I13,MAX(0,MAX(0,Inputs!$B$43-B769)-((R744-1)*(IF(Inputs!$B$38="pvp",15,MAX(0.1,Skills!D13-IF(Skills!E13=TRUE,Inputs!$B$32,0)))*(1-IF(AND(ArtifactsInput!$M$27,Inputs!$B$4="Chapter Hunt"),CHOOSE(ArtifactsInput!$N$27+1,20,24,28,32,36,40),0)/100)))))/Skills!H13,1)))/Inputs!$B$43),G744*Q744))*IF(Inputs!$B$38="pvp",1,(1+(Inputs!$B$21+Skills!Q13+(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5">
      <c r="A745">
        <f>Skills!A14</f>
        <v/>
      </c>
      <c r="B745">
        <f>Skills!B14</f>
        <v/>
      </c>
      <c r="C745">
        <f>Inputs!$B$3&gt;=125</f>
        <v/>
      </c>
      <c r="D745">
        <f>IF(Skills!C14=1,60+Inputs!$B$25+Inputs!$B$29,IF(Skills!C14=2,90+Inputs!$B$26+Inputs!$B$29,IF(Skills!C14=3,120+Inputs!$B$27+Inputs!$B$29,MAX(0,(Inputs!$B$3-100)*3)+Inputs!$B$28+Inputs!$B$29)))</f>
        <v/>
      </c>
      <c r="E745">
        <f>INDEX(FactorTable!$B$2:$Y$301, MATCH(ROUND(MIN(300,MAX(1,D745)),0), FactorTable!$A$2:$A$301,0), Skills!M14+1)</f>
        <v/>
      </c>
      <c r="F745">
        <f>IF(Skills!N14=TRUE,(Skills!L14/10)*(E745/1000),Skills!L14/10)+Skills!O14</f>
        <v/>
      </c>
      <c r="G745">
        <f>Skills!G14*IF(Skills!H14&gt;0,Skills!I14/Skills!H14,1)</f>
        <v/>
      </c>
      <c r="H745">
        <f>1-(1-Skills!J14/100)^Skills!K14</f>
        <v/>
      </c>
      <c r="I745" t="inlineStr">
        <is>
          <t>1</t>
        </is>
      </c>
      <c r="J745">
        <f>((Inputs!$B$6*(1+Inputs!$B$7/100))+(((Inputs!$B$12*(1+Inputs!$B$13/100))-(Inputs!$B$12*(1+Inputs!$B$13/100)))+0.25*(Inputs!$B$14-Inputs!$B$14))*(1+Inputs!$B$7/100))*(F745/100)</f>
        <v/>
      </c>
      <c r="K745">
        <f>J745*(1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745)</f>
        <v/>
      </c>
      <c r="L745">
        <f>K745*(MIN(Inputs!$B$22+((C753=TRUE)*(F753-Calc!F22)),(Inputs!$B$23+0+(IF(ArtifactsInput!$M$15,CHOOSE(ArtifactsInput!$N$15+1,25,30,35,40,45,50)/100*(Inputs!$B$11-Inputs!$B$11),0))))/100+(Inputs!$B$23+0+(IF(ArtifactsInput!$M$15,CHOOSE(ArtifactsInput!$N$15+1,25,30,35,40,45,50)/100*(Inputs!$B$11-Inputs!$B$11),0)))/100)/2</f>
        <v/>
      </c>
      <c r="M745">
        <f>L745*(1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5">
        <f>L745*(1-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745*(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5">
        <f>(1-Summary!$B$11)*T745+Summary!$B$11*V745</f>
        <v/>
      </c>
      <c r="P745">
        <f>IF(B772=0,0,O745/B772)</f>
        <v/>
      </c>
      <c r="Q745" t="n">
        <v>0</v>
      </c>
      <c r="R745" t="n">
        <v>0</v>
      </c>
      <c r="S745">
        <f>IFERROR(O745/N745,0)</f>
        <v/>
      </c>
      <c r="T745">
        <f>IF(C745,(H745*N745*(B766+IF(AND(Inputs!$B$38&lt;&gt;"pvp",Inputs!$B$43&gt;0),((Skills!G8*((R739-1)*IF(Skills!H8&gt;0,Skills!I8/Skills!H8,1)+IF(Skills!H8&gt;0,MIN(Skills!I8,MAX(0,MAX(0,Inputs!$B$43-B769)-((R739-1)*(IF(Inputs!$B$38="pvp",15,MAX(0.1,Skills!D8-IF(Skills!E8=TRUE,Inputs!$B$32,0)))*(1-IF(AND(ArtifactsInput!$M$27,Inputs!$B$4="Chapter Hunt"),CHOOSE(ArtifactsInput!$N$27+1,20,24,28,32,36,40),0)/100)))))/Skills!H8,1)))/Inputs!$B$43),G739*Q739)+IF(AND(Inputs!$B$38&lt;&gt;"pvp",Inputs!$B$43&gt;0),((Skills!G11*((R742-1)*IF(Skills!H11&gt;0,Skills!I11/Skills!H11,1)+IF(Skills!H11&gt;0,MIN(Skills!I11,MAX(0,MAX(0,Inputs!$B$43-B769)-((R742-1)*(IF(Inputs!$B$38="pvp",15,MAX(0.1,Skills!D11-IF(Skills!E11=TRUE,Inputs!$B$32,0)))*(1-IF(AND(ArtifactsInput!$M$27,Inputs!$B$4="Chapter Hunt"),CHOOSE(ArtifactsInput!$N$27+1,20,24,28,32,36,40),0)/100)))))/Skills!H11,1)))/Inputs!$B$43),G742*Q742)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745*(1-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745*(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745*(1-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745*(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5">
        <f>IF(C745,(H745*N745*(B766+IF(AND(Inputs!$B$38&lt;&gt;"pvp",Inputs!$B$43&gt;0),((Skills!G8*((R739-1)*IF(Skills!H8&gt;0,Skills!I8/Skills!H8,1)+IF(Skills!H8&gt;0,MIN(Skills!I8,MAX(0,MAX(0,Inputs!$B$43-B769)-((R739-1)*(IF(Inputs!$B$38="pvp",15,MAX(0.1,Skills!D8-IF(Skills!E8=TRUE,Inputs!$B$32,0)))*(1-IF(AND(ArtifactsInput!$M$27,Inputs!$B$4="Chapter Hunt"),CHOOSE(ArtifactsInput!$N$27+1,20,24,28,32,36,40),0)/100)))))/Skills!H8,1)))/Inputs!$B$43),G739*Q739)+IF(AND(Inputs!$B$38&lt;&gt;"pvp",Inputs!$B$43&gt;0),((Skills!G11*((R742-1)*IF(Skills!H11&gt;0,Skills!I11/Skills!H11,1)+IF(Skills!H11&gt;0,MIN(Skills!I11,MAX(0,MAX(0,Inputs!$B$43-B769)-((R742-1)*(IF(Inputs!$B$38="pvp",15,MAX(0.1,Skills!D11-IF(Skills!E11=TRUE,Inputs!$B$32,0)))*(1-IF(AND(ArtifactsInput!$M$27,Inputs!$B$4="Chapter Hunt"),CHOOSE(ArtifactsInput!$N$27+1,20,24,28,32,36,40),0)/100)))))/Skills!H11,1)))/Inputs!$B$43),G742*Q742)))*IF(Inputs!$B$38="pvp",1,(1+(Inputs!$B$21+Skills!Q14+(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6">
      <c r="A746">
        <f>Skills!A15</f>
        <v/>
      </c>
      <c r="B746">
        <f>Skills!B15</f>
        <v/>
      </c>
      <c r="C746">
        <f>Inputs!$B$3&gt;=100</f>
        <v/>
      </c>
      <c r="D746">
        <f>IF(Skills!C15=1,60+Inputs!$B$25+Inputs!$B$29,IF(Skills!C15=2,90+Inputs!$B$26+Inputs!$B$29,IF(Skills!C15=3,120+Inputs!$B$27+Inputs!$B$29,MAX(0,(Inputs!$B$3-100)*3)+Inputs!$B$28+Inputs!$B$29)))</f>
        <v/>
      </c>
      <c r="E746">
        <f>INDEX(FactorTable!$B$2:$Y$301, MATCH(ROUND(MIN(300,MAX(1,D746)),0), FactorTable!$A$2:$A$301,0), Skills!M15+1)</f>
        <v/>
      </c>
      <c r="F746">
        <f>IF(Skills!N15=TRUE,(Skills!L15/10)*(E746/1000),Skills!L15/10)+Skills!O15</f>
        <v/>
      </c>
      <c r="G746" t="inlineStr"/>
      <c r="H746" t="inlineStr"/>
      <c r="I746" t="inlineStr">
        <is>
          <t>1</t>
        </is>
      </c>
      <c r="J746" t="inlineStr"/>
      <c r="K746" t="inlineStr"/>
      <c r="L746" t="inlineStr"/>
      <c r="M746" t="inlineStr"/>
      <c r="N746" t="inlineStr"/>
      <c r="O746" t="inlineStr"/>
      <c r="P746" t="inlineStr"/>
      <c r="Q746" t="inlineStr"/>
      <c r="R746" t="inlineStr"/>
      <c r="S746" t="inlineStr"/>
    </row>
    <row r="747">
      <c r="A747">
        <f>Skills!A16</f>
        <v/>
      </c>
      <c r="B747">
        <f>Skills!B16</f>
        <v/>
      </c>
      <c r="C747">
        <f>Inputs!$B$3&gt;=120</f>
        <v/>
      </c>
      <c r="D747">
        <f>IF(Skills!C16=1,60+Inputs!$B$25+Inputs!$B$29,IF(Skills!C16=2,90+Inputs!$B$26+Inputs!$B$29,IF(Skills!C16=3,120+Inputs!$B$27+Inputs!$B$29,MAX(0,(Inputs!$B$3-100)*3)+Inputs!$B$28+Inputs!$B$29)))</f>
        <v/>
      </c>
      <c r="E747">
        <f>INDEX(FactorTable!$B$2:$Y$301, MATCH(ROUND(MIN(300,MAX(1,D747)),0), FactorTable!$A$2:$A$301,0), Skills!M16+1)</f>
        <v/>
      </c>
      <c r="F747">
        <f>IF(Skills!N16=TRUE,(Skills!L16/10)*(E747/1000),Skills!L16/10)+Skills!O16</f>
        <v/>
      </c>
      <c r="G747" t="inlineStr"/>
      <c r="H747" t="inlineStr"/>
      <c r="I747" t="inlineStr">
        <is>
          <t>1</t>
        </is>
      </c>
      <c r="J747" t="inlineStr"/>
      <c r="K747" t="inlineStr"/>
      <c r="L747" t="inlineStr"/>
      <c r="M747" t="inlineStr"/>
      <c r="N747" t="inlineStr"/>
      <c r="O747" t="inlineStr"/>
      <c r="P747" t="inlineStr"/>
      <c r="Q747" t="inlineStr"/>
      <c r="R747" t="inlineStr"/>
      <c r="S747" t="inlineStr"/>
    </row>
    <row r="748">
      <c r="A748">
        <f>Skills!A17</f>
        <v/>
      </c>
      <c r="B748">
        <f>Skills!B17</f>
        <v/>
      </c>
      <c r="C748">
        <f>Inputs!$B$3&gt;=66</f>
        <v/>
      </c>
      <c r="D748">
        <f>IF(Skills!C17=1,60+Inputs!$B$25+Inputs!$B$29,IF(Skills!C17=2,90+Inputs!$B$26+Inputs!$B$29,IF(Skills!C17=3,120+Inputs!$B$27+Inputs!$B$29,MAX(0,(Inputs!$B$3-100)*3)+Inputs!$B$28+Inputs!$B$29)))</f>
        <v/>
      </c>
      <c r="E748">
        <f>INDEX(FactorTable!$B$2:$Y$301, MATCH(ROUND(MIN(300,MAX(1,D748)),0), FactorTable!$A$2:$A$301,0), Skills!M17+1)</f>
        <v/>
      </c>
      <c r="F748">
        <f>IF(Skills!N17=TRUE,(Skills!L17/10)*(E748/1000),Skills!L17/10)+Skills!O17</f>
        <v/>
      </c>
      <c r="G748">
        <f>Skills!G17*IF(Skills!H17&gt;0,Skills!I17/Skills!H17,1)</f>
        <v/>
      </c>
      <c r="H748">
        <f>1-(1-Skills!J17/100)^Skills!K17</f>
        <v/>
      </c>
      <c r="I748" t="inlineStr">
        <is>
          <t>1</t>
        </is>
      </c>
      <c r="J748" t="inlineStr"/>
      <c r="K748" t="inlineStr"/>
      <c r="L748" t="inlineStr"/>
      <c r="M748" t="inlineStr"/>
      <c r="N748" t="inlineStr"/>
      <c r="O748">
        <f>(1-Summary!$B$11)*T748+Summary!$B$11*V748</f>
        <v/>
      </c>
      <c r="P748">
        <f>IF(B772=0,0,O748/B772)</f>
        <v/>
      </c>
      <c r="Q748" t="n">
        <v>0</v>
      </c>
      <c r="R748" t="n">
        <v>0</v>
      </c>
      <c r="S748">
        <f>IFERROR(O748/N748,0)</f>
        <v/>
      </c>
      <c r="T748" t="n">
        <v>0</v>
      </c>
      <c r="V748" t="n">
        <v>0</v>
      </c>
    </row>
    <row r="749">
      <c r="A749">
        <f>Skills!A18</f>
        <v/>
      </c>
      <c r="B749">
        <f>Skills!B18</f>
        <v/>
      </c>
      <c r="C749">
        <f>Inputs!$B$3&gt;=115</f>
        <v/>
      </c>
      <c r="D749">
        <f>IF(Skills!C18=1,60+Inputs!$B$25+Inputs!$B$29,IF(Skills!C18=2,90+Inputs!$B$26+Inputs!$B$29,IF(Skills!C18=3,120+Inputs!$B$27+Inputs!$B$29,MAX(0,(Inputs!$B$3-100)*3)+Inputs!$B$28+Inputs!$B$29)))</f>
        <v/>
      </c>
      <c r="E749">
        <f>INDEX(FactorTable!$B$2:$Y$301, MATCH(ROUND(MIN(300,MAX(1,D749)),0), FactorTable!$A$2:$A$301,0), Skills!M18+1)</f>
        <v/>
      </c>
      <c r="F749">
        <f>IF(Skills!N18=TRUE,(Skills!L18/10)*(E749/1000),Skills!L18/10)+Skills!O18</f>
        <v/>
      </c>
      <c r="G749">
        <f>Skills!G18*IF(Skills!H18&gt;0,Skills!I18/Skills!H18,1)</f>
        <v/>
      </c>
      <c r="H749">
        <f>1-(1-Skills!J18/100)^Skills!K18</f>
        <v/>
      </c>
      <c r="I749" t="inlineStr">
        <is>
          <t>1</t>
        </is>
      </c>
      <c r="J749" t="inlineStr"/>
      <c r="K749" t="inlineStr"/>
      <c r="L749" t="inlineStr"/>
      <c r="M749" t="inlineStr"/>
      <c r="N749" t="inlineStr"/>
      <c r="O749">
        <f>(1-Summary!$B$11)*T749+Summary!$B$11*V749</f>
        <v/>
      </c>
      <c r="P749">
        <f>IF(B772=0,0,O749/B772)</f>
        <v/>
      </c>
      <c r="Q749">
        <f>IFERROR(1/(IF(Inputs!$B$38="pvp",15,MAX(0.1,Skills!D18-IF(Skills!E18=TRUE,Inputs!$B$32,0)))*(1-IF(AND(ArtifactsInput!$M$27,Inputs!$B$4="Chapter Hunt"),CHOOSE(ArtifactsInput!$N$27+1,20,24,28,32,36,40),0)/100)),0)</f>
        <v/>
      </c>
      <c r="R749">
        <f>IF(AND(Inputs!$B$38&lt;&gt;"pvp",Inputs!$B$43&gt;0),IF(Inputs!$B$43&lt;=0,0,(INT(Inputs!$B$43/(IF(Inputs!$B$38="pvp",15,MAX(0.1,Skills!D18-IF(Skills!E18=TRUE,Inputs!$B$32,0)))*(1-IF(AND(ArtifactsInput!$M$27,Inputs!$B$4="Chapter Hunt"),CHOOSE(ArtifactsInput!$N$27+1,20,24,28,32,36,40),0)/100)))+1)),0)</f>
        <v/>
      </c>
      <c r="S749">
        <f>IFERROR(O749/N749,0)</f>
        <v/>
      </c>
      <c r="T749" t="n">
        <v>0</v>
      </c>
      <c r="V749" t="n">
        <v>0</v>
      </c>
    </row>
    <row r="750">
      <c r="A750">
        <f>Skills!A19</f>
        <v/>
      </c>
      <c r="B750">
        <f>Skills!B19</f>
        <v/>
      </c>
      <c r="C750">
        <f>Inputs!$B$3&gt;=15</f>
        <v/>
      </c>
      <c r="D750">
        <f>IF(Skills!C19=1,60+Inputs!$B$25+Inputs!$B$29,IF(Skills!C19=2,90+Inputs!$B$26+Inputs!$B$29,IF(Skills!C19=3,120+Inputs!$B$27+Inputs!$B$29,MAX(0,(Inputs!$B$3-100)*3)+Inputs!$B$28+Inputs!$B$29)))</f>
        <v/>
      </c>
      <c r="E750">
        <f>INDEX(FactorTable!$B$2:$Y$301, MATCH(ROUND(MIN(300,MAX(1,D750)),0), FactorTable!$A$2:$A$301,0), Skills!M19+1)</f>
        <v/>
      </c>
      <c r="F750">
        <f>IF(Skills!N19=TRUE,(Skills!L19/10)*(E750/1000),Skills!L19/10)+Skills!O19</f>
        <v/>
      </c>
      <c r="G750">
        <f>Skills!G19*IF(Skills!H19&gt;0,Skills!I19/Skills!H19,1)</f>
        <v/>
      </c>
      <c r="H750">
        <f>1-(1-Skills!J19/100)^Skills!K19</f>
        <v/>
      </c>
      <c r="I750" t="inlineStr">
        <is>
          <t>1</t>
        </is>
      </c>
      <c r="J750" t="inlineStr"/>
      <c r="K750" t="inlineStr"/>
      <c r="L750" t="inlineStr"/>
      <c r="M750" t="inlineStr"/>
      <c r="N750" t="inlineStr"/>
      <c r="O750">
        <f>(1-Summary!$B$11)*T750+Summary!$B$11*V750</f>
        <v/>
      </c>
      <c r="P750">
        <f>IF(B772=0,0,O750/B772)</f>
        <v/>
      </c>
      <c r="Q750" t="n">
        <v>0</v>
      </c>
      <c r="R750" t="n">
        <v>0</v>
      </c>
      <c r="S750">
        <f>IFERROR(O750/N750,0)</f>
        <v/>
      </c>
      <c r="T750" t="n">
        <v>0</v>
      </c>
      <c r="V750" t="n">
        <v>0</v>
      </c>
    </row>
    <row r="751">
      <c r="A751">
        <f>Skills!A20</f>
        <v/>
      </c>
      <c r="B751">
        <f>Skills!B20</f>
        <v/>
      </c>
      <c r="C751">
        <f>Inputs!$B$3&gt;=10</f>
        <v/>
      </c>
      <c r="D751">
        <f>IF(Skills!C20=1,60+Inputs!$B$25+Inputs!$B$29,IF(Skills!C20=2,90+Inputs!$B$26+Inputs!$B$29,IF(Skills!C20=3,120+Inputs!$B$27+Inputs!$B$29,MAX(0,(Inputs!$B$3-100)*3)+Inputs!$B$28+Inputs!$B$29)))</f>
        <v/>
      </c>
      <c r="E751">
        <f>INDEX(FactorTable!$B$2:$Y$301, MATCH(ROUND(MIN(300,MAX(1,D751)),0), FactorTable!$A$2:$A$301,0), Skills!M20+1)</f>
        <v/>
      </c>
      <c r="F751">
        <f>IF(Skills!N20=TRUE,(Skills!L20/10)*(E751/1000),Skills!L20/10)+Skills!O20</f>
        <v/>
      </c>
      <c r="G751">
        <f>Skills!G20*IF(Skills!H20&gt;0,Skills!I20/Skills!H20,1)</f>
        <v/>
      </c>
      <c r="H751">
        <f>1-(1-Skills!J20/100)^Skills!K20</f>
        <v/>
      </c>
      <c r="I751" t="inlineStr">
        <is>
          <t>1</t>
        </is>
      </c>
      <c r="J751" t="inlineStr"/>
      <c r="K751" t="inlineStr"/>
      <c r="L751" t="inlineStr"/>
      <c r="M751" t="inlineStr"/>
      <c r="N751" t="inlineStr"/>
      <c r="O751">
        <f>(1-Summary!$B$11)*T751+Summary!$B$11*V751</f>
        <v/>
      </c>
      <c r="P751">
        <f>IF(B772=0,0,O751/B772)</f>
        <v/>
      </c>
      <c r="Q751" t="n">
        <v>0</v>
      </c>
      <c r="R751" t="n">
        <v>0</v>
      </c>
      <c r="S751">
        <f>IFERROR(O751/N751,0)</f>
        <v/>
      </c>
      <c r="T751" t="n">
        <v>0</v>
      </c>
      <c r="V751" t="n">
        <v>0</v>
      </c>
    </row>
    <row r="752">
      <c r="A752">
        <f>Skills!A21</f>
        <v/>
      </c>
      <c r="B752">
        <f>Skills!B21</f>
        <v/>
      </c>
      <c r="C752">
        <f>Inputs!$B$3&gt;=33</f>
        <v/>
      </c>
      <c r="D752">
        <f>IF(Skills!C21=1,60+Inputs!$B$25+Inputs!$B$29,IF(Skills!C21=2,90+Inputs!$B$26+Inputs!$B$29,IF(Skills!C21=3,120+Inputs!$B$27+Inputs!$B$29,MAX(0,(Inputs!$B$3-100)*3)+Inputs!$B$28+Inputs!$B$29)))</f>
        <v/>
      </c>
      <c r="E752">
        <f>INDEX(FactorTable!$B$2:$Y$301, MATCH(ROUND(MIN(300,MAX(1,D752)),0), FactorTable!$A$2:$A$301,0), Skills!M21+1)</f>
        <v/>
      </c>
      <c r="F752">
        <f>IF(Skills!N21=TRUE,(Skills!L21/10)*(E752/1000),Skills!L21/10)+Skills!O21</f>
        <v/>
      </c>
      <c r="G752">
        <f>Skills!G21*IF(Skills!H21&gt;0,Skills!I21/Skills!H21,1)</f>
        <v/>
      </c>
      <c r="H752">
        <f>1-(1-Skills!J21/100)^Skills!K21</f>
        <v/>
      </c>
      <c r="I752" t="inlineStr">
        <is>
          <t>1</t>
        </is>
      </c>
      <c r="J752" t="inlineStr"/>
      <c r="K752" t="inlineStr"/>
      <c r="L752" t="inlineStr"/>
      <c r="M752" t="inlineStr"/>
      <c r="N752" t="inlineStr"/>
      <c r="O752">
        <f>(1-Summary!$B$11)*T752+Summary!$B$11*V752</f>
        <v/>
      </c>
      <c r="P752">
        <f>IF(B772=0,0,O752/B772)</f>
        <v/>
      </c>
      <c r="Q752" t="n">
        <v>0</v>
      </c>
      <c r="R752" t="n">
        <v>0</v>
      </c>
      <c r="S752">
        <f>IFERROR(O752/N752,0)</f>
        <v/>
      </c>
      <c r="T752" t="n">
        <v>0</v>
      </c>
      <c r="V752" t="n">
        <v>0</v>
      </c>
    </row>
    <row r="753">
      <c r="A753">
        <f>Skills!A22</f>
        <v/>
      </c>
      <c r="B753">
        <f>Skills!B22</f>
        <v/>
      </c>
      <c r="C753">
        <f>Inputs!$B$3&gt;=43</f>
        <v/>
      </c>
      <c r="D753">
        <f>IF(Skills!C22=1,60+Inputs!$B$25+Inputs!$B$29,IF(Skills!C22=2,90+Inputs!$B$26+Inputs!$B$29,IF(Skills!C22=3,120+Inputs!$B$27+Inputs!$B$29,MAX(0,(Inputs!$B$3-100)*3)+Inputs!$B$28+Inputs!$B$29)))</f>
        <v/>
      </c>
      <c r="E753">
        <f>INDEX(FactorTable!$B$2:$Y$301, MATCH(ROUND(MIN(300,MAX(1,D753)),0), FactorTable!$A$2:$A$301,0), Skills!M22+1)</f>
        <v/>
      </c>
      <c r="F753">
        <f>IF(Skills!N22=TRUE,(Skills!L22/10)*(E753/1000),Skills!L22/10)+Skills!O22</f>
        <v/>
      </c>
      <c r="G753">
        <f>Skills!G22*IF(Skills!H22&gt;0,Skills!I22/Skills!H22,1)</f>
        <v/>
      </c>
      <c r="H753">
        <f>1-(1-Skills!J22/100)^Skills!K22</f>
        <v/>
      </c>
      <c r="I753" t="inlineStr">
        <is>
          <t>1</t>
        </is>
      </c>
      <c r="J753" t="inlineStr"/>
      <c r="K753" t="inlineStr"/>
      <c r="L753" t="inlineStr"/>
      <c r="M753" t="inlineStr"/>
      <c r="N753" t="inlineStr"/>
      <c r="O753">
        <f>(1-Summary!$B$11)*T753+Summary!$B$11*V753</f>
        <v/>
      </c>
      <c r="P753">
        <f>IF(B772=0,0,O753/B772)</f>
        <v/>
      </c>
      <c r="Q753" t="n">
        <v>0</v>
      </c>
      <c r="R753" t="n">
        <v>0</v>
      </c>
      <c r="S753">
        <f>IFERROR(O753/N753,0)</f>
        <v/>
      </c>
      <c r="T753" t="n">
        <v>0</v>
      </c>
      <c r="V753" t="n">
        <v>0</v>
      </c>
    </row>
    <row r="754">
      <c r="A754">
        <f>Skills!A23</f>
        <v/>
      </c>
      <c r="B754">
        <f>Skills!B23</f>
        <v/>
      </c>
      <c r="C754">
        <f>Inputs!$B$3&gt;=38</f>
        <v/>
      </c>
      <c r="D754">
        <f>IF(Skills!C23=1,60+Inputs!$B$25+Inputs!$B$29,IF(Skills!C23=2,90+Inputs!$B$26+Inputs!$B$29,IF(Skills!C23=3,120+Inputs!$B$27+Inputs!$B$29,MAX(0,(Inputs!$B$3-100)*3)+Inputs!$B$28+Inputs!$B$29)))</f>
        <v/>
      </c>
      <c r="E754">
        <f>INDEX(FactorTable!$B$2:$Y$301, MATCH(ROUND(MIN(300,MAX(1,D754)),0), FactorTable!$A$2:$A$301,0), Skills!M23+1)</f>
        <v/>
      </c>
      <c r="F754">
        <f>IF(Skills!N23=TRUE,(Skills!L23/10)*(E754/1000),Skills!L23/10)+Skills!O23</f>
        <v/>
      </c>
      <c r="G754">
        <f>Skills!G23*IF(Skills!H23&gt;0,Skills!I23/Skills!H23,1)</f>
        <v/>
      </c>
      <c r="H754">
        <f>1-(1-Skills!J23/100)^Skills!K23</f>
        <v/>
      </c>
      <c r="I754" t="inlineStr">
        <is>
          <t>1</t>
        </is>
      </c>
      <c r="J754" t="inlineStr"/>
      <c r="K754" t="inlineStr"/>
      <c r="L754" t="inlineStr"/>
      <c r="M754" t="inlineStr"/>
      <c r="N754" t="inlineStr"/>
      <c r="O754">
        <f>(1-Summary!$B$11)*T754+Summary!$B$11*V754</f>
        <v/>
      </c>
      <c r="P754">
        <f>IF(B772=0,0,O754/B772)</f>
        <v/>
      </c>
      <c r="Q754" t="n">
        <v>0</v>
      </c>
      <c r="R754" t="n">
        <v>0</v>
      </c>
      <c r="S754">
        <f>IFERROR(O754/N754,0)</f>
        <v/>
      </c>
      <c r="T754" t="n">
        <v>0</v>
      </c>
      <c r="V754" t="n">
        <v>0</v>
      </c>
    </row>
    <row r="755">
      <c r="A755">
        <f>Skills!A24</f>
        <v/>
      </c>
      <c r="B755">
        <f>Skills!B24</f>
        <v/>
      </c>
      <c r="C755">
        <f>Inputs!$B$3&gt;=40</f>
        <v/>
      </c>
      <c r="D755">
        <f>IF(Skills!C24=1,60+Inputs!$B$25+Inputs!$B$29,IF(Skills!C24=2,90+Inputs!$B$26+Inputs!$B$29,IF(Skills!C24=3,120+Inputs!$B$27+Inputs!$B$29,MAX(0,(Inputs!$B$3-100)*3)+Inputs!$B$28+Inputs!$B$29)))</f>
        <v/>
      </c>
      <c r="E755">
        <f>INDEX(FactorTable!$B$2:$Y$301, MATCH(ROUND(MIN(300,MAX(1,D755)),0), FactorTable!$A$2:$A$301,0), Skills!M24+1)</f>
        <v/>
      </c>
      <c r="F755">
        <f>IF(Skills!N24=TRUE,(Skills!L24/10)*(E755/1000),Skills!L24/10)+Skills!O24</f>
        <v/>
      </c>
      <c r="G755">
        <f>Skills!G24*IF(Skills!H24&gt;0,Skills!I24/Skills!H24,1)</f>
        <v/>
      </c>
      <c r="H755">
        <f>1-(1-Skills!J24/100)^Skills!K24</f>
        <v/>
      </c>
      <c r="I755" t="inlineStr">
        <is>
          <t>1</t>
        </is>
      </c>
      <c r="J755" t="inlineStr"/>
      <c r="K755" t="inlineStr"/>
      <c r="L755" t="inlineStr"/>
      <c r="M755" t="inlineStr"/>
      <c r="N755" t="inlineStr"/>
      <c r="O755">
        <f>(1-Summary!$B$11)*T755+Summary!$B$11*V755</f>
        <v/>
      </c>
      <c r="P755">
        <f>IF(B772=0,0,O755/B772)</f>
        <v/>
      </c>
      <c r="Q755" t="n">
        <v>0</v>
      </c>
      <c r="R755" t="n">
        <v>0</v>
      </c>
      <c r="S755">
        <f>IFERROR(O755/N755,0)</f>
        <v/>
      </c>
      <c r="T755" t="n">
        <v>0</v>
      </c>
      <c r="V755" t="n">
        <v>0</v>
      </c>
    </row>
    <row r="756">
      <c r="A756">
        <f>Skills!A25</f>
        <v/>
      </c>
      <c r="B756">
        <f>Skills!B25</f>
        <v/>
      </c>
      <c r="C756">
        <f>Inputs!$B$3&gt;=72</f>
        <v/>
      </c>
      <c r="D756">
        <f>IF(Skills!C25=1,60+Inputs!$B$25+Inputs!$B$29,IF(Skills!C25=2,90+Inputs!$B$26+Inputs!$B$29,IF(Skills!C25=3,120+Inputs!$B$27+Inputs!$B$29,MAX(0,(Inputs!$B$3-100)*3)+Inputs!$B$28+Inputs!$B$29)))</f>
        <v/>
      </c>
      <c r="E756">
        <f>INDEX(FactorTable!$B$2:$Y$301, MATCH(ROUND(MIN(300,MAX(1,D756)),0), FactorTable!$A$2:$A$301,0), Skills!M25+1)</f>
        <v/>
      </c>
      <c r="F756">
        <f>IF(Skills!N25=TRUE,(Skills!L25/10)*(E756/1000),Skills!L25/10)+Skills!O25</f>
        <v/>
      </c>
      <c r="G756">
        <f>Skills!G25*IF(Skills!H25&gt;0,Skills!I25/Skills!H25,1)</f>
        <v/>
      </c>
      <c r="H756">
        <f>1-(1-Skills!J25/100)^Skills!K25</f>
        <v/>
      </c>
      <c r="I756" t="inlineStr">
        <is>
          <t>1</t>
        </is>
      </c>
      <c r="J756" t="inlineStr"/>
      <c r="K756" t="inlineStr"/>
      <c r="L756" t="inlineStr"/>
      <c r="M756" t="inlineStr"/>
      <c r="N756" t="inlineStr"/>
      <c r="O756">
        <f>(1-Summary!$B$11)*T756+Summary!$B$11*V756</f>
        <v/>
      </c>
      <c r="P756">
        <f>IF(B772=0,0,O756/B772)</f>
        <v/>
      </c>
      <c r="Q756" t="n">
        <v>0</v>
      </c>
      <c r="R756" t="n">
        <v>0</v>
      </c>
      <c r="S756">
        <f>IFERROR(O756/N756,0)</f>
        <v/>
      </c>
      <c r="T756" t="n">
        <v>0</v>
      </c>
      <c r="V756" t="n">
        <v>0</v>
      </c>
    </row>
    <row r="757">
      <c r="A757">
        <f>Skills!A26</f>
        <v/>
      </c>
      <c r="B757">
        <f>Skills!B26</f>
        <v/>
      </c>
      <c r="C757">
        <f>Inputs!$B$3&gt;=75</f>
        <v/>
      </c>
      <c r="D757">
        <f>IF(Skills!C26=1,60+Inputs!$B$25+Inputs!$B$29,IF(Skills!C26=2,90+Inputs!$B$26+Inputs!$B$29,IF(Skills!C26=3,120+Inputs!$B$27+Inputs!$B$29,MAX(0,(Inputs!$B$3-100)*3)+Inputs!$B$28+Inputs!$B$29)))</f>
        <v/>
      </c>
      <c r="E757">
        <f>INDEX(FactorTable!$B$2:$Y$301, MATCH(ROUND(MIN(300,MAX(1,D757)),0), FactorTable!$A$2:$A$301,0), Skills!M26+1)</f>
        <v/>
      </c>
      <c r="F757">
        <f>IF(Skills!N26=TRUE,(Skills!L26/10)*(E757/1000),Skills!L26/10)+Skills!O26</f>
        <v/>
      </c>
      <c r="G757">
        <f>Skills!G26*IF(Skills!H26&gt;0,Skills!I26/Skills!H26,1)</f>
        <v/>
      </c>
      <c r="H757">
        <f>1-(1-Skills!J26/100)^Skills!K26</f>
        <v/>
      </c>
      <c r="I757" t="inlineStr">
        <is>
          <t>1</t>
        </is>
      </c>
      <c r="J757" t="inlineStr"/>
      <c r="K757" t="inlineStr"/>
      <c r="L757" t="inlineStr"/>
      <c r="M757" t="inlineStr"/>
      <c r="N757" t="inlineStr"/>
      <c r="O757">
        <f>(1-Summary!$B$11)*T757+Summary!$B$11*V757</f>
        <v/>
      </c>
      <c r="P757">
        <f>IF(B772=0,0,O757/B772)</f>
        <v/>
      </c>
      <c r="Q757" t="n">
        <v>0</v>
      </c>
      <c r="R757" t="n">
        <v>0</v>
      </c>
      <c r="S757">
        <f>IFERROR(O757/N757,0)</f>
        <v/>
      </c>
      <c r="T757" t="n">
        <v>0</v>
      </c>
      <c r="V757" t="n">
        <v>0</v>
      </c>
    </row>
    <row r="758">
      <c r="A758">
        <f>Skills!A27</f>
        <v/>
      </c>
      <c r="B758">
        <f>Skills!B27</f>
        <v/>
      </c>
      <c r="C758">
        <f>Inputs!$B$3&gt;=117</f>
        <v/>
      </c>
      <c r="D758">
        <f>IF(Skills!C27=1,60+Inputs!$B$25+Inputs!$B$29,IF(Skills!C27=2,90+Inputs!$B$26+Inputs!$B$29,IF(Skills!C27=3,120+Inputs!$B$27+Inputs!$B$29,MAX(0,(Inputs!$B$3-100)*3)+Inputs!$B$28+Inputs!$B$29)))</f>
        <v/>
      </c>
      <c r="E758">
        <f>INDEX(FactorTable!$B$2:$Y$301, MATCH(ROUND(MIN(300,MAX(1,D758)),0), FactorTable!$A$2:$A$301,0), Skills!M27+1)</f>
        <v/>
      </c>
      <c r="F758">
        <f>IF(Skills!N27=TRUE,(Skills!L27/10)*(E758/1000),Skills!L27/10)+Skills!O27</f>
        <v/>
      </c>
      <c r="G758">
        <f>Skills!G27*IF(Skills!H27&gt;0,Skills!I27/Skills!H27,1)</f>
        <v/>
      </c>
      <c r="H758">
        <f>1-(1-Skills!J27/100)^Skills!K27</f>
        <v/>
      </c>
      <c r="I758" t="inlineStr">
        <is>
          <t>1</t>
        </is>
      </c>
      <c r="J758" t="inlineStr"/>
      <c r="K758" t="inlineStr"/>
      <c r="L758" t="inlineStr"/>
      <c r="M758" t="inlineStr"/>
      <c r="N758" t="inlineStr"/>
      <c r="O758">
        <f>(1-Summary!$B$11)*T758+Summary!$B$11*V758</f>
        <v/>
      </c>
      <c r="P758">
        <f>IF(B772=0,0,O758/B772)</f>
        <v/>
      </c>
      <c r="Q758" t="n">
        <v>0</v>
      </c>
      <c r="R758" t="n">
        <v>0</v>
      </c>
      <c r="S758">
        <f>IFERROR(O758/N758,0)</f>
        <v/>
      </c>
      <c r="T758" t="n">
        <v>0</v>
      </c>
      <c r="V758" t="n">
        <v>0</v>
      </c>
    </row>
    <row r="759">
      <c r="A759">
        <f>Skills!A28</f>
        <v/>
      </c>
      <c r="B759">
        <f>Skills!B28</f>
        <v/>
      </c>
      <c r="C759">
        <f>TRUE</f>
        <v/>
      </c>
      <c r="D759">
        <f>IF(Skills!C28=1,60+Inputs!$B$25+Inputs!$B$29,IF(Skills!C28=2,90+Inputs!$B$26+Inputs!$B$29,IF(Skills!C28=3,120+Inputs!$B$27+Inputs!$B$29,MAX(0,(Inputs!$B$3-100)*3)+Inputs!$B$28+Inputs!$B$29)))</f>
        <v/>
      </c>
      <c r="E759">
        <f>INDEX(FactorTable!$B$2:$Y$301, MATCH(ROUND(MIN(300,MAX(1,D759)),0), FactorTable!$A$2:$A$301,0), Skills!M28+1)</f>
        <v/>
      </c>
      <c r="F759">
        <f>IF(Skills!N28=TRUE,(Skills!L28/10)*(E759/1000),Skills!L28/10)+Skills!O28</f>
        <v/>
      </c>
      <c r="G759">
        <f>Skills!G28*IF(Skills!H28&gt;0,Skills!I28/Skills!H28,1)</f>
        <v/>
      </c>
      <c r="H759">
        <f>1-(1-Skills!J28/100)^Skills!K28</f>
        <v/>
      </c>
      <c r="I759" t="inlineStr">
        <is>
          <t>1</t>
        </is>
      </c>
      <c r="J759" t="inlineStr"/>
      <c r="K759" t="inlineStr"/>
      <c r="L759" t="inlineStr"/>
      <c r="M759" t="inlineStr"/>
      <c r="N759" t="inlineStr"/>
      <c r="O759">
        <f>(1-Summary!$B$11)*T759+Summary!$B$11*V759</f>
        <v/>
      </c>
      <c r="P759">
        <f>IF(B772=0,0,O759/B772)</f>
        <v/>
      </c>
      <c r="Q759">
        <f>IFERROR(1/(IF(Inputs!$B$38="pvp",15,MAX(0.1,Skills!D28-IF(Skills!E28=TRUE,Inputs!$B$32,0)))*(1-IF(AND(ArtifactsInput!$M$27,Inputs!$B$4="Chapter Hunt"),CHOOSE(ArtifactsInput!$N$27+1,20,24,28,32,36,40),0)/100)),0)</f>
        <v/>
      </c>
      <c r="R759">
        <f>IF(AND(Inputs!$B$38&lt;&gt;"pvp",Inputs!$B$43&gt;0),IF(Inputs!$B$43&lt;=0,0,(INT(Inputs!$B$43/(IF(Inputs!$B$38="pvp",15,MAX(0.1,Skills!D28-IF(Skills!E28=TRUE,Inputs!$B$32,0)))*(1-IF(AND(ArtifactsInput!$M$27,Inputs!$B$4="Chapter Hunt"),CHOOSE(ArtifactsInput!$N$27+1,20,24,28,32,36,40),0)/100)))+1)),0)</f>
        <v/>
      </c>
      <c r="S759">
        <f>IFERROR(O759/N759,0)</f>
        <v/>
      </c>
      <c r="T759" t="n">
        <v>0</v>
      </c>
      <c r="V759" t="n">
        <v>0</v>
      </c>
    </row>
    <row r="761">
      <c r="A761" t="inlineStr">
        <is>
          <t>Attack% Bucket Multiplier</t>
        </is>
      </c>
      <c r="B761">
        <f>(1+(((C748=TRUE)*F748*5/7)+((C755=TRUE)*(F755-Calc!F24))+(IF(ArtifactsInput!$M$21,CHOOSE(ArtifactsInput!$N$21+1,25,30,35,40,45,50)*(IF(OR(Inputs!$B$4="Chapter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62">
      <c r="A762" t="inlineStr">
        <is>
          <t>Global Crit Rate Bonus %</t>
        </is>
      </c>
      <c r="B762" t="n">
        <v>0</v>
      </c>
    </row>
    <row r="763">
      <c r="A763" t="inlineStr">
        <is>
          <t>Attack Speed Buff Bonus % (Nimble Feet, duty-cycle averaged)</t>
        </is>
      </c>
      <c r="B763">
        <f>((C759=TRUE)*F759*IF(AND(Inputs!$B$38&lt;&gt;"pvp",Inputs!$B$43&gt;0),(((R759-1)*(Skills!T28*(1+Inputs!$B$34/100))+MIN((Skills!T28*(1+Inputs!$B$34/100)),MAX(0,Inputs!$B$43-((R759-1)*Skills!D28))))/Inputs!$B$43),IF(Inputs!$B$38="pvp",MIN((Skills!T28*(1+Inputs!$B$34/100)),15)/15,(Skills!T28*(1+Inputs!$B$34/100))/Skills!D28)))</f>
        <v/>
      </c>
    </row>
    <row r="764">
      <c r="A764" t="inlineStr">
        <is>
          <t>Actions Per Second</t>
        </is>
      </c>
      <c r="B764">
        <f>1+MIN(150,150*(1-(1-(Inputs!$B$11+((C751=TRUE)*(F751-Calc!F20))+((C752=TRUE)*(F752-Calc!F21)))/150)*(1-B763/150)))/100</f>
        <v/>
      </c>
    </row>
    <row r="765">
      <c r="A765" t="inlineStr">
        <is>
          <t>Skill + Buff Cast Rate</t>
        </is>
      </c>
      <c r="B765">
        <f>IF(AND(Inputs!$B$38&lt;&gt;"pvp",Inputs!$B$43&gt;0),SUMPRODUCT((Skills!E2:E28=TRUE)*(C733:C759=TRUE)*R733:R759*Skills!F2:F28)/Inputs!$B$43,SUMPRODUCT((Skills!E2:E28=TRUE)*(C733:C759=TRUE)*Q733:Q759*Skills!F2:F28))</f>
        <v/>
      </c>
    </row>
    <row r="766">
      <c r="A766" t="inlineStr">
        <is>
          <t>Eight-Legs Easton Casts Per Second</t>
        </is>
      </c>
      <c r="B766">
        <f>MAX(0,B764-B765)</f>
        <v/>
      </c>
    </row>
    <row r="767">
      <c r="A767" t="inlineStr">
        <is>
          <t>Global Critical Damage Bonus % (unused)</t>
        </is>
      </c>
      <c r="B767" t="n">
        <v>0</v>
      </c>
    </row>
    <row r="768">
      <c r="A768" t="inlineStr">
        <is>
          <t>Global Final Damage Bonus % (Jolly Roger + Ahoy Mateys - Final Damage proc)</t>
        </is>
      </c>
      <c r="B768">
        <f>((C749=TRUE)*F749*IF(AND(Inputs!$B$38&lt;&gt;"pvp",Inputs!$B$43&gt;0),(((R749-1)*(Skills!T18*(1+Inputs!$B$34/100))+MIN((Skills!T18*(1+Inputs!$B$34/100)),MAX(0,Inputs!$B$43-((R749-1)*Skills!D18))))/Inputs!$B$43),IF(Inputs!$B$38="pvp",MIN((Skills!T18*(1+Inputs!$B$34/100)),15)/15,(Skills!T18*(1+Inputs!$B$34/100))/Skills!D18)))+IF(Inputs!$B$3&gt;=122,20*IF(Inputs!$B$38="pvp",MIN((20*(1+Inputs!$B$34/100)),15)/15,(20*(1+Inputs!$B$34/100))/Skills!D4),0)</f>
        <v/>
      </c>
    </row>
    <row r="769">
      <c r="A769" t="inlineStr">
        <is>
          <t>Buff-Casting Startup Delay (s, fixed-duration only)</t>
        </is>
      </c>
      <c r="B769">
        <f>IF(AND(Inputs!$B$38&lt;&gt;"pvp",Inputs!$B$43&gt;0),SUMPRODUCT((Skills!T2:T28&gt;0)*(Skills!E2:E28=TRUE)*(C733:C759=TRUE))/B764,0)</f>
        <v/>
      </c>
    </row>
    <row r="770">
      <c r="A770" t="inlineStr">
        <is>
          <t>Boss-Only Total DPS (this block's swept value)</t>
        </is>
      </c>
      <c r="B770">
        <f>SUM(T733:T759)</f>
        <v/>
      </c>
    </row>
    <row r="771">
      <c r="A771" t="inlineStr">
        <is>
          <t>Normal-Only Total DPS (this block's swept value)</t>
        </is>
      </c>
      <c r="B771">
        <f>SUM(V733:V759)</f>
        <v/>
      </c>
    </row>
    <row r="772">
      <c r="A772" s="6" t="inlineStr">
        <is>
          <t>TOTAL DPS</t>
        </is>
      </c>
      <c r="B772" s="6">
        <f>SUM(O733:O759)</f>
        <v/>
      </c>
    </row>
    <row r="775">
      <c r="A775" s="6" t="inlineStr">
        <is>
          <t>Stat: Skill Level Bonus — 1st Job</t>
        </is>
      </c>
    </row>
    <row r="776">
      <c r="A776" s="5" t="inlineStr">
        <is>
          <t>Key</t>
        </is>
      </c>
      <c r="B776" s="5" t="inlineStr">
        <is>
          <t>Name</t>
        </is>
      </c>
      <c r="C776" s="5" t="inlineStr">
        <is>
          <t>Unlocked</t>
        </is>
      </c>
      <c r="D776" s="5" t="inlineStr">
        <is>
          <t>InputLevel</t>
        </is>
      </c>
      <c r="E776" s="5" t="inlineStr">
        <is>
          <t>Factor</t>
        </is>
      </c>
      <c r="F776" s="5" t="inlineStr">
        <is>
          <t>CoefficientPercent</t>
        </is>
      </c>
      <c r="G776" s="5" t="inlineStr">
        <is>
          <t>EffectiveHits</t>
        </is>
      </c>
      <c r="H776" s="5" t="inlineStr">
        <is>
          <t>ProcProbability</t>
        </is>
      </c>
      <c r="I776" s="5" t="inlineStr">
        <is>
          <t>MapleHeroMultiplier</t>
        </is>
      </c>
      <c r="J776" s="5" t="inlineStr">
        <is>
          <t>BaseDamage</t>
        </is>
      </c>
      <c r="K776" s="5" t="inlineStr">
        <is>
          <t>BaseHitDamage</t>
        </is>
      </c>
      <c r="L776" s="5" t="inlineStr">
        <is>
          <t>NonCritAvg</t>
        </is>
      </c>
      <c r="M776" s="5" t="inlineStr">
        <is>
          <t>CritAvg</t>
        </is>
      </c>
      <c r="N776" s="5" t="inlineStr">
        <is>
          <t>ExpectedDamage(perHit)</t>
        </is>
      </c>
      <c r="O776" s="5" t="inlineStr">
        <is>
          <t>DPS</t>
        </is>
      </c>
      <c r="P776" s="5" t="inlineStr">
        <is>
          <t>% of Total</t>
        </is>
      </c>
      <c r="Q776" s="5" t="inlineStr">
        <is>
          <t>InvCooldown</t>
        </is>
      </c>
      <c r="R776" s="5" t="inlineStr">
        <is>
          <t>CastsInFight</t>
        </is>
      </c>
      <c r="S776" s="5" t="inlineStr">
        <is>
          <t>HitRate(perSec)</t>
        </is>
      </c>
      <c r="U776" t="inlineStr">
        <is>
          <t>helpers</t>
        </is>
      </c>
    </row>
    <row r="777">
      <c r="A777">
        <f>Skills!A2</f>
        <v/>
      </c>
      <c r="B777">
        <f>Skills!B2</f>
        <v/>
      </c>
      <c r="C777">
        <f>Inputs!$B$3&gt;=100</f>
        <v/>
      </c>
      <c r="D777" t="inlineStr"/>
      <c r="E777" t="inlineStr"/>
      <c r="F777">
        <f>U779+Skills!O2</f>
        <v/>
      </c>
      <c r="G777">
        <f>Skills!G2*IF(Skills!H2&gt;0,Skills!I2/Skills!H2,1)</f>
        <v/>
      </c>
      <c r="H777">
        <f>1-(1-Skills!J2/100)^Skills!K2</f>
        <v/>
      </c>
      <c r="I777" t="inlineStr">
        <is>
          <t>1</t>
        </is>
      </c>
      <c r="J777">
        <f>((Inputs!$B$6*(1+Inputs!$B$7/100))+(((Inputs!$B$12*(1+Inputs!$B$13/100))-(Inputs!$B$12*(1+Inputs!$B$13/100)))+0.25*(Inputs!$B$14-Inputs!$B$14))*(1+Inputs!$B$7/100))*(F777/100)</f>
        <v/>
      </c>
      <c r="K777">
        <f>J777*(1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777)</f>
        <v/>
      </c>
      <c r="L777">
        <f>K777*(MIN(Inputs!$B$22+((C797=TRUE)*(F797-Calc!F22)),(Inputs!$B$23+0+(IF(ArtifactsInput!$M$15,CHOOSE(ArtifactsInput!$N$15+1,25,30,35,40,45,50)/100*(Inputs!$B$11-Inputs!$B$11),0))))/100+(Inputs!$B$23+0+(IF(ArtifactsInput!$M$15,CHOOSE(ArtifactsInput!$N$15+1,25,30,35,40,45,50)/100*(Inputs!$B$11-Inputs!$B$11),0)))/100)/2</f>
        <v/>
      </c>
      <c r="M777">
        <f>L777*(1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7">
        <f>L777*(1-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777*(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7">
        <f>(1-Summary!$B$11)*T777+Summary!$B$11*V777</f>
        <v/>
      </c>
      <c r="P777">
        <f>IF(B816=0,0,O777/B816)</f>
        <v/>
      </c>
      <c r="Q777" t="n">
        <v>0</v>
      </c>
      <c r="R777" t="n">
        <v>0</v>
      </c>
      <c r="S777">
        <f>IFERROR(O777/N777,0)</f>
        <v/>
      </c>
      <c r="T777">
        <f>IF(C777,(Skills!G2*N777*B810)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777*(1-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777*(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777*(1-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777*(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7">
        <f>MAX(0,(Inputs!$B$3-100)*3)+Inputs!$B$28+Inputs!$B$29</f>
        <v/>
      </c>
      <c r="V777">
        <f>IF(C777,(Skills!G2*N777*B810)*IF(Inputs!$B$38="pvp",1,(1+(Inputs!$B$21+Skills!Q2+(IF(ArtifactsInput!$M$33,CHOOSE(ArtifactsInput!$N$33+1,30,36,42,48,54,60),0))+(IF(AND(ArtifactsInput!$M$35,Inputs!$B$4&lt;&gt;"Chapter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8">
      <c r="A778">
        <f>Skills!A3</f>
        <v/>
      </c>
      <c r="B778">
        <f>Skills!B3</f>
        <v/>
      </c>
      <c r="C778">
        <f>Inputs!$B$3&gt;=35</f>
        <v/>
      </c>
      <c r="D778">
        <f>IF(Skills!C3=1,60+(Inputs!$B$25+1)+Inputs!$B$29,IF(Skills!C3=2,90+Inputs!$B$26+Inputs!$B$29,IF(Skills!C3=3,120+Inputs!$B$27+Inputs!$B$29,MAX(0,(Inputs!$B$3-100)*3)+Inputs!$B$28+Inputs!$B$29)))</f>
        <v/>
      </c>
      <c r="E778">
        <f>INDEX(FactorTable!$B$2:$Y$301, MATCH(ROUND(MIN(300,MAX(1,D778)),0), FactorTable!$A$2:$A$301,0), Skills!M3+1)</f>
        <v/>
      </c>
      <c r="F778">
        <f>IF(Skills!N3=TRUE,(Skills!L3/10)*(E778/1000),Skills!L3/10)+Skills!O3</f>
        <v/>
      </c>
      <c r="G778">
        <f>Skills!G3*IF(Skills!H3&gt;0,Skills!I3/Skills!H3,1)</f>
        <v/>
      </c>
      <c r="H778">
        <f>1-(1-Skills!J3/100)^Skills!K3</f>
        <v/>
      </c>
      <c r="I778" t="inlineStr">
        <is>
          <t>1</t>
        </is>
      </c>
      <c r="J778">
        <f>((Inputs!$B$6*(1+Inputs!$B$7/100))+(((Inputs!$B$12*(1+Inputs!$B$13/100))-(Inputs!$B$12*(1+Inputs!$B$13/100)))+0.25*(Inputs!$B$14-Inputs!$B$14))*(1+Inputs!$B$7/100))*(F778/100)</f>
        <v/>
      </c>
      <c r="K778">
        <f>J778*(1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790=TRUE,F790,0)/100)*(1+(IF(Skills!A3="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778)</f>
        <v/>
      </c>
      <c r="L778">
        <f>K778*(MIN(Inputs!$B$22+((C797=TRUE)*(F797-Calc!F22)),(Inputs!$B$23+0+(IF(ArtifactsInput!$M$15,CHOOSE(ArtifactsInput!$N$15+1,25,30,35,40,45,50)/100*(Inputs!$B$11-Inputs!$B$11),0))))/100+(Inputs!$B$23+0+(IF(ArtifactsInput!$M$15,CHOOSE(ArtifactsInput!$N$15+1,25,30,35,40,45,50)/100*(Inputs!$B$11-Inputs!$B$11),0)))/100)/2</f>
        <v/>
      </c>
      <c r="M778">
        <f>L778*(1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8">
        <f>L778*(1-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778*(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8">
        <f>(1-Summary!$B$11)*T778+Summary!$B$11*V778</f>
        <v/>
      </c>
      <c r="P778">
        <f>IF(B816=0,0,O778/B816)</f>
        <v/>
      </c>
      <c r="Q778">
        <f>IFERROR(1/(IF(Inputs!$B$38="pvp",15,MAX(0.1,Skills!D3-IF(Skills!E3=TRUE,Inputs!$B$32,0)))*(1-IF(AND(ArtifactsInput!$M$27,Inputs!$B$4="Chapter Hunt"),CHOOSE(ArtifactsInput!$N$27+1,20,24,28,32,36,40),0)/100)),0)</f>
        <v/>
      </c>
      <c r="R778">
        <f>IF(AND(Inputs!$B$38&lt;&gt;"pvp",Inputs!$B$43&gt;0),IF(MAX(0,Inputs!$B$43-B813)&lt;=0,0,(INT(MAX(0,Inputs!$B$43-B813)/(IF(Inputs!$B$38="pvp",15,MAX(0.1,Skills!D3-IF(Skills!E3=TRUE,Inputs!$B$32,0)))*(1-IF(AND(ArtifactsInput!$M$27,Inputs!$B$4="Chapter Hunt"),CHOOSE(ArtifactsInput!$N$27+1,20,24,28,32,36,40),0)/100)))+1)),0)</f>
        <v/>
      </c>
      <c r="S778">
        <f>IFERROR(O778/N778,0)</f>
        <v/>
      </c>
      <c r="T778">
        <f>IF(C778,(H778*N778*IF(AND(Inputs!$B$38&lt;&gt;"pvp",Inputs!$B$43&gt;0),((Skills!G3*((R778-1)*IF(Skills!H3&gt;0,Skills!I3/Skills!H3,1)+IF(Skills!H3&gt;0,MIN(Skills!I3,MAX(0,MAX(0,Inputs!$B$43-B813)-((R778-1)*(IF(Inputs!$B$38="pvp",15,MAX(0.1,Skills!D3-IF(Skills!E3=TRUE,Inputs!$B$32,0)))*(1-IF(AND(ArtifactsInput!$M$27,Inputs!$B$4="Chapter Hunt"),CHOOSE(ArtifactsInput!$N$27+1,20,24,28,32,36,40),0)/100)))))/Skills!H3,1)))/Inputs!$B$43),G778*Q778)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778*(1-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778*(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778*(1-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778*(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8">
        <f>INDEX(FactorTable!$B$2:$Y$301, MATCH(ROUND(MIN(300,MAX(1,U777)),0), FactorTable!$A$2:$A$301,0), 22)</f>
        <v/>
      </c>
      <c r="V778">
        <f>IF(C778,(H778*N778*IF(AND(Inputs!$B$38&lt;&gt;"pvp",Inputs!$B$43&gt;0),((Skills!G3*((R778-1)*IF(Skills!H3&gt;0,Skills!I3/Skills!H3,1)+IF(Skills!H3&gt;0,MIN(Skills!I3,MAX(0,MAX(0,Inputs!$B$43-B813)-((R778-1)*(IF(Inputs!$B$38="pvp",15,MAX(0.1,Skills!D3-IF(Skills!E3=TRUE,Inputs!$B$32,0)))*(1-IF(AND(ArtifactsInput!$M$27,Inputs!$B$4="Chapter Hunt"),CHOOSE(ArtifactsInput!$N$27+1,20,24,28,32,36,40),0)/100)))))/Skills!H3,1)))/Inputs!$B$43),G778*Q778))*IF(Inputs!$B$38="pvp",1,(1+(Inputs!$B$21+Skills!Q3+(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9">
      <c r="A779">
        <f>Skills!A4</f>
        <v/>
      </c>
      <c r="B779">
        <f>Skills!B4</f>
        <v/>
      </c>
      <c r="C779">
        <f>Inputs!$B$3&gt;=40</f>
        <v/>
      </c>
      <c r="D779">
        <f>IF(Skills!C4=1,60+(Inputs!$B$25+1)+Inputs!$B$29,IF(Skills!C4=2,90+Inputs!$B$26+Inputs!$B$29,IF(Skills!C4=3,120+Inputs!$B$27+Inputs!$B$29,MAX(0,(Inputs!$B$3-100)*3)+Inputs!$B$28+Inputs!$B$29)))</f>
        <v/>
      </c>
      <c r="E779">
        <f>INDEX(FactorTable!$B$2:$Y$301, MATCH(ROUND(MIN(300,MAX(1,D779)),0), FactorTable!$A$2:$A$301,0), Skills!M4+1)</f>
        <v/>
      </c>
      <c r="F779">
        <f>IF(Skills!N4=TRUE,(Skills!L4/10)*(E779/1000),Skills!L4/10)+Skills!O4</f>
        <v/>
      </c>
      <c r="G779">
        <f>Skills!G4*IF(Skills!H4&gt;0,Skills!I4/Skills!H4,1)</f>
        <v/>
      </c>
      <c r="H779">
        <f>1-(1-Skills!J4/100)^Skills!K4</f>
        <v/>
      </c>
      <c r="I779" t="inlineStr">
        <is>
          <t>1</t>
        </is>
      </c>
      <c r="J779">
        <f>((Inputs!$B$6*(1+Inputs!$B$7/100))+(((Inputs!$B$12*(1+Inputs!$B$13/100))-(Inputs!$B$12*(1+Inputs!$B$13/100)))+0.25*(Inputs!$B$14-Inputs!$B$14))*(1+Inputs!$B$7/100))*(F779/100)</f>
        <v/>
      </c>
      <c r="K779">
        <f>J779*(1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791=TRUE,F791,0)/100)*(1+(IF(Skills!A4="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779)</f>
        <v/>
      </c>
      <c r="L779">
        <f>K779*(MIN(Inputs!$B$22+((C797=TRUE)*(F797-Calc!F22)),(Inputs!$B$23+0+(IF(ArtifactsInput!$M$15,CHOOSE(ArtifactsInput!$N$15+1,25,30,35,40,45,50)/100*(Inputs!$B$11-Inputs!$B$11),0))))/100+(Inputs!$B$23+0+(IF(ArtifactsInput!$M$15,CHOOSE(ArtifactsInput!$N$15+1,25,30,35,40,45,50)/100*(Inputs!$B$11-Inputs!$B$11),0)))/100)/2</f>
        <v/>
      </c>
      <c r="M779">
        <f>L779*(1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9">
        <f>L779*(1-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779*(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9">
        <f>(1-Summary!$B$11)*T779+Summary!$B$11*V779</f>
        <v/>
      </c>
      <c r="P779">
        <f>IF(B816=0,0,O779/B816)</f>
        <v/>
      </c>
      <c r="Q779">
        <f>IFERROR(1/(IF(Inputs!$B$38="pvp",15,MAX(0.1,Skills!D4-IF(Skills!E4=TRUE,Inputs!$B$32,0)))*(1-IF(AND(ArtifactsInput!$M$27,Inputs!$B$4="Chapter Hunt"),CHOOSE(ArtifactsInput!$N$27+1,20,24,28,32,36,40),0)/100)),0)</f>
        <v/>
      </c>
      <c r="R779">
        <f>IF(AND(Inputs!$B$38&lt;&gt;"pvp",Inputs!$B$43&gt;0),IF(MAX(0,Inputs!$B$43-B813)&lt;=0,0,(INT(MAX(0,Inputs!$B$43-B813)/(IF(Inputs!$B$38="pvp",15,MAX(0.1,Skills!D4-IF(Skills!E4=TRUE,Inputs!$B$32,0)))*(1-IF(AND(ArtifactsInput!$M$27,Inputs!$B$4="Chapter Hunt"),CHOOSE(ArtifactsInput!$N$27+1,20,24,28,32,36,40),0)/100)))+1)),0)</f>
        <v/>
      </c>
      <c r="S779">
        <f>IFERROR(O779/N779,0)</f>
        <v/>
      </c>
      <c r="T779">
        <f>IF(C779,(H779*N779*IF(AND(Inputs!$B$38&lt;&gt;"pvp",Inputs!$B$43&gt;0),((Skills!G4*((R779-1)*IF(Skills!H4&gt;0,Skills!I4/Skills!H4,1)+IF(Skills!H4&gt;0,MIN(Skills!I4,MAX(0,MAX(0,Inputs!$B$43-B813)-((R779-1)*(IF(Inputs!$B$38="pvp",15,MAX(0.1,Skills!D4-IF(Skills!E4=TRUE,Inputs!$B$32,0)))*(1-IF(AND(ArtifactsInput!$M$27,Inputs!$B$4="Chapter Hunt"),CHOOSE(ArtifactsInput!$N$27+1,20,24,28,32,36,40),0)/100)))))/Skills!H4,1)))/Inputs!$B$43),G779*Q779)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779*(1-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779*(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779*(1-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779*(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9">
        <f>290*U778/1000</f>
        <v/>
      </c>
      <c r="V779">
        <f>IF(C779,(H779*N779*IF(AND(Inputs!$B$38&lt;&gt;"pvp",Inputs!$B$43&gt;0),((Skills!G4*((R779-1)*IF(Skills!H4&gt;0,Skills!I4/Skills!H4,1)+IF(Skills!H4&gt;0,MIN(Skills!I4,MAX(0,MAX(0,Inputs!$B$43-B813)-((R779-1)*(IF(Inputs!$B$38="pvp",15,MAX(0.1,Skills!D4-IF(Skills!E4=TRUE,Inputs!$B$32,0)))*(1-IF(AND(ArtifactsInput!$M$27,Inputs!$B$4="Chapter Hunt"),CHOOSE(ArtifactsInput!$N$27+1,20,24,28,32,36,40),0)/100)))))/Skills!H4,1)))/Inputs!$B$43),G779*Q779))*IF(Inputs!$B$38="pvp",1,(1+(Inputs!$B$21+Skills!Q4+(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0">
      <c r="A780">
        <f>Skills!A5</f>
        <v/>
      </c>
      <c r="B780">
        <f>Skills!B5</f>
        <v/>
      </c>
      <c r="C780">
        <f>Inputs!$B$3&gt;=45</f>
        <v/>
      </c>
      <c r="D780">
        <f>IF(Skills!C5=1,60+(Inputs!$B$25+1)+Inputs!$B$29,IF(Skills!C5=2,90+Inputs!$B$26+Inputs!$B$29,IF(Skills!C5=3,120+Inputs!$B$27+Inputs!$B$29,MAX(0,(Inputs!$B$3-100)*3)+Inputs!$B$28+Inputs!$B$29)))</f>
        <v/>
      </c>
      <c r="E780">
        <f>INDEX(FactorTable!$B$2:$Y$301, MATCH(ROUND(MIN(300,MAX(1,D780)),0), FactorTable!$A$2:$A$301,0), Skills!M5+1)</f>
        <v/>
      </c>
      <c r="F780">
        <f>IF(Skills!N5=TRUE,(Skills!L5/10)*(E780/1000),Skills!L5/10)+Skills!O5</f>
        <v/>
      </c>
      <c r="G780">
        <f>Skills!G5*IF(Skills!H5&gt;0,Skills!I5/Skills!H5,1)</f>
        <v/>
      </c>
      <c r="H780">
        <f>1-(1-Skills!J5/100)^Skills!K5</f>
        <v/>
      </c>
      <c r="I780" t="inlineStr">
        <is>
          <t>1</t>
        </is>
      </c>
      <c r="J780">
        <f>((Inputs!$B$6*(1+Inputs!$B$7/100))+(((Inputs!$B$12*(1+Inputs!$B$13/100))-(Inputs!$B$12*(1+Inputs!$B$13/100)))+0.25*(Inputs!$B$14-Inputs!$B$14))*(1+Inputs!$B$7/100))*(F780/100)</f>
        <v/>
      </c>
      <c r="K780">
        <f>J780*(1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791=TRUE,F791,0)/100)*(1+(IF(Skills!A5="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780)</f>
        <v/>
      </c>
      <c r="L780">
        <f>K780*(MIN(Inputs!$B$22+((C797=TRUE)*(F797-Calc!F22)),(Inputs!$B$23+0+(IF(ArtifactsInput!$M$15,CHOOSE(ArtifactsInput!$N$15+1,25,30,35,40,45,50)/100*(Inputs!$B$11-Inputs!$B$11),0))))/100+(Inputs!$B$23+0+(IF(ArtifactsInput!$M$15,CHOOSE(ArtifactsInput!$N$15+1,25,30,35,40,45,50)/100*(Inputs!$B$11-Inputs!$B$11),0)))/100)/2</f>
        <v/>
      </c>
      <c r="M780">
        <f>L780*(1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0">
        <f>L780*(1-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780*(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0">
        <f>(1-Summary!$B$11)*T780+Summary!$B$11*V780</f>
        <v/>
      </c>
      <c r="P780">
        <f>IF(B816=0,0,O780/B816)</f>
        <v/>
      </c>
      <c r="Q780">
        <f>IFERROR(1/(IF(Inputs!$B$38="pvp",15,MAX(0.1,Skills!D5-IF(Skills!E5=TRUE,Inputs!$B$32,0)))*(1-IF(AND(ArtifactsInput!$M$27,Inputs!$B$4="Chapter Hunt"),CHOOSE(ArtifactsInput!$N$27+1,20,24,28,32,36,40),0)/100)),0)</f>
        <v/>
      </c>
      <c r="R780">
        <f>IF(AND(Inputs!$B$38&lt;&gt;"pvp",Inputs!$B$43&gt;0),IF(MAX(0,Inputs!$B$43-B813)&lt;=0,0,(INT(MAX(0,Inputs!$B$43-B813)/(IF(Inputs!$B$38="pvp",15,MAX(0.1,Skills!D5-IF(Skills!E5=TRUE,Inputs!$B$32,0)))*(1-IF(AND(ArtifactsInput!$M$27,Inputs!$B$4="Chapter Hunt"),CHOOSE(ArtifactsInput!$N$27+1,20,24,28,32,36,40),0)/100)))+1)),0)</f>
        <v/>
      </c>
      <c r="S780">
        <f>IFERROR(O780/N780,0)</f>
        <v/>
      </c>
      <c r="T780">
        <f>IF(C780,(H780*N780*IF(AND(Inputs!$B$38&lt;&gt;"pvp",Inputs!$B$43&gt;0),((Skills!G5*((R780-1)*IF(Skills!H5&gt;0,Skills!I5/Skills!H5,1)+IF(Skills!H5&gt;0,MIN(Skills!I5,MAX(0,MAX(0,Inputs!$B$43-B813)-((R780-1)*(IF(Inputs!$B$38="pvp",15,MAX(0.1,Skills!D5-IF(Skills!E5=TRUE,Inputs!$B$32,0)))*(1-IF(AND(ArtifactsInput!$M$27,Inputs!$B$4="Chapter Hunt"),CHOOSE(ArtifactsInput!$N$27+1,20,24,28,32,36,40),0)/100)))))/Skills!H5,1)))/Inputs!$B$43),G780*Q780)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780*(1-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780*(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780*(1-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780*(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0">
        <f>IF(C780,(H780*N780*IF(AND(Inputs!$B$38&lt;&gt;"pvp",Inputs!$B$43&gt;0),((Skills!G5*((R780-1)*IF(Skills!H5&gt;0,Skills!I5/Skills!H5,1)+IF(Skills!H5&gt;0,MIN(Skills!I5,MAX(0,MAX(0,Inputs!$B$43-B813)-((R780-1)*(IF(Inputs!$B$38="pvp",15,MAX(0.1,Skills!D5-IF(Skills!E5=TRUE,Inputs!$B$32,0)))*(1-IF(AND(ArtifactsInput!$M$27,Inputs!$B$4="Chapter Hunt"),CHOOSE(ArtifactsInput!$N$27+1,20,24,28,32,36,40),0)/100)))))/Skills!H5,1)))/Inputs!$B$43),G780*Q780))*IF(Inputs!$B$38="pvp",1,(1+(Inputs!$B$21+Skills!Q5+(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1">
      <c r="A781">
        <f>Skills!A6</f>
        <v/>
      </c>
      <c r="B781">
        <f>Skills!B6</f>
        <v/>
      </c>
      <c r="C781">
        <f>Inputs!$B$3&gt;=63</f>
        <v/>
      </c>
      <c r="D781">
        <f>IF(Skills!C6=1,60+(Inputs!$B$25+1)+Inputs!$B$29,IF(Skills!C6=2,90+Inputs!$B$26+Inputs!$B$29,IF(Skills!C6=3,120+Inputs!$B$27+Inputs!$B$29,MAX(0,(Inputs!$B$3-100)*3)+Inputs!$B$28+Inputs!$B$29)))</f>
        <v/>
      </c>
      <c r="E781">
        <f>INDEX(FactorTable!$B$2:$Y$301, MATCH(ROUND(MIN(300,MAX(1,D781)),0), FactorTable!$A$2:$A$301,0), Skills!M6+1)</f>
        <v/>
      </c>
      <c r="F781">
        <f>IF(Skills!N6=TRUE,(Skills!L6/10)*(E781/1000),Skills!L6/10)+Skills!O6</f>
        <v/>
      </c>
      <c r="G781">
        <f>Skills!G6*IF(Skills!H6&gt;0,Skills!I6/Skills!H6,1)</f>
        <v/>
      </c>
      <c r="H781">
        <f>1-(1-Skills!J6/100)^Skills!K6</f>
        <v/>
      </c>
      <c r="I781" t="inlineStr">
        <is>
          <t>1</t>
        </is>
      </c>
      <c r="J781">
        <f>((Inputs!$B$6*(1+Inputs!$B$7/100))+(((Inputs!$B$12*(1+Inputs!$B$13/100))-(Inputs!$B$12*(1+Inputs!$B$13/100)))+0.25*(Inputs!$B$14-Inputs!$B$14))*(1+Inputs!$B$7/100))*(F781/100)</f>
        <v/>
      </c>
      <c r="K781">
        <f>J781*(1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790=TRUE,F790,0)/100)*(1+(IF(Skills!A6="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781)</f>
        <v/>
      </c>
      <c r="L781">
        <f>K781*(MIN(Inputs!$B$22+((C797=TRUE)*(F797-Calc!F22)),(Inputs!$B$23+0+(IF(ArtifactsInput!$M$15,CHOOSE(ArtifactsInput!$N$15+1,25,30,35,40,45,50)/100*(Inputs!$B$11-Inputs!$B$11),0))))/100+(Inputs!$B$23+0+(IF(ArtifactsInput!$M$15,CHOOSE(ArtifactsInput!$N$15+1,25,30,35,40,45,50)/100*(Inputs!$B$11-Inputs!$B$11),0)))/100)/2</f>
        <v/>
      </c>
      <c r="M781">
        <f>L781*(1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1">
        <f>L781*(1-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1">
        <f>(1-Summary!$B$11)*T781+Summary!$B$11*V781</f>
        <v/>
      </c>
      <c r="P781">
        <f>IF(B816=0,0,O781/B816)</f>
        <v/>
      </c>
      <c r="Q781">
        <f>IFERROR(1/(IF(Inputs!$B$38="pvp",15,MAX(0.1,Skills!D6-IF(Skills!E6=TRUE,Inputs!$B$32,0)))*(1-IF(AND(ArtifactsInput!$M$27,Inputs!$B$4="Chapter Hunt"),CHOOSE(ArtifactsInput!$N$27+1,20,24,28,32,36,40),0)/100)),0)</f>
        <v/>
      </c>
      <c r="R781">
        <f>IF(AND(Inputs!$B$38&lt;&gt;"pvp",Inputs!$B$43&gt;0),IF(MAX(0,Inputs!$B$43-B813)&lt;=0,0,(INT(MAX(0,Inputs!$B$43-B813)/(IF(Inputs!$B$38="pvp",15,MAX(0.1,Skills!D6-IF(Skills!E6=TRUE,Inputs!$B$32,0)))*(1-IF(AND(ArtifactsInput!$M$27,Inputs!$B$4="Chapter Hunt"),CHOOSE(ArtifactsInput!$N$27+1,20,24,28,32,36,40),0)/100)))+1)),0)</f>
        <v/>
      </c>
      <c r="S781">
        <f>IFERROR(O781/N781,0)</f>
        <v/>
      </c>
      <c r="T781">
        <f>IF(C781,(H781*N781*IF(AND(Inputs!$B$38&lt;&gt;"pvp",Inputs!$B$43&gt;0),((Skills!G6*((R781-1)*IF(Skills!H6&gt;0,Skills!I6/Skills!H6,1)+IF(Skills!H6&gt;0,MIN(Skills!I6,MAX(0,MAX(0,Inputs!$B$43-B813)-((R781-1)*(IF(Inputs!$B$38="pvp",15,MAX(0.1,Skills!D6-IF(Skills!E6=TRUE,Inputs!$B$32,0)))*(1-IF(AND(ArtifactsInput!$M$27,Inputs!$B$4="Chapter Hunt"),CHOOSE(ArtifactsInput!$N$27+1,20,24,28,32,36,40),0)/100)))))/Skills!H6,1)))/Inputs!$B$43),G781*Q781)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1">
        <f>IF(C781,(H781*N781*IF(AND(Inputs!$B$38&lt;&gt;"pvp",Inputs!$B$43&gt;0),((Skills!G6*((R781-1)*IF(Skills!H6&gt;0,Skills!I6/Skills!H6,1)+IF(Skills!H6&gt;0,MIN(Skills!I6,MAX(0,MAX(0,Inputs!$B$43-B813)-((R781-1)*(IF(Inputs!$B$38="pvp",15,MAX(0.1,Skills!D6-IF(Skills!E6=TRUE,Inputs!$B$32,0)))*(1-IF(AND(ArtifactsInput!$M$27,Inputs!$B$4="Chapter Hunt"),CHOOSE(ArtifactsInput!$N$27+1,20,24,28,32,36,40),0)/100)))))/Skills!H6,1)))/Inputs!$B$43),G781*Q781))*IF(Inputs!$B$38="pvp",1,(1+(Inputs!$B$21+Skills!Q6+(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2">
      <c r="A782">
        <f>Skills!A7</f>
        <v/>
      </c>
      <c r="B782">
        <f>Skills!B7</f>
        <v/>
      </c>
      <c r="C782">
        <f>Inputs!$B$3&gt;=66</f>
        <v/>
      </c>
      <c r="D782">
        <f>IF(Skills!C7=1,60+(Inputs!$B$25+1)+Inputs!$B$29,IF(Skills!C7=2,90+Inputs!$B$26+Inputs!$B$29,IF(Skills!C7=3,120+Inputs!$B$27+Inputs!$B$29,MAX(0,(Inputs!$B$3-100)*3)+Inputs!$B$28+Inputs!$B$29)))</f>
        <v/>
      </c>
      <c r="E782">
        <f>INDEX(FactorTable!$B$2:$Y$301, MATCH(ROUND(MIN(300,MAX(1,D782)),0), FactorTable!$A$2:$A$301,0), Skills!M7+1)</f>
        <v/>
      </c>
      <c r="F782">
        <f>IF(Skills!N7=TRUE,(Skills!L7/10)*(E782/1000),Skills!L7/10)+Skills!O7</f>
        <v/>
      </c>
      <c r="G782">
        <f>Skills!G7*IF(Skills!H7&gt;0,Skills!I7/Skills!H7,1)</f>
        <v/>
      </c>
      <c r="H782">
        <f>1-(1-Skills!J7/100)^Skills!K7</f>
        <v/>
      </c>
      <c r="I782" t="inlineStr">
        <is>
          <t>1</t>
        </is>
      </c>
      <c r="J782">
        <f>((Inputs!$B$6*(1+Inputs!$B$7/100))+(((Inputs!$B$12*(1+Inputs!$B$13/100))-(Inputs!$B$12*(1+Inputs!$B$13/100)))+0.25*(Inputs!$B$14-Inputs!$B$14))*(1+Inputs!$B$7/100))*(F782/100)</f>
        <v/>
      </c>
      <c r="K782">
        <f>J782*(1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790=TRUE,F790,0)/100)*(1+(IF(Skills!A7="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782)</f>
        <v/>
      </c>
      <c r="L782">
        <f>K782*(MIN(Inputs!$B$22+((C797=TRUE)*(F797-Calc!F22)),(Inputs!$B$23+0+(IF(ArtifactsInput!$M$15,CHOOSE(ArtifactsInput!$N$15+1,25,30,35,40,45,50)/100*(Inputs!$B$11-Inputs!$B$11),0))))/100+(Inputs!$B$23+0+(IF(ArtifactsInput!$M$15,CHOOSE(ArtifactsInput!$N$15+1,25,30,35,40,45,50)/100*(Inputs!$B$11-Inputs!$B$11),0)))/100)/2</f>
        <v/>
      </c>
      <c r="M782">
        <f>L782*(1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2">
        <f>L782*(1-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782*(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2">
        <f>(1-Summary!$B$11)*T782+Summary!$B$11*V782</f>
        <v/>
      </c>
      <c r="P782">
        <f>IF(B816=0,0,O782/B816)</f>
        <v/>
      </c>
      <c r="Q782">
        <f>IFERROR(1/(IF(Inputs!$B$38="pvp",15,MAX(0.1,Skills!D7-IF(Skills!E7=TRUE,Inputs!$B$32,0)))*(1-IF(AND(ArtifactsInput!$M$27,Inputs!$B$4="Chapter Hunt"),CHOOSE(ArtifactsInput!$N$27+1,20,24,28,32,36,40),0)/100)),0)</f>
        <v/>
      </c>
      <c r="R782">
        <f>IF(AND(Inputs!$B$38&lt;&gt;"pvp",Inputs!$B$43&gt;0),IF(MAX(0,Inputs!$B$43-B813)&lt;=0,0,(INT(MAX(0,Inputs!$B$43-B813)/(IF(Inputs!$B$38="pvp",15,MAX(0.1,Skills!D7-IF(Skills!E7=TRUE,Inputs!$B$32,0)))*(1-IF(AND(ArtifactsInput!$M$27,Inputs!$B$4="Chapter Hunt"),CHOOSE(ArtifactsInput!$N$27+1,20,24,28,32,36,40),0)/100)))+1)),0)</f>
        <v/>
      </c>
      <c r="S782">
        <f>IFERROR(O782/N782,0)</f>
        <v/>
      </c>
      <c r="T782">
        <f>IF(C782,(H782*N782*IF(AND(Inputs!$B$38&lt;&gt;"pvp",Inputs!$B$43&gt;0),((Skills!G7*((R782-1)*IF(Skills!H7&gt;0,Skills!I7/Skills!H7,1)+IF(Skills!H7&gt;0,MIN(Skills!I7,MAX(0,MAX(0,Inputs!$B$43-B813)-((R782-1)*(IF(Inputs!$B$38="pvp",15,MAX(0.1,Skills!D7-IF(Skills!E7=TRUE,Inputs!$B$32,0)))*(1-IF(AND(ArtifactsInput!$M$27,Inputs!$B$4="Chapter Hunt"),CHOOSE(ArtifactsInput!$N$27+1,20,24,28,32,36,40),0)/100)))))/Skills!H7,1)))/Inputs!$B$43),G782*Q782)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782*(1-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782*(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782*(1-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782*(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2">
        <f>IF(C782,(H782*N782*IF(AND(Inputs!$B$38&lt;&gt;"pvp",Inputs!$B$43&gt;0),((Skills!G7*((R782-1)*IF(Skills!H7&gt;0,Skills!I7/Skills!H7,1)+IF(Skills!H7&gt;0,MIN(Skills!I7,MAX(0,MAX(0,Inputs!$B$43-B813)-((R782-1)*(IF(Inputs!$B$38="pvp",15,MAX(0.1,Skills!D7-IF(Skills!E7=TRUE,Inputs!$B$32,0)))*(1-IF(AND(ArtifactsInput!$M$27,Inputs!$B$4="Chapter Hunt"),CHOOSE(ArtifactsInput!$N$27+1,20,24,28,32,36,40),0)/100)))))/Skills!H7,1)))/Inputs!$B$43),G782*Q782))*IF(Inputs!$B$38="pvp",1,(1+(Inputs!$B$21+Skills!Q7+(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3">
      <c r="A783">
        <f>Skills!A8</f>
        <v/>
      </c>
      <c r="B783">
        <f>Skills!B8</f>
        <v/>
      </c>
      <c r="C783">
        <f>Inputs!$B$3&gt;=100</f>
        <v/>
      </c>
      <c r="D783">
        <f>IF(Skills!C8=1,60+(Inputs!$B$25+1)+Inputs!$B$29,IF(Skills!C8=2,90+Inputs!$B$26+Inputs!$B$29,IF(Skills!C8=3,120+Inputs!$B$27+Inputs!$B$29,MAX(0,(Inputs!$B$3-100)*3)+Inputs!$B$28+Inputs!$B$29)))</f>
        <v/>
      </c>
      <c r="E783">
        <f>INDEX(FactorTable!$B$2:$Y$301, MATCH(ROUND(MIN(300,MAX(1,D783)),0), FactorTable!$A$2:$A$301,0), Skills!M8+1)</f>
        <v/>
      </c>
      <c r="F783">
        <f>IF(Skills!N8=TRUE,(Skills!L8/10)*(E783/1000),Skills!L8/10)+Skills!O8</f>
        <v/>
      </c>
      <c r="G783">
        <f>Skills!G8*IF(Skills!H8&gt;0,Skills!I8/Skills!H8,1)</f>
        <v/>
      </c>
      <c r="H783">
        <f>1-(1-Skills!J8/100)^Skills!K8</f>
        <v/>
      </c>
      <c r="I783" t="inlineStr">
        <is>
          <t>1</t>
        </is>
      </c>
      <c r="J783">
        <f>((Inputs!$B$6*(1+Inputs!$B$7/100))+(((Inputs!$B$12*(1+Inputs!$B$13/100))-(Inputs!$B$12*(1+Inputs!$B$13/100)))+0.25*(Inputs!$B$14-Inputs!$B$14))*(1+Inputs!$B$7/100))*(F783/100)</f>
        <v/>
      </c>
      <c r="K783">
        <f>J783*(1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783)</f>
        <v/>
      </c>
      <c r="L783">
        <f>K783*(MIN(Inputs!$B$22+((C797=TRUE)*(F797-Calc!F22)),(Inputs!$B$23+0+(IF(ArtifactsInput!$M$15,CHOOSE(ArtifactsInput!$N$15+1,25,30,35,40,45,50)/100*(Inputs!$B$11-Inputs!$B$11),0))))/100+(Inputs!$B$23+0+(IF(ArtifactsInput!$M$15,CHOOSE(ArtifactsInput!$N$15+1,25,30,35,40,45,50)/100*(Inputs!$B$11-Inputs!$B$11),0)))/100)/2</f>
        <v/>
      </c>
      <c r="M783">
        <f>L783*(1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3">
        <f>L783*(1-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783*(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3">
        <f>(1-Summary!$B$11)*T783+Summary!$B$11*V783</f>
        <v/>
      </c>
      <c r="P783">
        <f>IF(B816=0,0,O783/B816)</f>
        <v/>
      </c>
      <c r="Q783">
        <f>IFERROR(1/(IF(Inputs!$B$38="pvp",15,MAX(0.1,Skills!D8-IF(Skills!E8=TRUE,Inputs!$B$32,0)))*(1-IF(AND(ArtifactsInput!$M$27,Inputs!$B$4="Chapter Hunt"),CHOOSE(ArtifactsInput!$N$27+1,20,24,28,32,36,40),0)/100)),0)</f>
        <v/>
      </c>
      <c r="R783">
        <f>IF(AND(Inputs!$B$38&lt;&gt;"pvp",Inputs!$B$43&gt;0),IF(MAX(0,Inputs!$B$43-B813)&lt;=0,0,(INT(MAX(0,Inputs!$B$43-B813)/(IF(Inputs!$B$38="pvp",15,MAX(0.1,Skills!D8-IF(Skills!E8=TRUE,Inputs!$B$32,0)))*(1-IF(AND(ArtifactsInput!$M$27,Inputs!$B$4="Chapter Hunt"),CHOOSE(ArtifactsInput!$N$27+1,20,24,28,32,36,40),0)/100)))+1)),0)</f>
        <v/>
      </c>
      <c r="S783">
        <f>IFERROR(O783/N783,0)</f>
        <v/>
      </c>
      <c r="T783">
        <f>IF(C783,(H783*N783*IF(AND(Inputs!$B$38&lt;&gt;"pvp",Inputs!$B$43&gt;0),((Skills!G8*((R783-1)*IF(Skills!H8&gt;0,Skills!I8/Skills!H8,1)+IF(Skills!H8&gt;0,MIN(Skills!I8,MAX(0,MAX(0,Inputs!$B$43-B813)-((R783-1)*(IF(Inputs!$B$38="pvp",15,MAX(0.1,Skills!D8-IF(Skills!E8=TRUE,Inputs!$B$32,0)))*(1-IF(AND(ArtifactsInput!$M$27,Inputs!$B$4="Chapter Hunt"),CHOOSE(ArtifactsInput!$N$27+1,20,24,28,32,36,40),0)/100)))))/Skills!H8,1)))/Inputs!$B$43),G783*Q783)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783*(1-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783*(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783*(1-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783*(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3">
        <f>IF(C783,(H783*N783*IF(AND(Inputs!$B$38&lt;&gt;"pvp",Inputs!$B$43&gt;0),((Skills!G8*((R783-1)*IF(Skills!H8&gt;0,Skills!I8/Skills!H8,1)+IF(Skills!H8&gt;0,MIN(Skills!I8,MAX(0,MAX(0,Inputs!$B$43-B813)-((R783-1)*(IF(Inputs!$B$38="pvp",15,MAX(0.1,Skills!D8-IF(Skills!E8=TRUE,Inputs!$B$32,0)))*(1-IF(AND(ArtifactsInput!$M$27,Inputs!$B$4="Chapter Hunt"),CHOOSE(ArtifactsInput!$N$27+1,20,24,28,32,36,40),0)/100)))))/Skills!H8,1)))/Inputs!$B$43),G783*Q783))*IF(Inputs!$B$38="pvp",1,(1+(Inputs!$B$21+Skills!Q8+(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4">
      <c r="A784">
        <f>Skills!A9</f>
        <v/>
      </c>
      <c r="B784">
        <f>Skills!B9</f>
        <v/>
      </c>
      <c r="C784">
        <f>Inputs!$B$3&gt;=103</f>
        <v/>
      </c>
      <c r="D784">
        <f>IF(Skills!C9=1,60+(Inputs!$B$25+1)+Inputs!$B$29,IF(Skills!C9=2,90+Inputs!$B$26+Inputs!$B$29,IF(Skills!C9=3,120+Inputs!$B$27+Inputs!$B$29,MAX(0,(Inputs!$B$3-100)*3)+Inputs!$B$28+Inputs!$B$29)))</f>
        <v/>
      </c>
      <c r="E784">
        <f>INDEX(FactorTable!$B$2:$Y$301, MATCH(ROUND(MIN(300,MAX(1,D784)),0), FactorTable!$A$2:$A$301,0), Skills!M9+1)</f>
        <v/>
      </c>
      <c r="F784">
        <f>IF(Skills!N9=TRUE,(Skills!L9/10)*(E784/1000),Skills!L9/10)+Skills!O9</f>
        <v/>
      </c>
      <c r="G784">
        <f>Skills!G9*IF(Skills!H9&gt;0,Skills!I9/Skills!H9,1)</f>
        <v/>
      </c>
      <c r="H784">
        <f>1-(1-Skills!J9/100)^Skills!K9</f>
        <v/>
      </c>
      <c r="I784" t="inlineStr">
        <is>
          <t>1</t>
        </is>
      </c>
      <c r="J784">
        <f>((Inputs!$B$6*(1+Inputs!$B$7/100))+(((Inputs!$B$12*(1+Inputs!$B$13/100))-(Inputs!$B$12*(1+Inputs!$B$13/100)))+0.25*(Inputs!$B$14-Inputs!$B$14))*(1+Inputs!$B$7/100))*(F784/100)</f>
        <v/>
      </c>
      <c r="K784">
        <f>J784*(1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784)</f>
        <v/>
      </c>
      <c r="L784">
        <f>K784*(MIN(Inputs!$B$22+((C797=TRUE)*(F797-Calc!F22)),(Inputs!$B$23+0+(IF(ArtifactsInput!$M$15,CHOOSE(ArtifactsInput!$N$15+1,25,30,35,40,45,50)/100*(Inputs!$B$11-Inputs!$B$11),0))))/100+(Inputs!$B$23+0+(IF(ArtifactsInput!$M$15,CHOOSE(ArtifactsInput!$N$15+1,25,30,35,40,45,50)/100*(Inputs!$B$11-Inputs!$B$11),0)))/100)/2</f>
        <v/>
      </c>
      <c r="M784">
        <f>L784*(1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4">
        <f>L784*(1-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784*(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4">
        <f>(1-Summary!$B$11)*T784+Summary!$B$11*V784</f>
        <v/>
      </c>
      <c r="P784">
        <f>IF(B816=0,0,O784/B816)</f>
        <v/>
      </c>
      <c r="Q784">
        <f>IFERROR(1/(IF(Inputs!$B$38="pvp",15,MAX(0.1,Skills!D9-IF(Skills!E9=TRUE,Inputs!$B$32,0)))*(1-IF(AND(ArtifactsInput!$M$27,Inputs!$B$4="Chapter Hunt"),CHOOSE(ArtifactsInput!$N$27+1,20,24,28,32,36,40),0)/100)),0)</f>
        <v/>
      </c>
      <c r="R784">
        <f>IF(AND(Inputs!$B$38&lt;&gt;"pvp",Inputs!$B$43&gt;0),IF(MAX(0,Inputs!$B$43-B813)&lt;=0,0,(INT(MAX(0,Inputs!$B$43-B813)/(IF(Inputs!$B$38="pvp",15,MAX(0.1,Skills!D9-IF(Skills!E9=TRUE,Inputs!$B$32,0)))*(1-IF(AND(ArtifactsInput!$M$27,Inputs!$B$4="Chapter Hunt"),CHOOSE(ArtifactsInput!$N$27+1,20,24,28,32,36,40),0)/100)))+1)),0)</f>
        <v/>
      </c>
      <c r="S784">
        <f>IFERROR(O784/N784,0)</f>
        <v/>
      </c>
      <c r="T784">
        <f>IF(C784,(H784*N784*IF(AND(Inputs!$B$38&lt;&gt;"pvp",Inputs!$B$43&gt;0),((Skills!G9*((R784-1)*IF(Skills!H9&gt;0,Skills!I9/Skills!H9,1)+IF(Skills!H9&gt;0,MIN(Skills!I9,MAX(0,MAX(0,Inputs!$B$43-B813)-((R784-1)*(IF(Inputs!$B$38="pvp",15,MAX(0.1,Skills!D9-IF(Skills!E9=TRUE,Inputs!$B$32,0)))*(1-IF(AND(ArtifactsInput!$M$27,Inputs!$B$4="Chapter Hunt"),CHOOSE(ArtifactsInput!$N$27+1,20,24,28,32,36,40),0)/100)))))/Skills!H9,1)))/Inputs!$B$43),G784*Q784)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784*(1-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784*(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784*(1-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784*(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4">
        <f>IF(C784,(H784*N784*IF(AND(Inputs!$B$38&lt;&gt;"pvp",Inputs!$B$43&gt;0),((Skills!G9*((R784-1)*IF(Skills!H9&gt;0,Skills!I9/Skills!H9,1)+IF(Skills!H9&gt;0,MIN(Skills!I9,MAX(0,MAX(0,Inputs!$B$43-B813)-((R784-1)*(IF(Inputs!$B$38="pvp",15,MAX(0.1,Skills!D9-IF(Skills!E9=TRUE,Inputs!$B$32,0)))*(1-IF(AND(ArtifactsInput!$M$27,Inputs!$B$4="Chapter Hunt"),CHOOSE(ArtifactsInput!$N$27+1,20,24,28,32,36,40),0)/100)))))/Skills!H9,1)))/Inputs!$B$43),G784*Q784))*IF(Inputs!$B$38="pvp",1,(1+(Inputs!$B$21+Skills!Q9+(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5">
      <c r="A785">
        <f>Skills!A10</f>
        <v/>
      </c>
      <c r="B785">
        <f>Skills!B10</f>
        <v/>
      </c>
      <c r="C785">
        <f>Inputs!$B$3&gt;=113</f>
        <v/>
      </c>
      <c r="D785">
        <f>IF(Skills!C10=1,60+(Inputs!$B$25+1)+Inputs!$B$29,IF(Skills!C10=2,90+Inputs!$B$26+Inputs!$B$29,IF(Skills!C10=3,120+Inputs!$B$27+Inputs!$B$29,MAX(0,(Inputs!$B$3-100)*3)+Inputs!$B$28+Inputs!$B$29)))</f>
        <v/>
      </c>
      <c r="E785">
        <f>INDEX(FactorTable!$B$2:$Y$301, MATCH(ROUND(MIN(300,MAX(1,D785)),0), FactorTable!$A$2:$A$301,0), Skills!M10+1)</f>
        <v/>
      </c>
      <c r="F785">
        <f>IF(Skills!N10=TRUE,(Skills!L10/10)*(E785/1000),Skills!L10/10)+Skills!O10</f>
        <v/>
      </c>
      <c r="G785">
        <f>Skills!G10*IF(Skills!H10&gt;0,Skills!I10/Skills!H10,1)</f>
        <v/>
      </c>
      <c r="H785">
        <f>1-(1-Skills!J10/100)^Skills!K10</f>
        <v/>
      </c>
      <c r="I785" t="inlineStr">
        <is>
          <t>1</t>
        </is>
      </c>
      <c r="J785">
        <f>((Inputs!$B$6*(1+Inputs!$B$7/100))+(((Inputs!$B$12*(1+Inputs!$B$13/100))-(Inputs!$B$12*(1+Inputs!$B$13/100)))+0.25*(Inputs!$B$14-Inputs!$B$14))*(1+Inputs!$B$7/100))*(F785/100)</f>
        <v/>
      </c>
      <c r="K785">
        <f>J785*(1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785)</f>
        <v/>
      </c>
      <c r="L785">
        <f>K785*(MIN(Inputs!$B$22+((C797=TRUE)*(F797-Calc!F22)),(Inputs!$B$23+0+(IF(ArtifactsInput!$M$15,CHOOSE(ArtifactsInput!$N$15+1,25,30,35,40,45,50)/100*(Inputs!$B$11-Inputs!$B$11),0))))/100+(Inputs!$B$23+0+(IF(ArtifactsInput!$M$15,CHOOSE(ArtifactsInput!$N$15+1,25,30,35,40,45,50)/100*(Inputs!$B$11-Inputs!$B$11),0)))/100)/2</f>
        <v/>
      </c>
      <c r="M785">
        <f>L785*(1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5">
        <f>L785*(1-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785*(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5">
        <f>(1-Summary!$B$11)*T785+Summary!$B$11*V785</f>
        <v/>
      </c>
      <c r="P785">
        <f>IF(B816=0,0,O785/B816)</f>
        <v/>
      </c>
      <c r="Q785">
        <f>IFERROR(1/(IF(Inputs!$B$38="pvp",15,MAX(0.1,Skills!D10-IF(Skills!E10=TRUE,Inputs!$B$32,0)))*(1-IF(AND(ArtifactsInput!$M$27,Inputs!$B$4="Chapter Hunt"),CHOOSE(ArtifactsInput!$N$27+1,20,24,28,32,36,40),0)/100)),0)</f>
        <v/>
      </c>
      <c r="R785">
        <f>IF(AND(Inputs!$B$38&lt;&gt;"pvp",Inputs!$B$43&gt;0),IF(MAX(0,Inputs!$B$43-B813)&lt;=0,0,(INT(MAX(0,Inputs!$B$43-B813)/(IF(Inputs!$B$38="pvp",15,MAX(0.1,Skills!D10-IF(Skills!E10=TRUE,Inputs!$B$32,0)))*(1-IF(AND(ArtifactsInput!$M$27,Inputs!$B$4="Chapter Hunt"),CHOOSE(ArtifactsInput!$N$27+1,20,24,28,32,36,40),0)/100)))+1)),0)</f>
        <v/>
      </c>
      <c r="S785">
        <f>IFERROR(O785/N785,0)</f>
        <v/>
      </c>
      <c r="T785">
        <f>IF(C785,(H785*N785*IF(AND(Inputs!$B$38&lt;&gt;"pvp",Inputs!$B$43&gt;0),((Skills!G10*((R785-1)*IF(Skills!H10&gt;0,Skills!I10/Skills!H10,1)+IF(Skills!H10&gt;0,MIN(Skills!I10,MAX(0,MAX(0,Inputs!$B$43-B813)-((R785-1)*(IF(Inputs!$B$38="pvp",15,MAX(0.1,Skills!D10-IF(Skills!E10=TRUE,Inputs!$B$32,0)))*(1-IF(AND(ArtifactsInput!$M$27,Inputs!$B$4="Chapter Hunt"),CHOOSE(ArtifactsInput!$N$27+1,20,24,28,32,36,40),0)/100)))))/Skills!H10,1)))/Inputs!$B$43),G785*Q785)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785*(1-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785*(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785*(1-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785*(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5">
        <f>IF(C785,(H785*N785*IF(AND(Inputs!$B$38&lt;&gt;"pvp",Inputs!$B$43&gt;0),((Skills!G10*((R785-1)*IF(Skills!H10&gt;0,Skills!I10/Skills!H10,1)+IF(Skills!H10&gt;0,MIN(Skills!I10,MAX(0,MAX(0,Inputs!$B$43-B813)-((R785-1)*(IF(Inputs!$B$38="pvp",15,MAX(0.1,Skills!D10-IF(Skills!E10=TRUE,Inputs!$B$32,0)))*(1-IF(AND(ArtifactsInput!$M$27,Inputs!$B$4="Chapter Hunt"),CHOOSE(ArtifactsInput!$N$27+1,20,24,28,32,36,40),0)/100)))))/Skills!H10,1)))/Inputs!$B$43),G785*Q785))*IF(Inputs!$B$38="pvp",1,(1+(Inputs!$B$21+Skills!Q10+(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6">
      <c r="A786">
        <f>Skills!A11</f>
        <v/>
      </c>
      <c r="B786">
        <f>Skills!B11</f>
        <v/>
      </c>
      <c r="C786">
        <f>Inputs!$B$3&gt;=107</f>
        <v/>
      </c>
      <c r="D786">
        <f>IF(Skills!C11=1,60+(Inputs!$B$25+1)+Inputs!$B$29,IF(Skills!C11=2,90+Inputs!$B$26+Inputs!$B$29,IF(Skills!C11=3,120+Inputs!$B$27+Inputs!$B$29,MAX(0,(Inputs!$B$3-100)*3)+Inputs!$B$28+Inputs!$B$29)))</f>
        <v/>
      </c>
      <c r="E786">
        <f>INDEX(FactorTable!$B$2:$Y$301, MATCH(ROUND(MIN(300,MAX(1,D786)),0), FactorTable!$A$2:$A$301,0), Skills!M11+1)</f>
        <v/>
      </c>
      <c r="F786">
        <f>IF(Skills!N11=TRUE,(Skills!L11/10)*(E786/1000),Skills!L11/10)+Skills!O11</f>
        <v/>
      </c>
      <c r="G786">
        <f>Skills!G11*IF(Skills!H11&gt;0,Skills!I11/Skills!H11,1)</f>
        <v/>
      </c>
      <c r="H786">
        <f>1-(1-Skills!J11/100)^Skills!K11</f>
        <v/>
      </c>
      <c r="I786" t="inlineStr">
        <is>
          <t>1</t>
        </is>
      </c>
      <c r="J786">
        <f>((Inputs!$B$6*(1+Inputs!$B$7/100))+(((Inputs!$B$12*(1+Inputs!$B$13/100))-(Inputs!$B$12*(1+Inputs!$B$13/100)))+0.25*(Inputs!$B$14-Inputs!$B$14))*(1+Inputs!$B$7/100))*(F786/100)</f>
        <v/>
      </c>
      <c r="K786">
        <f>J786*(1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786)</f>
        <v/>
      </c>
      <c r="L786">
        <f>K786*(MIN(Inputs!$B$22+((C797=TRUE)*(F797-Calc!F22)),(Inputs!$B$23+0+(IF(ArtifactsInput!$M$15,CHOOSE(ArtifactsInput!$N$15+1,25,30,35,40,45,50)/100*(Inputs!$B$11-Inputs!$B$11),0))))/100+(Inputs!$B$23+0+(IF(ArtifactsInput!$M$15,CHOOSE(ArtifactsInput!$N$15+1,25,30,35,40,45,50)/100*(Inputs!$B$11-Inputs!$B$11),0)))/100)/2</f>
        <v/>
      </c>
      <c r="M786">
        <f>L786*(1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6">
        <f>L786*(1-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786*(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6">
        <f>(1-Summary!$B$11)*T786+Summary!$B$11*V786</f>
        <v/>
      </c>
      <c r="P786">
        <f>IF(B816=0,0,O786/B816)</f>
        <v/>
      </c>
      <c r="Q786">
        <f>IFERROR(1/(IF(Inputs!$B$38="pvp",15,MAX(0.1,Skills!D11-IF(Skills!E11=TRUE,Inputs!$B$32,0)))*(1-IF(AND(ArtifactsInput!$M$27,Inputs!$B$4="Chapter Hunt"),CHOOSE(ArtifactsInput!$N$27+1,20,24,28,32,36,40),0)/100)),0)</f>
        <v/>
      </c>
      <c r="R786">
        <f>IF(AND(Inputs!$B$38&lt;&gt;"pvp",Inputs!$B$43&gt;0),IF(MAX(0,Inputs!$B$43-B813)&lt;=0,0,(INT(MAX(0,Inputs!$B$43-B813)/(IF(Inputs!$B$38="pvp",15,MAX(0.1,Skills!D11-IF(Skills!E11=TRUE,Inputs!$B$32,0)))*(1-IF(AND(ArtifactsInput!$M$27,Inputs!$B$4="Chapter Hunt"),CHOOSE(ArtifactsInput!$N$27+1,20,24,28,32,36,40),0)/100)))+1)),0)</f>
        <v/>
      </c>
      <c r="S786">
        <f>IFERROR(O786/N786,0)</f>
        <v/>
      </c>
      <c r="T786">
        <f>IF(C786,(H786*N786*IF(AND(Inputs!$B$38&lt;&gt;"pvp",Inputs!$B$43&gt;0),((Skills!G11*((R786-1)*IF(Skills!H11&gt;0,Skills!I11/Skills!H11,1)+IF(Skills!H11&gt;0,MIN(Skills!I11,MAX(0,MAX(0,Inputs!$B$43-B813)-((R786-1)*(IF(Inputs!$B$38="pvp",15,MAX(0.1,Skills!D11-IF(Skills!E11=TRUE,Inputs!$B$32,0)))*(1-IF(AND(ArtifactsInput!$M$27,Inputs!$B$4="Chapter Hunt"),CHOOSE(ArtifactsInput!$N$27+1,20,24,28,32,36,40),0)/100)))))/Skills!H11,1)))/Inputs!$B$43),G786*Q786)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786*(1-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786*(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786*(1-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786*(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6">
        <f>IF(C786,(H786*N786*IF(AND(Inputs!$B$38&lt;&gt;"pvp",Inputs!$B$43&gt;0),((Skills!G11*((R786-1)*IF(Skills!H11&gt;0,Skills!I11/Skills!H11,1)+IF(Skills!H11&gt;0,MIN(Skills!I11,MAX(0,MAX(0,Inputs!$B$43-B813)-((R786-1)*(IF(Inputs!$B$38="pvp",15,MAX(0.1,Skills!D11-IF(Skills!E11=TRUE,Inputs!$B$32,0)))*(1-IF(AND(ArtifactsInput!$M$27,Inputs!$B$4="Chapter Hunt"),CHOOSE(ArtifactsInput!$N$27+1,20,24,28,32,36,40),0)/100)))))/Skills!H11,1)))/Inputs!$B$43),G786*Q786))*IF(Inputs!$B$38="pvp",1,(1+(Inputs!$B$21+Skills!Q11+(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7">
      <c r="A787">
        <f>Skills!A12</f>
        <v/>
      </c>
      <c r="B787">
        <f>Skills!B12</f>
        <v/>
      </c>
      <c r="C787">
        <f>Inputs!$B$3&gt;=110</f>
        <v/>
      </c>
      <c r="D787">
        <f>IF(Skills!C12=1,60+(Inputs!$B$25+1)+Inputs!$B$29,IF(Skills!C12=2,90+Inputs!$B$26+Inputs!$B$29,IF(Skills!C12=3,120+Inputs!$B$27+Inputs!$B$29,MAX(0,(Inputs!$B$3-100)*3)+Inputs!$B$28+Inputs!$B$29)))</f>
        <v/>
      </c>
      <c r="E787">
        <f>INDEX(FactorTable!$B$2:$Y$301, MATCH(ROUND(MIN(300,MAX(1,D787)),0), FactorTable!$A$2:$A$301,0), Skills!M12+1)</f>
        <v/>
      </c>
      <c r="F787">
        <f>IF(Skills!N12=TRUE,(Skills!L12/10)*(E787/1000),Skills!L12/10)+Skills!O12</f>
        <v/>
      </c>
      <c r="G787">
        <f>Skills!G12*IF(Skills!H12&gt;0,Skills!I12/Skills!H12,1)</f>
        <v/>
      </c>
      <c r="H787">
        <f>1-(1-Skills!J12/100)^Skills!K12</f>
        <v/>
      </c>
      <c r="I787" t="inlineStr">
        <is>
          <t>1</t>
        </is>
      </c>
      <c r="J787">
        <f>((Inputs!$B$6*(1+Inputs!$B$7/100))+(((Inputs!$B$12*(1+Inputs!$B$13/100))-(Inputs!$B$12*(1+Inputs!$B$13/100)))+0.25*(Inputs!$B$14-Inputs!$B$14))*(1+Inputs!$B$7/100))*(F787/100)</f>
        <v/>
      </c>
      <c r="K787">
        <f>J787*(1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787)</f>
        <v/>
      </c>
      <c r="L787">
        <f>K787*(MIN(Inputs!$B$22+((C797=TRUE)*(F797-Calc!F22)),(Inputs!$B$23+0+(IF(ArtifactsInput!$M$15,CHOOSE(ArtifactsInput!$N$15+1,25,30,35,40,45,50)/100*(Inputs!$B$11-Inputs!$B$11),0))))/100+(Inputs!$B$23+0+(IF(ArtifactsInput!$M$15,CHOOSE(ArtifactsInput!$N$15+1,25,30,35,40,45,50)/100*(Inputs!$B$11-Inputs!$B$11),0)))/100)/2</f>
        <v/>
      </c>
      <c r="M787">
        <f>L787*(1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7">
        <f>L787*(1-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787*(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7">
        <f>(1-Summary!$B$11)*T787+Summary!$B$11*V787</f>
        <v/>
      </c>
      <c r="P787">
        <f>IF(B816=0,0,O787/B816)</f>
        <v/>
      </c>
      <c r="Q787">
        <f>IFERROR(1/(IF(Inputs!$B$38="pvp",15,MAX(0.1,Skills!D12-IF(Skills!E12=TRUE,Inputs!$B$32,0)))*(1-IF(AND(ArtifactsInput!$M$27,Inputs!$B$4="Chapter Hunt"),CHOOSE(ArtifactsInput!$N$27+1,20,24,28,32,36,40),0)/100)),0)</f>
        <v/>
      </c>
      <c r="R787">
        <f>IF(AND(Inputs!$B$38&lt;&gt;"pvp",Inputs!$B$43&gt;0),IF(MAX(0,Inputs!$B$43-B813)&lt;=0,0,(INT(MAX(0,Inputs!$B$43-B813)/(IF(Inputs!$B$38="pvp",15,MAX(0.1,Skills!D12-IF(Skills!E12=TRUE,Inputs!$B$32,0)))*(1-IF(AND(ArtifactsInput!$M$27,Inputs!$B$4="Chapter Hunt"),CHOOSE(ArtifactsInput!$N$27+1,20,24,28,32,36,40),0)/100)))+1)),0)</f>
        <v/>
      </c>
      <c r="S787">
        <f>IFERROR(O787/N787,0)</f>
        <v/>
      </c>
      <c r="T787">
        <f>IF(C787,(H787*N787*IF(AND(Inputs!$B$38&lt;&gt;"pvp",Inputs!$B$43&gt;0),((Skills!G12*((R787-1)*IF(Skills!H12&gt;0,Skills!I12/Skills!H12,1)+IF(Skills!H12&gt;0,MIN(Skills!I12,MAX(0,MAX(0,Inputs!$B$43-B813)-((R787-1)*(IF(Inputs!$B$38="pvp",15,MAX(0.1,Skills!D12-IF(Skills!E12=TRUE,Inputs!$B$32,0)))*(1-IF(AND(ArtifactsInput!$M$27,Inputs!$B$4="Chapter Hunt"),CHOOSE(ArtifactsInput!$N$27+1,20,24,28,32,36,40),0)/100)))))/Skills!H12,1)))/Inputs!$B$43),G787*Q787)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787*(1-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787*(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787*(1-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787*(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7">
        <f>IF(C787,(H787*N787*IF(AND(Inputs!$B$38&lt;&gt;"pvp",Inputs!$B$43&gt;0),((Skills!G12*((R787-1)*IF(Skills!H12&gt;0,Skills!I12/Skills!H12,1)+IF(Skills!H12&gt;0,MIN(Skills!I12,MAX(0,MAX(0,Inputs!$B$43-B813)-((R787-1)*(IF(Inputs!$B$38="pvp",15,MAX(0.1,Skills!D12-IF(Skills!E12=TRUE,Inputs!$B$32,0)))*(1-IF(AND(ArtifactsInput!$M$27,Inputs!$B$4="Chapter Hunt"),CHOOSE(ArtifactsInput!$N$27+1,20,24,28,32,36,40),0)/100)))))/Skills!H12,1)))/Inputs!$B$43),G787*Q787))*IF(Inputs!$B$38="pvp",1,(1+(Inputs!$B$21+Skills!Q12+(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8">
      <c r="A788">
        <f>Skills!A13</f>
        <v/>
      </c>
      <c r="B788">
        <f>Skills!B13</f>
        <v/>
      </c>
      <c r="C788">
        <f>Inputs!$B$3&gt;=110</f>
        <v/>
      </c>
      <c r="D788">
        <f>IF(Skills!C13=1,60+(Inputs!$B$25+1)+Inputs!$B$29,IF(Skills!C13=2,90+Inputs!$B$26+Inputs!$B$29,IF(Skills!C13=3,120+Inputs!$B$27+Inputs!$B$29,MAX(0,(Inputs!$B$3-100)*3)+Inputs!$B$28+Inputs!$B$29)))</f>
        <v/>
      </c>
      <c r="E788">
        <f>INDEX(FactorTable!$B$2:$Y$301, MATCH(ROUND(MIN(300,MAX(1,D788)),0), FactorTable!$A$2:$A$301,0), Skills!M13+1)</f>
        <v/>
      </c>
      <c r="F788">
        <f>IF(Skills!N13=TRUE,(Skills!L13/10)*(E788/1000),Skills!L13/10)+Skills!O13</f>
        <v/>
      </c>
      <c r="G788">
        <f>Skills!G13*IF(Skills!H13&gt;0,Skills!I13/Skills!H13,1)</f>
        <v/>
      </c>
      <c r="H788">
        <f>1-(1-Skills!J13/100)^Skills!K13</f>
        <v/>
      </c>
      <c r="I788" t="inlineStr">
        <is>
          <t>1</t>
        </is>
      </c>
      <c r="J788">
        <f>((Inputs!$B$6*(1+Inputs!$B$7/100))+(((Inputs!$B$12*(1+Inputs!$B$13/100))-(Inputs!$B$12*(1+Inputs!$B$13/100)))+0.25*(Inputs!$B$14-Inputs!$B$14))*(1+Inputs!$B$7/100))*(F788/100)</f>
        <v/>
      </c>
      <c r="K788">
        <f>J788*(1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788)</f>
        <v/>
      </c>
      <c r="L788">
        <f>K788*(MIN(Inputs!$B$22+((C797=TRUE)*(F797-Calc!F22)),(Inputs!$B$23+0+(IF(ArtifactsInput!$M$15,CHOOSE(ArtifactsInput!$N$15+1,25,30,35,40,45,50)/100*(Inputs!$B$11-Inputs!$B$11),0))))/100+(Inputs!$B$23+0+(IF(ArtifactsInput!$M$15,CHOOSE(ArtifactsInput!$N$15+1,25,30,35,40,45,50)/100*(Inputs!$B$11-Inputs!$B$11),0)))/100)/2</f>
        <v/>
      </c>
      <c r="M788">
        <f>L788*(1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8">
        <f>L788*(1-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788*(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8">
        <f>(1-Summary!$B$11)*T788+Summary!$B$11*V788</f>
        <v/>
      </c>
      <c r="P788">
        <f>IF(B816=0,0,O788/B816)</f>
        <v/>
      </c>
      <c r="Q788">
        <f>IFERROR(1/(IF(Inputs!$B$38="pvp",15,MAX(0.1,Skills!D13-IF(Skills!E13=TRUE,Inputs!$B$32,0)))*(1-IF(AND(ArtifactsInput!$M$27,Inputs!$B$4="Chapter Hunt"),CHOOSE(ArtifactsInput!$N$27+1,20,24,28,32,36,40),0)/100)),0)</f>
        <v/>
      </c>
      <c r="R788">
        <f>IF(AND(Inputs!$B$38&lt;&gt;"pvp",Inputs!$B$43&gt;0),IF(MAX(0,Inputs!$B$43-B813)&lt;=0,0,(INT(MAX(0,Inputs!$B$43-B813)/(IF(Inputs!$B$38="pvp",15,MAX(0.1,Skills!D13-IF(Skills!E13=TRUE,Inputs!$B$32,0)))*(1-IF(AND(ArtifactsInput!$M$27,Inputs!$B$4="Chapter Hunt"),CHOOSE(ArtifactsInput!$N$27+1,20,24,28,32,36,40),0)/100)))+1)),0)</f>
        <v/>
      </c>
      <c r="S788">
        <f>IFERROR(O788/N788,0)</f>
        <v/>
      </c>
      <c r="T788">
        <f>IF(C788,(H788*N788*IF(AND(Inputs!$B$38&lt;&gt;"pvp",Inputs!$B$43&gt;0),((Skills!G13*((R788-1)*IF(Skills!H13&gt;0,Skills!I13/Skills!H13,1)+IF(Skills!H13&gt;0,MIN(Skills!I13,MAX(0,MAX(0,Inputs!$B$43-B813)-((R788-1)*(IF(Inputs!$B$38="pvp",15,MAX(0.1,Skills!D13-IF(Skills!E13=TRUE,Inputs!$B$32,0)))*(1-IF(AND(ArtifactsInput!$M$27,Inputs!$B$4="Chapter Hunt"),CHOOSE(ArtifactsInput!$N$27+1,20,24,28,32,36,40),0)/100)))))/Skills!H13,1)))/Inputs!$B$43),G788*Q788)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788*(1-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788*(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788*(1-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788*(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8">
        <f>IF(C788,(H788*N788*IF(AND(Inputs!$B$38&lt;&gt;"pvp",Inputs!$B$43&gt;0),((Skills!G13*((R788-1)*IF(Skills!H13&gt;0,Skills!I13/Skills!H13,1)+IF(Skills!H13&gt;0,MIN(Skills!I13,MAX(0,MAX(0,Inputs!$B$43-B813)-((R788-1)*(IF(Inputs!$B$38="pvp",15,MAX(0.1,Skills!D13-IF(Skills!E13=TRUE,Inputs!$B$32,0)))*(1-IF(AND(ArtifactsInput!$M$27,Inputs!$B$4="Chapter Hunt"),CHOOSE(ArtifactsInput!$N$27+1,20,24,28,32,36,40),0)/100)))))/Skills!H13,1)))/Inputs!$B$43),G788*Q788))*IF(Inputs!$B$38="pvp",1,(1+(Inputs!$B$21+Skills!Q13+(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9">
      <c r="A789">
        <f>Skills!A14</f>
        <v/>
      </c>
      <c r="B789">
        <f>Skills!B14</f>
        <v/>
      </c>
      <c r="C789">
        <f>Inputs!$B$3&gt;=125</f>
        <v/>
      </c>
      <c r="D789">
        <f>IF(Skills!C14=1,60+(Inputs!$B$25+1)+Inputs!$B$29,IF(Skills!C14=2,90+Inputs!$B$26+Inputs!$B$29,IF(Skills!C14=3,120+Inputs!$B$27+Inputs!$B$29,MAX(0,(Inputs!$B$3-100)*3)+Inputs!$B$28+Inputs!$B$29)))</f>
        <v/>
      </c>
      <c r="E789">
        <f>INDEX(FactorTable!$B$2:$Y$301, MATCH(ROUND(MIN(300,MAX(1,D789)),0), FactorTable!$A$2:$A$301,0), Skills!M14+1)</f>
        <v/>
      </c>
      <c r="F789">
        <f>IF(Skills!N14=TRUE,(Skills!L14/10)*(E789/1000),Skills!L14/10)+Skills!O14</f>
        <v/>
      </c>
      <c r="G789">
        <f>Skills!G14*IF(Skills!H14&gt;0,Skills!I14/Skills!H14,1)</f>
        <v/>
      </c>
      <c r="H789">
        <f>1-(1-Skills!J14/100)^Skills!K14</f>
        <v/>
      </c>
      <c r="I789" t="inlineStr">
        <is>
          <t>1</t>
        </is>
      </c>
      <c r="J789">
        <f>((Inputs!$B$6*(1+Inputs!$B$7/100))+(((Inputs!$B$12*(1+Inputs!$B$13/100))-(Inputs!$B$12*(1+Inputs!$B$13/100)))+0.25*(Inputs!$B$14-Inputs!$B$14))*(1+Inputs!$B$7/100))*(F789/100)</f>
        <v/>
      </c>
      <c r="K789">
        <f>J789*(1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789)</f>
        <v/>
      </c>
      <c r="L789">
        <f>K789*(MIN(Inputs!$B$22+((C797=TRUE)*(F797-Calc!F22)),(Inputs!$B$23+0+(IF(ArtifactsInput!$M$15,CHOOSE(ArtifactsInput!$N$15+1,25,30,35,40,45,50)/100*(Inputs!$B$11-Inputs!$B$11),0))))/100+(Inputs!$B$23+0+(IF(ArtifactsInput!$M$15,CHOOSE(ArtifactsInput!$N$15+1,25,30,35,40,45,50)/100*(Inputs!$B$11-Inputs!$B$11),0)))/100)/2</f>
        <v/>
      </c>
      <c r="M789">
        <f>L789*(1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9">
        <f>L789*(1-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789*(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9">
        <f>(1-Summary!$B$11)*T789+Summary!$B$11*V789</f>
        <v/>
      </c>
      <c r="P789">
        <f>IF(B816=0,0,O789/B816)</f>
        <v/>
      </c>
      <c r="Q789" t="n">
        <v>0</v>
      </c>
      <c r="R789" t="n">
        <v>0</v>
      </c>
      <c r="S789">
        <f>IFERROR(O789/N789,0)</f>
        <v/>
      </c>
      <c r="T789">
        <f>IF(C789,(H789*N789*(B810+IF(AND(Inputs!$B$38&lt;&gt;"pvp",Inputs!$B$43&gt;0),((Skills!G8*((R783-1)*IF(Skills!H8&gt;0,Skills!I8/Skills!H8,1)+IF(Skills!H8&gt;0,MIN(Skills!I8,MAX(0,MAX(0,Inputs!$B$43-B813)-((R783-1)*(IF(Inputs!$B$38="pvp",15,MAX(0.1,Skills!D8-IF(Skills!E8=TRUE,Inputs!$B$32,0)))*(1-IF(AND(ArtifactsInput!$M$27,Inputs!$B$4="Chapter Hunt"),CHOOSE(ArtifactsInput!$N$27+1,20,24,28,32,36,40),0)/100)))))/Skills!H8,1)))/Inputs!$B$43),G783*Q783)+IF(AND(Inputs!$B$38&lt;&gt;"pvp",Inputs!$B$43&gt;0),((Skills!G11*((R786-1)*IF(Skills!H11&gt;0,Skills!I11/Skills!H11,1)+IF(Skills!H11&gt;0,MIN(Skills!I11,MAX(0,MAX(0,Inputs!$B$43-B813)-((R786-1)*(IF(Inputs!$B$38="pvp",15,MAX(0.1,Skills!D11-IF(Skills!E11=TRUE,Inputs!$B$32,0)))*(1-IF(AND(ArtifactsInput!$M$27,Inputs!$B$4="Chapter Hunt"),CHOOSE(ArtifactsInput!$N$27+1,20,24,28,32,36,40),0)/100)))))/Skills!H11,1)))/Inputs!$B$43),G786*Q786)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789*(1-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789*(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789*(1-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789*(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9">
        <f>IF(C789,(H789*N789*(B810+IF(AND(Inputs!$B$38&lt;&gt;"pvp",Inputs!$B$43&gt;0),((Skills!G8*((R783-1)*IF(Skills!H8&gt;0,Skills!I8/Skills!H8,1)+IF(Skills!H8&gt;0,MIN(Skills!I8,MAX(0,MAX(0,Inputs!$B$43-B813)-((R783-1)*(IF(Inputs!$B$38="pvp",15,MAX(0.1,Skills!D8-IF(Skills!E8=TRUE,Inputs!$B$32,0)))*(1-IF(AND(ArtifactsInput!$M$27,Inputs!$B$4="Chapter Hunt"),CHOOSE(ArtifactsInput!$N$27+1,20,24,28,32,36,40),0)/100)))))/Skills!H8,1)))/Inputs!$B$43),G783*Q783)+IF(AND(Inputs!$B$38&lt;&gt;"pvp",Inputs!$B$43&gt;0),((Skills!G11*((R786-1)*IF(Skills!H11&gt;0,Skills!I11/Skills!H11,1)+IF(Skills!H11&gt;0,MIN(Skills!I11,MAX(0,MAX(0,Inputs!$B$43-B813)-((R786-1)*(IF(Inputs!$B$38="pvp",15,MAX(0.1,Skills!D11-IF(Skills!E11=TRUE,Inputs!$B$32,0)))*(1-IF(AND(ArtifactsInput!$M$27,Inputs!$B$4="Chapter Hunt"),CHOOSE(ArtifactsInput!$N$27+1,20,24,28,32,36,40),0)/100)))))/Skills!H11,1)))/Inputs!$B$43),G786*Q786)))*IF(Inputs!$B$38="pvp",1,(1+(Inputs!$B$21+Skills!Q14+(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0">
      <c r="A790">
        <f>Skills!A15</f>
        <v/>
      </c>
      <c r="B790">
        <f>Skills!B15</f>
        <v/>
      </c>
      <c r="C790">
        <f>Inputs!$B$3&gt;=100</f>
        <v/>
      </c>
      <c r="D790">
        <f>IF(Skills!C15=1,60+(Inputs!$B$25+1)+Inputs!$B$29,IF(Skills!C15=2,90+Inputs!$B$26+Inputs!$B$29,IF(Skills!C15=3,120+Inputs!$B$27+Inputs!$B$29,MAX(0,(Inputs!$B$3-100)*3)+Inputs!$B$28+Inputs!$B$29)))</f>
        <v/>
      </c>
      <c r="E790">
        <f>INDEX(FactorTable!$B$2:$Y$301, MATCH(ROUND(MIN(300,MAX(1,D790)),0), FactorTable!$A$2:$A$301,0), Skills!M15+1)</f>
        <v/>
      </c>
      <c r="F790">
        <f>IF(Skills!N15=TRUE,(Skills!L15/10)*(E790/1000),Skills!L15/10)+Skills!O15</f>
        <v/>
      </c>
      <c r="G790" t="inlineStr"/>
      <c r="H790" t="inlineStr"/>
      <c r="I790" t="inlineStr">
        <is>
          <t>1</t>
        </is>
      </c>
      <c r="J790" t="inlineStr"/>
      <c r="K790" t="inlineStr"/>
      <c r="L790" t="inlineStr"/>
      <c r="M790" t="inlineStr"/>
      <c r="N790" t="inlineStr"/>
      <c r="O790" t="inlineStr"/>
      <c r="P790" t="inlineStr"/>
      <c r="Q790" t="inlineStr"/>
      <c r="R790" t="inlineStr"/>
      <c r="S790" t="inlineStr"/>
    </row>
    <row r="791">
      <c r="A791">
        <f>Skills!A16</f>
        <v/>
      </c>
      <c r="B791">
        <f>Skills!B16</f>
        <v/>
      </c>
      <c r="C791">
        <f>Inputs!$B$3&gt;=120</f>
        <v/>
      </c>
      <c r="D791">
        <f>IF(Skills!C16=1,60+(Inputs!$B$25+1)+Inputs!$B$29,IF(Skills!C16=2,90+Inputs!$B$26+Inputs!$B$29,IF(Skills!C16=3,120+Inputs!$B$27+Inputs!$B$29,MAX(0,(Inputs!$B$3-100)*3)+Inputs!$B$28+Inputs!$B$29)))</f>
        <v/>
      </c>
      <c r="E791">
        <f>INDEX(FactorTable!$B$2:$Y$301, MATCH(ROUND(MIN(300,MAX(1,D791)),0), FactorTable!$A$2:$A$301,0), Skills!M16+1)</f>
        <v/>
      </c>
      <c r="F791">
        <f>IF(Skills!N16=TRUE,(Skills!L16/10)*(E791/1000),Skills!L16/10)+Skills!O16</f>
        <v/>
      </c>
      <c r="G791" t="inlineStr"/>
      <c r="H791" t="inlineStr"/>
      <c r="I791" t="inlineStr">
        <is>
          <t>1</t>
        </is>
      </c>
      <c r="J791" t="inlineStr"/>
      <c r="K791" t="inlineStr"/>
      <c r="L791" t="inlineStr"/>
      <c r="M791" t="inlineStr"/>
      <c r="N791" t="inlineStr"/>
      <c r="O791" t="inlineStr"/>
      <c r="P791" t="inlineStr"/>
      <c r="Q791" t="inlineStr"/>
      <c r="R791" t="inlineStr"/>
      <c r="S791" t="inlineStr"/>
    </row>
    <row r="792">
      <c r="A792">
        <f>Skills!A17</f>
        <v/>
      </c>
      <c r="B792">
        <f>Skills!B17</f>
        <v/>
      </c>
      <c r="C792">
        <f>Inputs!$B$3&gt;=66</f>
        <v/>
      </c>
      <c r="D792">
        <f>IF(Skills!C17=1,60+(Inputs!$B$25+1)+Inputs!$B$29,IF(Skills!C17=2,90+Inputs!$B$26+Inputs!$B$29,IF(Skills!C17=3,120+Inputs!$B$27+Inputs!$B$29,MAX(0,(Inputs!$B$3-100)*3)+Inputs!$B$28+Inputs!$B$29)))</f>
        <v/>
      </c>
      <c r="E792">
        <f>INDEX(FactorTable!$B$2:$Y$301, MATCH(ROUND(MIN(300,MAX(1,D792)),0), FactorTable!$A$2:$A$301,0), Skills!M17+1)</f>
        <v/>
      </c>
      <c r="F792">
        <f>IF(Skills!N17=TRUE,(Skills!L17/10)*(E792/1000),Skills!L17/10)+Skills!O17</f>
        <v/>
      </c>
      <c r="G792">
        <f>Skills!G17*IF(Skills!H17&gt;0,Skills!I17/Skills!H17,1)</f>
        <v/>
      </c>
      <c r="H792">
        <f>1-(1-Skills!J17/100)^Skills!K17</f>
        <v/>
      </c>
      <c r="I792" t="inlineStr">
        <is>
          <t>1</t>
        </is>
      </c>
      <c r="J792" t="inlineStr"/>
      <c r="K792" t="inlineStr"/>
      <c r="L792" t="inlineStr"/>
      <c r="M792" t="inlineStr"/>
      <c r="N792" t="inlineStr"/>
      <c r="O792">
        <f>(1-Summary!$B$11)*T792+Summary!$B$11*V792</f>
        <v/>
      </c>
      <c r="P792">
        <f>IF(B816=0,0,O792/B816)</f>
        <v/>
      </c>
      <c r="Q792" t="n">
        <v>0</v>
      </c>
      <c r="R792" t="n">
        <v>0</v>
      </c>
      <c r="S792">
        <f>IFERROR(O792/N792,0)</f>
        <v/>
      </c>
      <c r="T792" t="n">
        <v>0</v>
      </c>
      <c r="V792" t="n">
        <v>0</v>
      </c>
    </row>
    <row r="793">
      <c r="A793">
        <f>Skills!A18</f>
        <v/>
      </c>
      <c r="B793">
        <f>Skills!B18</f>
        <v/>
      </c>
      <c r="C793">
        <f>Inputs!$B$3&gt;=115</f>
        <v/>
      </c>
      <c r="D793">
        <f>IF(Skills!C18=1,60+(Inputs!$B$25+1)+Inputs!$B$29,IF(Skills!C18=2,90+Inputs!$B$26+Inputs!$B$29,IF(Skills!C18=3,120+Inputs!$B$27+Inputs!$B$29,MAX(0,(Inputs!$B$3-100)*3)+Inputs!$B$28+Inputs!$B$29)))</f>
        <v/>
      </c>
      <c r="E793">
        <f>INDEX(FactorTable!$B$2:$Y$301, MATCH(ROUND(MIN(300,MAX(1,D793)),0), FactorTable!$A$2:$A$301,0), Skills!M18+1)</f>
        <v/>
      </c>
      <c r="F793">
        <f>IF(Skills!N18=TRUE,(Skills!L18/10)*(E793/1000),Skills!L18/10)+Skills!O18</f>
        <v/>
      </c>
      <c r="G793">
        <f>Skills!G18*IF(Skills!H18&gt;0,Skills!I18/Skills!H18,1)</f>
        <v/>
      </c>
      <c r="H793">
        <f>1-(1-Skills!J18/100)^Skills!K18</f>
        <v/>
      </c>
      <c r="I793" t="inlineStr">
        <is>
          <t>1</t>
        </is>
      </c>
      <c r="J793" t="inlineStr"/>
      <c r="K793" t="inlineStr"/>
      <c r="L793" t="inlineStr"/>
      <c r="M793" t="inlineStr"/>
      <c r="N793" t="inlineStr"/>
      <c r="O793">
        <f>(1-Summary!$B$11)*T793+Summary!$B$11*V793</f>
        <v/>
      </c>
      <c r="P793">
        <f>IF(B816=0,0,O793/B816)</f>
        <v/>
      </c>
      <c r="Q793">
        <f>IFERROR(1/(IF(Inputs!$B$38="pvp",15,MAX(0.1,Skills!D18-IF(Skills!E18=TRUE,Inputs!$B$32,0)))*(1-IF(AND(ArtifactsInput!$M$27,Inputs!$B$4="Chapter Hunt"),CHOOSE(ArtifactsInput!$N$27+1,20,24,28,32,36,40),0)/100)),0)</f>
        <v/>
      </c>
      <c r="R793">
        <f>IF(AND(Inputs!$B$38&lt;&gt;"pvp",Inputs!$B$43&gt;0),IF(Inputs!$B$43&lt;=0,0,(INT(Inputs!$B$43/(IF(Inputs!$B$38="pvp",15,MAX(0.1,Skills!D18-IF(Skills!E18=TRUE,Inputs!$B$32,0)))*(1-IF(AND(ArtifactsInput!$M$27,Inputs!$B$4="Chapter Hunt"),CHOOSE(ArtifactsInput!$N$27+1,20,24,28,32,36,40),0)/100)))+1)),0)</f>
        <v/>
      </c>
      <c r="S793">
        <f>IFERROR(O793/N793,0)</f>
        <v/>
      </c>
      <c r="T793" t="n">
        <v>0</v>
      </c>
      <c r="V793" t="n">
        <v>0</v>
      </c>
    </row>
    <row r="794">
      <c r="A794">
        <f>Skills!A19</f>
        <v/>
      </c>
      <c r="B794">
        <f>Skills!B19</f>
        <v/>
      </c>
      <c r="C794">
        <f>Inputs!$B$3&gt;=15</f>
        <v/>
      </c>
      <c r="D794">
        <f>IF(Skills!C19=1,60+(Inputs!$B$25+1)+Inputs!$B$29,IF(Skills!C19=2,90+Inputs!$B$26+Inputs!$B$29,IF(Skills!C19=3,120+Inputs!$B$27+Inputs!$B$29,MAX(0,(Inputs!$B$3-100)*3)+Inputs!$B$28+Inputs!$B$29)))</f>
        <v/>
      </c>
      <c r="E794">
        <f>INDEX(FactorTable!$B$2:$Y$301, MATCH(ROUND(MIN(300,MAX(1,D794)),0), FactorTable!$A$2:$A$301,0), Skills!M19+1)</f>
        <v/>
      </c>
      <c r="F794">
        <f>IF(Skills!N19=TRUE,(Skills!L19/10)*(E794/1000),Skills!L19/10)+Skills!O19</f>
        <v/>
      </c>
      <c r="G794">
        <f>Skills!G19*IF(Skills!H19&gt;0,Skills!I19/Skills!H19,1)</f>
        <v/>
      </c>
      <c r="H794">
        <f>1-(1-Skills!J19/100)^Skills!K19</f>
        <v/>
      </c>
      <c r="I794" t="inlineStr">
        <is>
          <t>1</t>
        </is>
      </c>
      <c r="J794" t="inlineStr"/>
      <c r="K794" t="inlineStr"/>
      <c r="L794" t="inlineStr"/>
      <c r="M794" t="inlineStr"/>
      <c r="N794" t="inlineStr"/>
      <c r="O794">
        <f>(1-Summary!$B$11)*T794+Summary!$B$11*V794</f>
        <v/>
      </c>
      <c r="P794">
        <f>IF(B816=0,0,O794/B816)</f>
        <v/>
      </c>
      <c r="Q794" t="n">
        <v>0</v>
      </c>
      <c r="R794" t="n">
        <v>0</v>
      </c>
      <c r="S794">
        <f>IFERROR(O794/N794,0)</f>
        <v/>
      </c>
      <c r="T794" t="n">
        <v>0</v>
      </c>
      <c r="V794" t="n">
        <v>0</v>
      </c>
    </row>
    <row r="795">
      <c r="A795">
        <f>Skills!A20</f>
        <v/>
      </c>
      <c r="B795">
        <f>Skills!B20</f>
        <v/>
      </c>
      <c r="C795">
        <f>Inputs!$B$3&gt;=10</f>
        <v/>
      </c>
      <c r="D795">
        <f>IF(Skills!C20=1,60+(Inputs!$B$25+1)+Inputs!$B$29,IF(Skills!C20=2,90+Inputs!$B$26+Inputs!$B$29,IF(Skills!C20=3,120+Inputs!$B$27+Inputs!$B$29,MAX(0,(Inputs!$B$3-100)*3)+Inputs!$B$28+Inputs!$B$29)))</f>
        <v/>
      </c>
      <c r="E795">
        <f>INDEX(FactorTable!$B$2:$Y$301, MATCH(ROUND(MIN(300,MAX(1,D795)),0), FactorTable!$A$2:$A$301,0), Skills!M20+1)</f>
        <v/>
      </c>
      <c r="F795">
        <f>IF(Skills!N20=TRUE,(Skills!L20/10)*(E795/1000),Skills!L20/10)+Skills!O20</f>
        <v/>
      </c>
      <c r="G795">
        <f>Skills!G20*IF(Skills!H20&gt;0,Skills!I20/Skills!H20,1)</f>
        <v/>
      </c>
      <c r="H795">
        <f>1-(1-Skills!J20/100)^Skills!K20</f>
        <v/>
      </c>
      <c r="I795" t="inlineStr">
        <is>
          <t>1</t>
        </is>
      </c>
      <c r="J795" t="inlineStr"/>
      <c r="K795" t="inlineStr"/>
      <c r="L795" t="inlineStr"/>
      <c r="M795" t="inlineStr"/>
      <c r="N795" t="inlineStr"/>
      <c r="O795">
        <f>(1-Summary!$B$11)*T795+Summary!$B$11*V795</f>
        <v/>
      </c>
      <c r="P795">
        <f>IF(B816=0,0,O795/B816)</f>
        <v/>
      </c>
      <c r="Q795" t="n">
        <v>0</v>
      </c>
      <c r="R795" t="n">
        <v>0</v>
      </c>
      <c r="S795">
        <f>IFERROR(O795/N795,0)</f>
        <v/>
      </c>
      <c r="T795" t="n">
        <v>0</v>
      </c>
      <c r="V795" t="n">
        <v>0</v>
      </c>
    </row>
    <row r="796">
      <c r="A796">
        <f>Skills!A21</f>
        <v/>
      </c>
      <c r="B796">
        <f>Skills!B21</f>
        <v/>
      </c>
      <c r="C796">
        <f>Inputs!$B$3&gt;=33</f>
        <v/>
      </c>
      <c r="D796">
        <f>IF(Skills!C21=1,60+(Inputs!$B$25+1)+Inputs!$B$29,IF(Skills!C21=2,90+Inputs!$B$26+Inputs!$B$29,IF(Skills!C21=3,120+Inputs!$B$27+Inputs!$B$29,MAX(0,(Inputs!$B$3-100)*3)+Inputs!$B$28+Inputs!$B$29)))</f>
        <v/>
      </c>
      <c r="E796">
        <f>INDEX(FactorTable!$B$2:$Y$301, MATCH(ROUND(MIN(300,MAX(1,D796)),0), FactorTable!$A$2:$A$301,0), Skills!M21+1)</f>
        <v/>
      </c>
      <c r="F796">
        <f>IF(Skills!N21=TRUE,(Skills!L21/10)*(E796/1000),Skills!L21/10)+Skills!O21</f>
        <v/>
      </c>
      <c r="G796">
        <f>Skills!G21*IF(Skills!H21&gt;0,Skills!I21/Skills!H21,1)</f>
        <v/>
      </c>
      <c r="H796">
        <f>1-(1-Skills!J21/100)^Skills!K21</f>
        <v/>
      </c>
      <c r="I796" t="inlineStr">
        <is>
          <t>1</t>
        </is>
      </c>
      <c r="J796" t="inlineStr"/>
      <c r="K796" t="inlineStr"/>
      <c r="L796" t="inlineStr"/>
      <c r="M796" t="inlineStr"/>
      <c r="N796" t="inlineStr"/>
      <c r="O796">
        <f>(1-Summary!$B$11)*T796+Summary!$B$11*V796</f>
        <v/>
      </c>
      <c r="P796">
        <f>IF(B816=0,0,O796/B816)</f>
        <v/>
      </c>
      <c r="Q796" t="n">
        <v>0</v>
      </c>
      <c r="R796" t="n">
        <v>0</v>
      </c>
      <c r="S796">
        <f>IFERROR(O796/N796,0)</f>
        <v/>
      </c>
      <c r="T796" t="n">
        <v>0</v>
      </c>
      <c r="V796" t="n">
        <v>0</v>
      </c>
    </row>
    <row r="797">
      <c r="A797">
        <f>Skills!A22</f>
        <v/>
      </c>
      <c r="B797">
        <f>Skills!B22</f>
        <v/>
      </c>
      <c r="C797">
        <f>Inputs!$B$3&gt;=43</f>
        <v/>
      </c>
      <c r="D797">
        <f>IF(Skills!C22=1,60+(Inputs!$B$25+1)+Inputs!$B$29,IF(Skills!C22=2,90+Inputs!$B$26+Inputs!$B$29,IF(Skills!C22=3,120+Inputs!$B$27+Inputs!$B$29,MAX(0,(Inputs!$B$3-100)*3)+Inputs!$B$28+Inputs!$B$29)))</f>
        <v/>
      </c>
      <c r="E797">
        <f>INDEX(FactorTable!$B$2:$Y$301, MATCH(ROUND(MIN(300,MAX(1,D797)),0), FactorTable!$A$2:$A$301,0), Skills!M22+1)</f>
        <v/>
      </c>
      <c r="F797">
        <f>IF(Skills!N22=TRUE,(Skills!L22/10)*(E797/1000),Skills!L22/10)+Skills!O22</f>
        <v/>
      </c>
      <c r="G797">
        <f>Skills!G22*IF(Skills!H22&gt;0,Skills!I22/Skills!H22,1)</f>
        <v/>
      </c>
      <c r="H797">
        <f>1-(1-Skills!J22/100)^Skills!K22</f>
        <v/>
      </c>
      <c r="I797" t="inlineStr">
        <is>
          <t>1</t>
        </is>
      </c>
      <c r="J797" t="inlineStr"/>
      <c r="K797" t="inlineStr"/>
      <c r="L797" t="inlineStr"/>
      <c r="M797" t="inlineStr"/>
      <c r="N797" t="inlineStr"/>
      <c r="O797">
        <f>(1-Summary!$B$11)*T797+Summary!$B$11*V797</f>
        <v/>
      </c>
      <c r="P797">
        <f>IF(B816=0,0,O797/B816)</f>
        <v/>
      </c>
      <c r="Q797" t="n">
        <v>0</v>
      </c>
      <c r="R797" t="n">
        <v>0</v>
      </c>
      <c r="S797">
        <f>IFERROR(O797/N797,0)</f>
        <v/>
      </c>
      <c r="T797" t="n">
        <v>0</v>
      </c>
      <c r="V797" t="n">
        <v>0</v>
      </c>
    </row>
    <row r="798">
      <c r="A798">
        <f>Skills!A23</f>
        <v/>
      </c>
      <c r="B798">
        <f>Skills!B23</f>
        <v/>
      </c>
      <c r="C798">
        <f>Inputs!$B$3&gt;=38</f>
        <v/>
      </c>
      <c r="D798">
        <f>IF(Skills!C23=1,60+(Inputs!$B$25+1)+Inputs!$B$29,IF(Skills!C23=2,90+Inputs!$B$26+Inputs!$B$29,IF(Skills!C23=3,120+Inputs!$B$27+Inputs!$B$29,MAX(0,(Inputs!$B$3-100)*3)+Inputs!$B$28+Inputs!$B$29)))</f>
        <v/>
      </c>
      <c r="E798">
        <f>INDEX(FactorTable!$B$2:$Y$301, MATCH(ROUND(MIN(300,MAX(1,D798)),0), FactorTable!$A$2:$A$301,0), Skills!M23+1)</f>
        <v/>
      </c>
      <c r="F798">
        <f>IF(Skills!N23=TRUE,(Skills!L23/10)*(E798/1000),Skills!L23/10)+Skills!O23</f>
        <v/>
      </c>
      <c r="G798">
        <f>Skills!G23*IF(Skills!H23&gt;0,Skills!I23/Skills!H23,1)</f>
        <v/>
      </c>
      <c r="H798">
        <f>1-(1-Skills!J23/100)^Skills!K23</f>
        <v/>
      </c>
      <c r="I798" t="inlineStr">
        <is>
          <t>1</t>
        </is>
      </c>
      <c r="J798" t="inlineStr"/>
      <c r="K798" t="inlineStr"/>
      <c r="L798" t="inlineStr"/>
      <c r="M798" t="inlineStr"/>
      <c r="N798" t="inlineStr"/>
      <c r="O798">
        <f>(1-Summary!$B$11)*T798+Summary!$B$11*V798</f>
        <v/>
      </c>
      <c r="P798">
        <f>IF(B816=0,0,O798/B816)</f>
        <v/>
      </c>
      <c r="Q798" t="n">
        <v>0</v>
      </c>
      <c r="R798" t="n">
        <v>0</v>
      </c>
      <c r="S798">
        <f>IFERROR(O798/N798,0)</f>
        <v/>
      </c>
      <c r="T798" t="n">
        <v>0</v>
      </c>
      <c r="V798" t="n">
        <v>0</v>
      </c>
    </row>
    <row r="799">
      <c r="A799">
        <f>Skills!A24</f>
        <v/>
      </c>
      <c r="B799">
        <f>Skills!B24</f>
        <v/>
      </c>
      <c r="C799">
        <f>Inputs!$B$3&gt;=40</f>
        <v/>
      </c>
      <c r="D799">
        <f>IF(Skills!C24=1,60+(Inputs!$B$25+1)+Inputs!$B$29,IF(Skills!C24=2,90+Inputs!$B$26+Inputs!$B$29,IF(Skills!C24=3,120+Inputs!$B$27+Inputs!$B$29,MAX(0,(Inputs!$B$3-100)*3)+Inputs!$B$28+Inputs!$B$29)))</f>
        <v/>
      </c>
      <c r="E799">
        <f>INDEX(FactorTable!$B$2:$Y$301, MATCH(ROUND(MIN(300,MAX(1,D799)),0), FactorTable!$A$2:$A$301,0), Skills!M24+1)</f>
        <v/>
      </c>
      <c r="F799">
        <f>IF(Skills!N24=TRUE,(Skills!L24/10)*(E799/1000),Skills!L24/10)+Skills!O24</f>
        <v/>
      </c>
      <c r="G799">
        <f>Skills!G24*IF(Skills!H24&gt;0,Skills!I24/Skills!H24,1)</f>
        <v/>
      </c>
      <c r="H799">
        <f>1-(1-Skills!J24/100)^Skills!K24</f>
        <v/>
      </c>
      <c r="I799" t="inlineStr">
        <is>
          <t>1</t>
        </is>
      </c>
      <c r="J799" t="inlineStr"/>
      <c r="K799" t="inlineStr"/>
      <c r="L799" t="inlineStr"/>
      <c r="M799" t="inlineStr"/>
      <c r="N799" t="inlineStr"/>
      <c r="O799">
        <f>(1-Summary!$B$11)*T799+Summary!$B$11*V799</f>
        <v/>
      </c>
      <c r="P799">
        <f>IF(B816=0,0,O799/B816)</f>
        <v/>
      </c>
      <c r="Q799" t="n">
        <v>0</v>
      </c>
      <c r="R799" t="n">
        <v>0</v>
      </c>
      <c r="S799">
        <f>IFERROR(O799/N799,0)</f>
        <v/>
      </c>
      <c r="T799" t="n">
        <v>0</v>
      </c>
      <c r="V799" t="n">
        <v>0</v>
      </c>
    </row>
    <row r="800">
      <c r="A800">
        <f>Skills!A25</f>
        <v/>
      </c>
      <c r="B800">
        <f>Skills!B25</f>
        <v/>
      </c>
      <c r="C800">
        <f>Inputs!$B$3&gt;=72</f>
        <v/>
      </c>
      <c r="D800">
        <f>IF(Skills!C25=1,60+(Inputs!$B$25+1)+Inputs!$B$29,IF(Skills!C25=2,90+Inputs!$B$26+Inputs!$B$29,IF(Skills!C25=3,120+Inputs!$B$27+Inputs!$B$29,MAX(0,(Inputs!$B$3-100)*3)+Inputs!$B$28+Inputs!$B$29)))</f>
        <v/>
      </c>
      <c r="E800">
        <f>INDEX(FactorTable!$B$2:$Y$301, MATCH(ROUND(MIN(300,MAX(1,D800)),0), FactorTable!$A$2:$A$301,0), Skills!M25+1)</f>
        <v/>
      </c>
      <c r="F800">
        <f>IF(Skills!N25=TRUE,(Skills!L25/10)*(E800/1000),Skills!L25/10)+Skills!O25</f>
        <v/>
      </c>
      <c r="G800">
        <f>Skills!G25*IF(Skills!H25&gt;0,Skills!I25/Skills!H25,1)</f>
        <v/>
      </c>
      <c r="H800">
        <f>1-(1-Skills!J25/100)^Skills!K25</f>
        <v/>
      </c>
      <c r="I800" t="inlineStr">
        <is>
          <t>1</t>
        </is>
      </c>
      <c r="J800" t="inlineStr"/>
      <c r="K800" t="inlineStr"/>
      <c r="L800" t="inlineStr"/>
      <c r="M800" t="inlineStr"/>
      <c r="N800" t="inlineStr"/>
      <c r="O800">
        <f>(1-Summary!$B$11)*T800+Summary!$B$11*V800</f>
        <v/>
      </c>
      <c r="P800">
        <f>IF(B816=0,0,O800/B816)</f>
        <v/>
      </c>
      <c r="Q800" t="n">
        <v>0</v>
      </c>
      <c r="R800" t="n">
        <v>0</v>
      </c>
      <c r="S800">
        <f>IFERROR(O800/N800,0)</f>
        <v/>
      </c>
      <c r="T800" t="n">
        <v>0</v>
      </c>
      <c r="V800" t="n">
        <v>0</v>
      </c>
    </row>
    <row r="801">
      <c r="A801">
        <f>Skills!A26</f>
        <v/>
      </c>
      <c r="B801">
        <f>Skills!B26</f>
        <v/>
      </c>
      <c r="C801">
        <f>Inputs!$B$3&gt;=75</f>
        <v/>
      </c>
      <c r="D801">
        <f>IF(Skills!C26=1,60+(Inputs!$B$25+1)+Inputs!$B$29,IF(Skills!C26=2,90+Inputs!$B$26+Inputs!$B$29,IF(Skills!C26=3,120+Inputs!$B$27+Inputs!$B$29,MAX(0,(Inputs!$B$3-100)*3)+Inputs!$B$28+Inputs!$B$29)))</f>
        <v/>
      </c>
      <c r="E801">
        <f>INDEX(FactorTable!$B$2:$Y$301, MATCH(ROUND(MIN(300,MAX(1,D801)),0), FactorTable!$A$2:$A$301,0), Skills!M26+1)</f>
        <v/>
      </c>
      <c r="F801">
        <f>IF(Skills!N26=TRUE,(Skills!L26/10)*(E801/1000),Skills!L26/10)+Skills!O26</f>
        <v/>
      </c>
      <c r="G801">
        <f>Skills!G26*IF(Skills!H26&gt;0,Skills!I26/Skills!H26,1)</f>
        <v/>
      </c>
      <c r="H801">
        <f>1-(1-Skills!J26/100)^Skills!K26</f>
        <v/>
      </c>
      <c r="I801" t="inlineStr">
        <is>
          <t>1</t>
        </is>
      </c>
      <c r="J801" t="inlineStr"/>
      <c r="K801" t="inlineStr"/>
      <c r="L801" t="inlineStr"/>
      <c r="M801" t="inlineStr"/>
      <c r="N801" t="inlineStr"/>
      <c r="O801">
        <f>(1-Summary!$B$11)*T801+Summary!$B$11*V801</f>
        <v/>
      </c>
      <c r="P801">
        <f>IF(B816=0,0,O801/B816)</f>
        <v/>
      </c>
      <c r="Q801" t="n">
        <v>0</v>
      </c>
      <c r="R801" t="n">
        <v>0</v>
      </c>
      <c r="S801">
        <f>IFERROR(O801/N801,0)</f>
        <v/>
      </c>
      <c r="T801" t="n">
        <v>0</v>
      </c>
      <c r="V801" t="n">
        <v>0</v>
      </c>
    </row>
    <row r="802">
      <c r="A802">
        <f>Skills!A27</f>
        <v/>
      </c>
      <c r="B802">
        <f>Skills!B27</f>
        <v/>
      </c>
      <c r="C802">
        <f>Inputs!$B$3&gt;=117</f>
        <v/>
      </c>
      <c r="D802">
        <f>IF(Skills!C27=1,60+(Inputs!$B$25+1)+Inputs!$B$29,IF(Skills!C27=2,90+Inputs!$B$26+Inputs!$B$29,IF(Skills!C27=3,120+Inputs!$B$27+Inputs!$B$29,MAX(0,(Inputs!$B$3-100)*3)+Inputs!$B$28+Inputs!$B$29)))</f>
        <v/>
      </c>
      <c r="E802">
        <f>INDEX(FactorTable!$B$2:$Y$301, MATCH(ROUND(MIN(300,MAX(1,D802)),0), FactorTable!$A$2:$A$301,0), Skills!M27+1)</f>
        <v/>
      </c>
      <c r="F802">
        <f>IF(Skills!N27=TRUE,(Skills!L27/10)*(E802/1000),Skills!L27/10)+Skills!O27</f>
        <v/>
      </c>
      <c r="G802">
        <f>Skills!G27*IF(Skills!H27&gt;0,Skills!I27/Skills!H27,1)</f>
        <v/>
      </c>
      <c r="H802">
        <f>1-(1-Skills!J27/100)^Skills!K27</f>
        <v/>
      </c>
      <c r="I802" t="inlineStr">
        <is>
          <t>1</t>
        </is>
      </c>
      <c r="J802" t="inlineStr"/>
      <c r="K802" t="inlineStr"/>
      <c r="L802" t="inlineStr"/>
      <c r="M802" t="inlineStr"/>
      <c r="N802" t="inlineStr"/>
      <c r="O802">
        <f>(1-Summary!$B$11)*T802+Summary!$B$11*V802</f>
        <v/>
      </c>
      <c r="P802">
        <f>IF(B816=0,0,O802/B816)</f>
        <v/>
      </c>
      <c r="Q802" t="n">
        <v>0</v>
      </c>
      <c r="R802" t="n">
        <v>0</v>
      </c>
      <c r="S802">
        <f>IFERROR(O802/N802,0)</f>
        <v/>
      </c>
      <c r="T802" t="n">
        <v>0</v>
      </c>
      <c r="V802" t="n">
        <v>0</v>
      </c>
    </row>
    <row r="803">
      <c r="A803">
        <f>Skills!A28</f>
        <v/>
      </c>
      <c r="B803">
        <f>Skills!B28</f>
        <v/>
      </c>
      <c r="C803">
        <f>TRUE</f>
        <v/>
      </c>
      <c r="D803">
        <f>IF(Skills!C28=1,60+(Inputs!$B$25+1)+Inputs!$B$29,IF(Skills!C28=2,90+Inputs!$B$26+Inputs!$B$29,IF(Skills!C28=3,120+Inputs!$B$27+Inputs!$B$29,MAX(0,(Inputs!$B$3-100)*3)+Inputs!$B$28+Inputs!$B$29)))</f>
        <v/>
      </c>
      <c r="E803">
        <f>INDEX(FactorTable!$B$2:$Y$301, MATCH(ROUND(MIN(300,MAX(1,D803)),0), FactorTable!$A$2:$A$301,0), Skills!M28+1)</f>
        <v/>
      </c>
      <c r="F803">
        <f>IF(Skills!N28=TRUE,(Skills!L28/10)*(E803/1000),Skills!L28/10)+Skills!O28</f>
        <v/>
      </c>
      <c r="G803">
        <f>Skills!G28*IF(Skills!H28&gt;0,Skills!I28/Skills!H28,1)</f>
        <v/>
      </c>
      <c r="H803">
        <f>1-(1-Skills!J28/100)^Skills!K28</f>
        <v/>
      </c>
      <c r="I803" t="inlineStr">
        <is>
          <t>1</t>
        </is>
      </c>
      <c r="J803" t="inlineStr"/>
      <c r="K803" t="inlineStr"/>
      <c r="L803" t="inlineStr"/>
      <c r="M803" t="inlineStr"/>
      <c r="N803" t="inlineStr"/>
      <c r="O803">
        <f>(1-Summary!$B$11)*T803+Summary!$B$11*V803</f>
        <v/>
      </c>
      <c r="P803">
        <f>IF(B816=0,0,O803/B816)</f>
        <v/>
      </c>
      <c r="Q803">
        <f>IFERROR(1/(IF(Inputs!$B$38="pvp",15,MAX(0.1,Skills!D28-IF(Skills!E28=TRUE,Inputs!$B$32,0)))*(1-IF(AND(ArtifactsInput!$M$27,Inputs!$B$4="Chapter Hunt"),CHOOSE(ArtifactsInput!$N$27+1,20,24,28,32,36,40),0)/100)),0)</f>
        <v/>
      </c>
      <c r="R803">
        <f>IF(AND(Inputs!$B$38&lt;&gt;"pvp",Inputs!$B$43&gt;0),IF(Inputs!$B$43&lt;=0,0,(INT(Inputs!$B$43/(IF(Inputs!$B$38="pvp",15,MAX(0.1,Skills!D28-IF(Skills!E28=TRUE,Inputs!$B$32,0)))*(1-IF(AND(ArtifactsInput!$M$27,Inputs!$B$4="Chapter Hunt"),CHOOSE(ArtifactsInput!$N$27+1,20,24,28,32,36,40),0)/100)))+1)),0)</f>
        <v/>
      </c>
      <c r="S803">
        <f>IFERROR(O803/N803,0)</f>
        <v/>
      </c>
      <c r="T803" t="n">
        <v>0</v>
      </c>
      <c r="V803" t="n">
        <v>0</v>
      </c>
    </row>
    <row r="805">
      <c r="A805" t="inlineStr">
        <is>
          <t>Attack% Bucket Multiplier</t>
        </is>
      </c>
      <c r="B805">
        <f>(1+(((C792=TRUE)*F792*5/7)+((C799=TRUE)*(F799-Calc!F24))+(IF(ArtifactsInput!$M$21,CHOOSE(ArtifactsInput!$N$21+1,25,30,35,40,45,50)*(IF(OR(Inputs!$B$4="Chapter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06">
      <c r="A806" t="inlineStr">
        <is>
          <t>Global Crit Rate Bonus %</t>
        </is>
      </c>
      <c r="B806" t="n">
        <v>0</v>
      </c>
    </row>
    <row r="807">
      <c r="A807" t="inlineStr">
        <is>
          <t>Attack Speed Buff Bonus % (Nimble Feet, duty-cycle averaged)</t>
        </is>
      </c>
      <c r="B807">
        <f>((C803=TRUE)*F803*IF(AND(Inputs!$B$38&lt;&gt;"pvp",Inputs!$B$43&gt;0),(((R803-1)*(Skills!T28*(1+Inputs!$B$34/100))+MIN((Skills!T28*(1+Inputs!$B$34/100)),MAX(0,Inputs!$B$43-((R803-1)*Skills!D28))))/Inputs!$B$43),IF(Inputs!$B$38="pvp",MIN((Skills!T28*(1+Inputs!$B$34/100)),15)/15,(Skills!T28*(1+Inputs!$B$34/100))/Skills!D28)))</f>
        <v/>
      </c>
    </row>
    <row r="808">
      <c r="A808" t="inlineStr">
        <is>
          <t>Actions Per Second</t>
        </is>
      </c>
      <c r="B808">
        <f>1+MIN(150,150*(1-(1-(Inputs!$B$11+((C795=TRUE)*(F795-Calc!F20))+((C796=TRUE)*(F796-Calc!F21)))/150)*(1-B807/150)))/100</f>
        <v/>
      </c>
    </row>
    <row r="809">
      <c r="A809" t="inlineStr">
        <is>
          <t>Skill + Buff Cast Rate</t>
        </is>
      </c>
      <c r="B809">
        <f>IF(AND(Inputs!$B$38&lt;&gt;"pvp",Inputs!$B$43&gt;0),SUMPRODUCT((Skills!E2:E28=TRUE)*(C777:C803=TRUE)*R777:R803*Skills!F2:F28)/Inputs!$B$43,SUMPRODUCT((Skills!E2:E28=TRUE)*(C777:C803=TRUE)*Q777:Q803*Skills!F2:F28))</f>
        <v/>
      </c>
    </row>
    <row r="810">
      <c r="A810" t="inlineStr">
        <is>
          <t>Eight-Legs Easton Casts Per Second</t>
        </is>
      </c>
      <c r="B810">
        <f>MAX(0,B808-B809)</f>
        <v/>
      </c>
    </row>
    <row r="811">
      <c r="A811" t="inlineStr">
        <is>
          <t>Global Critical Damage Bonus % (unused)</t>
        </is>
      </c>
      <c r="B811" t="n">
        <v>0</v>
      </c>
    </row>
    <row r="812">
      <c r="A812" t="inlineStr">
        <is>
          <t>Global Final Damage Bonus % (Jolly Roger + Ahoy Mateys - Final Damage proc)</t>
        </is>
      </c>
      <c r="B812">
        <f>((C793=TRUE)*F793*IF(AND(Inputs!$B$38&lt;&gt;"pvp",Inputs!$B$43&gt;0),(((R793-1)*(Skills!T18*(1+Inputs!$B$34/100))+MIN((Skills!T18*(1+Inputs!$B$34/100)),MAX(0,Inputs!$B$43-((R793-1)*Skills!D18))))/Inputs!$B$43),IF(Inputs!$B$38="pvp",MIN((Skills!T18*(1+Inputs!$B$34/100)),15)/15,(Skills!T18*(1+Inputs!$B$34/100))/Skills!D18)))+IF(Inputs!$B$3&gt;=122,20*IF(Inputs!$B$38="pvp",MIN((20*(1+Inputs!$B$34/100)),15)/15,(20*(1+Inputs!$B$34/100))/Skills!D4),0)</f>
        <v/>
      </c>
    </row>
    <row r="813">
      <c r="A813" t="inlineStr">
        <is>
          <t>Buff-Casting Startup Delay (s, fixed-duration only)</t>
        </is>
      </c>
      <c r="B813">
        <f>IF(AND(Inputs!$B$38&lt;&gt;"pvp",Inputs!$B$43&gt;0),SUMPRODUCT((Skills!T2:T28&gt;0)*(Skills!E2:E28=TRUE)*(C777:C803=TRUE))/B808,0)</f>
        <v/>
      </c>
    </row>
    <row r="814">
      <c r="A814" t="inlineStr">
        <is>
          <t>Boss-Only Total DPS (this block's swept value)</t>
        </is>
      </c>
      <c r="B814">
        <f>SUM(T777:T803)</f>
        <v/>
      </c>
    </row>
    <row r="815">
      <c r="A815" t="inlineStr">
        <is>
          <t>Normal-Only Total DPS (this block's swept value)</t>
        </is>
      </c>
      <c r="B815">
        <f>SUM(V777:V803)</f>
        <v/>
      </c>
    </row>
    <row r="816">
      <c r="A816" s="6" t="inlineStr">
        <is>
          <t>TOTAL DPS</t>
        </is>
      </c>
      <c r="B816" s="6">
        <f>SUM(O777:O803)</f>
        <v/>
      </c>
    </row>
    <row r="819">
      <c r="A819" s="6" t="inlineStr">
        <is>
          <t>Stat: Skill Level Bonus — 2nd Job</t>
        </is>
      </c>
    </row>
    <row r="820">
      <c r="A820" s="5" t="inlineStr">
        <is>
          <t>Key</t>
        </is>
      </c>
      <c r="B820" s="5" t="inlineStr">
        <is>
          <t>Name</t>
        </is>
      </c>
      <c r="C820" s="5" t="inlineStr">
        <is>
          <t>Unlocked</t>
        </is>
      </c>
      <c r="D820" s="5" t="inlineStr">
        <is>
          <t>InputLevel</t>
        </is>
      </c>
      <c r="E820" s="5" t="inlineStr">
        <is>
          <t>Factor</t>
        </is>
      </c>
      <c r="F820" s="5" t="inlineStr">
        <is>
          <t>CoefficientPercent</t>
        </is>
      </c>
      <c r="G820" s="5" t="inlineStr">
        <is>
          <t>EffectiveHits</t>
        </is>
      </c>
      <c r="H820" s="5" t="inlineStr">
        <is>
          <t>ProcProbability</t>
        </is>
      </c>
      <c r="I820" s="5" t="inlineStr">
        <is>
          <t>MapleHeroMultiplier</t>
        </is>
      </c>
      <c r="J820" s="5" t="inlineStr">
        <is>
          <t>BaseDamage</t>
        </is>
      </c>
      <c r="K820" s="5" t="inlineStr">
        <is>
          <t>BaseHitDamage</t>
        </is>
      </c>
      <c r="L820" s="5" t="inlineStr">
        <is>
          <t>NonCritAvg</t>
        </is>
      </c>
      <c r="M820" s="5" t="inlineStr">
        <is>
          <t>CritAvg</t>
        </is>
      </c>
      <c r="N820" s="5" t="inlineStr">
        <is>
          <t>ExpectedDamage(perHit)</t>
        </is>
      </c>
      <c r="O820" s="5" t="inlineStr">
        <is>
          <t>DPS</t>
        </is>
      </c>
      <c r="P820" s="5" t="inlineStr">
        <is>
          <t>% of Total</t>
        </is>
      </c>
      <c r="Q820" s="5" t="inlineStr">
        <is>
          <t>InvCooldown</t>
        </is>
      </c>
      <c r="R820" s="5" t="inlineStr">
        <is>
          <t>CastsInFight</t>
        </is>
      </c>
      <c r="S820" s="5" t="inlineStr">
        <is>
          <t>HitRate(perSec)</t>
        </is>
      </c>
      <c r="U820" t="inlineStr">
        <is>
          <t>helpers</t>
        </is>
      </c>
    </row>
    <row r="821">
      <c r="A821">
        <f>Skills!A2</f>
        <v/>
      </c>
      <c r="B821">
        <f>Skills!B2</f>
        <v/>
      </c>
      <c r="C821">
        <f>Inputs!$B$3&gt;=100</f>
        <v/>
      </c>
      <c r="D821" t="inlineStr"/>
      <c r="E821" t="inlineStr"/>
      <c r="F821">
        <f>U823+Skills!O2</f>
        <v/>
      </c>
      <c r="G821">
        <f>Skills!G2*IF(Skills!H2&gt;0,Skills!I2/Skills!H2,1)</f>
        <v/>
      </c>
      <c r="H821">
        <f>1-(1-Skills!J2/100)^Skills!K2</f>
        <v/>
      </c>
      <c r="I821" t="inlineStr">
        <is>
          <t>1</t>
        </is>
      </c>
      <c r="J821">
        <f>((Inputs!$B$6*(1+Inputs!$B$7/100))+(((Inputs!$B$12*(1+Inputs!$B$13/100))-(Inputs!$B$12*(1+Inputs!$B$13/100)))+0.25*(Inputs!$B$14-Inputs!$B$14))*(1+Inputs!$B$7/100))*(F821/100)</f>
        <v/>
      </c>
      <c r="K821">
        <f>J821*(1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821)</f>
        <v/>
      </c>
      <c r="L821">
        <f>K821*(MIN(Inputs!$B$22+((C841=TRUE)*(F841-Calc!F22)),(Inputs!$B$23+0+(IF(ArtifactsInput!$M$15,CHOOSE(ArtifactsInput!$N$15+1,25,30,35,40,45,50)/100*(Inputs!$B$11-Inputs!$B$11),0))))/100+(Inputs!$B$23+0+(IF(ArtifactsInput!$M$15,CHOOSE(ArtifactsInput!$N$15+1,25,30,35,40,45,50)/100*(Inputs!$B$11-Inputs!$B$11),0)))/100)/2</f>
        <v/>
      </c>
      <c r="M821">
        <f>L821*(1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1">
        <f>L821*(1-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1">
        <f>(1-Summary!$B$11)*T821+Summary!$B$11*V821</f>
        <v/>
      </c>
      <c r="P821">
        <f>IF(B860=0,0,O821/B860)</f>
        <v/>
      </c>
      <c r="Q821" t="n">
        <v>0</v>
      </c>
      <c r="R821" t="n">
        <v>0</v>
      </c>
      <c r="S821">
        <f>IFERROR(O821/N821,0)</f>
        <v/>
      </c>
      <c r="T821">
        <f>IF(C821,(Skills!G2*N821*B854)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1">
        <f>MAX(0,(Inputs!$B$3-100)*3)+Inputs!$B$28+Inputs!$B$29</f>
        <v/>
      </c>
      <c r="V821">
        <f>IF(C821,(Skills!G2*N821*B854)*IF(Inputs!$B$38="pvp",1,(1+(Inputs!$B$21+Skills!Q2+(IF(ArtifactsInput!$M$33,CHOOSE(ArtifactsInput!$N$33+1,30,36,42,48,54,60),0))+(IF(AND(ArtifactsInput!$M$35,Inputs!$B$4&lt;&gt;"Chapter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2">
      <c r="A822">
        <f>Skills!A3</f>
        <v/>
      </c>
      <c r="B822">
        <f>Skills!B3</f>
        <v/>
      </c>
      <c r="C822">
        <f>Inputs!$B$3&gt;=35</f>
        <v/>
      </c>
      <c r="D822">
        <f>IF(Skills!C3=1,60+Inputs!$B$25+Inputs!$B$29,IF(Skills!C3=2,90+(Inputs!$B$26+1)+Inputs!$B$29,IF(Skills!C3=3,120+Inputs!$B$27+Inputs!$B$29,MAX(0,(Inputs!$B$3-100)*3)+Inputs!$B$28+Inputs!$B$29)))</f>
        <v/>
      </c>
      <c r="E822">
        <f>INDEX(FactorTable!$B$2:$Y$301, MATCH(ROUND(MIN(300,MAX(1,D822)),0), FactorTable!$A$2:$A$301,0), Skills!M3+1)</f>
        <v/>
      </c>
      <c r="F822">
        <f>IF(Skills!N3=TRUE,(Skills!L3/10)*(E822/1000),Skills!L3/10)+Skills!O3</f>
        <v/>
      </c>
      <c r="G822">
        <f>Skills!G3*IF(Skills!H3&gt;0,Skills!I3/Skills!H3,1)</f>
        <v/>
      </c>
      <c r="H822">
        <f>1-(1-Skills!J3/100)^Skills!K3</f>
        <v/>
      </c>
      <c r="I822" t="inlineStr">
        <is>
          <t>1</t>
        </is>
      </c>
      <c r="J822">
        <f>((Inputs!$B$6*(1+Inputs!$B$7/100))+(((Inputs!$B$12*(1+Inputs!$B$13/100))-(Inputs!$B$12*(1+Inputs!$B$13/100)))+0.25*(Inputs!$B$14-Inputs!$B$14))*(1+Inputs!$B$7/100))*(F822/100)</f>
        <v/>
      </c>
      <c r="K822">
        <f>J822*(1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834=TRUE,F834,0)/100)*(1+(IF(Skills!A3="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822)</f>
        <v/>
      </c>
      <c r="L822">
        <f>K822*(MIN(Inputs!$B$22+((C841=TRUE)*(F841-Calc!F22)),(Inputs!$B$23+0+(IF(ArtifactsInput!$M$15,CHOOSE(ArtifactsInput!$N$15+1,25,30,35,40,45,50)/100*(Inputs!$B$11-Inputs!$B$11),0))))/100+(Inputs!$B$23+0+(IF(ArtifactsInput!$M$15,CHOOSE(ArtifactsInput!$N$15+1,25,30,35,40,45,50)/100*(Inputs!$B$11-Inputs!$B$11),0)))/100)/2</f>
        <v/>
      </c>
      <c r="M822">
        <f>L822*(1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2">
        <f>L822*(1-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822*(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2">
        <f>(1-Summary!$B$11)*T822+Summary!$B$11*V822</f>
        <v/>
      </c>
      <c r="P822">
        <f>IF(B860=0,0,O822/B860)</f>
        <v/>
      </c>
      <c r="Q822">
        <f>IFERROR(1/(IF(Inputs!$B$38="pvp",15,MAX(0.1,Skills!D3-IF(Skills!E3=TRUE,Inputs!$B$32,0)))*(1-IF(AND(ArtifactsInput!$M$27,Inputs!$B$4="Chapter Hunt"),CHOOSE(ArtifactsInput!$N$27+1,20,24,28,32,36,40),0)/100)),0)</f>
        <v/>
      </c>
      <c r="R822">
        <f>IF(AND(Inputs!$B$38&lt;&gt;"pvp",Inputs!$B$43&gt;0),IF(MAX(0,Inputs!$B$43-B857)&lt;=0,0,(INT(MAX(0,Inputs!$B$43-B857)/(IF(Inputs!$B$38="pvp",15,MAX(0.1,Skills!D3-IF(Skills!E3=TRUE,Inputs!$B$32,0)))*(1-IF(AND(ArtifactsInput!$M$27,Inputs!$B$4="Chapter Hunt"),CHOOSE(ArtifactsInput!$N$27+1,20,24,28,32,36,40),0)/100)))+1)),0)</f>
        <v/>
      </c>
      <c r="S822">
        <f>IFERROR(O822/N822,0)</f>
        <v/>
      </c>
      <c r="T822">
        <f>IF(C822,(H822*N822*IF(AND(Inputs!$B$38&lt;&gt;"pvp",Inputs!$B$43&gt;0),((Skills!G3*((R822-1)*IF(Skills!H3&gt;0,Skills!I3/Skills!H3,1)+IF(Skills!H3&gt;0,MIN(Skills!I3,MAX(0,MAX(0,Inputs!$B$43-B857)-((R822-1)*(IF(Inputs!$B$38="pvp",15,MAX(0.1,Skills!D3-IF(Skills!E3=TRUE,Inputs!$B$32,0)))*(1-IF(AND(ArtifactsInput!$M$27,Inputs!$B$4="Chapter Hunt"),CHOOSE(ArtifactsInput!$N$27+1,20,24,28,32,36,40),0)/100)))))/Skills!H3,1)))/Inputs!$B$43),G822*Q822)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822*(1-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822*(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822*(1-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822*(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2">
        <f>INDEX(FactorTable!$B$2:$Y$301, MATCH(ROUND(MIN(300,MAX(1,U821)),0), FactorTable!$A$2:$A$301,0), 22)</f>
        <v/>
      </c>
      <c r="V822">
        <f>IF(C822,(H822*N822*IF(AND(Inputs!$B$38&lt;&gt;"pvp",Inputs!$B$43&gt;0),((Skills!G3*((R822-1)*IF(Skills!H3&gt;0,Skills!I3/Skills!H3,1)+IF(Skills!H3&gt;0,MIN(Skills!I3,MAX(0,MAX(0,Inputs!$B$43-B857)-((R822-1)*(IF(Inputs!$B$38="pvp",15,MAX(0.1,Skills!D3-IF(Skills!E3=TRUE,Inputs!$B$32,0)))*(1-IF(AND(ArtifactsInput!$M$27,Inputs!$B$4="Chapter Hunt"),CHOOSE(ArtifactsInput!$N$27+1,20,24,28,32,36,40),0)/100)))))/Skills!H3,1)))/Inputs!$B$43),G822*Q822))*IF(Inputs!$B$38="pvp",1,(1+(Inputs!$B$21+Skills!Q3+(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3">
      <c r="A823">
        <f>Skills!A4</f>
        <v/>
      </c>
      <c r="B823">
        <f>Skills!B4</f>
        <v/>
      </c>
      <c r="C823">
        <f>Inputs!$B$3&gt;=40</f>
        <v/>
      </c>
      <c r="D823">
        <f>IF(Skills!C4=1,60+Inputs!$B$25+Inputs!$B$29,IF(Skills!C4=2,90+(Inputs!$B$26+1)+Inputs!$B$29,IF(Skills!C4=3,120+Inputs!$B$27+Inputs!$B$29,MAX(0,(Inputs!$B$3-100)*3)+Inputs!$B$28+Inputs!$B$29)))</f>
        <v/>
      </c>
      <c r="E823">
        <f>INDEX(FactorTable!$B$2:$Y$301, MATCH(ROUND(MIN(300,MAX(1,D823)),0), FactorTable!$A$2:$A$301,0), Skills!M4+1)</f>
        <v/>
      </c>
      <c r="F823">
        <f>IF(Skills!N4=TRUE,(Skills!L4/10)*(E823/1000),Skills!L4/10)+Skills!O4</f>
        <v/>
      </c>
      <c r="G823">
        <f>Skills!G4*IF(Skills!H4&gt;0,Skills!I4/Skills!H4,1)</f>
        <v/>
      </c>
      <c r="H823">
        <f>1-(1-Skills!J4/100)^Skills!K4</f>
        <v/>
      </c>
      <c r="I823" t="inlineStr">
        <is>
          <t>1</t>
        </is>
      </c>
      <c r="J823">
        <f>((Inputs!$B$6*(1+Inputs!$B$7/100))+(((Inputs!$B$12*(1+Inputs!$B$13/100))-(Inputs!$B$12*(1+Inputs!$B$13/100)))+0.25*(Inputs!$B$14-Inputs!$B$14))*(1+Inputs!$B$7/100))*(F823/100)</f>
        <v/>
      </c>
      <c r="K823">
        <f>J823*(1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835=TRUE,F835,0)/100)*(1+(IF(Skills!A4="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823)</f>
        <v/>
      </c>
      <c r="L823">
        <f>K823*(MIN(Inputs!$B$22+((C841=TRUE)*(F841-Calc!F22)),(Inputs!$B$23+0+(IF(ArtifactsInput!$M$15,CHOOSE(ArtifactsInput!$N$15+1,25,30,35,40,45,50)/100*(Inputs!$B$11-Inputs!$B$11),0))))/100+(Inputs!$B$23+0+(IF(ArtifactsInput!$M$15,CHOOSE(ArtifactsInput!$N$15+1,25,30,35,40,45,50)/100*(Inputs!$B$11-Inputs!$B$11),0)))/100)/2</f>
        <v/>
      </c>
      <c r="M823">
        <f>L823*(1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3">
        <f>L823*(1-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823*(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3">
        <f>(1-Summary!$B$11)*T823+Summary!$B$11*V823</f>
        <v/>
      </c>
      <c r="P823">
        <f>IF(B860=0,0,O823/B860)</f>
        <v/>
      </c>
      <c r="Q823">
        <f>IFERROR(1/(IF(Inputs!$B$38="pvp",15,MAX(0.1,Skills!D4-IF(Skills!E4=TRUE,Inputs!$B$32,0)))*(1-IF(AND(ArtifactsInput!$M$27,Inputs!$B$4="Chapter Hunt"),CHOOSE(ArtifactsInput!$N$27+1,20,24,28,32,36,40),0)/100)),0)</f>
        <v/>
      </c>
      <c r="R823">
        <f>IF(AND(Inputs!$B$38&lt;&gt;"pvp",Inputs!$B$43&gt;0),IF(MAX(0,Inputs!$B$43-B857)&lt;=0,0,(INT(MAX(0,Inputs!$B$43-B857)/(IF(Inputs!$B$38="pvp",15,MAX(0.1,Skills!D4-IF(Skills!E4=TRUE,Inputs!$B$32,0)))*(1-IF(AND(ArtifactsInput!$M$27,Inputs!$B$4="Chapter Hunt"),CHOOSE(ArtifactsInput!$N$27+1,20,24,28,32,36,40),0)/100)))+1)),0)</f>
        <v/>
      </c>
      <c r="S823">
        <f>IFERROR(O823/N823,0)</f>
        <v/>
      </c>
      <c r="T823">
        <f>IF(C823,(H823*N823*IF(AND(Inputs!$B$38&lt;&gt;"pvp",Inputs!$B$43&gt;0),((Skills!G4*((R823-1)*IF(Skills!H4&gt;0,Skills!I4/Skills!H4,1)+IF(Skills!H4&gt;0,MIN(Skills!I4,MAX(0,MAX(0,Inputs!$B$43-B857)-((R823-1)*(IF(Inputs!$B$38="pvp",15,MAX(0.1,Skills!D4-IF(Skills!E4=TRUE,Inputs!$B$32,0)))*(1-IF(AND(ArtifactsInput!$M$27,Inputs!$B$4="Chapter Hunt"),CHOOSE(ArtifactsInput!$N$27+1,20,24,28,32,36,40),0)/100)))))/Skills!H4,1)))/Inputs!$B$43),G823*Q823)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823*(1-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823*(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823*(1-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823*(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3">
        <f>290*U822/1000</f>
        <v/>
      </c>
      <c r="V823">
        <f>IF(C823,(H823*N823*IF(AND(Inputs!$B$38&lt;&gt;"pvp",Inputs!$B$43&gt;0),((Skills!G4*((R823-1)*IF(Skills!H4&gt;0,Skills!I4/Skills!H4,1)+IF(Skills!H4&gt;0,MIN(Skills!I4,MAX(0,MAX(0,Inputs!$B$43-B857)-((R823-1)*(IF(Inputs!$B$38="pvp",15,MAX(0.1,Skills!D4-IF(Skills!E4=TRUE,Inputs!$B$32,0)))*(1-IF(AND(ArtifactsInput!$M$27,Inputs!$B$4="Chapter Hunt"),CHOOSE(ArtifactsInput!$N$27+1,20,24,28,32,36,40),0)/100)))))/Skills!H4,1)))/Inputs!$B$43),G823*Q823))*IF(Inputs!$B$38="pvp",1,(1+(Inputs!$B$21+Skills!Q4+(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4">
      <c r="A824">
        <f>Skills!A5</f>
        <v/>
      </c>
      <c r="B824">
        <f>Skills!B5</f>
        <v/>
      </c>
      <c r="C824">
        <f>Inputs!$B$3&gt;=45</f>
        <v/>
      </c>
      <c r="D824">
        <f>IF(Skills!C5=1,60+Inputs!$B$25+Inputs!$B$29,IF(Skills!C5=2,90+(Inputs!$B$26+1)+Inputs!$B$29,IF(Skills!C5=3,120+Inputs!$B$27+Inputs!$B$29,MAX(0,(Inputs!$B$3-100)*3)+Inputs!$B$28+Inputs!$B$29)))</f>
        <v/>
      </c>
      <c r="E824">
        <f>INDEX(FactorTable!$B$2:$Y$301, MATCH(ROUND(MIN(300,MAX(1,D824)),0), FactorTable!$A$2:$A$301,0), Skills!M5+1)</f>
        <v/>
      </c>
      <c r="F824">
        <f>IF(Skills!N5=TRUE,(Skills!L5/10)*(E824/1000),Skills!L5/10)+Skills!O5</f>
        <v/>
      </c>
      <c r="G824">
        <f>Skills!G5*IF(Skills!H5&gt;0,Skills!I5/Skills!H5,1)</f>
        <v/>
      </c>
      <c r="H824">
        <f>1-(1-Skills!J5/100)^Skills!K5</f>
        <v/>
      </c>
      <c r="I824" t="inlineStr">
        <is>
          <t>1</t>
        </is>
      </c>
      <c r="J824">
        <f>((Inputs!$B$6*(1+Inputs!$B$7/100))+(((Inputs!$B$12*(1+Inputs!$B$13/100))-(Inputs!$B$12*(1+Inputs!$B$13/100)))+0.25*(Inputs!$B$14-Inputs!$B$14))*(1+Inputs!$B$7/100))*(F824/100)</f>
        <v/>
      </c>
      <c r="K824">
        <f>J824*(1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835=TRUE,F835,0)/100)*(1+(IF(Skills!A5="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824)</f>
        <v/>
      </c>
      <c r="L824">
        <f>K824*(MIN(Inputs!$B$22+((C841=TRUE)*(F841-Calc!F22)),(Inputs!$B$23+0+(IF(ArtifactsInput!$M$15,CHOOSE(ArtifactsInput!$N$15+1,25,30,35,40,45,50)/100*(Inputs!$B$11-Inputs!$B$11),0))))/100+(Inputs!$B$23+0+(IF(ArtifactsInput!$M$15,CHOOSE(ArtifactsInput!$N$15+1,25,30,35,40,45,50)/100*(Inputs!$B$11-Inputs!$B$11),0)))/100)/2</f>
        <v/>
      </c>
      <c r="M824">
        <f>L824*(1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4">
        <f>L824*(1-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824*(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4">
        <f>(1-Summary!$B$11)*T824+Summary!$B$11*V824</f>
        <v/>
      </c>
      <c r="P824">
        <f>IF(B860=0,0,O824/B860)</f>
        <v/>
      </c>
      <c r="Q824">
        <f>IFERROR(1/(IF(Inputs!$B$38="pvp",15,MAX(0.1,Skills!D5-IF(Skills!E5=TRUE,Inputs!$B$32,0)))*(1-IF(AND(ArtifactsInput!$M$27,Inputs!$B$4="Chapter Hunt"),CHOOSE(ArtifactsInput!$N$27+1,20,24,28,32,36,40),0)/100)),0)</f>
        <v/>
      </c>
      <c r="R824">
        <f>IF(AND(Inputs!$B$38&lt;&gt;"pvp",Inputs!$B$43&gt;0),IF(MAX(0,Inputs!$B$43-B857)&lt;=0,0,(INT(MAX(0,Inputs!$B$43-B857)/(IF(Inputs!$B$38="pvp",15,MAX(0.1,Skills!D5-IF(Skills!E5=TRUE,Inputs!$B$32,0)))*(1-IF(AND(ArtifactsInput!$M$27,Inputs!$B$4="Chapter Hunt"),CHOOSE(ArtifactsInput!$N$27+1,20,24,28,32,36,40),0)/100)))+1)),0)</f>
        <v/>
      </c>
      <c r="S824">
        <f>IFERROR(O824/N824,0)</f>
        <v/>
      </c>
      <c r="T824">
        <f>IF(C824,(H824*N824*IF(AND(Inputs!$B$38&lt;&gt;"pvp",Inputs!$B$43&gt;0),((Skills!G5*((R824-1)*IF(Skills!H5&gt;0,Skills!I5/Skills!H5,1)+IF(Skills!H5&gt;0,MIN(Skills!I5,MAX(0,MAX(0,Inputs!$B$43-B857)-((R824-1)*(IF(Inputs!$B$38="pvp",15,MAX(0.1,Skills!D5-IF(Skills!E5=TRUE,Inputs!$B$32,0)))*(1-IF(AND(ArtifactsInput!$M$27,Inputs!$B$4="Chapter Hunt"),CHOOSE(ArtifactsInput!$N$27+1,20,24,28,32,36,40),0)/100)))))/Skills!H5,1)))/Inputs!$B$43),G824*Q824)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824*(1-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824*(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824*(1-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824*(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4">
        <f>IF(C824,(H824*N824*IF(AND(Inputs!$B$38&lt;&gt;"pvp",Inputs!$B$43&gt;0),((Skills!G5*((R824-1)*IF(Skills!H5&gt;0,Skills!I5/Skills!H5,1)+IF(Skills!H5&gt;0,MIN(Skills!I5,MAX(0,MAX(0,Inputs!$B$43-B857)-((R824-1)*(IF(Inputs!$B$38="pvp",15,MAX(0.1,Skills!D5-IF(Skills!E5=TRUE,Inputs!$B$32,0)))*(1-IF(AND(ArtifactsInput!$M$27,Inputs!$B$4="Chapter Hunt"),CHOOSE(ArtifactsInput!$N$27+1,20,24,28,32,36,40),0)/100)))))/Skills!H5,1)))/Inputs!$B$43),G824*Q824))*IF(Inputs!$B$38="pvp",1,(1+(Inputs!$B$21+Skills!Q5+(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5">
      <c r="A825">
        <f>Skills!A6</f>
        <v/>
      </c>
      <c r="B825">
        <f>Skills!B6</f>
        <v/>
      </c>
      <c r="C825">
        <f>Inputs!$B$3&gt;=63</f>
        <v/>
      </c>
      <c r="D825">
        <f>IF(Skills!C6=1,60+Inputs!$B$25+Inputs!$B$29,IF(Skills!C6=2,90+(Inputs!$B$26+1)+Inputs!$B$29,IF(Skills!C6=3,120+Inputs!$B$27+Inputs!$B$29,MAX(0,(Inputs!$B$3-100)*3)+Inputs!$B$28+Inputs!$B$29)))</f>
        <v/>
      </c>
      <c r="E825">
        <f>INDEX(FactorTable!$B$2:$Y$301, MATCH(ROUND(MIN(300,MAX(1,D825)),0), FactorTable!$A$2:$A$301,0), Skills!M6+1)</f>
        <v/>
      </c>
      <c r="F825">
        <f>IF(Skills!N6=TRUE,(Skills!L6/10)*(E825/1000),Skills!L6/10)+Skills!O6</f>
        <v/>
      </c>
      <c r="G825">
        <f>Skills!G6*IF(Skills!H6&gt;0,Skills!I6/Skills!H6,1)</f>
        <v/>
      </c>
      <c r="H825">
        <f>1-(1-Skills!J6/100)^Skills!K6</f>
        <v/>
      </c>
      <c r="I825" t="inlineStr">
        <is>
          <t>1</t>
        </is>
      </c>
      <c r="J825">
        <f>((Inputs!$B$6*(1+Inputs!$B$7/100))+(((Inputs!$B$12*(1+Inputs!$B$13/100))-(Inputs!$B$12*(1+Inputs!$B$13/100)))+0.25*(Inputs!$B$14-Inputs!$B$14))*(1+Inputs!$B$7/100))*(F825/100)</f>
        <v/>
      </c>
      <c r="K825">
        <f>J825*(1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834=TRUE,F834,0)/100)*(1+(IF(Skills!A6="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825)</f>
        <v/>
      </c>
      <c r="L825">
        <f>K825*(MIN(Inputs!$B$22+((C841=TRUE)*(F841-Calc!F22)),(Inputs!$B$23+0+(IF(ArtifactsInput!$M$15,CHOOSE(ArtifactsInput!$N$15+1,25,30,35,40,45,50)/100*(Inputs!$B$11-Inputs!$B$11),0))))/100+(Inputs!$B$23+0+(IF(ArtifactsInput!$M$15,CHOOSE(ArtifactsInput!$N$15+1,25,30,35,40,45,50)/100*(Inputs!$B$11-Inputs!$B$11),0)))/100)/2</f>
        <v/>
      </c>
      <c r="M825">
        <f>L825*(1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5">
        <f>L825*(1-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825*(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5">
        <f>(1-Summary!$B$11)*T825+Summary!$B$11*V825</f>
        <v/>
      </c>
      <c r="P825">
        <f>IF(B860=0,0,O825/B860)</f>
        <v/>
      </c>
      <c r="Q825">
        <f>IFERROR(1/(IF(Inputs!$B$38="pvp",15,MAX(0.1,Skills!D6-IF(Skills!E6=TRUE,Inputs!$B$32,0)))*(1-IF(AND(ArtifactsInput!$M$27,Inputs!$B$4="Chapter Hunt"),CHOOSE(ArtifactsInput!$N$27+1,20,24,28,32,36,40),0)/100)),0)</f>
        <v/>
      </c>
      <c r="R825">
        <f>IF(AND(Inputs!$B$38&lt;&gt;"pvp",Inputs!$B$43&gt;0),IF(MAX(0,Inputs!$B$43-B857)&lt;=0,0,(INT(MAX(0,Inputs!$B$43-B857)/(IF(Inputs!$B$38="pvp",15,MAX(0.1,Skills!D6-IF(Skills!E6=TRUE,Inputs!$B$32,0)))*(1-IF(AND(ArtifactsInput!$M$27,Inputs!$B$4="Chapter Hunt"),CHOOSE(ArtifactsInput!$N$27+1,20,24,28,32,36,40),0)/100)))+1)),0)</f>
        <v/>
      </c>
      <c r="S825">
        <f>IFERROR(O825/N825,0)</f>
        <v/>
      </c>
      <c r="T825">
        <f>IF(C825,(H825*N825*IF(AND(Inputs!$B$38&lt;&gt;"pvp",Inputs!$B$43&gt;0),((Skills!G6*((R825-1)*IF(Skills!H6&gt;0,Skills!I6/Skills!H6,1)+IF(Skills!H6&gt;0,MIN(Skills!I6,MAX(0,MAX(0,Inputs!$B$43-B857)-((R825-1)*(IF(Inputs!$B$38="pvp",15,MAX(0.1,Skills!D6-IF(Skills!E6=TRUE,Inputs!$B$32,0)))*(1-IF(AND(ArtifactsInput!$M$27,Inputs!$B$4="Chapter Hunt"),CHOOSE(ArtifactsInput!$N$27+1,20,24,28,32,36,40),0)/100)))))/Skills!H6,1)))/Inputs!$B$43),G825*Q825)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825*(1-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825*(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825*(1-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825*(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5">
        <f>IF(C825,(H825*N825*IF(AND(Inputs!$B$38&lt;&gt;"pvp",Inputs!$B$43&gt;0),((Skills!G6*((R825-1)*IF(Skills!H6&gt;0,Skills!I6/Skills!H6,1)+IF(Skills!H6&gt;0,MIN(Skills!I6,MAX(0,MAX(0,Inputs!$B$43-B857)-((R825-1)*(IF(Inputs!$B$38="pvp",15,MAX(0.1,Skills!D6-IF(Skills!E6=TRUE,Inputs!$B$32,0)))*(1-IF(AND(ArtifactsInput!$M$27,Inputs!$B$4="Chapter Hunt"),CHOOSE(ArtifactsInput!$N$27+1,20,24,28,32,36,40),0)/100)))))/Skills!H6,1)))/Inputs!$B$43),G825*Q825))*IF(Inputs!$B$38="pvp",1,(1+(Inputs!$B$21+Skills!Q6+(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6">
      <c r="A826">
        <f>Skills!A7</f>
        <v/>
      </c>
      <c r="B826">
        <f>Skills!B7</f>
        <v/>
      </c>
      <c r="C826">
        <f>Inputs!$B$3&gt;=66</f>
        <v/>
      </c>
      <c r="D826">
        <f>IF(Skills!C7=1,60+Inputs!$B$25+Inputs!$B$29,IF(Skills!C7=2,90+(Inputs!$B$26+1)+Inputs!$B$29,IF(Skills!C7=3,120+Inputs!$B$27+Inputs!$B$29,MAX(0,(Inputs!$B$3-100)*3)+Inputs!$B$28+Inputs!$B$29)))</f>
        <v/>
      </c>
      <c r="E826">
        <f>INDEX(FactorTable!$B$2:$Y$301, MATCH(ROUND(MIN(300,MAX(1,D826)),0), FactorTable!$A$2:$A$301,0), Skills!M7+1)</f>
        <v/>
      </c>
      <c r="F826">
        <f>IF(Skills!N7=TRUE,(Skills!L7/10)*(E826/1000),Skills!L7/10)+Skills!O7</f>
        <v/>
      </c>
      <c r="G826">
        <f>Skills!G7*IF(Skills!H7&gt;0,Skills!I7/Skills!H7,1)</f>
        <v/>
      </c>
      <c r="H826">
        <f>1-(1-Skills!J7/100)^Skills!K7</f>
        <v/>
      </c>
      <c r="I826" t="inlineStr">
        <is>
          <t>1</t>
        </is>
      </c>
      <c r="J826">
        <f>((Inputs!$B$6*(1+Inputs!$B$7/100))+(((Inputs!$B$12*(1+Inputs!$B$13/100))-(Inputs!$B$12*(1+Inputs!$B$13/100)))+0.25*(Inputs!$B$14-Inputs!$B$14))*(1+Inputs!$B$7/100))*(F826/100)</f>
        <v/>
      </c>
      <c r="K826">
        <f>J826*(1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834=TRUE,F834,0)/100)*(1+(IF(Skills!A7="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826)</f>
        <v/>
      </c>
      <c r="L826">
        <f>K826*(MIN(Inputs!$B$22+((C841=TRUE)*(F841-Calc!F22)),(Inputs!$B$23+0+(IF(ArtifactsInput!$M$15,CHOOSE(ArtifactsInput!$N$15+1,25,30,35,40,45,50)/100*(Inputs!$B$11-Inputs!$B$11),0))))/100+(Inputs!$B$23+0+(IF(ArtifactsInput!$M$15,CHOOSE(ArtifactsInput!$N$15+1,25,30,35,40,45,50)/100*(Inputs!$B$11-Inputs!$B$11),0)))/100)/2</f>
        <v/>
      </c>
      <c r="M826">
        <f>L826*(1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6">
        <f>L826*(1-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826*(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6">
        <f>(1-Summary!$B$11)*T826+Summary!$B$11*V826</f>
        <v/>
      </c>
      <c r="P826">
        <f>IF(B860=0,0,O826/B860)</f>
        <v/>
      </c>
      <c r="Q826">
        <f>IFERROR(1/(IF(Inputs!$B$38="pvp",15,MAX(0.1,Skills!D7-IF(Skills!E7=TRUE,Inputs!$B$32,0)))*(1-IF(AND(ArtifactsInput!$M$27,Inputs!$B$4="Chapter Hunt"),CHOOSE(ArtifactsInput!$N$27+1,20,24,28,32,36,40),0)/100)),0)</f>
        <v/>
      </c>
      <c r="R826">
        <f>IF(AND(Inputs!$B$38&lt;&gt;"pvp",Inputs!$B$43&gt;0),IF(MAX(0,Inputs!$B$43-B857)&lt;=0,0,(INT(MAX(0,Inputs!$B$43-B857)/(IF(Inputs!$B$38="pvp",15,MAX(0.1,Skills!D7-IF(Skills!E7=TRUE,Inputs!$B$32,0)))*(1-IF(AND(ArtifactsInput!$M$27,Inputs!$B$4="Chapter Hunt"),CHOOSE(ArtifactsInput!$N$27+1,20,24,28,32,36,40),0)/100)))+1)),0)</f>
        <v/>
      </c>
      <c r="S826">
        <f>IFERROR(O826/N826,0)</f>
        <v/>
      </c>
      <c r="T826">
        <f>IF(C826,(H826*N826*IF(AND(Inputs!$B$38&lt;&gt;"pvp",Inputs!$B$43&gt;0),((Skills!G7*((R826-1)*IF(Skills!H7&gt;0,Skills!I7/Skills!H7,1)+IF(Skills!H7&gt;0,MIN(Skills!I7,MAX(0,MAX(0,Inputs!$B$43-B857)-((R826-1)*(IF(Inputs!$B$38="pvp",15,MAX(0.1,Skills!D7-IF(Skills!E7=TRUE,Inputs!$B$32,0)))*(1-IF(AND(ArtifactsInput!$M$27,Inputs!$B$4="Chapter Hunt"),CHOOSE(ArtifactsInput!$N$27+1,20,24,28,32,36,40),0)/100)))))/Skills!H7,1)))/Inputs!$B$43),G826*Q826)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826*(1-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826*(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826*(1-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826*(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6">
        <f>IF(C826,(H826*N826*IF(AND(Inputs!$B$38&lt;&gt;"pvp",Inputs!$B$43&gt;0),((Skills!G7*((R826-1)*IF(Skills!H7&gt;0,Skills!I7/Skills!H7,1)+IF(Skills!H7&gt;0,MIN(Skills!I7,MAX(0,MAX(0,Inputs!$B$43-B857)-((R826-1)*(IF(Inputs!$B$38="pvp",15,MAX(0.1,Skills!D7-IF(Skills!E7=TRUE,Inputs!$B$32,0)))*(1-IF(AND(ArtifactsInput!$M$27,Inputs!$B$4="Chapter Hunt"),CHOOSE(ArtifactsInput!$N$27+1,20,24,28,32,36,40),0)/100)))))/Skills!H7,1)))/Inputs!$B$43),G826*Q826))*IF(Inputs!$B$38="pvp",1,(1+(Inputs!$B$21+Skills!Q7+(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7">
      <c r="A827">
        <f>Skills!A8</f>
        <v/>
      </c>
      <c r="B827">
        <f>Skills!B8</f>
        <v/>
      </c>
      <c r="C827">
        <f>Inputs!$B$3&gt;=100</f>
        <v/>
      </c>
      <c r="D827">
        <f>IF(Skills!C8=1,60+Inputs!$B$25+Inputs!$B$29,IF(Skills!C8=2,90+(Inputs!$B$26+1)+Inputs!$B$29,IF(Skills!C8=3,120+Inputs!$B$27+Inputs!$B$29,MAX(0,(Inputs!$B$3-100)*3)+Inputs!$B$28+Inputs!$B$29)))</f>
        <v/>
      </c>
      <c r="E827">
        <f>INDEX(FactorTable!$B$2:$Y$301, MATCH(ROUND(MIN(300,MAX(1,D827)),0), FactorTable!$A$2:$A$301,0), Skills!M8+1)</f>
        <v/>
      </c>
      <c r="F827">
        <f>IF(Skills!N8=TRUE,(Skills!L8/10)*(E827/1000),Skills!L8/10)+Skills!O8</f>
        <v/>
      </c>
      <c r="G827">
        <f>Skills!G8*IF(Skills!H8&gt;0,Skills!I8/Skills!H8,1)</f>
        <v/>
      </c>
      <c r="H827">
        <f>1-(1-Skills!J8/100)^Skills!K8</f>
        <v/>
      </c>
      <c r="I827" t="inlineStr">
        <is>
          <t>1</t>
        </is>
      </c>
      <c r="J827">
        <f>((Inputs!$B$6*(1+Inputs!$B$7/100))+(((Inputs!$B$12*(1+Inputs!$B$13/100))-(Inputs!$B$12*(1+Inputs!$B$13/100)))+0.25*(Inputs!$B$14-Inputs!$B$14))*(1+Inputs!$B$7/100))*(F827/100)</f>
        <v/>
      </c>
      <c r="K827">
        <f>J827*(1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827)</f>
        <v/>
      </c>
      <c r="L827">
        <f>K827*(MIN(Inputs!$B$22+((C841=TRUE)*(F841-Calc!F22)),(Inputs!$B$23+0+(IF(ArtifactsInput!$M$15,CHOOSE(ArtifactsInput!$N$15+1,25,30,35,40,45,50)/100*(Inputs!$B$11-Inputs!$B$11),0))))/100+(Inputs!$B$23+0+(IF(ArtifactsInput!$M$15,CHOOSE(ArtifactsInput!$N$15+1,25,30,35,40,45,50)/100*(Inputs!$B$11-Inputs!$B$11),0)))/100)/2</f>
        <v/>
      </c>
      <c r="M827">
        <f>L827*(1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7">
        <f>L827*(1-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827*(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7">
        <f>(1-Summary!$B$11)*T827+Summary!$B$11*V827</f>
        <v/>
      </c>
      <c r="P827">
        <f>IF(B860=0,0,O827/B860)</f>
        <v/>
      </c>
      <c r="Q827">
        <f>IFERROR(1/(IF(Inputs!$B$38="pvp",15,MAX(0.1,Skills!D8-IF(Skills!E8=TRUE,Inputs!$B$32,0)))*(1-IF(AND(ArtifactsInput!$M$27,Inputs!$B$4="Chapter Hunt"),CHOOSE(ArtifactsInput!$N$27+1,20,24,28,32,36,40),0)/100)),0)</f>
        <v/>
      </c>
      <c r="R827">
        <f>IF(AND(Inputs!$B$38&lt;&gt;"pvp",Inputs!$B$43&gt;0),IF(MAX(0,Inputs!$B$43-B857)&lt;=0,0,(INT(MAX(0,Inputs!$B$43-B857)/(IF(Inputs!$B$38="pvp",15,MAX(0.1,Skills!D8-IF(Skills!E8=TRUE,Inputs!$B$32,0)))*(1-IF(AND(ArtifactsInput!$M$27,Inputs!$B$4="Chapter Hunt"),CHOOSE(ArtifactsInput!$N$27+1,20,24,28,32,36,40),0)/100)))+1)),0)</f>
        <v/>
      </c>
      <c r="S827">
        <f>IFERROR(O827/N827,0)</f>
        <v/>
      </c>
      <c r="T827">
        <f>IF(C827,(H827*N827*IF(AND(Inputs!$B$38&lt;&gt;"pvp",Inputs!$B$43&gt;0),((Skills!G8*((R827-1)*IF(Skills!H8&gt;0,Skills!I8/Skills!H8,1)+IF(Skills!H8&gt;0,MIN(Skills!I8,MAX(0,MAX(0,Inputs!$B$43-B857)-((R827-1)*(IF(Inputs!$B$38="pvp",15,MAX(0.1,Skills!D8-IF(Skills!E8=TRUE,Inputs!$B$32,0)))*(1-IF(AND(ArtifactsInput!$M$27,Inputs!$B$4="Chapter Hunt"),CHOOSE(ArtifactsInput!$N$27+1,20,24,28,32,36,40),0)/100)))))/Skills!H8,1)))/Inputs!$B$43),G827*Q827)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827*(1-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827*(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827*(1-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827*(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7">
        <f>IF(C827,(H827*N827*IF(AND(Inputs!$B$38&lt;&gt;"pvp",Inputs!$B$43&gt;0),((Skills!G8*((R827-1)*IF(Skills!H8&gt;0,Skills!I8/Skills!H8,1)+IF(Skills!H8&gt;0,MIN(Skills!I8,MAX(0,MAX(0,Inputs!$B$43-B857)-((R827-1)*(IF(Inputs!$B$38="pvp",15,MAX(0.1,Skills!D8-IF(Skills!E8=TRUE,Inputs!$B$32,0)))*(1-IF(AND(ArtifactsInput!$M$27,Inputs!$B$4="Chapter Hunt"),CHOOSE(ArtifactsInput!$N$27+1,20,24,28,32,36,40),0)/100)))))/Skills!H8,1)))/Inputs!$B$43),G827*Q827))*IF(Inputs!$B$38="pvp",1,(1+(Inputs!$B$21+Skills!Q8+(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8">
      <c r="A828">
        <f>Skills!A9</f>
        <v/>
      </c>
      <c r="B828">
        <f>Skills!B9</f>
        <v/>
      </c>
      <c r="C828">
        <f>Inputs!$B$3&gt;=103</f>
        <v/>
      </c>
      <c r="D828">
        <f>IF(Skills!C9=1,60+Inputs!$B$25+Inputs!$B$29,IF(Skills!C9=2,90+(Inputs!$B$26+1)+Inputs!$B$29,IF(Skills!C9=3,120+Inputs!$B$27+Inputs!$B$29,MAX(0,(Inputs!$B$3-100)*3)+Inputs!$B$28+Inputs!$B$29)))</f>
        <v/>
      </c>
      <c r="E828">
        <f>INDEX(FactorTable!$B$2:$Y$301, MATCH(ROUND(MIN(300,MAX(1,D828)),0), FactorTable!$A$2:$A$301,0), Skills!M9+1)</f>
        <v/>
      </c>
      <c r="F828">
        <f>IF(Skills!N9=TRUE,(Skills!L9/10)*(E828/1000),Skills!L9/10)+Skills!O9</f>
        <v/>
      </c>
      <c r="G828">
        <f>Skills!G9*IF(Skills!H9&gt;0,Skills!I9/Skills!H9,1)</f>
        <v/>
      </c>
      <c r="H828">
        <f>1-(1-Skills!J9/100)^Skills!K9</f>
        <v/>
      </c>
      <c r="I828" t="inlineStr">
        <is>
          <t>1</t>
        </is>
      </c>
      <c r="J828">
        <f>((Inputs!$B$6*(1+Inputs!$B$7/100))+(((Inputs!$B$12*(1+Inputs!$B$13/100))-(Inputs!$B$12*(1+Inputs!$B$13/100)))+0.25*(Inputs!$B$14-Inputs!$B$14))*(1+Inputs!$B$7/100))*(F828/100)</f>
        <v/>
      </c>
      <c r="K828">
        <f>J828*(1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828)</f>
        <v/>
      </c>
      <c r="L828">
        <f>K828*(MIN(Inputs!$B$22+((C841=TRUE)*(F841-Calc!F22)),(Inputs!$B$23+0+(IF(ArtifactsInput!$M$15,CHOOSE(ArtifactsInput!$N$15+1,25,30,35,40,45,50)/100*(Inputs!$B$11-Inputs!$B$11),0))))/100+(Inputs!$B$23+0+(IF(ArtifactsInput!$M$15,CHOOSE(ArtifactsInput!$N$15+1,25,30,35,40,45,50)/100*(Inputs!$B$11-Inputs!$B$11),0)))/100)/2</f>
        <v/>
      </c>
      <c r="M828">
        <f>L828*(1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8">
        <f>L828*(1-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828*(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8">
        <f>(1-Summary!$B$11)*T828+Summary!$B$11*V828</f>
        <v/>
      </c>
      <c r="P828">
        <f>IF(B860=0,0,O828/B860)</f>
        <v/>
      </c>
      <c r="Q828">
        <f>IFERROR(1/(IF(Inputs!$B$38="pvp",15,MAX(0.1,Skills!D9-IF(Skills!E9=TRUE,Inputs!$B$32,0)))*(1-IF(AND(ArtifactsInput!$M$27,Inputs!$B$4="Chapter Hunt"),CHOOSE(ArtifactsInput!$N$27+1,20,24,28,32,36,40),0)/100)),0)</f>
        <v/>
      </c>
      <c r="R828">
        <f>IF(AND(Inputs!$B$38&lt;&gt;"pvp",Inputs!$B$43&gt;0),IF(MAX(0,Inputs!$B$43-B857)&lt;=0,0,(INT(MAX(0,Inputs!$B$43-B857)/(IF(Inputs!$B$38="pvp",15,MAX(0.1,Skills!D9-IF(Skills!E9=TRUE,Inputs!$B$32,0)))*(1-IF(AND(ArtifactsInput!$M$27,Inputs!$B$4="Chapter Hunt"),CHOOSE(ArtifactsInput!$N$27+1,20,24,28,32,36,40),0)/100)))+1)),0)</f>
        <v/>
      </c>
      <c r="S828">
        <f>IFERROR(O828/N828,0)</f>
        <v/>
      </c>
      <c r="T828">
        <f>IF(C828,(H828*N828*IF(AND(Inputs!$B$38&lt;&gt;"pvp",Inputs!$B$43&gt;0),((Skills!G9*((R828-1)*IF(Skills!H9&gt;0,Skills!I9/Skills!H9,1)+IF(Skills!H9&gt;0,MIN(Skills!I9,MAX(0,MAX(0,Inputs!$B$43-B857)-((R828-1)*(IF(Inputs!$B$38="pvp",15,MAX(0.1,Skills!D9-IF(Skills!E9=TRUE,Inputs!$B$32,0)))*(1-IF(AND(ArtifactsInput!$M$27,Inputs!$B$4="Chapter Hunt"),CHOOSE(ArtifactsInput!$N$27+1,20,24,28,32,36,40),0)/100)))))/Skills!H9,1)))/Inputs!$B$43),G828*Q828)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828*(1-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828*(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828*(1-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828*(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8">
        <f>IF(C828,(H828*N828*IF(AND(Inputs!$B$38&lt;&gt;"pvp",Inputs!$B$43&gt;0),((Skills!G9*((R828-1)*IF(Skills!H9&gt;0,Skills!I9/Skills!H9,1)+IF(Skills!H9&gt;0,MIN(Skills!I9,MAX(0,MAX(0,Inputs!$B$43-B857)-((R828-1)*(IF(Inputs!$B$38="pvp",15,MAX(0.1,Skills!D9-IF(Skills!E9=TRUE,Inputs!$B$32,0)))*(1-IF(AND(ArtifactsInput!$M$27,Inputs!$B$4="Chapter Hunt"),CHOOSE(ArtifactsInput!$N$27+1,20,24,28,32,36,40),0)/100)))))/Skills!H9,1)))/Inputs!$B$43),G828*Q828))*IF(Inputs!$B$38="pvp",1,(1+(Inputs!$B$21+Skills!Q9+(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9">
      <c r="A829">
        <f>Skills!A10</f>
        <v/>
      </c>
      <c r="B829">
        <f>Skills!B10</f>
        <v/>
      </c>
      <c r="C829">
        <f>Inputs!$B$3&gt;=113</f>
        <v/>
      </c>
      <c r="D829">
        <f>IF(Skills!C10=1,60+Inputs!$B$25+Inputs!$B$29,IF(Skills!C10=2,90+(Inputs!$B$26+1)+Inputs!$B$29,IF(Skills!C10=3,120+Inputs!$B$27+Inputs!$B$29,MAX(0,(Inputs!$B$3-100)*3)+Inputs!$B$28+Inputs!$B$29)))</f>
        <v/>
      </c>
      <c r="E829">
        <f>INDEX(FactorTable!$B$2:$Y$301, MATCH(ROUND(MIN(300,MAX(1,D829)),0), FactorTable!$A$2:$A$301,0), Skills!M10+1)</f>
        <v/>
      </c>
      <c r="F829">
        <f>IF(Skills!N10=TRUE,(Skills!L10/10)*(E829/1000),Skills!L10/10)+Skills!O10</f>
        <v/>
      </c>
      <c r="G829">
        <f>Skills!G10*IF(Skills!H10&gt;0,Skills!I10/Skills!H10,1)</f>
        <v/>
      </c>
      <c r="H829">
        <f>1-(1-Skills!J10/100)^Skills!K10</f>
        <v/>
      </c>
      <c r="I829" t="inlineStr">
        <is>
          <t>1</t>
        </is>
      </c>
      <c r="J829">
        <f>((Inputs!$B$6*(1+Inputs!$B$7/100))+(((Inputs!$B$12*(1+Inputs!$B$13/100))-(Inputs!$B$12*(1+Inputs!$B$13/100)))+0.25*(Inputs!$B$14-Inputs!$B$14))*(1+Inputs!$B$7/100))*(F829/100)</f>
        <v/>
      </c>
      <c r="K829">
        <f>J829*(1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829)</f>
        <v/>
      </c>
      <c r="L829">
        <f>K829*(MIN(Inputs!$B$22+((C841=TRUE)*(F841-Calc!F22)),(Inputs!$B$23+0+(IF(ArtifactsInput!$M$15,CHOOSE(ArtifactsInput!$N$15+1,25,30,35,40,45,50)/100*(Inputs!$B$11-Inputs!$B$11),0))))/100+(Inputs!$B$23+0+(IF(ArtifactsInput!$M$15,CHOOSE(ArtifactsInput!$N$15+1,25,30,35,40,45,50)/100*(Inputs!$B$11-Inputs!$B$11),0)))/100)/2</f>
        <v/>
      </c>
      <c r="M829">
        <f>L829*(1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9">
        <f>L829*(1-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829*(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9">
        <f>(1-Summary!$B$11)*T829+Summary!$B$11*V829</f>
        <v/>
      </c>
      <c r="P829">
        <f>IF(B860=0,0,O829/B860)</f>
        <v/>
      </c>
      <c r="Q829">
        <f>IFERROR(1/(IF(Inputs!$B$38="pvp",15,MAX(0.1,Skills!D10-IF(Skills!E10=TRUE,Inputs!$B$32,0)))*(1-IF(AND(ArtifactsInput!$M$27,Inputs!$B$4="Chapter Hunt"),CHOOSE(ArtifactsInput!$N$27+1,20,24,28,32,36,40),0)/100)),0)</f>
        <v/>
      </c>
      <c r="R829">
        <f>IF(AND(Inputs!$B$38&lt;&gt;"pvp",Inputs!$B$43&gt;0),IF(MAX(0,Inputs!$B$43-B857)&lt;=0,0,(INT(MAX(0,Inputs!$B$43-B857)/(IF(Inputs!$B$38="pvp",15,MAX(0.1,Skills!D10-IF(Skills!E10=TRUE,Inputs!$B$32,0)))*(1-IF(AND(ArtifactsInput!$M$27,Inputs!$B$4="Chapter Hunt"),CHOOSE(ArtifactsInput!$N$27+1,20,24,28,32,36,40),0)/100)))+1)),0)</f>
        <v/>
      </c>
      <c r="S829">
        <f>IFERROR(O829/N829,0)</f>
        <v/>
      </c>
      <c r="T829">
        <f>IF(C829,(H829*N829*IF(AND(Inputs!$B$38&lt;&gt;"pvp",Inputs!$B$43&gt;0),((Skills!G10*((R829-1)*IF(Skills!H10&gt;0,Skills!I10/Skills!H10,1)+IF(Skills!H10&gt;0,MIN(Skills!I10,MAX(0,MAX(0,Inputs!$B$43-B857)-((R829-1)*(IF(Inputs!$B$38="pvp",15,MAX(0.1,Skills!D10-IF(Skills!E10=TRUE,Inputs!$B$32,0)))*(1-IF(AND(ArtifactsInput!$M$27,Inputs!$B$4="Chapter Hunt"),CHOOSE(ArtifactsInput!$N$27+1,20,24,28,32,36,40),0)/100)))))/Skills!H10,1)))/Inputs!$B$43),G829*Q829)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829*(1-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829*(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829*(1-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829*(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9">
        <f>IF(C829,(H829*N829*IF(AND(Inputs!$B$38&lt;&gt;"pvp",Inputs!$B$43&gt;0),((Skills!G10*((R829-1)*IF(Skills!H10&gt;0,Skills!I10/Skills!H10,1)+IF(Skills!H10&gt;0,MIN(Skills!I10,MAX(0,MAX(0,Inputs!$B$43-B857)-((R829-1)*(IF(Inputs!$B$38="pvp",15,MAX(0.1,Skills!D10-IF(Skills!E10=TRUE,Inputs!$B$32,0)))*(1-IF(AND(ArtifactsInput!$M$27,Inputs!$B$4="Chapter Hunt"),CHOOSE(ArtifactsInput!$N$27+1,20,24,28,32,36,40),0)/100)))))/Skills!H10,1)))/Inputs!$B$43),G829*Q829))*IF(Inputs!$B$38="pvp",1,(1+(Inputs!$B$21+Skills!Q10+(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0">
      <c r="A830">
        <f>Skills!A11</f>
        <v/>
      </c>
      <c r="B830">
        <f>Skills!B11</f>
        <v/>
      </c>
      <c r="C830">
        <f>Inputs!$B$3&gt;=107</f>
        <v/>
      </c>
      <c r="D830">
        <f>IF(Skills!C11=1,60+Inputs!$B$25+Inputs!$B$29,IF(Skills!C11=2,90+(Inputs!$B$26+1)+Inputs!$B$29,IF(Skills!C11=3,120+Inputs!$B$27+Inputs!$B$29,MAX(0,(Inputs!$B$3-100)*3)+Inputs!$B$28+Inputs!$B$29)))</f>
        <v/>
      </c>
      <c r="E830">
        <f>INDEX(FactorTable!$B$2:$Y$301, MATCH(ROUND(MIN(300,MAX(1,D830)),0), FactorTable!$A$2:$A$301,0), Skills!M11+1)</f>
        <v/>
      </c>
      <c r="F830">
        <f>IF(Skills!N11=TRUE,(Skills!L11/10)*(E830/1000),Skills!L11/10)+Skills!O11</f>
        <v/>
      </c>
      <c r="G830">
        <f>Skills!G11*IF(Skills!H11&gt;0,Skills!I11/Skills!H11,1)</f>
        <v/>
      </c>
      <c r="H830">
        <f>1-(1-Skills!J11/100)^Skills!K11</f>
        <v/>
      </c>
      <c r="I830" t="inlineStr">
        <is>
          <t>1</t>
        </is>
      </c>
      <c r="J830">
        <f>((Inputs!$B$6*(1+Inputs!$B$7/100))+(((Inputs!$B$12*(1+Inputs!$B$13/100))-(Inputs!$B$12*(1+Inputs!$B$13/100)))+0.25*(Inputs!$B$14-Inputs!$B$14))*(1+Inputs!$B$7/100))*(F830/100)</f>
        <v/>
      </c>
      <c r="K830">
        <f>J830*(1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830)</f>
        <v/>
      </c>
      <c r="L830">
        <f>K830*(MIN(Inputs!$B$22+((C841=TRUE)*(F841-Calc!F22)),(Inputs!$B$23+0+(IF(ArtifactsInput!$M$15,CHOOSE(ArtifactsInput!$N$15+1,25,30,35,40,45,50)/100*(Inputs!$B$11-Inputs!$B$11),0))))/100+(Inputs!$B$23+0+(IF(ArtifactsInput!$M$15,CHOOSE(ArtifactsInput!$N$15+1,25,30,35,40,45,50)/100*(Inputs!$B$11-Inputs!$B$11),0)))/100)/2</f>
        <v/>
      </c>
      <c r="M830">
        <f>L830*(1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0">
        <f>L830*(1-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830*(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0">
        <f>(1-Summary!$B$11)*T830+Summary!$B$11*V830</f>
        <v/>
      </c>
      <c r="P830">
        <f>IF(B860=0,0,O830/B860)</f>
        <v/>
      </c>
      <c r="Q830">
        <f>IFERROR(1/(IF(Inputs!$B$38="pvp",15,MAX(0.1,Skills!D11-IF(Skills!E11=TRUE,Inputs!$B$32,0)))*(1-IF(AND(ArtifactsInput!$M$27,Inputs!$B$4="Chapter Hunt"),CHOOSE(ArtifactsInput!$N$27+1,20,24,28,32,36,40),0)/100)),0)</f>
        <v/>
      </c>
      <c r="R830">
        <f>IF(AND(Inputs!$B$38&lt;&gt;"pvp",Inputs!$B$43&gt;0),IF(MAX(0,Inputs!$B$43-B857)&lt;=0,0,(INT(MAX(0,Inputs!$B$43-B857)/(IF(Inputs!$B$38="pvp",15,MAX(0.1,Skills!D11-IF(Skills!E11=TRUE,Inputs!$B$32,0)))*(1-IF(AND(ArtifactsInput!$M$27,Inputs!$B$4="Chapter Hunt"),CHOOSE(ArtifactsInput!$N$27+1,20,24,28,32,36,40),0)/100)))+1)),0)</f>
        <v/>
      </c>
      <c r="S830">
        <f>IFERROR(O830/N830,0)</f>
        <v/>
      </c>
      <c r="T830">
        <f>IF(C830,(H830*N830*IF(AND(Inputs!$B$38&lt;&gt;"pvp",Inputs!$B$43&gt;0),((Skills!G11*((R830-1)*IF(Skills!H11&gt;0,Skills!I11/Skills!H11,1)+IF(Skills!H11&gt;0,MIN(Skills!I11,MAX(0,MAX(0,Inputs!$B$43-B857)-((R830-1)*(IF(Inputs!$B$38="pvp",15,MAX(0.1,Skills!D11-IF(Skills!E11=TRUE,Inputs!$B$32,0)))*(1-IF(AND(ArtifactsInput!$M$27,Inputs!$B$4="Chapter Hunt"),CHOOSE(ArtifactsInput!$N$27+1,20,24,28,32,36,40),0)/100)))))/Skills!H11,1)))/Inputs!$B$43),G830*Q830)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830*(1-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830*(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830*(1-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830*(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0">
        <f>IF(C830,(H830*N830*IF(AND(Inputs!$B$38&lt;&gt;"pvp",Inputs!$B$43&gt;0),((Skills!G11*((R830-1)*IF(Skills!H11&gt;0,Skills!I11/Skills!H11,1)+IF(Skills!H11&gt;0,MIN(Skills!I11,MAX(0,MAX(0,Inputs!$B$43-B857)-((R830-1)*(IF(Inputs!$B$38="pvp",15,MAX(0.1,Skills!D11-IF(Skills!E11=TRUE,Inputs!$B$32,0)))*(1-IF(AND(ArtifactsInput!$M$27,Inputs!$B$4="Chapter Hunt"),CHOOSE(ArtifactsInput!$N$27+1,20,24,28,32,36,40),0)/100)))))/Skills!H11,1)))/Inputs!$B$43),G830*Q830))*IF(Inputs!$B$38="pvp",1,(1+(Inputs!$B$21+Skills!Q11+(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1">
      <c r="A831">
        <f>Skills!A12</f>
        <v/>
      </c>
      <c r="B831">
        <f>Skills!B12</f>
        <v/>
      </c>
      <c r="C831">
        <f>Inputs!$B$3&gt;=110</f>
        <v/>
      </c>
      <c r="D831">
        <f>IF(Skills!C12=1,60+Inputs!$B$25+Inputs!$B$29,IF(Skills!C12=2,90+(Inputs!$B$26+1)+Inputs!$B$29,IF(Skills!C12=3,120+Inputs!$B$27+Inputs!$B$29,MAX(0,(Inputs!$B$3-100)*3)+Inputs!$B$28+Inputs!$B$29)))</f>
        <v/>
      </c>
      <c r="E831">
        <f>INDEX(FactorTable!$B$2:$Y$301, MATCH(ROUND(MIN(300,MAX(1,D831)),0), FactorTable!$A$2:$A$301,0), Skills!M12+1)</f>
        <v/>
      </c>
      <c r="F831">
        <f>IF(Skills!N12=TRUE,(Skills!L12/10)*(E831/1000),Skills!L12/10)+Skills!O12</f>
        <v/>
      </c>
      <c r="G831">
        <f>Skills!G12*IF(Skills!H12&gt;0,Skills!I12/Skills!H12,1)</f>
        <v/>
      </c>
      <c r="H831">
        <f>1-(1-Skills!J12/100)^Skills!K12</f>
        <v/>
      </c>
      <c r="I831" t="inlineStr">
        <is>
          <t>1</t>
        </is>
      </c>
      <c r="J831">
        <f>((Inputs!$B$6*(1+Inputs!$B$7/100))+(((Inputs!$B$12*(1+Inputs!$B$13/100))-(Inputs!$B$12*(1+Inputs!$B$13/100)))+0.25*(Inputs!$B$14-Inputs!$B$14))*(1+Inputs!$B$7/100))*(F831/100)</f>
        <v/>
      </c>
      <c r="K831">
        <f>J831*(1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831)</f>
        <v/>
      </c>
      <c r="L831">
        <f>K831*(MIN(Inputs!$B$22+((C841=TRUE)*(F841-Calc!F22)),(Inputs!$B$23+0+(IF(ArtifactsInput!$M$15,CHOOSE(ArtifactsInput!$N$15+1,25,30,35,40,45,50)/100*(Inputs!$B$11-Inputs!$B$11),0))))/100+(Inputs!$B$23+0+(IF(ArtifactsInput!$M$15,CHOOSE(ArtifactsInput!$N$15+1,25,30,35,40,45,50)/100*(Inputs!$B$11-Inputs!$B$11),0)))/100)/2</f>
        <v/>
      </c>
      <c r="M831">
        <f>L831*(1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1">
        <f>L831*(1-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1">
        <f>(1-Summary!$B$11)*T831+Summary!$B$11*V831</f>
        <v/>
      </c>
      <c r="P831">
        <f>IF(B860=0,0,O831/B860)</f>
        <v/>
      </c>
      <c r="Q831">
        <f>IFERROR(1/(IF(Inputs!$B$38="pvp",15,MAX(0.1,Skills!D12-IF(Skills!E12=TRUE,Inputs!$B$32,0)))*(1-IF(AND(ArtifactsInput!$M$27,Inputs!$B$4="Chapter Hunt"),CHOOSE(ArtifactsInput!$N$27+1,20,24,28,32,36,40),0)/100)),0)</f>
        <v/>
      </c>
      <c r="R831">
        <f>IF(AND(Inputs!$B$38&lt;&gt;"pvp",Inputs!$B$43&gt;0),IF(MAX(0,Inputs!$B$43-B857)&lt;=0,0,(INT(MAX(0,Inputs!$B$43-B857)/(IF(Inputs!$B$38="pvp",15,MAX(0.1,Skills!D12-IF(Skills!E12=TRUE,Inputs!$B$32,0)))*(1-IF(AND(ArtifactsInput!$M$27,Inputs!$B$4="Chapter Hunt"),CHOOSE(ArtifactsInput!$N$27+1,20,24,28,32,36,40),0)/100)))+1)),0)</f>
        <v/>
      </c>
      <c r="S831">
        <f>IFERROR(O831/N831,0)</f>
        <v/>
      </c>
      <c r="T831">
        <f>IF(C831,(H831*N831*IF(AND(Inputs!$B$38&lt;&gt;"pvp",Inputs!$B$43&gt;0),((Skills!G12*((R831-1)*IF(Skills!H12&gt;0,Skills!I12/Skills!H12,1)+IF(Skills!H12&gt;0,MIN(Skills!I12,MAX(0,MAX(0,Inputs!$B$43-B857)-((R831-1)*(IF(Inputs!$B$38="pvp",15,MAX(0.1,Skills!D12-IF(Skills!E12=TRUE,Inputs!$B$32,0)))*(1-IF(AND(ArtifactsInput!$M$27,Inputs!$B$4="Chapter Hunt"),CHOOSE(ArtifactsInput!$N$27+1,20,24,28,32,36,40),0)/100)))))/Skills!H12,1)))/Inputs!$B$43),G831*Q831)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831*(1-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831*(1-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1">
        <f>IF(C831,(H831*N831*IF(AND(Inputs!$B$38&lt;&gt;"pvp",Inputs!$B$43&gt;0),((Skills!G12*((R831-1)*IF(Skills!H12&gt;0,Skills!I12/Skills!H12,1)+IF(Skills!H12&gt;0,MIN(Skills!I12,MAX(0,MAX(0,Inputs!$B$43-B857)-((R831-1)*(IF(Inputs!$B$38="pvp",15,MAX(0.1,Skills!D12-IF(Skills!E12=TRUE,Inputs!$B$32,0)))*(1-IF(AND(ArtifactsInput!$M$27,Inputs!$B$4="Chapter Hunt"),CHOOSE(ArtifactsInput!$N$27+1,20,24,28,32,36,40),0)/100)))))/Skills!H12,1)))/Inputs!$B$43),G831*Q831))*IF(Inputs!$B$38="pvp",1,(1+(Inputs!$B$21+Skills!Q12+(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2">
      <c r="A832">
        <f>Skills!A13</f>
        <v/>
      </c>
      <c r="B832">
        <f>Skills!B13</f>
        <v/>
      </c>
      <c r="C832">
        <f>Inputs!$B$3&gt;=110</f>
        <v/>
      </c>
      <c r="D832">
        <f>IF(Skills!C13=1,60+Inputs!$B$25+Inputs!$B$29,IF(Skills!C13=2,90+(Inputs!$B$26+1)+Inputs!$B$29,IF(Skills!C13=3,120+Inputs!$B$27+Inputs!$B$29,MAX(0,(Inputs!$B$3-100)*3)+Inputs!$B$28+Inputs!$B$29)))</f>
        <v/>
      </c>
      <c r="E832">
        <f>INDEX(FactorTable!$B$2:$Y$301, MATCH(ROUND(MIN(300,MAX(1,D832)),0), FactorTable!$A$2:$A$301,0), Skills!M13+1)</f>
        <v/>
      </c>
      <c r="F832">
        <f>IF(Skills!N13=TRUE,(Skills!L13/10)*(E832/1000),Skills!L13/10)+Skills!O13</f>
        <v/>
      </c>
      <c r="G832">
        <f>Skills!G13*IF(Skills!H13&gt;0,Skills!I13/Skills!H13,1)</f>
        <v/>
      </c>
      <c r="H832">
        <f>1-(1-Skills!J13/100)^Skills!K13</f>
        <v/>
      </c>
      <c r="I832" t="inlineStr">
        <is>
          <t>1</t>
        </is>
      </c>
      <c r="J832">
        <f>((Inputs!$B$6*(1+Inputs!$B$7/100))+(((Inputs!$B$12*(1+Inputs!$B$13/100))-(Inputs!$B$12*(1+Inputs!$B$13/100)))+0.25*(Inputs!$B$14-Inputs!$B$14))*(1+Inputs!$B$7/100))*(F832/100)</f>
        <v/>
      </c>
      <c r="K832">
        <f>J832*(1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832)</f>
        <v/>
      </c>
      <c r="L832">
        <f>K832*(MIN(Inputs!$B$22+((C841=TRUE)*(F841-Calc!F22)),(Inputs!$B$23+0+(IF(ArtifactsInput!$M$15,CHOOSE(ArtifactsInput!$N$15+1,25,30,35,40,45,50)/100*(Inputs!$B$11-Inputs!$B$11),0))))/100+(Inputs!$B$23+0+(IF(ArtifactsInput!$M$15,CHOOSE(ArtifactsInput!$N$15+1,25,30,35,40,45,50)/100*(Inputs!$B$11-Inputs!$B$11),0)))/100)/2</f>
        <v/>
      </c>
      <c r="M832">
        <f>L832*(1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2">
        <f>L832*(1-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832*(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2">
        <f>(1-Summary!$B$11)*T832+Summary!$B$11*V832</f>
        <v/>
      </c>
      <c r="P832">
        <f>IF(B860=0,0,O832/B860)</f>
        <v/>
      </c>
      <c r="Q832">
        <f>IFERROR(1/(IF(Inputs!$B$38="pvp",15,MAX(0.1,Skills!D13-IF(Skills!E13=TRUE,Inputs!$B$32,0)))*(1-IF(AND(ArtifactsInput!$M$27,Inputs!$B$4="Chapter Hunt"),CHOOSE(ArtifactsInput!$N$27+1,20,24,28,32,36,40),0)/100)),0)</f>
        <v/>
      </c>
      <c r="R832">
        <f>IF(AND(Inputs!$B$38&lt;&gt;"pvp",Inputs!$B$43&gt;0),IF(MAX(0,Inputs!$B$43-B857)&lt;=0,0,(INT(MAX(0,Inputs!$B$43-B857)/(IF(Inputs!$B$38="pvp",15,MAX(0.1,Skills!D13-IF(Skills!E13=TRUE,Inputs!$B$32,0)))*(1-IF(AND(ArtifactsInput!$M$27,Inputs!$B$4="Chapter Hunt"),CHOOSE(ArtifactsInput!$N$27+1,20,24,28,32,36,40),0)/100)))+1)),0)</f>
        <v/>
      </c>
      <c r="S832">
        <f>IFERROR(O832/N832,0)</f>
        <v/>
      </c>
      <c r="T832">
        <f>IF(C832,(H832*N832*IF(AND(Inputs!$B$38&lt;&gt;"pvp",Inputs!$B$43&gt;0),((Skills!G13*((R832-1)*IF(Skills!H13&gt;0,Skills!I13/Skills!H13,1)+IF(Skills!H13&gt;0,MIN(Skills!I13,MAX(0,MAX(0,Inputs!$B$43-B857)-((R832-1)*(IF(Inputs!$B$38="pvp",15,MAX(0.1,Skills!D13-IF(Skills!E13=TRUE,Inputs!$B$32,0)))*(1-IF(AND(ArtifactsInput!$M$27,Inputs!$B$4="Chapter Hunt"),CHOOSE(ArtifactsInput!$N$27+1,20,24,28,32,36,40),0)/100)))))/Skills!H13,1)))/Inputs!$B$43),G832*Q832)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832*(1-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832*(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832*(1-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832*(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2">
        <f>IF(C832,(H832*N832*IF(AND(Inputs!$B$38&lt;&gt;"pvp",Inputs!$B$43&gt;0),((Skills!G13*((R832-1)*IF(Skills!H13&gt;0,Skills!I13/Skills!H13,1)+IF(Skills!H13&gt;0,MIN(Skills!I13,MAX(0,MAX(0,Inputs!$B$43-B857)-((R832-1)*(IF(Inputs!$B$38="pvp",15,MAX(0.1,Skills!D13-IF(Skills!E13=TRUE,Inputs!$B$32,0)))*(1-IF(AND(ArtifactsInput!$M$27,Inputs!$B$4="Chapter Hunt"),CHOOSE(ArtifactsInput!$N$27+1,20,24,28,32,36,40),0)/100)))))/Skills!H13,1)))/Inputs!$B$43),G832*Q832))*IF(Inputs!$B$38="pvp",1,(1+(Inputs!$B$21+Skills!Q13+(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3">
      <c r="A833">
        <f>Skills!A14</f>
        <v/>
      </c>
      <c r="B833">
        <f>Skills!B14</f>
        <v/>
      </c>
      <c r="C833">
        <f>Inputs!$B$3&gt;=125</f>
        <v/>
      </c>
      <c r="D833">
        <f>IF(Skills!C14=1,60+Inputs!$B$25+Inputs!$B$29,IF(Skills!C14=2,90+(Inputs!$B$26+1)+Inputs!$B$29,IF(Skills!C14=3,120+Inputs!$B$27+Inputs!$B$29,MAX(0,(Inputs!$B$3-100)*3)+Inputs!$B$28+Inputs!$B$29)))</f>
        <v/>
      </c>
      <c r="E833">
        <f>INDEX(FactorTable!$B$2:$Y$301, MATCH(ROUND(MIN(300,MAX(1,D833)),0), FactorTable!$A$2:$A$301,0), Skills!M14+1)</f>
        <v/>
      </c>
      <c r="F833">
        <f>IF(Skills!N14=TRUE,(Skills!L14/10)*(E833/1000),Skills!L14/10)+Skills!O14</f>
        <v/>
      </c>
      <c r="G833">
        <f>Skills!G14*IF(Skills!H14&gt;0,Skills!I14/Skills!H14,1)</f>
        <v/>
      </c>
      <c r="H833">
        <f>1-(1-Skills!J14/100)^Skills!K14</f>
        <v/>
      </c>
      <c r="I833" t="inlineStr">
        <is>
          <t>1</t>
        </is>
      </c>
      <c r="J833">
        <f>((Inputs!$B$6*(1+Inputs!$B$7/100))+(((Inputs!$B$12*(1+Inputs!$B$13/100))-(Inputs!$B$12*(1+Inputs!$B$13/100)))+0.25*(Inputs!$B$14-Inputs!$B$14))*(1+Inputs!$B$7/100))*(F833/100)</f>
        <v/>
      </c>
      <c r="K833">
        <f>J833*(1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833)</f>
        <v/>
      </c>
      <c r="L833">
        <f>K833*(MIN(Inputs!$B$22+((C841=TRUE)*(F841-Calc!F22)),(Inputs!$B$23+0+(IF(ArtifactsInput!$M$15,CHOOSE(ArtifactsInput!$N$15+1,25,30,35,40,45,50)/100*(Inputs!$B$11-Inputs!$B$11),0))))/100+(Inputs!$B$23+0+(IF(ArtifactsInput!$M$15,CHOOSE(ArtifactsInput!$N$15+1,25,30,35,40,45,50)/100*(Inputs!$B$11-Inputs!$B$11),0)))/100)/2</f>
        <v/>
      </c>
      <c r="M833">
        <f>L833*(1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3">
        <f>L833*(1-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833*(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3">
        <f>(1-Summary!$B$11)*T833+Summary!$B$11*V833</f>
        <v/>
      </c>
      <c r="P833">
        <f>IF(B860=0,0,O833/B860)</f>
        <v/>
      </c>
      <c r="Q833" t="n">
        <v>0</v>
      </c>
      <c r="R833" t="n">
        <v>0</v>
      </c>
      <c r="S833">
        <f>IFERROR(O833/N833,0)</f>
        <v/>
      </c>
      <c r="T833">
        <f>IF(C833,(H833*N833*(B854+IF(AND(Inputs!$B$38&lt;&gt;"pvp",Inputs!$B$43&gt;0),((Skills!G8*((R827-1)*IF(Skills!H8&gt;0,Skills!I8/Skills!H8,1)+IF(Skills!H8&gt;0,MIN(Skills!I8,MAX(0,MAX(0,Inputs!$B$43-B857)-((R827-1)*(IF(Inputs!$B$38="pvp",15,MAX(0.1,Skills!D8-IF(Skills!E8=TRUE,Inputs!$B$32,0)))*(1-IF(AND(ArtifactsInput!$M$27,Inputs!$B$4="Chapter Hunt"),CHOOSE(ArtifactsInput!$N$27+1,20,24,28,32,36,40),0)/100)))))/Skills!H8,1)))/Inputs!$B$43),G827*Q827)+IF(AND(Inputs!$B$38&lt;&gt;"pvp",Inputs!$B$43&gt;0),((Skills!G11*((R830-1)*IF(Skills!H11&gt;0,Skills!I11/Skills!H11,1)+IF(Skills!H11&gt;0,MIN(Skills!I11,MAX(0,MAX(0,Inputs!$B$43-B857)-((R830-1)*(IF(Inputs!$B$38="pvp",15,MAX(0.1,Skills!D11-IF(Skills!E11=TRUE,Inputs!$B$32,0)))*(1-IF(AND(ArtifactsInput!$M$27,Inputs!$B$4="Chapter Hunt"),CHOOSE(ArtifactsInput!$N$27+1,20,24,28,32,36,40),0)/100)))))/Skills!H11,1)))/Inputs!$B$43),G830*Q830)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833*(1-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833*(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833*(1-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833*(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3">
        <f>IF(C833,(H833*N833*(B854+IF(AND(Inputs!$B$38&lt;&gt;"pvp",Inputs!$B$43&gt;0),((Skills!G8*((R827-1)*IF(Skills!H8&gt;0,Skills!I8/Skills!H8,1)+IF(Skills!H8&gt;0,MIN(Skills!I8,MAX(0,MAX(0,Inputs!$B$43-B857)-((R827-1)*(IF(Inputs!$B$38="pvp",15,MAX(0.1,Skills!D8-IF(Skills!E8=TRUE,Inputs!$B$32,0)))*(1-IF(AND(ArtifactsInput!$M$27,Inputs!$B$4="Chapter Hunt"),CHOOSE(ArtifactsInput!$N$27+1,20,24,28,32,36,40),0)/100)))))/Skills!H8,1)))/Inputs!$B$43),G827*Q827)+IF(AND(Inputs!$B$38&lt;&gt;"pvp",Inputs!$B$43&gt;0),((Skills!G11*((R830-1)*IF(Skills!H11&gt;0,Skills!I11/Skills!H11,1)+IF(Skills!H11&gt;0,MIN(Skills!I11,MAX(0,MAX(0,Inputs!$B$43-B857)-((R830-1)*(IF(Inputs!$B$38="pvp",15,MAX(0.1,Skills!D11-IF(Skills!E11=TRUE,Inputs!$B$32,0)))*(1-IF(AND(ArtifactsInput!$M$27,Inputs!$B$4="Chapter Hunt"),CHOOSE(ArtifactsInput!$N$27+1,20,24,28,32,36,40),0)/100)))))/Skills!H11,1)))/Inputs!$B$43),G830*Q830)))*IF(Inputs!$B$38="pvp",1,(1+(Inputs!$B$21+Skills!Q14+(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4">
      <c r="A834">
        <f>Skills!A15</f>
        <v/>
      </c>
      <c r="B834">
        <f>Skills!B15</f>
        <v/>
      </c>
      <c r="C834">
        <f>Inputs!$B$3&gt;=100</f>
        <v/>
      </c>
      <c r="D834">
        <f>IF(Skills!C15=1,60+Inputs!$B$25+Inputs!$B$29,IF(Skills!C15=2,90+(Inputs!$B$26+1)+Inputs!$B$29,IF(Skills!C15=3,120+Inputs!$B$27+Inputs!$B$29,MAX(0,(Inputs!$B$3-100)*3)+Inputs!$B$28+Inputs!$B$29)))</f>
        <v/>
      </c>
      <c r="E834">
        <f>INDEX(FactorTable!$B$2:$Y$301, MATCH(ROUND(MIN(300,MAX(1,D834)),0), FactorTable!$A$2:$A$301,0), Skills!M15+1)</f>
        <v/>
      </c>
      <c r="F834">
        <f>IF(Skills!N15=TRUE,(Skills!L15/10)*(E834/1000),Skills!L15/10)+Skills!O15</f>
        <v/>
      </c>
      <c r="G834" t="inlineStr"/>
      <c r="H834" t="inlineStr"/>
      <c r="I834" t="inlineStr">
        <is>
          <t>1</t>
        </is>
      </c>
      <c r="J834" t="inlineStr"/>
      <c r="K834" t="inlineStr"/>
      <c r="L834" t="inlineStr"/>
      <c r="M834" t="inlineStr"/>
      <c r="N834" t="inlineStr"/>
      <c r="O834" t="inlineStr"/>
      <c r="P834" t="inlineStr"/>
      <c r="Q834" t="inlineStr"/>
      <c r="R834" t="inlineStr"/>
      <c r="S834" t="inlineStr"/>
    </row>
    <row r="835">
      <c r="A835">
        <f>Skills!A16</f>
        <v/>
      </c>
      <c r="B835">
        <f>Skills!B16</f>
        <v/>
      </c>
      <c r="C835">
        <f>Inputs!$B$3&gt;=120</f>
        <v/>
      </c>
      <c r="D835">
        <f>IF(Skills!C16=1,60+Inputs!$B$25+Inputs!$B$29,IF(Skills!C16=2,90+(Inputs!$B$26+1)+Inputs!$B$29,IF(Skills!C16=3,120+Inputs!$B$27+Inputs!$B$29,MAX(0,(Inputs!$B$3-100)*3)+Inputs!$B$28+Inputs!$B$29)))</f>
        <v/>
      </c>
      <c r="E835">
        <f>INDEX(FactorTable!$B$2:$Y$301, MATCH(ROUND(MIN(300,MAX(1,D835)),0), FactorTable!$A$2:$A$301,0), Skills!M16+1)</f>
        <v/>
      </c>
      <c r="F835">
        <f>IF(Skills!N16=TRUE,(Skills!L16/10)*(E835/1000),Skills!L16/10)+Skills!O16</f>
        <v/>
      </c>
      <c r="G835" t="inlineStr"/>
      <c r="H835" t="inlineStr"/>
      <c r="I835" t="inlineStr">
        <is>
          <t>1</t>
        </is>
      </c>
      <c r="J835" t="inlineStr"/>
      <c r="K835" t="inlineStr"/>
      <c r="L835" t="inlineStr"/>
      <c r="M835" t="inlineStr"/>
      <c r="N835" t="inlineStr"/>
      <c r="O835" t="inlineStr"/>
      <c r="P835" t="inlineStr"/>
      <c r="Q835" t="inlineStr"/>
      <c r="R835" t="inlineStr"/>
      <c r="S835" t="inlineStr"/>
    </row>
    <row r="836">
      <c r="A836">
        <f>Skills!A17</f>
        <v/>
      </c>
      <c r="B836">
        <f>Skills!B17</f>
        <v/>
      </c>
      <c r="C836">
        <f>Inputs!$B$3&gt;=66</f>
        <v/>
      </c>
      <c r="D836">
        <f>IF(Skills!C17=1,60+Inputs!$B$25+Inputs!$B$29,IF(Skills!C17=2,90+(Inputs!$B$26+1)+Inputs!$B$29,IF(Skills!C17=3,120+Inputs!$B$27+Inputs!$B$29,MAX(0,(Inputs!$B$3-100)*3)+Inputs!$B$28+Inputs!$B$29)))</f>
        <v/>
      </c>
      <c r="E836">
        <f>INDEX(FactorTable!$B$2:$Y$301, MATCH(ROUND(MIN(300,MAX(1,D836)),0), FactorTable!$A$2:$A$301,0), Skills!M17+1)</f>
        <v/>
      </c>
      <c r="F836">
        <f>IF(Skills!N17=TRUE,(Skills!L17/10)*(E836/1000),Skills!L17/10)+Skills!O17</f>
        <v/>
      </c>
      <c r="G836">
        <f>Skills!G17*IF(Skills!H17&gt;0,Skills!I17/Skills!H17,1)</f>
        <v/>
      </c>
      <c r="H836">
        <f>1-(1-Skills!J17/100)^Skills!K17</f>
        <v/>
      </c>
      <c r="I836" t="inlineStr">
        <is>
          <t>1</t>
        </is>
      </c>
      <c r="J836" t="inlineStr"/>
      <c r="K836" t="inlineStr"/>
      <c r="L836" t="inlineStr"/>
      <c r="M836" t="inlineStr"/>
      <c r="N836" t="inlineStr"/>
      <c r="O836">
        <f>(1-Summary!$B$11)*T836+Summary!$B$11*V836</f>
        <v/>
      </c>
      <c r="P836">
        <f>IF(B860=0,0,O836/B860)</f>
        <v/>
      </c>
      <c r="Q836" t="n">
        <v>0</v>
      </c>
      <c r="R836" t="n">
        <v>0</v>
      </c>
      <c r="S836">
        <f>IFERROR(O836/N836,0)</f>
        <v/>
      </c>
      <c r="T836" t="n">
        <v>0</v>
      </c>
      <c r="V836" t="n">
        <v>0</v>
      </c>
    </row>
    <row r="837">
      <c r="A837">
        <f>Skills!A18</f>
        <v/>
      </c>
      <c r="B837">
        <f>Skills!B18</f>
        <v/>
      </c>
      <c r="C837">
        <f>Inputs!$B$3&gt;=115</f>
        <v/>
      </c>
      <c r="D837">
        <f>IF(Skills!C18=1,60+Inputs!$B$25+Inputs!$B$29,IF(Skills!C18=2,90+(Inputs!$B$26+1)+Inputs!$B$29,IF(Skills!C18=3,120+Inputs!$B$27+Inputs!$B$29,MAX(0,(Inputs!$B$3-100)*3)+Inputs!$B$28+Inputs!$B$29)))</f>
        <v/>
      </c>
      <c r="E837">
        <f>INDEX(FactorTable!$B$2:$Y$301, MATCH(ROUND(MIN(300,MAX(1,D837)),0), FactorTable!$A$2:$A$301,0), Skills!M18+1)</f>
        <v/>
      </c>
      <c r="F837">
        <f>IF(Skills!N18=TRUE,(Skills!L18/10)*(E837/1000),Skills!L18/10)+Skills!O18</f>
        <v/>
      </c>
      <c r="G837">
        <f>Skills!G18*IF(Skills!H18&gt;0,Skills!I18/Skills!H18,1)</f>
        <v/>
      </c>
      <c r="H837">
        <f>1-(1-Skills!J18/100)^Skills!K18</f>
        <v/>
      </c>
      <c r="I837" t="inlineStr">
        <is>
          <t>1</t>
        </is>
      </c>
      <c r="J837" t="inlineStr"/>
      <c r="K837" t="inlineStr"/>
      <c r="L837" t="inlineStr"/>
      <c r="M837" t="inlineStr"/>
      <c r="N837" t="inlineStr"/>
      <c r="O837">
        <f>(1-Summary!$B$11)*T837+Summary!$B$11*V837</f>
        <v/>
      </c>
      <c r="P837">
        <f>IF(B860=0,0,O837/B860)</f>
        <v/>
      </c>
      <c r="Q837">
        <f>IFERROR(1/(IF(Inputs!$B$38="pvp",15,MAX(0.1,Skills!D18-IF(Skills!E18=TRUE,Inputs!$B$32,0)))*(1-IF(AND(ArtifactsInput!$M$27,Inputs!$B$4="Chapter Hunt"),CHOOSE(ArtifactsInput!$N$27+1,20,24,28,32,36,40),0)/100)),0)</f>
        <v/>
      </c>
      <c r="R837">
        <f>IF(AND(Inputs!$B$38&lt;&gt;"pvp",Inputs!$B$43&gt;0),IF(Inputs!$B$43&lt;=0,0,(INT(Inputs!$B$43/(IF(Inputs!$B$38="pvp",15,MAX(0.1,Skills!D18-IF(Skills!E18=TRUE,Inputs!$B$32,0)))*(1-IF(AND(ArtifactsInput!$M$27,Inputs!$B$4="Chapter Hunt"),CHOOSE(ArtifactsInput!$N$27+1,20,24,28,32,36,40),0)/100)))+1)),0)</f>
        <v/>
      </c>
      <c r="S837">
        <f>IFERROR(O837/N837,0)</f>
        <v/>
      </c>
      <c r="T837" t="n">
        <v>0</v>
      </c>
      <c r="V837" t="n">
        <v>0</v>
      </c>
    </row>
    <row r="838">
      <c r="A838">
        <f>Skills!A19</f>
        <v/>
      </c>
      <c r="B838">
        <f>Skills!B19</f>
        <v/>
      </c>
      <c r="C838">
        <f>Inputs!$B$3&gt;=15</f>
        <v/>
      </c>
      <c r="D838">
        <f>IF(Skills!C19=1,60+Inputs!$B$25+Inputs!$B$29,IF(Skills!C19=2,90+(Inputs!$B$26+1)+Inputs!$B$29,IF(Skills!C19=3,120+Inputs!$B$27+Inputs!$B$29,MAX(0,(Inputs!$B$3-100)*3)+Inputs!$B$28+Inputs!$B$29)))</f>
        <v/>
      </c>
      <c r="E838">
        <f>INDEX(FactorTable!$B$2:$Y$301, MATCH(ROUND(MIN(300,MAX(1,D838)),0), FactorTable!$A$2:$A$301,0), Skills!M19+1)</f>
        <v/>
      </c>
      <c r="F838">
        <f>IF(Skills!N19=TRUE,(Skills!L19/10)*(E838/1000),Skills!L19/10)+Skills!O19</f>
        <v/>
      </c>
      <c r="G838">
        <f>Skills!G19*IF(Skills!H19&gt;0,Skills!I19/Skills!H19,1)</f>
        <v/>
      </c>
      <c r="H838">
        <f>1-(1-Skills!J19/100)^Skills!K19</f>
        <v/>
      </c>
      <c r="I838" t="inlineStr">
        <is>
          <t>1</t>
        </is>
      </c>
      <c r="J838" t="inlineStr"/>
      <c r="K838" t="inlineStr"/>
      <c r="L838" t="inlineStr"/>
      <c r="M838" t="inlineStr"/>
      <c r="N838" t="inlineStr"/>
      <c r="O838">
        <f>(1-Summary!$B$11)*T838+Summary!$B$11*V838</f>
        <v/>
      </c>
      <c r="P838">
        <f>IF(B860=0,0,O838/B860)</f>
        <v/>
      </c>
      <c r="Q838" t="n">
        <v>0</v>
      </c>
      <c r="R838" t="n">
        <v>0</v>
      </c>
      <c r="S838">
        <f>IFERROR(O838/N838,0)</f>
        <v/>
      </c>
      <c r="T838" t="n">
        <v>0</v>
      </c>
      <c r="V838" t="n">
        <v>0</v>
      </c>
    </row>
    <row r="839">
      <c r="A839">
        <f>Skills!A20</f>
        <v/>
      </c>
      <c r="B839">
        <f>Skills!B20</f>
        <v/>
      </c>
      <c r="C839">
        <f>Inputs!$B$3&gt;=10</f>
        <v/>
      </c>
      <c r="D839">
        <f>IF(Skills!C20=1,60+Inputs!$B$25+Inputs!$B$29,IF(Skills!C20=2,90+(Inputs!$B$26+1)+Inputs!$B$29,IF(Skills!C20=3,120+Inputs!$B$27+Inputs!$B$29,MAX(0,(Inputs!$B$3-100)*3)+Inputs!$B$28+Inputs!$B$29)))</f>
        <v/>
      </c>
      <c r="E839">
        <f>INDEX(FactorTable!$B$2:$Y$301, MATCH(ROUND(MIN(300,MAX(1,D839)),0), FactorTable!$A$2:$A$301,0), Skills!M20+1)</f>
        <v/>
      </c>
      <c r="F839">
        <f>IF(Skills!N20=TRUE,(Skills!L20/10)*(E839/1000),Skills!L20/10)+Skills!O20</f>
        <v/>
      </c>
      <c r="G839">
        <f>Skills!G20*IF(Skills!H20&gt;0,Skills!I20/Skills!H20,1)</f>
        <v/>
      </c>
      <c r="H839">
        <f>1-(1-Skills!J20/100)^Skills!K20</f>
        <v/>
      </c>
      <c r="I839" t="inlineStr">
        <is>
          <t>1</t>
        </is>
      </c>
      <c r="J839" t="inlineStr"/>
      <c r="K839" t="inlineStr"/>
      <c r="L839" t="inlineStr"/>
      <c r="M839" t="inlineStr"/>
      <c r="N839" t="inlineStr"/>
      <c r="O839">
        <f>(1-Summary!$B$11)*T839+Summary!$B$11*V839</f>
        <v/>
      </c>
      <c r="P839">
        <f>IF(B860=0,0,O839/B860)</f>
        <v/>
      </c>
      <c r="Q839" t="n">
        <v>0</v>
      </c>
      <c r="R839" t="n">
        <v>0</v>
      </c>
      <c r="S839">
        <f>IFERROR(O839/N839,0)</f>
        <v/>
      </c>
      <c r="T839" t="n">
        <v>0</v>
      </c>
      <c r="V839" t="n">
        <v>0</v>
      </c>
    </row>
    <row r="840">
      <c r="A840">
        <f>Skills!A21</f>
        <v/>
      </c>
      <c r="B840">
        <f>Skills!B21</f>
        <v/>
      </c>
      <c r="C840">
        <f>Inputs!$B$3&gt;=33</f>
        <v/>
      </c>
      <c r="D840">
        <f>IF(Skills!C21=1,60+Inputs!$B$25+Inputs!$B$29,IF(Skills!C21=2,90+(Inputs!$B$26+1)+Inputs!$B$29,IF(Skills!C21=3,120+Inputs!$B$27+Inputs!$B$29,MAX(0,(Inputs!$B$3-100)*3)+Inputs!$B$28+Inputs!$B$29)))</f>
        <v/>
      </c>
      <c r="E840">
        <f>INDEX(FactorTable!$B$2:$Y$301, MATCH(ROUND(MIN(300,MAX(1,D840)),0), FactorTable!$A$2:$A$301,0), Skills!M21+1)</f>
        <v/>
      </c>
      <c r="F840">
        <f>IF(Skills!N21=TRUE,(Skills!L21/10)*(E840/1000),Skills!L21/10)+Skills!O21</f>
        <v/>
      </c>
      <c r="G840">
        <f>Skills!G21*IF(Skills!H21&gt;0,Skills!I21/Skills!H21,1)</f>
        <v/>
      </c>
      <c r="H840">
        <f>1-(1-Skills!J21/100)^Skills!K21</f>
        <v/>
      </c>
      <c r="I840" t="inlineStr">
        <is>
          <t>1</t>
        </is>
      </c>
      <c r="J840" t="inlineStr"/>
      <c r="K840" t="inlineStr"/>
      <c r="L840" t="inlineStr"/>
      <c r="M840" t="inlineStr"/>
      <c r="N840" t="inlineStr"/>
      <c r="O840">
        <f>(1-Summary!$B$11)*T840+Summary!$B$11*V840</f>
        <v/>
      </c>
      <c r="P840">
        <f>IF(B860=0,0,O840/B860)</f>
        <v/>
      </c>
      <c r="Q840" t="n">
        <v>0</v>
      </c>
      <c r="R840" t="n">
        <v>0</v>
      </c>
      <c r="S840">
        <f>IFERROR(O840/N840,0)</f>
        <v/>
      </c>
      <c r="T840" t="n">
        <v>0</v>
      </c>
      <c r="V840" t="n">
        <v>0</v>
      </c>
    </row>
    <row r="841">
      <c r="A841">
        <f>Skills!A22</f>
        <v/>
      </c>
      <c r="B841">
        <f>Skills!B22</f>
        <v/>
      </c>
      <c r="C841">
        <f>Inputs!$B$3&gt;=43</f>
        <v/>
      </c>
      <c r="D841">
        <f>IF(Skills!C22=1,60+Inputs!$B$25+Inputs!$B$29,IF(Skills!C22=2,90+(Inputs!$B$26+1)+Inputs!$B$29,IF(Skills!C22=3,120+Inputs!$B$27+Inputs!$B$29,MAX(0,(Inputs!$B$3-100)*3)+Inputs!$B$28+Inputs!$B$29)))</f>
        <v/>
      </c>
      <c r="E841">
        <f>INDEX(FactorTable!$B$2:$Y$301, MATCH(ROUND(MIN(300,MAX(1,D841)),0), FactorTable!$A$2:$A$301,0), Skills!M22+1)</f>
        <v/>
      </c>
      <c r="F841">
        <f>IF(Skills!N22=TRUE,(Skills!L22/10)*(E841/1000),Skills!L22/10)+Skills!O22</f>
        <v/>
      </c>
      <c r="G841">
        <f>Skills!G22*IF(Skills!H22&gt;0,Skills!I22/Skills!H22,1)</f>
        <v/>
      </c>
      <c r="H841">
        <f>1-(1-Skills!J22/100)^Skills!K22</f>
        <v/>
      </c>
      <c r="I841" t="inlineStr">
        <is>
          <t>1</t>
        </is>
      </c>
      <c r="J841" t="inlineStr"/>
      <c r="K841" t="inlineStr"/>
      <c r="L841" t="inlineStr"/>
      <c r="M841" t="inlineStr"/>
      <c r="N841" t="inlineStr"/>
      <c r="O841">
        <f>(1-Summary!$B$11)*T841+Summary!$B$11*V841</f>
        <v/>
      </c>
      <c r="P841">
        <f>IF(B860=0,0,O841/B860)</f>
        <v/>
      </c>
      <c r="Q841" t="n">
        <v>0</v>
      </c>
      <c r="R841" t="n">
        <v>0</v>
      </c>
      <c r="S841">
        <f>IFERROR(O841/N841,0)</f>
        <v/>
      </c>
      <c r="T841" t="n">
        <v>0</v>
      </c>
      <c r="V841" t="n">
        <v>0</v>
      </c>
    </row>
    <row r="842">
      <c r="A842">
        <f>Skills!A23</f>
        <v/>
      </c>
      <c r="B842">
        <f>Skills!B23</f>
        <v/>
      </c>
      <c r="C842">
        <f>Inputs!$B$3&gt;=38</f>
        <v/>
      </c>
      <c r="D842">
        <f>IF(Skills!C23=1,60+Inputs!$B$25+Inputs!$B$29,IF(Skills!C23=2,90+(Inputs!$B$26+1)+Inputs!$B$29,IF(Skills!C23=3,120+Inputs!$B$27+Inputs!$B$29,MAX(0,(Inputs!$B$3-100)*3)+Inputs!$B$28+Inputs!$B$29)))</f>
        <v/>
      </c>
      <c r="E842">
        <f>INDEX(FactorTable!$B$2:$Y$301, MATCH(ROUND(MIN(300,MAX(1,D842)),0), FactorTable!$A$2:$A$301,0), Skills!M23+1)</f>
        <v/>
      </c>
      <c r="F842">
        <f>IF(Skills!N23=TRUE,(Skills!L23/10)*(E842/1000),Skills!L23/10)+Skills!O23</f>
        <v/>
      </c>
      <c r="G842">
        <f>Skills!G23*IF(Skills!H23&gt;0,Skills!I23/Skills!H23,1)</f>
        <v/>
      </c>
      <c r="H842">
        <f>1-(1-Skills!J23/100)^Skills!K23</f>
        <v/>
      </c>
      <c r="I842" t="inlineStr">
        <is>
          <t>1</t>
        </is>
      </c>
      <c r="J842" t="inlineStr"/>
      <c r="K842" t="inlineStr"/>
      <c r="L842" t="inlineStr"/>
      <c r="M842" t="inlineStr"/>
      <c r="N842" t="inlineStr"/>
      <c r="O842">
        <f>(1-Summary!$B$11)*T842+Summary!$B$11*V842</f>
        <v/>
      </c>
      <c r="P842">
        <f>IF(B860=0,0,O842/B860)</f>
        <v/>
      </c>
      <c r="Q842" t="n">
        <v>0</v>
      </c>
      <c r="R842" t="n">
        <v>0</v>
      </c>
      <c r="S842">
        <f>IFERROR(O842/N842,0)</f>
        <v/>
      </c>
      <c r="T842" t="n">
        <v>0</v>
      </c>
      <c r="V842" t="n">
        <v>0</v>
      </c>
    </row>
    <row r="843">
      <c r="A843">
        <f>Skills!A24</f>
        <v/>
      </c>
      <c r="B843">
        <f>Skills!B24</f>
        <v/>
      </c>
      <c r="C843">
        <f>Inputs!$B$3&gt;=40</f>
        <v/>
      </c>
      <c r="D843">
        <f>IF(Skills!C24=1,60+Inputs!$B$25+Inputs!$B$29,IF(Skills!C24=2,90+(Inputs!$B$26+1)+Inputs!$B$29,IF(Skills!C24=3,120+Inputs!$B$27+Inputs!$B$29,MAX(0,(Inputs!$B$3-100)*3)+Inputs!$B$28+Inputs!$B$29)))</f>
        <v/>
      </c>
      <c r="E843">
        <f>INDEX(FactorTable!$B$2:$Y$301, MATCH(ROUND(MIN(300,MAX(1,D843)),0), FactorTable!$A$2:$A$301,0), Skills!M24+1)</f>
        <v/>
      </c>
      <c r="F843">
        <f>IF(Skills!N24=TRUE,(Skills!L24/10)*(E843/1000),Skills!L24/10)+Skills!O24</f>
        <v/>
      </c>
      <c r="G843">
        <f>Skills!G24*IF(Skills!H24&gt;0,Skills!I24/Skills!H24,1)</f>
        <v/>
      </c>
      <c r="H843">
        <f>1-(1-Skills!J24/100)^Skills!K24</f>
        <v/>
      </c>
      <c r="I843" t="inlineStr">
        <is>
          <t>1</t>
        </is>
      </c>
      <c r="J843" t="inlineStr"/>
      <c r="K843" t="inlineStr"/>
      <c r="L843" t="inlineStr"/>
      <c r="M843" t="inlineStr"/>
      <c r="N843" t="inlineStr"/>
      <c r="O843">
        <f>(1-Summary!$B$11)*T843+Summary!$B$11*V843</f>
        <v/>
      </c>
      <c r="P843">
        <f>IF(B860=0,0,O843/B860)</f>
        <v/>
      </c>
      <c r="Q843" t="n">
        <v>0</v>
      </c>
      <c r="R843" t="n">
        <v>0</v>
      </c>
      <c r="S843">
        <f>IFERROR(O843/N843,0)</f>
        <v/>
      </c>
      <c r="T843" t="n">
        <v>0</v>
      </c>
      <c r="V843" t="n">
        <v>0</v>
      </c>
    </row>
    <row r="844">
      <c r="A844">
        <f>Skills!A25</f>
        <v/>
      </c>
      <c r="B844">
        <f>Skills!B25</f>
        <v/>
      </c>
      <c r="C844">
        <f>Inputs!$B$3&gt;=72</f>
        <v/>
      </c>
      <c r="D844">
        <f>IF(Skills!C25=1,60+Inputs!$B$25+Inputs!$B$29,IF(Skills!C25=2,90+(Inputs!$B$26+1)+Inputs!$B$29,IF(Skills!C25=3,120+Inputs!$B$27+Inputs!$B$29,MAX(0,(Inputs!$B$3-100)*3)+Inputs!$B$28+Inputs!$B$29)))</f>
        <v/>
      </c>
      <c r="E844">
        <f>INDEX(FactorTable!$B$2:$Y$301, MATCH(ROUND(MIN(300,MAX(1,D844)),0), FactorTable!$A$2:$A$301,0), Skills!M25+1)</f>
        <v/>
      </c>
      <c r="F844">
        <f>IF(Skills!N25=TRUE,(Skills!L25/10)*(E844/1000),Skills!L25/10)+Skills!O25</f>
        <v/>
      </c>
      <c r="G844">
        <f>Skills!G25*IF(Skills!H25&gt;0,Skills!I25/Skills!H25,1)</f>
        <v/>
      </c>
      <c r="H844">
        <f>1-(1-Skills!J25/100)^Skills!K25</f>
        <v/>
      </c>
      <c r="I844" t="inlineStr">
        <is>
          <t>1</t>
        </is>
      </c>
      <c r="J844" t="inlineStr"/>
      <c r="K844" t="inlineStr"/>
      <c r="L844" t="inlineStr"/>
      <c r="M844" t="inlineStr"/>
      <c r="N844" t="inlineStr"/>
      <c r="O844">
        <f>(1-Summary!$B$11)*T844+Summary!$B$11*V844</f>
        <v/>
      </c>
      <c r="P844">
        <f>IF(B860=0,0,O844/B860)</f>
        <v/>
      </c>
      <c r="Q844" t="n">
        <v>0</v>
      </c>
      <c r="R844" t="n">
        <v>0</v>
      </c>
      <c r="S844">
        <f>IFERROR(O844/N844,0)</f>
        <v/>
      </c>
      <c r="T844" t="n">
        <v>0</v>
      </c>
      <c r="V844" t="n">
        <v>0</v>
      </c>
    </row>
    <row r="845">
      <c r="A845">
        <f>Skills!A26</f>
        <v/>
      </c>
      <c r="B845">
        <f>Skills!B26</f>
        <v/>
      </c>
      <c r="C845">
        <f>Inputs!$B$3&gt;=75</f>
        <v/>
      </c>
      <c r="D845">
        <f>IF(Skills!C26=1,60+Inputs!$B$25+Inputs!$B$29,IF(Skills!C26=2,90+(Inputs!$B$26+1)+Inputs!$B$29,IF(Skills!C26=3,120+Inputs!$B$27+Inputs!$B$29,MAX(0,(Inputs!$B$3-100)*3)+Inputs!$B$28+Inputs!$B$29)))</f>
        <v/>
      </c>
      <c r="E845">
        <f>INDEX(FactorTable!$B$2:$Y$301, MATCH(ROUND(MIN(300,MAX(1,D845)),0), FactorTable!$A$2:$A$301,0), Skills!M26+1)</f>
        <v/>
      </c>
      <c r="F845">
        <f>IF(Skills!N26=TRUE,(Skills!L26/10)*(E845/1000),Skills!L26/10)+Skills!O26</f>
        <v/>
      </c>
      <c r="G845">
        <f>Skills!G26*IF(Skills!H26&gt;0,Skills!I26/Skills!H26,1)</f>
        <v/>
      </c>
      <c r="H845">
        <f>1-(1-Skills!J26/100)^Skills!K26</f>
        <v/>
      </c>
      <c r="I845" t="inlineStr">
        <is>
          <t>1</t>
        </is>
      </c>
      <c r="J845" t="inlineStr"/>
      <c r="K845" t="inlineStr"/>
      <c r="L845" t="inlineStr"/>
      <c r="M845" t="inlineStr"/>
      <c r="N845" t="inlineStr"/>
      <c r="O845">
        <f>(1-Summary!$B$11)*T845+Summary!$B$11*V845</f>
        <v/>
      </c>
      <c r="P845">
        <f>IF(B860=0,0,O845/B860)</f>
        <v/>
      </c>
      <c r="Q845" t="n">
        <v>0</v>
      </c>
      <c r="R845" t="n">
        <v>0</v>
      </c>
      <c r="S845">
        <f>IFERROR(O845/N845,0)</f>
        <v/>
      </c>
      <c r="T845" t="n">
        <v>0</v>
      </c>
      <c r="V845" t="n">
        <v>0</v>
      </c>
    </row>
    <row r="846">
      <c r="A846">
        <f>Skills!A27</f>
        <v/>
      </c>
      <c r="B846">
        <f>Skills!B27</f>
        <v/>
      </c>
      <c r="C846">
        <f>Inputs!$B$3&gt;=117</f>
        <v/>
      </c>
      <c r="D846">
        <f>IF(Skills!C27=1,60+Inputs!$B$25+Inputs!$B$29,IF(Skills!C27=2,90+(Inputs!$B$26+1)+Inputs!$B$29,IF(Skills!C27=3,120+Inputs!$B$27+Inputs!$B$29,MAX(0,(Inputs!$B$3-100)*3)+Inputs!$B$28+Inputs!$B$29)))</f>
        <v/>
      </c>
      <c r="E846">
        <f>INDEX(FactorTable!$B$2:$Y$301, MATCH(ROUND(MIN(300,MAX(1,D846)),0), FactorTable!$A$2:$A$301,0), Skills!M27+1)</f>
        <v/>
      </c>
      <c r="F846">
        <f>IF(Skills!N27=TRUE,(Skills!L27/10)*(E846/1000),Skills!L27/10)+Skills!O27</f>
        <v/>
      </c>
      <c r="G846">
        <f>Skills!G27*IF(Skills!H27&gt;0,Skills!I27/Skills!H27,1)</f>
        <v/>
      </c>
      <c r="H846">
        <f>1-(1-Skills!J27/100)^Skills!K27</f>
        <v/>
      </c>
      <c r="I846" t="inlineStr">
        <is>
          <t>1</t>
        </is>
      </c>
      <c r="J846" t="inlineStr"/>
      <c r="K846" t="inlineStr"/>
      <c r="L846" t="inlineStr"/>
      <c r="M846" t="inlineStr"/>
      <c r="N846" t="inlineStr"/>
      <c r="O846">
        <f>(1-Summary!$B$11)*T846+Summary!$B$11*V846</f>
        <v/>
      </c>
      <c r="P846">
        <f>IF(B860=0,0,O846/B860)</f>
        <v/>
      </c>
      <c r="Q846" t="n">
        <v>0</v>
      </c>
      <c r="R846" t="n">
        <v>0</v>
      </c>
      <c r="S846">
        <f>IFERROR(O846/N846,0)</f>
        <v/>
      </c>
      <c r="T846" t="n">
        <v>0</v>
      </c>
      <c r="V846" t="n">
        <v>0</v>
      </c>
    </row>
    <row r="847">
      <c r="A847">
        <f>Skills!A28</f>
        <v/>
      </c>
      <c r="B847">
        <f>Skills!B28</f>
        <v/>
      </c>
      <c r="C847">
        <f>TRUE</f>
        <v/>
      </c>
      <c r="D847">
        <f>IF(Skills!C28=1,60+Inputs!$B$25+Inputs!$B$29,IF(Skills!C28=2,90+(Inputs!$B$26+1)+Inputs!$B$29,IF(Skills!C28=3,120+Inputs!$B$27+Inputs!$B$29,MAX(0,(Inputs!$B$3-100)*3)+Inputs!$B$28+Inputs!$B$29)))</f>
        <v/>
      </c>
      <c r="E847">
        <f>INDEX(FactorTable!$B$2:$Y$301, MATCH(ROUND(MIN(300,MAX(1,D847)),0), FactorTable!$A$2:$A$301,0), Skills!M28+1)</f>
        <v/>
      </c>
      <c r="F847">
        <f>IF(Skills!N28=TRUE,(Skills!L28/10)*(E847/1000),Skills!L28/10)+Skills!O28</f>
        <v/>
      </c>
      <c r="G847">
        <f>Skills!G28*IF(Skills!H28&gt;0,Skills!I28/Skills!H28,1)</f>
        <v/>
      </c>
      <c r="H847">
        <f>1-(1-Skills!J28/100)^Skills!K28</f>
        <v/>
      </c>
      <c r="I847" t="inlineStr">
        <is>
          <t>1</t>
        </is>
      </c>
      <c r="J847" t="inlineStr"/>
      <c r="K847" t="inlineStr"/>
      <c r="L847" t="inlineStr"/>
      <c r="M847" t="inlineStr"/>
      <c r="N847" t="inlineStr"/>
      <c r="O847">
        <f>(1-Summary!$B$11)*T847+Summary!$B$11*V847</f>
        <v/>
      </c>
      <c r="P847">
        <f>IF(B860=0,0,O847/B860)</f>
        <v/>
      </c>
      <c r="Q847">
        <f>IFERROR(1/(IF(Inputs!$B$38="pvp",15,MAX(0.1,Skills!D28-IF(Skills!E28=TRUE,Inputs!$B$32,0)))*(1-IF(AND(ArtifactsInput!$M$27,Inputs!$B$4="Chapter Hunt"),CHOOSE(ArtifactsInput!$N$27+1,20,24,28,32,36,40),0)/100)),0)</f>
        <v/>
      </c>
      <c r="R847">
        <f>IF(AND(Inputs!$B$38&lt;&gt;"pvp",Inputs!$B$43&gt;0),IF(Inputs!$B$43&lt;=0,0,(INT(Inputs!$B$43/(IF(Inputs!$B$38="pvp",15,MAX(0.1,Skills!D28-IF(Skills!E28=TRUE,Inputs!$B$32,0)))*(1-IF(AND(ArtifactsInput!$M$27,Inputs!$B$4="Chapter Hunt"),CHOOSE(ArtifactsInput!$N$27+1,20,24,28,32,36,40),0)/100)))+1)),0)</f>
        <v/>
      </c>
      <c r="S847">
        <f>IFERROR(O847/N847,0)</f>
        <v/>
      </c>
      <c r="T847" t="n">
        <v>0</v>
      </c>
      <c r="V847" t="n">
        <v>0</v>
      </c>
    </row>
    <row r="849">
      <c r="A849" t="inlineStr">
        <is>
          <t>Attack% Bucket Multiplier</t>
        </is>
      </c>
      <c r="B849">
        <f>(1+(((C836=TRUE)*F836*5/7)+((C843=TRUE)*(F843-Calc!F24))+(IF(ArtifactsInput!$M$21,CHOOSE(ArtifactsInput!$N$21+1,25,30,35,40,45,50)*(IF(OR(Inputs!$B$4="Chapter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50">
      <c r="A850" t="inlineStr">
        <is>
          <t>Global Crit Rate Bonus %</t>
        </is>
      </c>
      <c r="B850" t="n">
        <v>0</v>
      </c>
    </row>
    <row r="851">
      <c r="A851" t="inlineStr">
        <is>
          <t>Attack Speed Buff Bonus % (Nimble Feet, duty-cycle averaged)</t>
        </is>
      </c>
      <c r="B851">
        <f>((C847=TRUE)*F847*IF(AND(Inputs!$B$38&lt;&gt;"pvp",Inputs!$B$43&gt;0),(((R847-1)*(Skills!T28*(1+Inputs!$B$34/100))+MIN((Skills!T28*(1+Inputs!$B$34/100)),MAX(0,Inputs!$B$43-((R847-1)*Skills!D28))))/Inputs!$B$43),IF(Inputs!$B$38="pvp",MIN((Skills!T28*(1+Inputs!$B$34/100)),15)/15,(Skills!T28*(1+Inputs!$B$34/100))/Skills!D28)))</f>
        <v/>
      </c>
    </row>
    <row r="852">
      <c r="A852" t="inlineStr">
        <is>
          <t>Actions Per Second</t>
        </is>
      </c>
      <c r="B852">
        <f>1+MIN(150,150*(1-(1-(Inputs!$B$11+((C839=TRUE)*(F839-Calc!F20))+((C840=TRUE)*(F840-Calc!F21)))/150)*(1-B851/150)))/100</f>
        <v/>
      </c>
    </row>
    <row r="853">
      <c r="A853" t="inlineStr">
        <is>
          <t>Skill + Buff Cast Rate</t>
        </is>
      </c>
      <c r="B853">
        <f>IF(AND(Inputs!$B$38&lt;&gt;"pvp",Inputs!$B$43&gt;0),SUMPRODUCT((Skills!E2:E28=TRUE)*(C821:C847=TRUE)*R821:R847*Skills!F2:F28)/Inputs!$B$43,SUMPRODUCT((Skills!E2:E28=TRUE)*(C821:C847=TRUE)*Q821:Q847*Skills!F2:F28))</f>
        <v/>
      </c>
    </row>
    <row r="854">
      <c r="A854" t="inlineStr">
        <is>
          <t>Eight-Legs Easton Casts Per Second</t>
        </is>
      </c>
      <c r="B854">
        <f>MAX(0,B852-B853)</f>
        <v/>
      </c>
    </row>
    <row r="855">
      <c r="A855" t="inlineStr">
        <is>
          <t>Global Critical Damage Bonus % (unused)</t>
        </is>
      </c>
      <c r="B855" t="n">
        <v>0</v>
      </c>
    </row>
    <row r="856">
      <c r="A856" t="inlineStr">
        <is>
          <t>Global Final Damage Bonus % (Jolly Roger + Ahoy Mateys - Final Damage proc)</t>
        </is>
      </c>
      <c r="B856">
        <f>((C837=TRUE)*F837*IF(AND(Inputs!$B$38&lt;&gt;"pvp",Inputs!$B$43&gt;0),(((R837-1)*(Skills!T18*(1+Inputs!$B$34/100))+MIN((Skills!T18*(1+Inputs!$B$34/100)),MAX(0,Inputs!$B$43-((R837-1)*Skills!D18))))/Inputs!$B$43),IF(Inputs!$B$38="pvp",MIN((Skills!T18*(1+Inputs!$B$34/100)),15)/15,(Skills!T18*(1+Inputs!$B$34/100))/Skills!D18)))+IF(Inputs!$B$3&gt;=122,20*IF(Inputs!$B$38="pvp",MIN((20*(1+Inputs!$B$34/100)),15)/15,(20*(1+Inputs!$B$34/100))/Skills!D4),0)</f>
        <v/>
      </c>
    </row>
    <row r="857">
      <c r="A857" t="inlineStr">
        <is>
          <t>Buff-Casting Startup Delay (s, fixed-duration only)</t>
        </is>
      </c>
      <c r="B857">
        <f>IF(AND(Inputs!$B$38&lt;&gt;"pvp",Inputs!$B$43&gt;0),SUMPRODUCT((Skills!T2:T28&gt;0)*(Skills!E2:E28=TRUE)*(C821:C847=TRUE))/B852,0)</f>
        <v/>
      </c>
    </row>
    <row r="858">
      <c r="A858" t="inlineStr">
        <is>
          <t>Boss-Only Total DPS (this block's swept value)</t>
        </is>
      </c>
      <c r="B858">
        <f>SUM(T821:T847)</f>
        <v/>
      </c>
    </row>
    <row r="859">
      <c r="A859" t="inlineStr">
        <is>
          <t>Normal-Only Total DPS (this block's swept value)</t>
        </is>
      </c>
      <c r="B859">
        <f>SUM(V821:V847)</f>
        <v/>
      </c>
    </row>
    <row r="860">
      <c r="A860" s="6" t="inlineStr">
        <is>
          <t>TOTAL DPS</t>
        </is>
      </c>
      <c r="B860" s="6">
        <f>SUM(O821:O847)</f>
        <v/>
      </c>
    </row>
    <row r="863">
      <c r="A863" s="6" t="inlineStr">
        <is>
          <t>Stat: Skill Level Bonus — 3rd Job</t>
        </is>
      </c>
    </row>
    <row r="864">
      <c r="A864" s="5" t="inlineStr">
        <is>
          <t>Key</t>
        </is>
      </c>
      <c r="B864" s="5" t="inlineStr">
        <is>
          <t>Name</t>
        </is>
      </c>
      <c r="C864" s="5" t="inlineStr">
        <is>
          <t>Unlocked</t>
        </is>
      </c>
      <c r="D864" s="5" t="inlineStr">
        <is>
          <t>InputLevel</t>
        </is>
      </c>
      <c r="E864" s="5" t="inlineStr">
        <is>
          <t>Factor</t>
        </is>
      </c>
      <c r="F864" s="5" t="inlineStr">
        <is>
          <t>CoefficientPercent</t>
        </is>
      </c>
      <c r="G864" s="5" t="inlineStr">
        <is>
          <t>EffectiveHits</t>
        </is>
      </c>
      <c r="H864" s="5" t="inlineStr">
        <is>
          <t>ProcProbability</t>
        </is>
      </c>
      <c r="I864" s="5" t="inlineStr">
        <is>
          <t>MapleHeroMultiplier</t>
        </is>
      </c>
      <c r="J864" s="5" t="inlineStr">
        <is>
          <t>BaseDamage</t>
        </is>
      </c>
      <c r="K864" s="5" t="inlineStr">
        <is>
          <t>BaseHitDamage</t>
        </is>
      </c>
      <c r="L864" s="5" t="inlineStr">
        <is>
          <t>NonCritAvg</t>
        </is>
      </c>
      <c r="M864" s="5" t="inlineStr">
        <is>
          <t>CritAvg</t>
        </is>
      </c>
      <c r="N864" s="5" t="inlineStr">
        <is>
          <t>ExpectedDamage(perHit)</t>
        </is>
      </c>
      <c r="O864" s="5" t="inlineStr">
        <is>
          <t>DPS</t>
        </is>
      </c>
      <c r="P864" s="5" t="inlineStr">
        <is>
          <t>% of Total</t>
        </is>
      </c>
      <c r="Q864" s="5" t="inlineStr">
        <is>
          <t>InvCooldown</t>
        </is>
      </c>
      <c r="R864" s="5" t="inlineStr">
        <is>
          <t>CastsInFight</t>
        </is>
      </c>
      <c r="S864" s="5" t="inlineStr">
        <is>
          <t>HitRate(perSec)</t>
        </is>
      </c>
      <c r="U864" t="inlineStr">
        <is>
          <t>helpers</t>
        </is>
      </c>
    </row>
    <row r="865">
      <c r="A865">
        <f>Skills!A2</f>
        <v/>
      </c>
      <c r="B865">
        <f>Skills!B2</f>
        <v/>
      </c>
      <c r="C865">
        <f>Inputs!$B$3&gt;=100</f>
        <v/>
      </c>
      <c r="D865" t="inlineStr"/>
      <c r="E865" t="inlineStr"/>
      <c r="F865">
        <f>U867+Skills!O2</f>
        <v/>
      </c>
      <c r="G865">
        <f>Skills!G2*IF(Skills!H2&gt;0,Skills!I2/Skills!H2,1)</f>
        <v/>
      </c>
      <c r="H865">
        <f>1-(1-Skills!J2/100)^Skills!K2</f>
        <v/>
      </c>
      <c r="I865" t="inlineStr">
        <is>
          <t>1</t>
        </is>
      </c>
      <c r="J865">
        <f>((Inputs!$B$6*(1+Inputs!$B$7/100))+(((Inputs!$B$12*(1+Inputs!$B$13/100))-(Inputs!$B$12*(1+Inputs!$B$13/100)))+0.25*(Inputs!$B$14-Inputs!$B$14))*(1+Inputs!$B$7/100))*(F865/100)</f>
        <v/>
      </c>
      <c r="K865">
        <f>J865*(1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865)</f>
        <v/>
      </c>
      <c r="L865">
        <f>K865*(MIN(Inputs!$B$22+((C885=TRUE)*(F885-Calc!F22)),(Inputs!$B$23+0+(IF(ArtifactsInput!$M$15,CHOOSE(ArtifactsInput!$N$15+1,25,30,35,40,45,50)/100*(Inputs!$B$11-Inputs!$B$11),0))))/100+(Inputs!$B$23+0+(IF(ArtifactsInput!$M$15,CHOOSE(ArtifactsInput!$N$15+1,25,30,35,40,45,50)/100*(Inputs!$B$11-Inputs!$B$11),0)))/100)/2</f>
        <v/>
      </c>
      <c r="M865">
        <f>L865*(1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5">
        <f>L865*(1-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865*(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5">
        <f>(1-Summary!$B$11)*T865+Summary!$B$11*V865</f>
        <v/>
      </c>
      <c r="P865">
        <f>IF(B904=0,0,O865/B904)</f>
        <v/>
      </c>
      <c r="Q865" t="n">
        <v>0</v>
      </c>
      <c r="R865" t="n">
        <v>0</v>
      </c>
      <c r="S865">
        <f>IFERROR(O865/N865,0)</f>
        <v/>
      </c>
      <c r="T865">
        <f>IF(C865,(Skills!G2*N865*B898)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865*(1-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865*(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865*(1-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865*(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65">
        <f>MAX(0,(Inputs!$B$3-100)*3)+Inputs!$B$28+Inputs!$B$29</f>
        <v/>
      </c>
      <c r="V865">
        <f>IF(C865,(Skills!G2*N865*B898)*IF(Inputs!$B$38="pvp",1,(1+(Inputs!$B$21+Skills!Q2+(IF(ArtifactsInput!$M$33,CHOOSE(ArtifactsInput!$N$33+1,30,36,42,48,54,60),0))+(IF(AND(ArtifactsInput!$M$35,Inputs!$B$4&lt;&gt;"Chapter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6">
      <c r="A866">
        <f>Skills!A3</f>
        <v/>
      </c>
      <c r="B866">
        <f>Skills!B3</f>
        <v/>
      </c>
      <c r="C866">
        <f>Inputs!$B$3&gt;=35</f>
        <v/>
      </c>
      <c r="D866">
        <f>IF(Skills!C3=1,60+Inputs!$B$25+Inputs!$B$29,IF(Skills!C3=2,90+Inputs!$B$26+Inputs!$B$29,IF(Skills!C3=3,120+(Inputs!$B$27+1)+Inputs!$B$29,MAX(0,(Inputs!$B$3-100)*3)+Inputs!$B$28+Inputs!$B$29)))</f>
        <v/>
      </c>
      <c r="E866">
        <f>INDEX(FactorTable!$B$2:$Y$301, MATCH(ROUND(MIN(300,MAX(1,D866)),0), FactorTable!$A$2:$A$301,0), Skills!M3+1)</f>
        <v/>
      </c>
      <c r="F866">
        <f>IF(Skills!N3=TRUE,(Skills!L3/10)*(E866/1000),Skills!L3/10)+Skills!O3</f>
        <v/>
      </c>
      <c r="G866">
        <f>Skills!G3*IF(Skills!H3&gt;0,Skills!I3/Skills!H3,1)</f>
        <v/>
      </c>
      <c r="H866">
        <f>1-(1-Skills!J3/100)^Skills!K3</f>
        <v/>
      </c>
      <c r="I866" t="inlineStr">
        <is>
          <t>1</t>
        </is>
      </c>
      <c r="J866">
        <f>((Inputs!$B$6*(1+Inputs!$B$7/100))+(((Inputs!$B$12*(1+Inputs!$B$13/100))-(Inputs!$B$12*(1+Inputs!$B$13/100)))+0.25*(Inputs!$B$14-Inputs!$B$14))*(1+Inputs!$B$7/100))*(F866/100)</f>
        <v/>
      </c>
      <c r="K866">
        <f>J866*(1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878=TRUE,F878,0)/100)*(1+(IF(Skills!A3="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866)</f>
        <v/>
      </c>
      <c r="L866">
        <f>K866*(MIN(Inputs!$B$22+((C885=TRUE)*(F885-Calc!F22)),(Inputs!$B$23+0+(IF(ArtifactsInput!$M$15,CHOOSE(ArtifactsInput!$N$15+1,25,30,35,40,45,50)/100*(Inputs!$B$11-Inputs!$B$11),0))))/100+(Inputs!$B$23+0+(IF(ArtifactsInput!$M$15,CHOOSE(ArtifactsInput!$N$15+1,25,30,35,40,45,50)/100*(Inputs!$B$11-Inputs!$B$11),0)))/100)/2</f>
        <v/>
      </c>
      <c r="M866">
        <f>L866*(1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6">
        <f>L866*(1-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866*(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6">
        <f>(1-Summary!$B$11)*T866+Summary!$B$11*V866</f>
        <v/>
      </c>
      <c r="P866">
        <f>IF(B904=0,0,O866/B904)</f>
        <v/>
      </c>
      <c r="Q866">
        <f>IFERROR(1/(IF(Inputs!$B$38="pvp",15,MAX(0.1,Skills!D3-IF(Skills!E3=TRUE,Inputs!$B$32,0)))*(1-IF(AND(ArtifactsInput!$M$27,Inputs!$B$4="Chapter Hunt"),CHOOSE(ArtifactsInput!$N$27+1,20,24,28,32,36,40),0)/100)),0)</f>
        <v/>
      </c>
      <c r="R866">
        <f>IF(AND(Inputs!$B$38&lt;&gt;"pvp",Inputs!$B$43&gt;0),IF(MAX(0,Inputs!$B$43-B901)&lt;=0,0,(INT(MAX(0,Inputs!$B$43-B901)/(IF(Inputs!$B$38="pvp",15,MAX(0.1,Skills!D3-IF(Skills!E3=TRUE,Inputs!$B$32,0)))*(1-IF(AND(ArtifactsInput!$M$27,Inputs!$B$4="Chapter Hunt"),CHOOSE(ArtifactsInput!$N$27+1,20,24,28,32,36,40),0)/100)))+1)),0)</f>
        <v/>
      </c>
      <c r="S866">
        <f>IFERROR(O866/N866,0)</f>
        <v/>
      </c>
      <c r="T866">
        <f>IF(C866,(H866*N866*IF(AND(Inputs!$B$38&lt;&gt;"pvp",Inputs!$B$43&gt;0),((Skills!G3*((R866-1)*IF(Skills!H3&gt;0,Skills!I3/Skills!H3,1)+IF(Skills!H3&gt;0,MIN(Skills!I3,MAX(0,MAX(0,Inputs!$B$43-B901)-((R866-1)*(IF(Inputs!$B$38="pvp",15,MAX(0.1,Skills!D3-IF(Skills!E3=TRUE,Inputs!$B$32,0)))*(1-IF(AND(ArtifactsInput!$M$27,Inputs!$B$4="Chapter Hunt"),CHOOSE(ArtifactsInput!$N$27+1,20,24,28,32,36,40),0)/100)))))/Skills!H3,1)))/Inputs!$B$43),G866*Q866)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866*(1-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866*(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866*(1-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866*(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66">
        <f>INDEX(FactorTable!$B$2:$Y$301, MATCH(ROUND(MIN(300,MAX(1,U865)),0), FactorTable!$A$2:$A$301,0), 22)</f>
        <v/>
      </c>
      <c r="V866">
        <f>IF(C866,(H866*N866*IF(AND(Inputs!$B$38&lt;&gt;"pvp",Inputs!$B$43&gt;0),((Skills!G3*((R866-1)*IF(Skills!H3&gt;0,Skills!I3/Skills!H3,1)+IF(Skills!H3&gt;0,MIN(Skills!I3,MAX(0,MAX(0,Inputs!$B$43-B901)-((R866-1)*(IF(Inputs!$B$38="pvp",15,MAX(0.1,Skills!D3-IF(Skills!E3=TRUE,Inputs!$B$32,0)))*(1-IF(AND(ArtifactsInput!$M$27,Inputs!$B$4="Chapter Hunt"),CHOOSE(ArtifactsInput!$N$27+1,20,24,28,32,36,40),0)/100)))))/Skills!H3,1)))/Inputs!$B$43),G866*Q866))*IF(Inputs!$B$38="pvp",1,(1+(Inputs!$B$21+Skills!Q3+(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7">
      <c r="A867">
        <f>Skills!A4</f>
        <v/>
      </c>
      <c r="B867">
        <f>Skills!B4</f>
        <v/>
      </c>
      <c r="C867">
        <f>Inputs!$B$3&gt;=40</f>
        <v/>
      </c>
      <c r="D867">
        <f>IF(Skills!C4=1,60+Inputs!$B$25+Inputs!$B$29,IF(Skills!C4=2,90+Inputs!$B$26+Inputs!$B$29,IF(Skills!C4=3,120+(Inputs!$B$27+1)+Inputs!$B$29,MAX(0,(Inputs!$B$3-100)*3)+Inputs!$B$28+Inputs!$B$29)))</f>
        <v/>
      </c>
      <c r="E867">
        <f>INDEX(FactorTable!$B$2:$Y$301, MATCH(ROUND(MIN(300,MAX(1,D867)),0), FactorTable!$A$2:$A$301,0), Skills!M4+1)</f>
        <v/>
      </c>
      <c r="F867">
        <f>IF(Skills!N4=TRUE,(Skills!L4/10)*(E867/1000),Skills!L4/10)+Skills!O4</f>
        <v/>
      </c>
      <c r="G867">
        <f>Skills!G4*IF(Skills!H4&gt;0,Skills!I4/Skills!H4,1)</f>
        <v/>
      </c>
      <c r="H867">
        <f>1-(1-Skills!J4/100)^Skills!K4</f>
        <v/>
      </c>
      <c r="I867" t="inlineStr">
        <is>
          <t>1</t>
        </is>
      </c>
      <c r="J867">
        <f>((Inputs!$B$6*(1+Inputs!$B$7/100))+(((Inputs!$B$12*(1+Inputs!$B$13/100))-(Inputs!$B$12*(1+Inputs!$B$13/100)))+0.25*(Inputs!$B$14-Inputs!$B$14))*(1+Inputs!$B$7/100))*(F867/100)</f>
        <v/>
      </c>
      <c r="K867">
        <f>J867*(1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879=TRUE,F879,0)/100)*(1+(IF(Skills!A4="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867)</f>
        <v/>
      </c>
      <c r="L867">
        <f>K867*(MIN(Inputs!$B$22+((C885=TRUE)*(F885-Calc!F22)),(Inputs!$B$23+0+(IF(ArtifactsInput!$M$15,CHOOSE(ArtifactsInput!$N$15+1,25,30,35,40,45,50)/100*(Inputs!$B$11-Inputs!$B$11),0))))/100+(Inputs!$B$23+0+(IF(ArtifactsInput!$M$15,CHOOSE(ArtifactsInput!$N$15+1,25,30,35,40,45,50)/100*(Inputs!$B$11-Inputs!$B$11),0)))/100)/2</f>
        <v/>
      </c>
      <c r="M867">
        <f>L867*(1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7">
        <f>L867*(1-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867*(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7">
        <f>(1-Summary!$B$11)*T867+Summary!$B$11*V867</f>
        <v/>
      </c>
      <c r="P867">
        <f>IF(B904=0,0,O867/B904)</f>
        <v/>
      </c>
      <c r="Q867">
        <f>IFERROR(1/(IF(Inputs!$B$38="pvp",15,MAX(0.1,Skills!D4-IF(Skills!E4=TRUE,Inputs!$B$32,0)))*(1-IF(AND(ArtifactsInput!$M$27,Inputs!$B$4="Chapter Hunt"),CHOOSE(ArtifactsInput!$N$27+1,20,24,28,32,36,40),0)/100)),0)</f>
        <v/>
      </c>
      <c r="R867">
        <f>IF(AND(Inputs!$B$38&lt;&gt;"pvp",Inputs!$B$43&gt;0),IF(MAX(0,Inputs!$B$43-B901)&lt;=0,0,(INT(MAX(0,Inputs!$B$43-B901)/(IF(Inputs!$B$38="pvp",15,MAX(0.1,Skills!D4-IF(Skills!E4=TRUE,Inputs!$B$32,0)))*(1-IF(AND(ArtifactsInput!$M$27,Inputs!$B$4="Chapter Hunt"),CHOOSE(ArtifactsInput!$N$27+1,20,24,28,32,36,40),0)/100)))+1)),0)</f>
        <v/>
      </c>
      <c r="S867">
        <f>IFERROR(O867/N867,0)</f>
        <v/>
      </c>
      <c r="T867">
        <f>IF(C867,(H867*N867*IF(AND(Inputs!$B$38&lt;&gt;"pvp",Inputs!$B$43&gt;0),((Skills!G4*((R867-1)*IF(Skills!H4&gt;0,Skills!I4/Skills!H4,1)+IF(Skills!H4&gt;0,MIN(Skills!I4,MAX(0,MAX(0,Inputs!$B$43-B901)-((R867-1)*(IF(Inputs!$B$38="pvp",15,MAX(0.1,Skills!D4-IF(Skills!E4=TRUE,Inputs!$B$32,0)))*(1-IF(AND(ArtifactsInput!$M$27,Inputs!$B$4="Chapter Hunt"),CHOOSE(ArtifactsInput!$N$27+1,20,24,28,32,36,40),0)/100)))))/Skills!H4,1)))/Inputs!$B$43),G867*Q867)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867*(1-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867*(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867*(1-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867*(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67">
        <f>290*U866/1000</f>
        <v/>
      </c>
      <c r="V867">
        <f>IF(C867,(H867*N867*IF(AND(Inputs!$B$38&lt;&gt;"pvp",Inputs!$B$43&gt;0),((Skills!G4*((R867-1)*IF(Skills!H4&gt;0,Skills!I4/Skills!H4,1)+IF(Skills!H4&gt;0,MIN(Skills!I4,MAX(0,MAX(0,Inputs!$B$43-B901)-((R867-1)*(IF(Inputs!$B$38="pvp",15,MAX(0.1,Skills!D4-IF(Skills!E4=TRUE,Inputs!$B$32,0)))*(1-IF(AND(ArtifactsInput!$M$27,Inputs!$B$4="Chapter Hunt"),CHOOSE(ArtifactsInput!$N$27+1,20,24,28,32,36,40),0)/100)))))/Skills!H4,1)))/Inputs!$B$43),G867*Q867))*IF(Inputs!$B$38="pvp",1,(1+(Inputs!$B$21+Skills!Q4+(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8">
      <c r="A868">
        <f>Skills!A5</f>
        <v/>
      </c>
      <c r="B868">
        <f>Skills!B5</f>
        <v/>
      </c>
      <c r="C868">
        <f>Inputs!$B$3&gt;=45</f>
        <v/>
      </c>
      <c r="D868">
        <f>IF(Skills!C5=1,60+Inputs!$B$25+Inputs!$B$29,IF(Skills!C5=2,90+Inputs!$B$26+Inputs!$B$29,IF(Skills!C5=3,120+(Inputs!$B$27+1)+Inputs!$B$29,MAX(0,(Inputs!$B$3-100)*3)+Inputs!$B$28+Inputs!$B$29)))</f>
        <v/>
      </c>
      <c r="E868">
        <f>INDEX(FactorTable!$B$2:$Y$301, MATCH(ROUND(MIN(300,MAX(1,D868)),0), FactorTable!$A$2:$A$301,0), Skills!M5+1)</f>
        <v/>
      </c>
      <c r="F868">
        <f>IF(Skills!N5=TRUE,(Skills!L5/10)*(E868/1000),Skills!L5/10)+Skills!O5</f>
        <v/>
      </c>
      <c r="G868">
        <f>Skills!G5*IF(Skills!H5&gt;0,Skills!I5/Skills!H5,1)</f>
        <v/>
      </c>
      <c r="H868">
        <f>1-(1-Skills!J5/100)^Skills!K5</f>
        <v/>
      </c>
      <c r="I868" t="inlineStr">
        <is>
          <t>1</t>
        </is>
      </c>
      <c r="J868">
        <f>((Inputs!$B$6*(1+Inputs!$B$7/100))+(((Inputs!$B$12*(1+Inputs!$B$13/100))-(Inputs!$B$12*(1+Inputs!$B$13/100)))+0.25*(Inputs!$B$14-Inputs!$B$14))*(1+Inputs!$B$7/100))*(F868/100)</f>
        <v/>
      </c>
      <c r="K868">
        <f>J868*(1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879=TRUE,F879,0)/100)*(1+(IF(Skills!A5="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868)</f>
        <v/>
      </c>
      <c r="L868">
        <f>K868*(MIN(Inputs!$B$22+((C885=TRUE)*(F885-Calc!F22)),(Inputs!$B$23+0+(IF(ArtifactsInput!$M$15,CHOOSE(ArtifactsInput!$N$15+1,25,30,35,40,45,50)/100*(Inputs!$B$11-Inputs!$B$11),0))))/100+(Inputs!$B$23+0+(IF(ArtifactsInput!$M$15,CHOOSE(ArtifactsInput!$N$15+1,25,30,35,40,45,50)/100*(Inputs!$B$11-Inputs!$B$11),0)))/100)/2</f>
        <v/>
      </c>
      <c r="M868">
        <f>L868*(1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8">
        <f>L868*(1-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868*(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8">
        <f>(1-Summary!$B$11)*T868+Summary!$B$11*V868</f>
        <v/>
      </c>
      <c r="P868">
        <f>IF(B904=0,0,O868/B904)</f>
        <v/>
      </c>
      <c r="Q868">
        <f>IFERROR(1/(IF(Inputs!$B$38="pvp",15,MAX(0.1,Skills!D5-IF(Skills!E5=TRUE,Inputs!$B$32,0)))*(1-IF(AND(ArtifactsInput!$M$27,Inputs!$B$4="Chapter Hunt"),CHOOSE(ArtifactsInput!$N$27+1,20,24,28,32,36,40),0)/100)),0)</f>
        <v/>
      </c>
      <c r="R868">
        <f>IF(AND(Inputs!$B$38&lt;&gt;"pvp",Inputs!$B$43&gt;0),IF(MAX(0,Inputs!$B$43-B901)&lt;=0,0,(INT(MAX(0,Inputs!$B$43-B901)/(IF(Inputs!$B$38="pvp",15,MAX(0.1,Skills!D5-IF(Skills!E5=TRUE,Inputs!$B$32,0)))*(1-IF(AND(ArtifactsInput!$M$27,Inputs!$B$4="Chapter Hunt"),CHOOSE(ArtifactsInput!$N$27+1,20,24,28,32,36,40),0)/100)))+1)),0)</f>
        <v/>
      </c>
      <c r="S868">
        <f>IFERROR(O868/N868,0)</f>
        <v/>
      </c>
      <c r="T868">
        <f>IF(C868,(H868*N868*IF(AND(Inputs!$B$38&lt;&gt;"pvp",Inputs!$B$43&gt;0),((Skills!G5*((R868-1)*IF(Skills!H5&gt;0,Skills!I5/Skills!H5,1)+IF(Skills!H5&gt;0,MIN(Skills!I5,MAX(0,MAX(0,Inputs!$B$43-B901)-((R868-1)*(IF(Inputs!$B$38="pvp",15,MAX(0.1,Skills!D5-IF(Skills!E5=TRUE,Inputs!$B$32,0)))*(1-IF(AND(ArtifactsInput!$M$27,Inputs!$B$4="Chapter Hunt"),CHOOSE(ArtifactsInput!$N$27+1,20,24,28,32,36,40),0)/100)))))/Skills!H5,1)))/Inputs!$B$43),G868*Q868)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868*(1-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868*(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868*(1-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868*(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68">
        <f>IF(C868,(H868*N868*IF(AND(Inputs!$B$38&lt;&gt;"pvp",Inputs!$B$43&gt;0),((Skills!G5*((R868-1)*IF(Skills!H5&gt;0,Skills!I5/Skills!H5,1)+IF(Skills!H5&gt;0,MIN(Skills!I5,MAX(0,MAX(0,Inputs!$B$43-B901)-((R868-1)*(IF(Inputs!$B$38="pvp",15,MAX(0.1,Skills!D5-IF(Skills!E5=TRUE,Inputs!$B$32,0)))*(1-IF(AND(ArtifactsInput!$M$27,Inputs!$B$4="Chapter Hunt"),CHOOSE(ArtifactsInput!$N$27+1,20,24,28,32,36,40),0)/100)))))/Skills!H5,1)))/Inputs!$B$43),G868*Q868))*IF(Inputs!$B$38="pvp",1,(1+(Inputs!$B$21+Skills!Q5+(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9">
      <c r="A869">
        <f>Skills!A6</f>
        <v/>
      </c>
      <c r="B869">
        <f>Skills!B6</f>
        <v/>
      </c>
      <c r="C869">
        <f>Inputs!$B$3&gt;=63</f>
        <v/>
      </c>
      <c r="D869">
        <f>IF(Skills!C6=1,60+Inputs!$B$25+Inputs!$B$29,IF(Skills!C6=2,90+Inputs!$B$26+Inputs!$B$29,IF(Skills!C6=3,120+(Inputs!$B$27+1)+Inputs!$B$29,MAX(0,(Inputs!$B$3-100)*3)+Inputs!$B$28+Inputs!$B$29)))</f>
        <v/>
      </c>
      <c r="E869">
        <f>INDEX(FactorTable!$B$2:$Y$301, MATCH(ROUND(MIN(300,MAX(1,D869)),0), FactorTable!$A$2:$A$301,0), Skills!M6+1)</f>
        <v/>
      </c>
      <c r="F869">
        <f>IF(Skills!N6=TRUE,(Skills!L6/10)*(E869/1000),Skills!L6/10)+Skills!O6</f>
        <v/>
      </c>
      <c r="G869">
        <f>Skills!G6*IF(Skills!H6&gt;0,Skills!I6/Skills!H6,1)</f>
        <v/>
      </c>
      <c r="H869">
        <f>1-(1-Skills!J6/100)^Skills!K6</f>
        <v/>
      </c>
      <c r="I869" t="inlineStr">
        <is>
          <t>1</t>
        </is>
      </c>
      <c r="J869">
        <f>((Inputs!$B$6*(1+Inputs!$B$7/100))+(((Inputs!$B$12*(1+Inputs!$B$13/100))-(Inputs!$B$12*(1+Inputs!$B$13/100)))+0.25*(Inputs!$B$14-Inputs!$B$14))*(1+Inputs!$B$7/100))*(F869/100)</f>
        <v/>
      </c>
      <c r="K869">
        <f>J869*(1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878=TRUE,F878,0)/100)*(1+(IF(Skills!A6="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869)</f>
        <v/>
      </c>
      <c r="L869">
        <f>K869*(MIN(Inputs!$B$22+((C885=TRUE)*(F885-Calc!F22)),(Inputs!$B$23+0+(IF(ArtifactsInput!$M$15,CHOOSE(ArtifactsInput!$N$15+1,25,30,35,40,45,50)/100*(Inputs!$B$11-Inputs!$B$11),0))))/100+(Inputs!$B$23+0+(IF(ArtifactsInput!$M$15,CHOOSE(ArtifactsInput!$N$15+1,25,30,35,40,45,50)/100*(Inputs!$B$11-Inputs!$B$11),0)))/100)/2</f>
        <v/>
      </c>
      <c r="M869">
        <f>L869*(1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9">
        <f>L869*(1-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869*(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9">
        <f>(1-Summary!$B$11)*T869+Summary!$B$11*V869</f>
        <v/>
      </c>
      <c r="P869">
        <f>IF(B904=0,0,O869/B904)</f>
        <v/>
      </c>
      <c r="Q869">
        <f>IFERROR(1/(IF(Inputs!$B$38="pvp",15,MAX(0.1,Skills!D6-IF(Skills!E6=TRUE,Inputs!$B$32,0)))*(1-IF(AND(ArtifactsInput!$M$27,Inputs!$B$4="Chapter Hunt"),CHOOSE(ArtifactsInput!$N$27+1,20,24,28,32,36,40),0)/100)),0)</f>
        <v/>
      </c>
      <c r="R869">
        <f>IF(AND(Inputs!$B$38&lt;&gt;"pvp",Inputs!$B$43&gt;0),IF(MAX(0,Inputs!$B$43-B901)&lt;=0,0,(INT(MAX(0,Inputs!$B$43-B901)/(IF(Inputs!$B$38="pvp",15,MAX(0.1,Skills!D6-IF(Skills!E6=TRUE,Inputs!$B$32,0)))*(1-IF(AND(ArtifactsInput!$M$27,Inputs!$B$4="Chapter Hunt"),CHOOSE(ArtifactsInput!$N$27+1,20,24,28,32,36,40),0)/100)))+1)),0)</f>
        <v/>
      </c>
      <c r="S869">
        <f>IFERROR(O869/N869,0)</f>
        <v/>
      </c>
      <c r="T869">
        <f>IF(C869,(H869*N869*IF(AND(Inputs!$B$38&lt;&gt;"pvp",Inputs!$B$43&gt;0),((Skills!G6*((R869-1)*IF(Skills!H6&gt;0,Skills!I6/Skills!H6,1)+IF(Skills!H6&gt;0,MIN(Skills!I6,MAX(0,MAX(0,Inputs!$B$43-B901)-((R869-1)*(IF(Inputs!$B$38="pvp",15,MAX(0.1,Skills!D6-IF(Skills!E6=TRUE,Inputs!$B$32,0)))*(1-IF(AND(ArtifactsInput!$M$27,Inputs!$B$4="Chapter Hunt"),CHOOSE(ArtifactsInput!$N$27+1,20,24,28,32,36,40),0)/100)))))/Skills!H6,1)))/Inputs!$B$43),G869*Q869)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869*(1-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869*(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869*(1-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869*(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69">
        <f>IF(C869,(H869*N869*IF(AND(Inputs!$B$38&lt;&gt;"pvp",Inputs!$B$43&gt;0),((Skills!G6*((R869-1)*IF(Skills!H6&gt;0,Skills!I6/Skills!H6,1)+IF(Skills!H6&gt;0,MIN(Skills!I6,MAX(0,MAX(0,Inputs!$B$43-B901)-((R869-1)*(IF(Inputs!$B$38="pvp",15,MAX(0.1,Skills!D6-IF(Skills!E6=TRUE,Inputs!$B$32,0)))*(1-IF(AND(ArtifactsInput!$M$27,Inputs!$B$4="Chapter Hunt"),CHOOSE(ArtifactsInput!$N$27+1,20,24,28,32,36,40),0)/100)))))/Skills!H6,1)))/Inputs!$B$43),G869*Q869))*IF(Inputs!$B$38="pvp",1,(1+(Inputs!$B$21+Skills!Q6+(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0">
      <c r="A870">
        <f>Skills!A7</f>
        <v/>
      </c>
      <c r="B870">
        <f>Skills!B7</f>
        <v/>
      </c>
      <c r="C870">
        <f>Inputs!$B$3&gt;=66</f>
        <v/>
      </c>
      <c r="D870">
        <f>IF(Skills!C7=1,60+Inputs!$B$25+Inputs!$B$29,IF(Skills!C7=2,90+Inputs!$B$26+Inputs!$B$29,IF(Skills!C7=3,120+(Inputs!$B$27+1)+Inputs!$B$29,MAX(0,(Inputs!$B$3-100)*3)+Inputs!$B$28+Inputs!$B$29)))</f>
        <v/>
      </c>
      <c r="E870">
        <f>INDEX(FactorTable!$B$2:$Y$301, MATCH(ROUND(MIN(300,MAX(1,D870)),0), FactorTable!$A$2:$A$301,0), Skills!M7+1)</f>
        <v/>
      </c>
      <c r="F870">
        <f>IF(Skills!N7=TRUE,(Skills!L7/10)*(E870/1000),Skills!L7/10)+Skills!O7</f>
        <v/>
      </c>
      <c r="G870">
        <f>Skills!G7*IF(Skills!H7&gt;0,Skills!I7/Skills!H7,1)</f>
        <v/>
      </c>
      <c r="H870">
        <f>1-(1-Skills!J7/100)^Skills!K7</f>
        <v/>
      </c>
      <c r="I870" t="inlineStr">
        <is>
          <t>1</t>
        </is>
      </c>
      <c r="J870">
        <f>((Inputs!$B$6*(1+Inputs!$B$7/100))+(((Inputs!$B$12*(1+Inputs!$B$13/100))-(Inputs!$B$12*(1+Inputs!$B$13/100)))+0.25*(Inputs!$B$14-Inputs!$B$14))*(1+Inputs!$B$7/100))*(F870/100)</f>
        <v/>
      </c>
      <c r="K870">
        <f>J870*(1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878=TRUE,F878,0)/100)*(1+(IF(Skills!A7="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870)</f>
        <v/>
      </c>
      <c r="L870">
        <f>K870*(MIN(Inputs!$B$22+((C885=TRUE)*(F885-Calc!F22)),(Inputs!$B$23+0+(IF(ArtifactsInput!$M$15,CHOOSE(ArtifactsInput!$N$15+1,25,30,35,40,45,50)/100*(Inputs!$B$11-Inputs!$B$11),0))))/100+(Inputs!$B$23+0+(IF(ArtifactsInput!$M$15,CHOOSE(ArtifactsInput!$N$15+1,25,30,35,40,45,50)/100*(Inputs!$B$11-Inputs!$B$11),0)))/100)/2</f>
        <v/>
      </c>
      <c r="M870">
        <f>L870*(1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0">
        <f>L870*(1-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870*(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0">
        <f>(1-Summary!$B$11)*T870+Summary!$B$11*V870</f>
        <v/>
      </c>
      <c r="P870">
        <f>IF(B904=0,0,O870/B904)</f>
        <v/>
      </c>
      <c r="Q870">
        <f>IFERROR(1/(IF(Inputs!$B$38="pvp",15,MAX(0.1,Skills!D7-IF(Skills!E7=TRUE,Inputs!$B$32,0)))*(1-IF(AND(ArtifactsInput!$M$27,Inputs!$B$4="Chapter Hunt"),CHOOSE(ArtifactsInput!$N$27+1,20,24,28,32,36,40),0)/100)),0)</f>
        <v/>
      </c>
      <c r="R870">
        <f>IF(AND(Inputs!$B$38&lt;&gt;"pvp",Inputs!$B$43&gt;0),IF(MAX(0,Inputs!$B$43-B901)&lt;=0,0,(INT(MAX(0,Inputs!$B$43-B901)/(IF(Inputs!$B$38="pvp",15,MAX(0.1,Skills!D7-IF(Skills!E7=TRUE,Inputs!$B$32,0)))*(1-IF(AND(ArtifactsInput!$M$27,Inputs!$B$4="Chapter Hunt"),CHOOSE(ArtifactsInput!$N$27+1,20,24,28,32,36,40),0)/100)))+1)),0)</f>
        <v/>
      </c>
      <c r="S870">
        <f>IFERROR(O870/N870,0)</f>
        <v/>
      </c>
      <c r="T870">
        <f>IF(C870,(H870*N870*IF(AND(Inputs!$B$38&lt;&gt;"pvp",Inputs!$B$43&gt;0),((Skills!G7*((R870-1)*IF(Skills!H7&gt;0,Skills!I7/Skills!H7,1)+IF(Skills!H7&gt;0,MIN(Skills!I7,MAX(0,MAX(0,Inputs!$B$43-B901)-((R870-1)*(IF(Inputs!$B$38="pvp",15,MAX(0.1,Skills!D7-IF(Skills!E7=TRUE,Inputs!$B$32,0)))*(1-IF(AND(ArtifactsInput!$M$27,Inputs!$B$4="Chapter Hunt"),CHOOSE(ArtifactsInput!$N$27+1,20,24,28,32,36,40),0)/100)))))/Skills!H7,1)))/Inputs!$B$43),G870*Q870)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870*(1-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870*(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870*(1-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870*(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0">
        <f>IF(C870,(H870*N870*IF(AND(Inputs!$B$38&lt;&gt;"pvp",Inputs!$B$43&gt;0),((Skills!G7*((R870-1)*IF(Skills!H7&gt;0,Skills!I7/Skills!H7,1)+IF(Skills!H7&gt;0,MIN(Skills!I7,MAX(0,MAX(0,Inputs!$B$43-B901)-((R870-1)*(IF(Inputs!$B$38="pvp",15,MAX(0.1,Skills!D7-IF(Skills!E7=TRUE,Inputs!$B$32,0)))*(1-IF(AND(ArtifactsInput!$M$27,Inputs!$B$4="Chapter Hunt"),CHOOSE(ArtifactsInput!$N$27+1,20,24,28,32,36,40),0)/100)))))/Skills!H7,1)))/Inputs!$B$43),G870*Q870))*IF(Inputs!$B$38="pvp",1,(1+(Inputs!$B$21+Skills!Q7+(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1">
      <c r="A871">
        <f>Skills!A8</f>
        <v/>
      </c>
      <c r="B871">
        <f>Skills!B8</f>
        <v/>
      </c>
      <c r="C871">
        <f>Inputs!$B$3&gt;=100</f>
        <v/>
      </c>
      <c r="D871">
        <f>IF(Skills!C8=1,60+Inputs!$B$25+Inputs!$B$29,IF(Skills!C8=2,90+Inputs!$B$26+Inputs!$B$29,IF(Skills!C8=3,120+(Inputs!$B$27+1)+Inputs!$B$29,MAX(0,(Inputs!$B$3-100)*3)+Inputs!$B$28+Inputs!$B$29)))</f>
        <v/>
      </c>
      <c r="E871">
        <f>INDEX(FactorTable!$B$2:$Y$301, MATCH(ROUND(MIN(300,MAX(1,D871)),0), FactorTable!$A$2:$A$301,0), Skills!M8+1)</f>
        <v/>
      </c>
      <c r="F871">
        <f>IF(Skills!N8=TRUE,(Skills!L8/10)*(E871/1000),Skills!L8/10)+Skills!O8</f>
        <v/>
      </c>
      <c r="G871">
        <f>Skills!G8*IF(Skills!H8&gt;0,Skills!I8/Skills!H8,1)</f>
        <v/>
      </c>
      <c r="H871">
        <f>1-(1-Skills!J8/100)^Skills!K8</f>
        <v/>
      </c>
      <c r="I871" t="inlineStr">
        <is>
          <t>1</t>
        </is>
      </c>
      <c r="J871">
        <f>((Inputs!$B$6*(1+Inputs!$B$7/100))+(((Inputs!$B$12*(1+Inputs!$B$13/100))-(Inputs!$B$12*(1+Inputs!$B$13/100)))+0.25*(Inputs!$B$14-Inputs!$B$14))*(1+Inputs!$B$7/100))*(F871/100)</f>
        <v/>
      </c>
      <c r="K871">
        <f>J871*(1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871)</f>
        <v/>
      </c>
      <c r="L871">
        <f>K871*(MIN(Inputs!$B$22+((C885=TRUE)*(F885-Calc!F22)),(Inputs!$B$23+0+(IF(ArtifactsInput!$M$15,CHOOSE(ArtifactsInput!$N$15+1,25,30,35,40,45,50)/100*(Inputs!$B$11-Inputs!$B$11),0))))/100+(Inputs!$B$23+0+(IF(ArtifactsInput!$M$15,CHOOSE(ArtifactsInput!$N$15+1,25,30,35,40,45,50)/100*(Inputs!$B$11-Inputs!$B$11),0)))/100)/2</f>
        <v/>
      </c>
      <c r="M871">
        <f>L871*(1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1">
        <f>L871*(1-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1">
        <f>(1-Summary!$B$11)*T871+Summary!$B$11*V871</f>
        <v/>
      </c>
      <c r="P871">
        <f>IF(B904=0,0,O871/B904)</f>
        <v/>
      </c>
      <c r="Q871">
        <f>IFERROR(1/(IF(Inputs!$B$38="pvp",15,MAX(0.1,Skills!D8-IF(Skills!E8=TRUE,Inputs!$B$32,0)))*(1-IF(AND(ArtifactsInput!$M$27,Inputs!$B$4="Chapter Hunt"),CHOOSE(ArtifactsInput!$N$27+1,20,24,28,32,36,40),0)/100)),0)</f>
        <v/>
      </c>
      <c r="R871">
        <f>IF(AND(Inputs!$B$38&lt;&gt;"pvp",Inputs!$B$43&gt;0),IF(MAX(0,Inputs!$B$43-B901)&lt;=0,0,(INT(MAX(0,Inputs!$B$43-B901)/(IF(Inputs!$B$38="pvp",15,MAX(0.1,Skills!D8-IF(Skills!E8=TRUE,Inputs!$B$32,0)))*(1-IF(AND(ArtifactsInput!$M$27,Inputs!$B$4="Chapter Hunt"),CHOOSE(ArtifactsInput!$N$27+1,20,24,28,32,36,40),0)/100)))+1)),0)</f>
        <v/>
      </c>
      <c r="S871">
        <f>IFERROR(O871/N871,0)</f>
        <v/>
      </c>
      <c r="T871">
        <f>IF(C871,(H871*N871*IF(AND(Inputs!$B$38&lt;&gt;"pvp",Inputs!$B$43&gt;0),((Skills!G8*((R871-1)*IF(Skills!H8&gt;0,Skills!I8/Skills!H8,1)+IF(Skills!H8&gt;0,MIN(Skills!I8,MAX(0,MAX(0,Inputs!$B$43-B901)-((R871-1)*(IF(Inputs!$B$38="pvp",15,MAX(0.1,Skills!D8-IF(Skills!E8=TRUE,Inputs!$B$32,0)))*(1-IF(AND(ArtifactsInput!$M$27,Inputs!$B$4="Chapter Hunt"),CHOOSE(ArtifactsInput!$N$27+1,20,24,28,32,36,40),0)/100)))))/Skills!H8,1)))/Inputs!$B$43),G871*Q871)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871*(1-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871*(1-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1">
        <f>IF(C871,(H871*N871*IF(AND(Inputs!$B$38&lt;&gt;"pvp",Inputs!$B$43&gt;0),((Skills!G8*((R871-1)*IF(Skills!H8&gt;0,Skills!I8/Skills!H8,1)+IF(Skills!H8&gt;0,MIN(Skills!I8,MAX(0,MAX(0,Inputs!$B$43-B901)-((R871-1)*(IF(Inputs!$B$38="pvp",15,MAX(0.1,Skills!D8-IF(Skills!E8=TRUE,Inputs!$B$32,0)))*(1-IF(AND(ArtifactsInput!$M$27,Inputs!$B$4="Chapter Hunt"),CHOOSE(ArtifactsInput!$N$27+1,20,24,28,32,36,40),0)/100)))))/Skills!H8,1)))/Inputs!$B$43),G871*Q871))*IF(Inputs!$B$38="pvp",1,(1+(Inputs!$B$21+Skills!Q8+(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2">
      <c r="A872">
        <f>Skills!A9</f>
        <v/>
      </c>
      <c r="B872">
        <f>Skills!B9</f>
        <v/>
      </c>
      <c r="C872">
        <f>Inputs!$B$3&gt;=103</f>
        <v/>
      </c>
      <c r="D872">
        <f>IF(Skills!C9=1,60+Inputs!$B$25+Inputs!$B$29,IF(Skills!C9=2,90+Inputs!$B$26+Inputs!$B$29,IF(Skills!C9=3,120+(Inputs!$B$27+1)+Inputs!$B$29,MAX(0,(Inputs!$B$3-100)*3)+Inputs!$B$28+Inputs!$B$29)))</f>
        <v/>
      </c>
      <c r="E872">
        <f>INDEX(FactorTable!$B$2:$Y$301, MATCH(ROUND(MIN(300,MAX(1,D872)),0), FactorTable!$A$2:$A$301,0), Skills!M9+1)</f>
        <v/>
      </c>
      <c r="F872">
        <f>IF(Skills!N9=TRUE,(Skills!L9/10)*(E872/1000),Skills!L9/10)+Skills!O9</f>
        <v/>
      </c>
      <c r="G872">
        <f>Skills!G9*IF(Skills!H9&gt;0,Skills!I9/Skills!H9,1)</f>
        <v/>
      </c>
      <c r="H872">
        <f>1-(1-Skills!J9/100)^Skills!K9</f>
        <v/>
      </c>
      <c r="I872" t="inlineStr">
        <is>
          <t>1</t>
        </is>
      </c>
      <c r="J872">
        <f>((Inputs!$B$6*(1+Inputs!$B$7/100))+(((Inputs!$B$12*(1+Inputs!$B$13/100))-(Inputs!$B$12*(1+Inputs!$B$13/100)))+0.25*(Inputs!$B$14-Inputs!$B$14))*(1+Inputs!$B$7/100))*(F872/100)</f>
        <v/>
      </c>
      <c r="K872">
        <f>J872*(1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872)</f>
        <v/>
      </c>
      <c r="L872">
        <f>K872*(MIN(Inputs!$B$22+((C885=TRUE)*(F885-Calc!F22)),(Inputs!$B$23+0+(IF(ArtifactsInput!$M$15,CHOOSE(ArtifactsInput!$N$15+1,25,30,35,40,45,50)/100*(Inputs!$B$11-Inputs!$B$11),0))))/100+(Inputs!$B$23+0+(IF(ArtifactsInput!$M$15,CHOOSE(ArtifactsInput!$N$15+1,25,30,35,40,45,50)/100*(Inputs!$B$11-Inputs!$B$11),0)))/100)/2</f>
        <v/>
      </c>
      <c r="M872">
        <f>L872*(1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2">
        <f>L872*(1-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872*(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2">
        <f>(1-Summary!$B$11)*T872+Summary!$B$11*V872</f>
        <v/>
      </c>
      <c r="P872">
        <f>IF(B904=0,0,O872/B904)</f>
        <v/>
      </c>
      <c r="Q872">
        <f>IFERROR(1/(IF(Inputs!$B$38="pvp",15,MAX(0.1,Skills!D9-IF(Skills!E9=TRUE,Inputs!$B$32,0)))*(1-IF(AND(ArtifactsInput!$M$27,Inputs!$B$4="Chapter Hunt"),CHOOSE(ArtifactsInput!$N$27+1,20,24,28,32,36,40),0)/100)),0)</f>
        <v/>
      </c>
      <c r="R872">
        <f>IF(AND(Inputs!$B$38&lt;&gt;"pvp",Inputs!$B$43&gt;0),IF(MAX(0,Inputs!$B$43-B901)&lt;=0,0,(INT(MAX(0,Inputs!$B$43-B901)/(IF(Inputs!$B$38="pvp",15,MAX(0.1,Skills!D9-IF(Skills!E9=TRUE,Inputs!$B$32,0)))*(1-IF(AND(ArtifactsInput!$M$27,Inputs!$B$4="Chapter Hunt"),CHOOSE(ArtifactsInput!$N$27+1,20,24,28,32,36,40),0)/100)))+1)),0)</f>
        <v/>
      </c>
      <c r="S872">
        <f>IFERROR(O872/N872,0)</f>
        <v/>
      </c>
      <c r="T872">
        <f>IF(C872,(H872*N872*IF(AND(Inputs!$B$38&lt;&gt;"pvp",Inputs!$B$43&gt;0),((Skills!G9*((R872-1)*IF(Skills!H9&gt;0,Skills!I9/Skills!H9,1)+IF(Skills!H9&gt;0,MIN(Skills!I9,MAX(0,MAX(0,Inputs!$B$43-B901)-((R872-1)*(IF(Inputs!$B$38="pvp",15,MAX(0.1,Skills!D9-IF(Skills!E9=TRUE,Inputs!$B$32,0)))*(1-IF(AND(ArtifactsInput!$M$27,Inputs!$B$4="Chapter Hunt"),CHOOSE(ArtifactsInput!$N$27+1,20,24,28,32,36,40),0)/100)))))/Skills!H9,1)))/Inputs!$B$43),G872*Q872)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872*(1-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872*(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872*(1-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872*(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2">
        <f>IF(C872,(H872*N872*IF(AND(Inputs!$B$38&lt;&gt;"pvp",Inputs!$B$43&gt;0),((Skills!G9*((R872-1)*IF(Skills!H9&gt;0,Skills!I9/Skills!H9,1)+IF(Skills!H9&gt;0,MIN(Skills!I9,MAX(0,MAX(0,Inputs!$B$43-B901)-((R872-1)*(IF(Inputs!$B$38="pvp",15,MAX(0.1,Skills!D9-IF(Skills!E9=TRUE,Inputs!$B$32,0)))*(1-IF(AND(ArtifactsInput!$M$27,Inputs!$B$4="Chapter Hunt"),CHOOSE(ArtifactsInput!$N$27+1,20,24,28,32,36,40),0)/100)))))/Skills!H9,1)))/Inputs!$B$43),G872*Q872))*IF(Inputs!$B$38="pvp",1,(1+(Inputs!$B$21+Skills!Q9+(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3">
      <c r="A873">
        <f>Skills!A10</f>
        <v/>
      </c>
      <c r="B873">
        <f>Skills!B10</f>
        <v/>
      </c>
      <c r="C873">
        <f>Inputs!$B$3&gt;=113</f>
        <v/>
      </c>
      <c r="D873">
        <f>IF(Skills!C10=1,60+Inputs!$B$25+Inputs!$B$29,IF(Skills!C10=2,90+Inputs!$B$26+Inputs!$B$29,IF(Skills!C10=3,120+(Inputs!$B$27+1)+Inputs!$B$29,MAX(0,(Inputs!$B$3-100)*3)+Inputs!$B$28+Inputs!$B$29)))</f>
        <v/>
      </c>
      <c r="E873">
        <f>INDEX(FactorTable!$B$2:$Y$301, MATCH(ROUND(MIN(300,MAX(1,D873)),0), FactorTable!$A$2:$A$301,0), Skills!M10+1)</f>
        <v/>
      </c>
      <c r="F873">
        <f>IF(Skills!N10=TRUE,(Skills!L10/10)*(E873/1000),Skills!L10/10)+Skills!O10</f>
        <v/>
      </c>
      <c r="G873">
        <f>Skills!G10*IF(Skills!H10&gt;0,Skills!I10/Skills!H10,1)</f>
        <v/>
      </c>
      <c r="H873">
        <f>1-(1-Skills!J10/100)^Skills!K10</f>
        <v/>
      </c>
      <c r="I873" t="inlineStr">
        <is>
          <t>1</t>
        </is>
      </c>
      <c r="J873">
        <f>((Inputs!$B$6*(1+Inputs!$B$7/100))+(((Inputs!$B$12*(1+Inputs!$B$13/100))-(Inputs!$B$12*(1+Inputs!$B$13/100)))+0.25*(Inputs!$B$14-Inputs!$B$14))*(1+Inputs!$B$7/100))*(F873/100)</f>
        <v/>
      </c>
      <c r="K873">
        <f>J873*(1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873)</f>
        <v/>
      </c>
      <c r="L873">
        <f>K873*(MIN(Inputs!$B$22+((C885=TRUE)*(F885-Calc!F22)),(Inputs!$B$23+0+(IF(ArtifactsInput!$M$15,CHOOSE(ArtifactsInput!$N$15+1,25,30,35,40,45,50)/100*(Inputs!$B$11-Inputs!$B$11),0))))/100+(Inputs!$B$23+0+(IF(ArtifactsInput!$M$15,CHOOSE(ArtifactsInput!$N$15+1,25,30,35,40,45,50)/100*(Inputs!$B$11-Inputs!$B$11),0)))/100)/2</f>
        <v/>
      </c>
      <c r="M873">
        <f>L873*(1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3">
        <f>L873*(1-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873*(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3">
        <f>(1-Summary!$B$11)*T873+Summary!$B$11*V873</f>
        <v/>
      </c>
      <c r="P873">
        <f>IF(B904=0,0,O873/B904)</f>
        <v/>
      </c>
      <c r="Q873">
        <f>IFERROR(1/(IF(Inputs!$B$38="pvp",15,MAX(0.1,Skills!D10-IF(Skills!E10=TRUE,Inputs!$B$32,0)))*(1-IF(AND(ArtifactsInput!$M$27,Inputs!$B$4="Chapter Hunt"),CHOOSE(ArtifactsInput!$N$27+1,20,24,28,32,36,40),0)/100)),0)</f>
        <v/>
      </c>
      <c r="R873">
        <f>IF(AND(Inputs!$B$38&lt;&gt;"pvp",Inputs!$B$43&gt;0),IF(MAX(0,Inputs!$B$43-B901)&lt;=0,0,(INT(MAX(0,Inputs!$B$43-B901)/(IF(Inputs!$B$38="pvp",15,MAX(0.1,Skills!D10-IF(Skills!E10=TRUE,Inputs!$B$32,0)))*(1-IF(AND(ArtifactsInput!$M$27,Inputs!$B$4="Chapter Hunt"),CHOOSE(ArtifactsInput!$N$27+1,20,24,28,32,36,40),0)/100)))+1)),0)</f>
        <v/>
      </c>
      <c r="S873">
        <f>IFERROR(O873/N873,0)</f>
        <v/>
      </c>
      <c r="T873">
        <f>IF(C873,(H873*N873*IF(AND(Inputs!$B$38&lt;&gt;"pvp",Inputs!$B$43&gt;0),((Skills!G10*((R873-1)*IF(Skills!H10&gt;0,Skills!I10/Skills!H10,1)+IF(Skills!H10&gt;0,MIN(Skills!I10,MAX(0,MAX(0,Inputs!$B$43-B901)-((R873-1)*(IF(Inputs!$B$38="pvp",15,MAX(0.1,Skills!D10-IF(Skills!E10=TRUE,Inputs!$B$32,0)))*(1-IF(AND(ArtifactsInput!$M$27,Inputs!$B$4="Chapter Hunt"),CHOOSE(ArtifactsInput!$N$27+1,20,24,28,32,36,40),0)/100)))))/Skills!H10,1)))/Inputs!$B$43),G873*Q873)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873*(1-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873*(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873*(1-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873*(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3">
        <f>IF(C873,(H873*N873*IF(AND(Inputs!$B$38&lt;&gt;"pvp",Inputs!$B$43&gt;0),((Skills!G10*((R873-1)*IF(Skills!H10&gt;0,Skills!I10/Skills!H10,1)+IF(Skills!H10&gt;0,MIN(Skills!I10,MAX(0,MAX(0,Inputs!$B$43-B901)-((R873-1)*(IF(Inputs!$B$38="pvp",15,MAX(0.1,Skills!D10-IF(Skills!E10=TRUE,Inputs!$B$32,0)))*(1-IF(AND(ArtifactsInput!$M$27,Inputs!$B$4="Chapter Hunt"),CHOOSE(ArtifactsInput!$N$27+1,20,24,28,32,36,40),0)/100)))))/Skills!H10,1)))/Inputs!$B$43),G873*Q873))*IF(Inputs!$B$38="pvp",1,(1+(Inputs!$B$21+Skills!Q10+(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4">
      <c r="A874">
        <f>Skills!A11</f>
        <v/>
      </c>
      <c r="B874">
        <f>Skills!B11</f>
        <v/>
      </c>
      <c r="C874">
        <f>Inputs!$B$3&gt;=107</f>
        <v/>
      </c>
      <c r="D874">
        <f>IF(Skills!C11=1,60+Inputs!$B$25+Inputs!$B$29,IF(Skills!C11=2,90+Inputs!$B$26+Inputs!$B$29,IF(Skills!C11=3,120+(Inputs!$B$27+1)+Inputs!$B$29,MAX(0,(Inputs!$B$3-100)*3)+Inputs!$B$28+Inputs!$B$29)))</f>
        <v/>
      </c>
      <c r="E874">
        <f>INDEX(FactorTable!$B$2:$Y$301, MATCH(ROUND(MIN(300,MAX(1,D874)),0), FactorTable!$A$2:$A$301,0), Skills!M11+1)</f>
        <v/>
      </c>
      <c r="F874">
        <f>IF(Skills!N11=TRUE,(Skills!L11/10)*(E874/1000),Skills!L11/10)+Skills!O11</f>
        <v/>
      </c>
      <c r="G874">
        <f>Skills!G11*IF(Skills!H11&gt;0,Skills!I11/Skills!H11,1)</f>
        <v/>
      </c>
      <c r="H874">
        <f>1-(1-Skills!J11/100)^Skills!K11</f>
        <v/>
      </c>
      <c r="I874" t="inlineStr">
        <is>
          <t>1</t>
        </is>
      </c>
      <c r="J874">
        <f>((Inputs!$B$6*(1+Inputs!$B$7/100))+(((Inputs!$B$12*(1+Inputs!$B$13/100))-(Inputs!$B$12*(1+Inputs!$B$13/100)))+0.25*(Inputs!$B$14-Inputs!$B$14))*(1+Inputs!$B$7/100))*(F874/100)</f>
        <v/>
      </c>
      <c r="K874">
        <f>J874*(1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874)</f>
        <v/>
      </c>
      <c r="L874">
        <f>K874*(MIN(Inputs!$B$22+((C885=TRUE)*(F885-Calc!F22)),(Inputs!$B$23+0+(IF(ArtifactsInput!$M$15,CHOOSE(ArtifactsInput!$N$15+1,25,30,35,40,45,50)/100*(Inputs!$B$11-Inputs!$B$11),0))))/100+(Inputs!$B$23+0+(IF(ArtifactsInput!$M$15,CHOOSE(ArtifactsInput!$N$15+1,25,30,35,40,45,50)/100*(Inputs!$B$11-Inputs!$B$11),0)))/100)/2</f>
        <v/>
      </c>
      <c r="M874">
        <f>L874*(1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4">
        <f>L874*(1-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874*(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4">
        <f>(1-Summary!$B$11)*T874+Summary!$B$11*V874</f>
        <v/>
      </c>
      <c r="P874">
        <f>IF(B904=0,0,O874/B904)</f>
        <v/>
      </c>
      <c r="Q874">
        <f>IFERROR(1/(IF(Inputs!$B$38="pvp",15,MAX(0.1,Skills!D11-IF(Skills!E11=TRUE,Inputs!$B$32,0)))*(1-IF(AND(ArtifactsInput!$M$27,Inputs!$B$4="Chapter Hunt"),CHOOSE(ArtifactsInput!$N$27+1,20,24,28,32,36,40),0)/100)),0)</f>
        <v/>
      </c>
      <c r="R874">
        <f>IF(AND(Inputs!$B$38&lt;&gt;"pvp",Inputs!$B$43&gt;0),IF(MAX(0,Inputs!$B$43-B901)&lt;=0,0,(INT(MAX(0,Inputs!$B$43-B901)/(IF(Inputs!$B$38="pvp",15,MAX(0.1,Skills!D11-IF(Skills!E11=TRUE,Inputs!$B$32,0)))*(1-IF(AND(ArtifactsInput!$M$27,Inputs!$B$4="Chapter Hunt"),CHOOSE(ArtifactsInput!$N$27+1,20,24,28,32,36,40),0)/100)))+1)),0)</f>
        <v/>
      </c>
      <c r="S874">
        <f>IFERROR(O874/N874,0)</f>
        <v/>
      </c>
      <c r="T874">
        <f>IF(C874,(H874*N874*IF(AND(Inputs!$B$38&lt;&gt;"pvp",Inputs!$B$43&gt;0),((Skills!G11*((R874-1)*IF(Skills!H11&gt;0,Skills!I11/Skills!H11,1)+IF(Skills!H11&gt;0,MIN(Skills!I11,MAX(0,MAX(0,Inputs!$B$43-B901)-((R874-1)*(IF(Inputs!$B$38="pvp",15,MAX(0.1,Skills!D11-IF(Skills!E11=TRUE,Inputs!$B$32,0)))*(1-IF(AND(ArtifactsInput!$M$27,Inputs!$B$4="Chapter Hunt"),CHOOSE(ArtifactsInput!$N$27+1,20,24,28,32,36,40),0)/100)))))/Skills!H11,1)))/Inputs!$B$43),G874*Q874)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874*(1-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874*(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874*(1-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874*(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4">
        <f>IF(C874,(H874*N874*IF(AND(Inputs!$B$38&lt;&gt;"pvp",Inputs!$B$43&gt;0),((Skills!G11*((R874-1)*IF(Skills!H11&gt;0,Skills!I11/Skills!H11,1)+IF(Skills!H11&gt;0,MIN(Skills!I11,MAX(0,MAX(0,Inputs!$B$43-B901)-((R874-1)*(IF(Inputs!$B$38="pvp",15,MAX(0.1,Skills!D11-IF(Skills!E11=TRUE,Inputs!$B$32,0)))*(1-IF(AND(ArtifactsInput!$M$27,Inputs!$B$4="Chapter Hunt"),CHOOSE(ArtifactsInput!$N$27+1,20,24,28,32,36,40),0)/100)))))/Skills!H11,1)))/Inputs!$B$43),G874*Q874))*IF(Inputs!$B$38="pvp",1,(1+(Inputs!$B$21+Skills!Q11+(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5">
      <c r="A875">
        <f>Skills!A12</f>
        <v/>
      </c>
      <c r="B875">
        <f>Skills!B12</f>
        <v/>
      </c>
      <c r="C875">
        <f>Inputs!$B$3&gt;=110</f>
        <v/>
      </c>
      <c r="D875">
        <f>IF(Skills!C12=1,60+Inputs!$B$25+Inputs!$B$29,IF(Skills!C12=2,90+Inputs!$B$26+Inputs!$B$29,IF(Skills!C12=3,120+(Inputs!$B$27+1)+Inputs!$B$29,MAX(0,(Inputs!$B$3-100)*3)+Inputs!$B$28+Inputs!$B$29)))</f>
        <v/>
      </c>
      <c r="E875">
        <f>INDEX(FactorTable!$B$2:$Y$301, MATCH(ROUND(MIN(300,MAX(1,D875)),0), FactorTable!$A$2:$A$301,0), Skills!M12+1)</f>
        <v/>
      </c>
      <c r="F875">
        <f>IF(Skills!N12=TRUE,(Skills!L12/10)*(E875/1000),Skills!L12/10)+Skills!O12</f>
        <v/>
      </c>
      <c r="G875">
        <f>Skills!G12*IF(Skills!H12&gt;0,Skills!I12/Skills!H12,1)</f>
        <v/>
      </c>
      <c r="H875">
        <f>1-(1-Skills!J12/100)^Skills!K12</f>
        <v/>
      </c>
      <c r="I875" t="inlineStr">
        <is>
          <t>1</t>
        </is>
      </c>
      <c r="J875">
        <f>((Inputs!$B$6*(1+Inputs!$B$7/100))+(((Inputs!$B$12*(1+Inputs!$B$13/100))-(Inputs!$B$12*(1+Inputs!$B$13/100)))+0.25*(Inputs!$B$14-Inputs!$B$14))*(1+Inputs!$B$7/100))*(F875/100)</f>
        <v/>
      </c>
      <c r="K875">
        <f>J875*(1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875)</f>
        <v/>
      </c>
      <c r="L875">
        <f>K875*(MIN(Inputs!$B$22+((C885=TRUE)*(F885-Calc!F22)),(Inputs!$B$23+0+(IF(ArtifactsInput!$M$15,CHOOSE(ArtifactsInput!$N$15+1,25,30,35,40,45,50)/100*(Inputs!$B$11-Inputs!$B$11),0))))/100+(Inputs!$B$23+0+(IF(ArtifactsInput!$M$15,CHOOSE(ArtifactsInput!$N$15+1,25,30,35,40,45,50)/100*(Inputs!$B$11-Inputs!$B$11),0)))/100)/2</f>
        <v/>
      </c>
      <c r="M875">
        <f>L875*(1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5">
        <f>L875*(1-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875*(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5">
        <f>(1-Summary!$B$11)*T875+Summary!$B$11*V875</f>
        <v/>
      </c>
      <c r="P875">
        <f>IF(B904=0,0,O875/B904)</f>
        <v/>
      </c>
      <c r="Q875">
        <f>IFERROR(1/(IF(Inputs!$B$38="pvp",15,MAX(0.1,Skills!D12-IF(Skills!E12=TRUE,Inputs!$B$32,0)))*(1-IF(AND(ArtifactsInput!$M$27,Inputs!$B$4="Chapter Hunt"),CHOOSE(ArtifactsInput!$N$27+1,20,24,28,32,36,40),0)/100)),0)</f>
        <v/>
      </c>
      <c r="R875">
        <f>IF(AND(Inputs!$B$38&lt;&gt;"pvp",Inputs!$B$43&gt;0),IF(MAX(0,Inputs!$B$43-B901)&lt;=0,0,(INT(MAX(0,Inputs!$B$43-B901)/(IF(Inputs!$B$38="pvp",15,MAX(0.1,Skills!D12-IF(Skills!E12=TRUE,Inputs!$B$32,0)))*(1-IF(AND(ArtifactsInput!$M$27,Inputs!$B$4="Chapter Hunt"),CHOOSE(ArtifactsInput!$N$27+1,20,24,28,32,36,40),0)/100)))+1)),0)</f>
        <v/>
      </c>
      <c r="S875">
        <f>IFERROR(O875/N875,0)</f>
        <v/>
      </c>
      <c r="T875">
        <f>IF(C875,(H875*N875*IF(AND(Inputs!$B$38&lt;&gt;"pvp",Inputs!$B$43&gt;0),((Skills!G12*((R875-1)*IF(Skills!H12&gt;0,Skills!I12/Skills!H12,1)+IF(Skills!H12&gt;0,MIN(Skills!I12,MAX(0,MAX(0,Inputs!$B$43-B901)-((R875-1)*(IF(Inputs!$B$38="pvp",15,MAX(0.1,Skills!D12-IF(Skills!E12=TRUE,Inputs!$B$32,0)))*(1-IF(AND(ArtifactsInput!$M$27,Inputs!$B$4="Chapter Hunt"),CHOOSE(ArtifactsInput!$N$27+1,20,24,28,32,36,40),0)/100)))))/Skills!H12,1)))/Inputs!$B$43),G875*Q875)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875*(1-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875*(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875*(1-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875*(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5">
        <f>IF(C875,(H875*N875*IF(AND(Inputs!$B$38&lt;&gt;"pvp",Inputs!$B$43&gt;0),((Skills!G12*((R875-1)*IF(Skills!H12&gt;0,Skills!I12/Skills!H12,1)+IF(Skills!H12&gt;0,MIN(Skills!I12,MAX(0,MAX(0,Inputs!$B$43-B901)-((R875-1)*(IF(Inputs!$B$38="pvp",15,MAX(0.1,Skills!D12-IF(Skills!E12=TRUE,Inputs!$B$32,0)))*(1-IF(AND(ArtifactsInput!$M$27,Inputs!$B$4="Chapter Hunt"),CHOOSE(ArtifactsInput!$N$27+1,20,24,28,32,36,40),0)/100)))))/Skills!H12,1)))/Inputs!$B$43),G875*Q875))*IF(Inputs!$B$38="pvp",1,(1+(Inputs!$B$21+Skills!Q12+(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6">
      <c r="A876">
        <f>Skills!A13</f>
        <v/>
      </c>
      <c r="B876">
        <f>Skills!B13</f>
        <v/>
      </c>
      <c r="C876">
        <f>Inputs!$B$3&gt;=110</f>
        <v/>
      </c>
      <c r="D876">
        <f>IF(Skills!C13=1,60+Inputs!$B$25+Inputs!$B$29,IF(Skills!C13=2,90+Inputs!$B$26+Inputs!$B$29,IF(Skills!C13=3,120+(Inputs!$B$27+1)+Inputs!$B$29,MAX(0,(Inputs!$B$3-100)*3)+Inputs!$B$28+Inputs!$B$29)))</f>
        <v/>
      </c>
      <c r="E876">
        <f>INDEX(FactorTable!$B$2:$Y$301, MATCH(ROUND(MIN(300,MAX(1,D876)),0), FactorTable!$A$2:$A$301,0), Skills!M13+1)</f>
        <v/>
      </c>
      <c r="F876">
        <f>IF(Skills!N13=TRUE,(Skills!L13/10)*(E876/1000),Skills!L13/10)+Skills!O13</f>
        <v/>
      </c>
      <c r="G876">
        <f>Skills!G13*IF(Skills!H13&gt;0,Skills!I13/Skills!H13,1)</f>
        <v/>
      </c>
      <c r="H876">
        <f>1-(1-Skills!J13/100)^Skills!K13</f>
        <v/>
      </c>
      <c r="I876" t="inlineStr">
        <is>
          <t>1</t>
        </is>
      </c>
      <c r="J876">
        <f>((Inputs!$B$6*(1+Inputs!$B$7/100))+(((Inputs!$B$12*(1+Inputs!$B$13/100))-(Inputs!$B$12*(1+Inputs!$B$13/100)))+0.25*(Inputs!$B$14-Inputs!$B$14))*(1+Inputs!$B$7/100))*(F876/100)</f>
        <v/>
      </c>
      <c r="K876">
        <f>J876*(1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876)</f>
        <v/>
      </c>
      <c r="L876">
        <f>K876*(MIN(Inputs!$B$22+((C885=TRUE)*(F885-Calc!F22)),(Inputs!$B$23+0+(IF(ArtifactsInput!$M$15,CHOOSE(ArtifactsInput!$N$15+1,25,30,35,40,45,50)/100*(Inputs!$B$11-Inputs!$B$11),0))))/100+(Inputs!$B$23+0+(IF(ArtifactsInput!$M$15,CHOOSE(ArtifactsInput!$N$15+1,25,30,35,40,45,50)/100*(Inputs!$B$11-Inputs!$B$11),0)))/100)/2</f>
        <v/>
      </c>
      <c r="M876">
        <f>L876*(1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6">
        <f>L876*(1-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876*(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6">
        <f>(1-Summary!$B$11)*T876+Summary!$B$11*V876</f>
        <v/>
      </c>
      <c r="P876">
        <f>IF(B904=0,0,O876/B904)</f>
        <v/>
      </c>
      <c r="Q876">
        <f>IFERROR(1/(IF(Inputs!$B$38="pvp",15,MAX(0.1,Skills!D13-IF(Skills!E13=TRUE,Inputs!$B$32,0)))*(1-IF(AND(ArtifactsInput!$M$27,Inputs!$B$4="Chapter Hunt"),CHOOSE(ArtifactsInput!$N$27+1,20,24,28,32,36,40),0)/100)),0)</f>
        <v/>
      </c>
      <c r="R876">
        <f>IF(AND(Inputs!$B$38&lt;&gt;"pvp",Inputs!$B$43&gt;0),IF(MAX(0,Inputs!$B$43-B901)&lt;=0,0,(INT(MAX(0,Inputs!$B$43-B901)/(IF(Inputs!$B$38="pvp",15,MAX(0.1,Skills!D13-IF(Skills!E13=TRUE,Inputs!$B$32,0)))*(1-IF(AND(ArtifactsInput!$M$27,Inputs!$B$4="Chapter Hunt"),CHOOSE(ArtifactsInput!$N$27+1,20,24,28,32,36,40),0)/100)))+1)),0)</f>
        <v/>
      </c>
      <c r="S876">
        <f>IFERROR(O876/N876,0)</f>
        <v/>
      </c>
      <c r="T876">
        <f>IF(C876,(H876*N876*IF(AND(Inputs!$B$38&lt;&gt;"pvp",Inputs!$B$43&gt;0),((Skills!G13*((R876-1)*IF(Skills!H13&gt;0,Skills!I13/Skills!H13,1)+IF(Skills!H13&gt;0,MIN(Skills!I13,MAX(0,MAX(0,Inputs!$B$43-B901)-((R876-1)*(IF(Inputs!$B$38="pvp",15,MAX(0.1,Skills!D13-IF(Skills!E13=TRUE,Inputs!$B$32,0)))*(1-IF(AND(ArtifactsInput!$M$27,Inputs!$B$4="Chapter Hunt"),CHOOSE(ArtifactsInput!$N$27+1,20,24,28,32,36,40),0)/100)))))/Skills!H13,1)))/Inputs!$B$43),G876*Q876)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876*(1-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876*(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876*(1-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876*(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6">
        <f>IF(C876,(H876*N876*IF(AND(Inputs!$B$38&lt;&gt;"pvp",Inputs!$B$43&gt;0),((Skills!G13*((R876-1)*IF(Skills!H13&gt;0,Skills!I13/Skills!H13,1)+IF(Skills!H13&gt;0,MIN(Skills!I13,MAX(0,MAX(0,Inputs!$B$43-B901)-((R876-1)*(IF(Inputs!$B$38="pvp",15,MAX(0.1,Skills!D13-IF(Skills!E13=TRUE,Inputs!$B$32,0)))*(1-IF(AND(ArtifactsInput!$M$27,Inputs!$B$4="Chapter Hunt"),CHOOSE(ArtifactsInput!$N$27+1,20,24,28,32,36,40),0)/100)))))/Skills!H13,1)))/Inputs!$B$43),G876*Q876))*IF(Inputs!$B$38="pvp",1,(1+(Inputs!$B$21+Skills!Q13+(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7">
      <c r="A877">
        <f>Skills!A14</f>
        <v/>
      </c>
      <c r="B877">
        <f>Skills!B14</f>
        <v/>
      </c>
      <c r="C877">
        <f>Inputs!$B$3&gt;=125</f>
        <v/>
      </c>
      <c r="D877">
        <f>IF(Skills!C14=1,60+Inputs!$B$25+Inputs!$B$29,IF(Skills!C14=2,90+Inputs!$B$26+Inputs!$B$29,IF(Skills!C14=3,120+(Inputs!$B$27+1)+Inputs!$B$29,MAX(0,(Inputs!$B$3-100)*3)+Inputs!$B$28+Inputs!$B$29)))</f>
        <v/>
      </c>
      <c r="E877">
        <f>INDEX(FactorTable!$B$2:$Y$301, MATCH(ROUND(MIN(300,MAX(1,D877)),0), FactorTable!$A$2:$A$301,0), Skills!M14+1)</f>
        <v/>
      </c>
      <c r="F877">
        <f>IF(Skills!N14=TRUE,(Skills!L14/10)*(E877/1000),Skills!L14/10)+Skills!O14</f>
        <v/>
      </c>
      <c r="G877">
        <f>Skills!G14*IF(Skills!H14&gt;0,Skills!I14/Skills!H14,1)</f>
        <v/>
      </c>
      <c r="H877">
        <f>1-(1-Skills!J14/100)^Skills!K14</f>
        <v/>
      </c>
      <c r="I877" t="inlineStr">
        <is>
          <t>1</t>
        </is>
      </c>
      <c r="J877">
        <f>((Inputs!$B$6*(1+Inputs!$B$7/100))+(((Inputs!$B$12*(1+Inputs!$B$13/100))-(Inputs!$B$12*(1+Inputs!$B$13/100)))+0.25*(Inputs!$B$14-Inputs!$B$14))*(1+Inputs!$B$7/100))*(F877/100)</f>
        <v/>
      </c>
      <c r="K877">
        <f>J877*(1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877)</f>
        <v/>
      </c>
      <c r="L877">
        <f>K877*(MIN(Inputs!$B$22+((C885=TRUE)*(F885-Calc!F22)),(Inputs!$B$23+0+(IF(ArtifactsInput!$M$15,CHOOSE(ArtifactsInput!$N$15+1,25,30,35,40,45,50)/100*(Inputs!$B$11-Inputs!$B$11),0))))/100+(Inputs!$B$23+0+(IF(ArtifactsInput!$M$15,CHOOSE(ArtifactsInput!$N$15+1,25,30,35,40,45,50)/100*(Inputs!$B$11-Inputs!$B$11),0)))/100)/2</f>
        <v/>
      </c>
      <c r="M877">
        <f>L877*(1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7">
        <f>L877*(1-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877*(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7">
        <f>(1-Summary!$B$11)*T877+Summary!$B$11*V877</f>
        <v/>
      </c>
      <c r="P877">
        <f>IF(B904=0,0,O877/B904)</f>
        <v/>
      </c>
      <c r="Q877" t="n">
        <v>0</v>
      </c>
      <c r="R877" t="n">
        <v>0</v>
      </c>
      <c r="S877">
        <f>IFERROR(O877/N877,0)</f>
        <v/>
      </c>
      <c r="T877">
        <f>IF(C877,(H877*N877*(B898+IF(AND(Inputs!$B$38&lt;&gt;"pvp",Inputs!$B$43&gt;0),((Skills!G8*((R871-1)*IF(Skills!H8&gt;0,Skills!I8/Skills!H8,1)+IF(Skills!H8&gt;0,MIN(Skills!I8,MAX(0,MAX(0,Inputs!$B$43-B901)-((R871-1)*(IF(Inputs!$B$38="pvp",15,MAX(0.1,Skills!D8-IF(Skills!E8=TRUE,Inputs!$B$32,0)))*(1-IF(AND(ArtifactsInput!$M$27,Inputs!$B$4="Chapter Hunt"),CHOOSE(ArtifactsInput!$N$27+1,20,24,28,32,36,40),0)/100)))))/Skills!H8,1)))/Inputs!$B$43),G871*Q871)+IF(AND(Inputs!$B$38&lt;&gt;"pvp",Inputs!$B$43&gt;0),((Skills!G11*((R874-1)*IF(Skills!H11&gt;0,Skills!I11/Skills!H11,1)+IF(Skills!H11&gt;0,MIN(Skills!I11,MAX(0,MAX(0,Inputs!$B$43-B901)-((R874-1)*(IF(Inputs!$B$38="pvp",15,MAX(0.1,Skills!D11-IF(Skills!E11=TRUE,Inputs!$B$32,0)))*(1-IF(AND(ArtifactsInput!$M$27,Inputs!$B$4="Chapter Hunt"),CHOOSE(ArtifactsInput!$N$27+1,20,24,28,32,36,40),0)/100)))))/Skills!H11,1)))/Inputs!$B$43),G874*Q874)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877*(1-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877*(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877*(1-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877*(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7">
        <f>IF(C877,(H877*N877*(B898+IF(AND(Inputs!$B$38&lt;&gt;"pvp",Inputs!$B$43&gt;0),((Skills!G8*((R871-1)*IF(Skills!H8&gt;0,Skills!I8/Skills!H8,1)+IF(Skills!H8&gt;0,MIN(Skills!I8,MAX(0,MAX(0,Inputs!$B$43-B901)-((R871-1)*(IF(Inputs!$B$38="pvp",15,MAX(0.1,Skills!D8-IF(Skills!E8=TRUE,Inputs!$B$32,0)))*(1-IF(AND(ArtifactsInput!$M$27,Inputs!$B$4="Chapter Hunt"),CHOOSE(ArtifactsInput!$N$27+1,20,24,28,32,36,40),0)/100)))))/Skills!H8,1)))/Inputs!$B$43),G871*Q871)+IF(AND(Inputs!$B$38&lt;&gt;"pvp",Inputs!$B$43&gt;0),((Skills!G11*((R874-1)*IF(Skills!H11&gt;0,Skills!I11/Skills!H11,1)+IF(Skills!H11&gt;0,MIN(Skills!I11,MAX(0,MAX(0,Inputs!$B$43-B901)-((R874-1)*(IF(Inputs!$B$38="pvp",15,MAX(0.1,Skills!D11-IF(Skills!E11=TRUE,Inputs!$B$32,0)))*(1-IF(AND(ArtifactsInput!$M$27,Inputs!$B$4="Chapter Hunt"),CHOOSE(ArtifactsInput!$N$27+1,20,24,28,32,36,40),0)/100)))))/Skills!H11,1)))/Inputs!$B$43),G874*Q874)))*IF(Inputs!$B$38="pvp",1,(1+(Inputs!$B$21+Skills!Q14+(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8">
      <c r="A878">
        <f>Skills!A15</f>
        <v/>
      </c>
      <c r="B878">
        <f>Skills!B15</f>
        <v/>
      </c>
      <c r="C878">
        <f>Inputs!$B$3&gt;=100</f>
        <v/>
      </c>
      <c r="D878">
        <f>IF(Skills!C15=1,60+Inputs!$B$25+Inputs!$B$29,IF(Skills!C15=2,90+Inputs!$B$26+Inputs!$B$29,IF(Skills!C15=3,120+(Inputs!$B$27+1)+Inputs!$B$29,MAX(0,(Inputs!$B$3-100)*3)+Inputs!$B$28+Inputs!$B$29)))</f>
        <v/>
      </c>
      <c r="E878">
        <f>INDEX(FactorTable!$B$2:$Y$301, MATCH(ROUND(MIN(300,MAX(1,D878)),0), FactorTable!$A$2:$A$301,0), Skills!M15+1)</f>
        <v/>
      </c>
      <c r="F878">
        <f>IF(Skills!N15=TRUE,(Skills!L15/10)*(E878/1000),Skills!L15/10)+Skills!O15</f>
        <v/>
      </c>
      <c r="G878" t="inlineStr"/>
      <c r="H878" t="inlineStr"/>
      <c r="I878" t="inlineStr">
        <is>
          <t>1</t>
        </is>
      </c>
      <c r="J878" t="inlineStr"/>
      <c r="K878" t="inlineStr"/>
      <c r="L878" t="inlineStr"/>
      <c r="M878" t="inlineStr"/>
      <c r="N878" t="inlineStr"/>
      <c r="O878" t="inlineStr"/>
      <c r="P878" t="inlineStr"/>
      <c r="Q878" t="inlineStr"/>
      <c r="R878" t="inlineStr"/>
      <c r="S878" t="inlineStr"/>
    </row>
    <row r="879">
      <c r="A879">
        <f>Skills!A16</f>
        <v/>
      </c>
      <c r="B879">
        <f>Skills!B16</f>
        <v/>
      </c>
      <c r="C879">
        <f>Inputs!$B$3&gt;=120</f>
        <v/>
      </c>
      <c r="D879">
        <f>IF(Skills!C16=1,60+Inputs!$B$25+Inputs!$B$29,IF(Skills!C16=2,90+Inputs!$B$26+Inputs!$B$29,IF(Skills!C16=3,120+(Inputs!$B$27+1)+Inputs!$B$29,MAX(0,(Inputs!$B$3-100)*3)+Inputs!$B$28+Inputs!$B$29)))</f>
        <v/>
      </c>
      <c r="E879">
        <f>INDEX(FactorTable!$B$2:$Y$301, MATCH(ROUND(MIN(300,MAX(1,D879)),0), FactorTable!$A$2:$A$301,0), Skills!M16+1)</f>
        <v/>
      </c>
      <c r="F879">
        <f>IF(Skills!N16=TRUE,(Skills!L16/10)*(E879/1000),Skills!L16/10)+Skills!O16</f>
        <v/>
      </c>
      <c r="G879" t="inlineStr"/>
      <c r="H879" t="inlineStr"/>
      <c r="I879" t="inlineStr">
        <is>
          <t>1</t>
        </is>
      </c>
      <c r="J879" t="inlineStr"/>
      <c r="K879" t="inlineStr"/>
      <c r="L879" t="inlineStr"/>
      <c r="M879" t="inlineStr"/>
      <c r="N879" t="inlineStr"/>
      <c r="O879" t="inlineStr"/>
      <c r="P879" t="inlineStr"/>
      <c r="Q879" t="inlineStr"/>
      <c r="R879" t="inlineStr"/>
      <c r="S879" t="inlineStr"/>
    </row>
    <row r="880">
      <c r="A880">
        <f>Skills!A17</f>
        <v/>
      </c>
      <c r="B880">
        <f>Skills!B17</f>
        <v/>
      </c>
      <c r="C880">
        <f>Inputs!$B$3&gt;=66</f>
        <v/>
      </c>
      <c r="D880">
        <f>IF(Skills!C17=1,60+Inputs!$B$25+Inputs!$B$29,IF(Skills!C17=2,90+Inputs!$B$26+Inputs!$B$29,IF(Skills!C17=3,120+(Inputs!$B$27+1)+Inputs!$B$29,MAX(0,(Inputs!$B$3-100)*3)+Inputs!$B$28+Inputs!$B$29)))</f>
        <v/>
      </c>
      <c r="E880">
        <f>INDEX(FactorTable!$B$2:$Y$301, MATCH(ROUND(MIN(300,MAX(1,D880)),0), FactorTable!$A$2:$A$301,0), Skills!M17+1)</f>
        <v/>
      </c>
      <c r="F880">
        <f>IF(Skills!N17=TRUE,(Skills!L17/10)*(E880/1000),Skills!L17/10)+Skills!O17</f>
        <v/>
      </c>
      <c r="G880">
        <f>Skills!G17*IF(Skills!H17&gt;0,Skills!I17/Skills!H17,1)</f>
        <v/>
      </c>
      <c r="H880">
        <f>1-(1-Skills!J17/100)^Skills!K17</f>
        <v/>
      </c>
      <c r="I880" t="inlineStr">
        <is>
          <t>1</t>
        </is>
      </c>
      <c r="J880" t="inlineStr"/>
      <c r="K880" t="inlineStr"/>
      <c r="L880" t="inlineStr"/>
      <c r="M880" t="inlineStr"/>
      <c r="N880" t="inlineStr"/>
      <c r="O880">
        <f>(1-Summary!$B$11)*T880+Summary!$B$11*V880</f>
        <v/>
      </c>
      <c r="P880">
        <f>IF(B904=0,0,O880/B904)</f>
        <v/>
      </c>
      <c r="Q880" t="n">
        <v>0</v>
      </c>
      <c r="R880" t="n">
        <v>0</v>
      </c>
      <c r="S880">
        <f>IFERROR(O880/N880,0)</f>
        <v/>
      </c>
      <c r="T880" t="n">
        <v>0</v>
      </c>
      <c r="V880" t="n">
        <v>0</v>
      </c>
    </row>
    <row r="881">
      <c r="A881">
        <f>Skills!A18</f>
        <v/>
      </c>
      <c r="B881">
        <f>Skills!B18</f>
        <v/>
      </c>
      <c r="C881">
        <f>Inputs!$B$3&gt;=115</f>
        <v/>
      </c>
      <c r="D881">
        <f>IF(Skills!C18=1,60+Inputs!$B$25+Inputs!$B$29,IF(Skills!C18=2,90+Inputs!$B$26+Inputs!$B$29,IF(Skills!C18=3,120+(Inputs!$B$27+1)+Inputs!$B$29,MAX(0,(Inputs!$B$3-100)*3)+Inputs!$B$28+Inputs!$B$29)))</f>
        <v/>
      </c>
      <c r="E881">
        <f>INDEX(FactorTable!$B$2:$Y$301, MATCH(ROUND(MIN(300,MAX(1,D881)),0), FactorTable!$A$2:$A$301,0), Skills!M18+1)</f>
        <v/>
      </c>
      <c r="F881">
        <f>IF(Skills!N18=TRUE,(Skills!L18/10)*(E881/1000),Skills!L18/10)+Skills!O18</f>
        <v/>
      </c>
      <c r="G881">
        <f>Skills!G18*IF(Skills!H18&gt;0,Skills!I18/Skills!H18,1)</f>
        <v/>
      </c>
      <c r="H881">
        <f>1-(1-Skills!J18/100)^Skills!K18</f>
        <v/>
      </c>
      <c r="I881" t="inlineStr">
        <is>
          <t>1</t>
        </is>
      </c>
      <c r="J881" t="inlineStr"/>
      <c r="K881" t="inlineStr"/>
      <c r="L881" t="inlineStr"/>
      <c r="M881" t="inlineStr"/>
      <c r="N881" t="inlineStr"/>
      <c r="O881">
        <f>(1-Summary!$B$11)*T881+Summary!$B$11*V881</f>
        <v/>
      </c>
      <c r="P881">
        <f>IF(B904=0,0,O881/B904)</f>
        <v/>
      </c>
      <c r="Q881">
        <f>IFERROR(1/(IF(Inputs!$B$38="pvp",15,MAX(0.1,Skills!D18-IF(Skills!E18=TRUE,Inputs!$B$32,0)))*(1-IF(AND(ArtifactsInput!$M$27,Inputs!$B$4="Chapter Hunt"),CHOOSE(ArtifactsInput!$N$27+1,20,24,28,32,36,40),0)/100)),0)</f>
        <v/>
      </c>
      <c r="R881">
        <f>IF(AND(Inputs!$B$38&lt;&gt;"pvp",Inputs!$B$43&gt;0),IF(Inputs!$B$43&lt;=0,0,(INT(Inputs!$B$43/(IF(Inputs!$B$38="pvp",15,MAX(0.1,Skills!D18-IF(Skills!E18=TRUE,Inputs!$B$32,0)))*(1-IF(AND(ArtifactsInput!$M$27,Inputs!$B$4="Chapter Hunt"),CHOOSE(ArtifactsInput!$N$27+1,20,24,28,32,36,40),0)/100)))+1)),0)</f>
        <v/>
      </c>
      <c r="S881">
        <f>IFERROR(O881/N881,0)</f>
        <v/>
      </c>
      <c r="T881" t="n">
        <v>0</v>
      </c>
      <c r="V881" t="n">
        <v>0</v>
      </c>
    </row>
    <row r="882">
      <c r="A882">
        <f>Skills!A19</f>
        <v/>
      </c>
      <c r="B882">
        <f>Skills!B19</f>
        <v/>
      </c>
      <c r="C882">
        <f>Inputs!$B$3&gt;=15</f>
        <v/>
      </c>
      <c r="D882">
        <f>IF(Skills!C19=1,60+Inputs!$B$25+Inputs!$B$29,IF(Skills!C19=2,90+Inputs!$B$26+Inputs!$B$29,IF(Skills!C19=3,120+(Inputs!$B$27+1)+Inputs!$B$29,MAX(0,(Inputs!$B$3-100)*3)+Inputs!$B$28+Inputs!$B$29)))</f>
        <v/>
      </c>
      <c r="E882">
        <f>INDEX(FactorTable!$B$2:$Y$301, MATCH(ROUND(MIN(300,MAX(1,D882)),0), FactorTable!$A$2:$A$301,0), Skills!M19+1)</f>
        <v/>
      </c>
      <c r="F882">
        <f>IF(Skills!N19=TRUE,(Skills!L19/10)*(E882/1000),Skills!L19/10)+Skills!O19</f>
        <v/>
      </c>
      <c r="G882">
        <f>Skills!G19*IF(Skills!H19&gt;0,Skills!I19/Skills!H19,1)</f>
        <v/>
      </c>
      <c r="H882">
        <f>1-(1-Skills!J19/100)^Skills!K19</f>
        <v/>
      </c>
      <c r="I882" t="inlineStr">
        <is>
          <t>1</t>
        </is>
      </c>
      <c r="J882" t="inlineStr"/>
      <c r="K882" t="inlineStr"/>
      <c r="L882" t="inlineStr"/>
      <c r="M882" t="inlineStr"/>
      <c r="N882" t="inlineStr"/>
      <c r="O882">
        <f>(1-Summary!$B$11)*T882+Summary!$B$11*V882</f>
        <v/>
      </c>
      <c r="P882">
        <f>IF(B904=0,0,O882/B904)</f>
        <v/>
      </c>
      <c r="Q882" t="n">
        <v>0</v>
      </c>
      <c r="R882" t="n">
        <v>0</v>
      </c>
      <c r="S882">
        <f>IFERROR(O882/N882,0)</f>
        <v/>
      </c>
      <c r="T882" t="n">
        <v>0</v>
      </c>
      <c r="V882" t="n">
        <v>0</v>
      </c>
    </row>
    <row r="883">
      <c r="A883">
        <f>Skills!A20</f>
        <v/>
      </c>
      <c r="B883">
        <f>Skills!B20</f>
        <v/>
      </c>
      <c r="C883">
        <f>Inputs!$B$3&gt;=10</f>
        <v/>
      </c>
      <c r="D883">
        <f>IF(Skills!C20=1,60+Inputs!$B$25+Inputs!$B$29,IF(Skills!C20=2,90+Inputs!$B$26+Inputs!$B$29,IF(Skills!C20=3,120+(Inputs!$B$27+1)+Inputs!$B$29,MAX(0,(Inputs!$B$3-100)*3)+Inputs!$B$28+Inputs!$B$29)))</f>
        <v/>
      </c>
      <c r="E883">
        <f>INDEX(FactorTable!$B$2:$Y$301, MATCH(ROUND(MIN(300,MAX(1,D883)),0), FactorTable!$A$2:$A$301,0), Skills!M20+1)</f>
        <v/>
      </c>
      <c r="F883">
        <f>IF(Skills!N20=TRUE,(Skills!L20/10)*(E883/1000),Skills!L20/10)+Skills!O20</f>
        <v/>
      </c>
      <c r="G883">
        <f>Skills!G20*IF(Skills!H20&gt;0,Skills!I20/Skills!H20,1)</f>
        <v/>
      </c>
      <c r="H883">
        <f>1-(1-Skills!J20/100)^Skills!K20</f>
        <v/>
      </c>
      <c r="I883" t="inlineStr">
        <is>
          <t>1</t>
        </is>
      </c>
      <c r="J883" t="inlineStr"/>
      <c r="K883" t="inlineStr"/>
      <c r="L883" t="inlineStr"/>
      <c r="M883" t="inlineStr"/>
      <c r="N883" t="inlineStr"/>
      <c r="O883">
        <f>(1-Summary!$B$11)*T883+Summary!$B$11*V883</f>
        <v/>
      </c>
      <c r="P883">
        <f>IF(B904=0,0,O883/B904)</f>
        <v/>
      </c>
      <c r="Q883" t="n">
        <v>0</v>
      </c>
      <c r="R883" t="n">
        <v>0</v>
      </c>
      <c r="S883">
        <f>IFERROR(O883/N883,0)</f>
        <v/>
      </c>
      <c r="T883" t="n">
        <v>0</v>
      </c>
      <c r="V883" t="n">
        <v>0</v>
      </c>
    </row>
    <row r="884">
      <c r="A884">
        <f>Skills!A21</f>
        <v/>
      </c>
      <c r="B884">
        <f>Skills!B21</f>
        <v/>
      </c>
      <c r="C884">
        <f>Inputs!$B$3&gt;=33</f>
        <v/>
      </c>
      <c r="D884">
        <f>IF(Skills!C21=1,60+Inputs!$B$25+Inputs!$B$29,IF(Skills!C21=2,90+Inputs!$B$26+Inputs!$B$29,IF(Skills!C21=3,120+(Inputs!$B$27+1)+Inputs!$B$29,MAX(0,(Inputs!$B$3-100)*3)+Inputs!$B$28+Inputs!$B$29)))</f>
        <v/>
      </c>
      <c r="E884">
        <f>INDEX(FactorTable!$B$2:$Y$301, MATCH(ROUND(MIN(300,MAX(1,D884)),0), FactorTable!$A$2:$A$301,0), Skills!M21+1)</f>
        <v/>
      </c>
      <c r="F884">
        <f>IF(Skills!N21=TRUE,(Skills!L21/10)*(E884/1000),Skills!L21/10)+Skills!O21</f>
        <v/>
      </c>
      <c r="G884">
        <f>Skills!G21*IF(Skills!H21&gt;0,Skills!I21/Skills!H21,1)</f>
        <v/>
      </c>
      <c r="H884">
        <f>1-(1-Skills!J21/100)^Skills!K21</f>
        <v/>
      </c>
      <c r="I884" t="inlineStr">
        <is>
          <t>1</t>
        </is>
      </c>
      <c r="J884" t="inlineStr"/>
      <c r="K884" t="inlineStr"/>
      <c r="L884" t="inlineStr"/>
      <c r="M884" t="inlineStr"/>
      <c r="N884" t="inlineStr"/>
      <c r="O884">
        <f>(1-Summary!$B$11)*T884+Summary!$B$11*V884</f>
        <v/>
      </c>
      <c r="P884">
        <f>IF(B904=0,0,O884/B904)</f>
        <v/>
      </c>
      <c r="Q884" t="n">
        <v>0</v>
      </c>
      <c r="R884" t="n">
        <v>0</v>
      </c>
      <c r="S884">
        <f>IFERROR(O884/N884,0)</f>
        <v/>
      </c>
      <c r="T884" t="n">
        <v>0</v>
      </c>
      <c r="V884" t="n">
        <v>0</v>
      </c>
    </row>
    <row r="885">
      <c r="A885">
        <f>Skills!A22</f>
        <v/>
      </c>
      <c r="B885">
        <f>Skills!B22</f>
        <v/>
      </c>
      <c r="C885">
        <f>Inputs!$B$3&gt;=43</f>
        <v/>
      </c>
      <c r="D885">
        <f>IF(Skills!C22=1,60+Inputs!$B$25+Inputs!$B$29,IF(Skills!C22=2,90+Inputs!$B$26+Inputs!$B$29,IF(Skills!C22=3,120+(Inputs!$B$27+1)+Inputs!$B$29,MAX(0,(Inputs!$B$3-100)*3)+Inputs!$B$28+Inputs!$B$29)))</f>
        <v/>
      </c>
      <c r="E885">
        <f>INDEX(FactorTable!$B$2:$Y$301, MATCH(ROUND(MIN(300,MAX(1,D885)),0), FactorTable!$A$2:$A$301,0), Skills!M22+1)</f>
        <v/>
      </c>
      <c r="F885">
        <f>IF(Skills!N22=TRUE,(Skills!L22/10)*(E885/1000),Skills!L22/10)+Skills!O22</f>
        <v/>
      </c>
      <c r="G885">
        <f>Skills!G22*IF(Skills!H22&gt;0,Skills!I22/Skills!H22,1)</f>
        <v/>
      </c>
      <c r="H885">
        <f>1-(1-Skills!J22/100)^Skills!K22</f>
        <v/>
      </c>
      <c r="I885" t="inlineStr">
        <is>
          <t>1</t>
        </is>
      </c>
      <c r="J885" t="inlineStr"/>
      <c r="K885" t="inlineStr"/>
      <c r="L885" t="inlineStr"/>
      <c r="M885" t="inlineStr"/>
      <c r="N885" t="inlineStr"/>
      <c r="O885">
        <f>(1-Summary!$B$11)*T885+Summary!$B$11*V885</f>
        <v/>
      </c>
      <c r="P885">
        <f>IF(B904=0,0,O885/B904)</f>
        <v/>
      </c>
      <c r="Q885" t="n">
        <v>0</v>
      </c>
      <c r="R885" t="n">
        <v>0</v>
      </c>
      <c r="S885">
        <f>IFERROR(O885/N885,0)</f>
        <v/>
      </c>
      <c r="T885" t="n">
        <v>0</v>
      </c>
      <c r="V885" t="n">
        <v>0</v>
      </c>
    </row>
    <row r="886">
      <c r="A886">
        <f>Skills!A23</f>
        <v/>
      </c>
      <c r="B886">
        <f>Skills!B23</f>
        <v/>
      </c>
      <c r="C886">
        <f>Inputs!$B$3&gt;=38</f>
        <v/>
      </c>
      <c r="D886">
        <f>IF(Skills!C23=1,60+Inputs!$B$25+Inputs!$B$29,IF(Skills!C23=2,90+Inputs!$B$26+Inputs!$B$29,IF(Skills!C23=3,120+(Inputs!$B$27+1)+Inputs!$B$29,MAX(0,(Inputs!$B$3-100)*3)+Inputs!$B$28+Inputs!$B$29)))</f>
        <v/>
      </c>
      <c r="E886">
        <f>INDEX(FactorTable!$B$2:$Y$301, MATCH(ROUND(MIN(300,MAX(1,D886)),0), FactorTable!$A$2:$A$301,0), Skills!M23+1)</f>
        <v/>
      </c>
      <c r="F886">
        <f>IF(Skills!N23=TRUE,(Skills!L23/10)*(E886/1000),Skills!L23/10)+Skills!O23</f>
        <v/>
      </c>
      <c r="G886">
        <f>Skills!G23*IF(Skills!H23&gt;0,Skills!I23/Skills!H23,1)</f>
        <v/>
      </c>
      <c r="H886">
        <f>1-(1-Skills!J23/100)^Skills!K23</f>
        <v/>
      </c>
      <c r="I886" t="inlineStr">
        <is>
          <t>1</t>
        </is>
      </c>
      <c r="J886" t="inlineStr"/>
      <c r="K886" t="inlineStr"/>
      <c r="L886" t="inlineStr"/>
      <c r="M886" t="inlineStr"/>
      <c r="N886" t="inlineStr"/>
      <c r="O886">
        <f>(1-Summary!$B$11)*T886+Summary!$B$11*V886</f>
        <v/>
      </c>
      <c r="P886">
        <f>IF(B904=0,0,O886/B904)</f>
        <v/>
      </c>
      <c r="Q886" t="n">
        <v>0</v>
      </c>
      <c r="R886" t="n">
        <v>0</v>
      </c>
      <c r="S886">
        <f>IFERROR(O886/N886,0)</f>
        <v/>
      </c>
      <c r="T886" t="n">
        <v>0</v>
      </c>
      <c r="V886" t="n">
        <v>0</v>
      </c>
    </row>
    <row r="887">
      <c r="A887">
        <f>Skills!A24</f>
        <v/>
      </c>
      <c r="B887">
        <f>Skills!B24</f>
        <v/>
      </c>
      <c r="C887">
        <f>Inputs!$B$3&gt;=40</f>
        <v/>
      </c>
      <c r="D887">
        <f>IF(Skills!C24=1,60+Inputs!$B$25+Inputs!$B$29,IF(Skills!C24=2,90+Inputs!$B$26+Inputs!$B$29,IF(Skills!C24=3,120+(Inputs!$B$27+1)+Inputs!$B$29,MAX(0,(Inputs!$B$3-100)*3)+Inputs!$B$28+Inputs!$B$29)))</f>
        <v/>
      </c>
      <c r="E887">
        <f>INDEX(FactorTable!$B$2:$Y$301, MATCH(ROUND(MIN(300,MAX(1,D887)),0), FactorTable!$A$2:$A$301,0), Skills!M24+1)</f>
        <v/>
      </c>
      <c r="F887">
        <f>IF(Skills!N24=TRUE,(Skills!L24/10)*(E887/1000),Skills!L24/10)+Skills!O24</f>
        <v/>
      </c>
      <c r="G887">
        <f>Skills!G24*IF(Skills!H24&gt;0,Skills!I24/Skills!H24,1)</f>
        <v/>
      </c>
      <c r="H887">
        <f>1-(1-Skills!J24/100)^Skills!K24</f>
        <v/>
      </c>
      <c r="I887" t="inlineStr">
        <is>
          <t>1</t>
        </is>
      </c>
      <c r="J887" t="inlineStr"/>
      <c r="K887" t="inlineStr"/>
      <c r="L887" t="inlineStr"/>
      <c r="M887" t="inlineStr"/>
      <c r="N887" t="inlineStr"/>
      <c r="O887">
        <f>(1-Summary!$B$11)*T887+Summary!$B$11*V887</f>
        <v/>
      </c>
      <c r="P887">
        <f>IF(B904=0,0,O887/B904)</f>
        <v/>
      </c>
      <c r="Q887" t="n">
        <v>0</v>
      </c>
      <c r="R887" t="n">
        <v>0</v>
      </c>
      <c r="S887">
        <f>IFERROR(O887/N887,0)</f>
        <v/>
      </c>
      <c r="T887" t="n">
        <v>0</v>
      </c>
      <c r="V887" t="n">
        <v>0</v>
      </c>
    </row>
    <row r="888">
      <c r="A888">
        <f>Skills!A25</f>
        <v/>
      </c>
      <c r="B888">
        <f>Skills!B25</f>
        <v/>
      </c>
      <c r="C888">
        <f>Inputs!$B$3&gt;=72</f>
        <v/>
      </c>
      <c r="D888">
        <f>IF(Skills!C25=1,60+Inputs!$B$25+Inputs!$B$29,IF(Skills!C25=2,90+Inputs!$B$26+Inputs!$B$29,IF(Skills!C25=3,120+(Inputs!$B$27+1)+Inputs!$B$29,MAX(0,(Inputs!$B$3-100)*3)+Inputs!$B$28+Inputs!$B$29)))</f>
        <v/>
      </c>
      <c r="E888">
        <f>INDEX(FactorTable!$B$2:$Y$301, MATCH(ROUND(MIN(300,MAX(1,D888)),0), FactorTable!$A$2:$A$301,0), Skills!M25+1)</f>
        <v/>
      </c>
      <c r="F888">
        <f>IF(Skills!N25=TRUE,(Skills!L25/10)*(E888/1000),Skills!L25/10)+Skills!O25</f>
        <v/>
      </c>
      <c r="G888">
        <f>Skills!G25*IF(Skills!H25&gt;0,Skills!I25/Skills!H25,1)</f>
        <v/>
      </c>
      <c r="H888">
        <f>1-(1-Skills!J25/100)^Skills!K25</f>
        <v/>
      </c>
      <c r="I888" t="inlineStr">
        <is>
          <t>1</t>
        </is>
      </c>
      <c r="J888" t="inlineStr"/>
      <c r="K888" t="inlineStr"/>
      <c r="L888" t="inlineStr"/>
      <c r="M888" t="inlineStr"/>
      <c r="N888" t="inlineStr"/>
      <c r="O888">
        <f>(1-Summary!$B$11)*T888+Summary!$B$11*V888</f>
        <v/>
      </c>
      <c r="P888">
        <f>IF(B904=0,0,O888/B904)</f>
        <v/>
      </c>
      <c r="Q888" t="n">
        <v>0</v>
      </c>
      <c r="R888" t="n">
        <v>0</v>
      </c>
      <c r="S888">
        <f>IFERROR(O888/N888,0)</f>
        <v/>
      </c>
      <c r="T888" t="n">
        <v>0</v>
      </c>
      <c r="V888" t="n">
        <v>0</v>
      </c>
    </row>
    <row r="889">
      <c r="A889">
        <f>Skills!A26</f>
        <v/>
      </c>
      <c r="B889">
        <f>Skills!B26</f>
        <v/>
      </c>
      <c r="C889">
        <f>Inputs!$B$3&gt;=75</f>
        <v/>
      </c>
      <c r="D889">
        <f>IF(Skills!C26=1,60+Inputs!$B$25+Inputs!$B$29,IF(Skills!C26=2,90+Inputs!$B$26+Inputs!$B$29,IF(Skills!C26=3,120+(Inputs!$B$27+1)+Inputs!$B$29,MAX(0,(Inputs!$B$3-100)*3)+Inputs!$B$28+Inputs!$B$29)))</f>
        <v/>
      </c>
      <c r="E889">
        <f>INDEX(FactorTable!$B$2:$Y$301, MATCH(ROUND(MIN(300,MAX(1,D889)),0), FactorTable!$A$2:$A$301,0), Skills!M26+1)</f>
        <v/>
      </c>
      <c r="F889">
        <f>IF(Skills!N26=TRUE,(Skills!L26/10)*(E889/1000),Skills!L26/10)+Skills!O26</f>
        <v/>
      </c>
      <c r="G889">
        <f>Skills!G26*IF(Skills!H26&gt;0,Skills!I26/Skills!H26,1)</f>
        <v/>
      </c>
      <c r="H889">
        <f>1-(1-Skills!J26/100)^Skills!K26</f>
        <v/>
      </c>
      <c r="I889" t="inlineStr">
        <is>
          <t>1</t>
        </is>
      </c>
      <c r="J889" t="inlineStr"/>
      <c r="K889" t="inlineStr"/>
      <c r="L889" t="inlineStr"/>
      <c r="M889" t="inlineStr"/>
      <c r="N889" t="inlineStr"/>
      <c r="O889">
        <f>(1-Summary!$B$11)*T889+Summary!$B$11*V889</f>
        <v/>
      </c>
      <c r="P889">
        <f>IF(B904=0,0,O889/B904)</f>
        <v/>
      </c>
      <c r="Q889" t="n">
        <v>0</v>
      </c>
      <c r="R889" t="n">
        <v>0</v>
      </c>
      <c r="S889">
        <f>IFERROR(O889/N889,0)</f>
        <v/>
      </c>
      <c r="T889" t="n">
        <v>0</v>
      </c>
      <c r="V889" t="n">
        <v>0</v>
      </c>
    </row>
    <row r="890">
      <c r="A890">
        <f>Skills!A27</f>
        <v/>
      </c>
      <c r="B890">
        <f>Skills!B27</f>
        <v/>
      </c>
      <c r="C890">
        <f>Inputs!$B$3&gt;=117</f>
        <v/>
      </c>
      <c r="D890">
        <f>IF(Skills!C27=1,60+Inputs!$B$25+Inputs!$B$29,IF(Skills!C27=2,90+Inputs!$B$26+Inputs!$B$29,IF(Skills!C27=3,120+(Inputs!$B$27+1)+Inputs!$B$29,MAX(0,(Inputs!$B$3-100)*3)+Inputs!$B$28+Inputs!$B$29)))</f>
        <v/>
      </c>
      <c r="E890">
        <f>INDEX(FactorTable!$B$2:$Y$301, MATCH(ROUND(MIN(300,MAX(1,D890)),0), FactorTable!$A$2:$A$301,0), Skills!M27+1)</f>
        <v/>
      </c>
      <c r="F890">
        <f>IF(Skills!N27=TRUE,(Skills!L27/10)*(E890/1000),Skills!L27/10)+Skills!O27</f>
        <v/>
      </c>
      <c r="G890">
        <f>Skills!G27*IF(Skills!H27&gt;0,Skills!I27/Skills!H27,1)</f>
        <v/>
      </c>
      <c r="H890">
        <f>1-(1-Skills!J27/100)^Skills!K27</f>
        <v/>
      </c>
      <c r="I890" t="inlineStr">
        <is>
          <t>1</t>
        </is>
      </c>
      <c r="J890" t="inlineStr"/>
      <c r="K890" t="inlineStr"/>
      <c r="L890" t="inlineStr"/>
      <c r="M890" t="inlineStr"/>
      <c r="N890" t="inlineStr"/>
      <c r="O890">
        <f>(1-Summary!$B$11)*T890+Summary!$B$11*V890</f>
        <v/>
      </c>
      <c r="P890">
        <f>IF(B904=0,0,O890/B904)</f>
        <v/>
      </c>
      <c r="Q890" t="n">
        <v>0</v>
      </c>
      <c r="R890" t="n">
        <v>0</v>
      </c>
      <c r="S890">
        <f>IFERROR(O890/N890,0)</f>
        <v/>
      </c>
      <c r="T890" t="n">
        <v>0</v>
      </c>
      <c r="V890" t="n">
        <v>0</v>
      </c>
    </row>
    <row r="891">
      <c r="A891">
        <f>Skills!A28</f>
        <v/>
      </c>
      <c r="B891">
        <f>Skills!B28</f>
        <v/>
      </c>
      <c r="C891">
        <f>TRUE</f>
        <v/>
      </c>
      <c r="D891">
        <f>IF(Skills!C28=1,60+Inputs!$B$25+Inputs!$B$29,IF(Skills!C28=2,90+Inputs!$B$26+Inputs!$B$29,IF(Skills!C28=3,120+(Inputs!$B$27+1)+Inputs!$B$29,MAX(0,(Inputs!$B$3-100)*3)+Inputs!$B$28+Inputs!$B$29)))</f>
        <v/>
      </c>
      <c r="E891">
        <f>INDEX(FactorTable!$B$2:$Y$301, MATCH(ROUND(MIN(300,MAX(1,D891)),0), FactorTable!$A$2:$A$301,0), Skills!M28+1)</f>
        <v/>
      </c>
      <c r="F891">
        <f>IF(Skills!N28=TRUE,(Skills!L28/10)*(E891/1000),Skills!L28/10)+Skills!O28</f>
        <v/>
      </c>
      <c r="G891">
        <f>Skills!G28*IF(Skills!H28&gt;0,Skills!I28/Skills!H28,1)</f>
        <v/>
      </c>
      <c r="H891">
        <f>1-(1-Skills!J28/100)^Skills!K28</f>
        <v/>
      </c>
      <c r="I891" t="inlineStr">
        <is>
          <t>1</t>
        </is>
      </c>
      <c r="J891" t="inlineStr"/>
      <c r="K891" t="inlineStr"/>
      <c r="L891" t="inlineStr"/>
      <c r="M891" t="inlineStr"/>
      <c r="N891" t="inlineStr"/>
      <c r="O891">
        <f>(1-Summary!$B$11)*T891+Summary!$B$11*V891</f>
        <v/>
      </c>
      <c r="P891">
        <f>IF(B904=0,0,O891/B904)</f>
        <v/>
      </c>
      <c r="Q891">
        <f>IFERROR(1/(IF(Inputs!$B$38="pvp",15,MAX(0.1,Skills!D28-IF(Skills!E28=TRUE,Inputs!$B$32,0)))*(1-IF(AND(ArtifactsInput!$M$27,Inputs!$B$4="Chapter Hunt"),CHOOSE(ArtifactsInput!$N$27+1,20,24,28,32,36,40),0)/100)),0)</f>
        <v/>
      </c>
      <c r="R891">
        <f>IF(AND(Inputs!$B$38&lt;&gt;"pvp",Inputs!$B$43&gt;0),IF(Inputs!$B$43&lt;=0,0,(INT(Inputs!$B$43/(IF(Inputs!$B$38="pvp",15,MAX(0.1,Skills!D28-IF(Skills!E28=TRUE,Inputs!$B$32,0)))*(1-IF(AND(ArtifactsInput!$M$27,Inputs!$B$4="Chapter Hunt"),CHOOSE(ArtifactsInput!$N$27+1,20,24,28,32,36,40),0)/100)))+1)),0)</f>
        <v/>
      </c>
      <c r="S891">
        <f>IFERROR(O891/N891,0)</f>
        <v/>
      </c>
      <c r="T891" t="n">
        <v>0</v>
      </c>
      <c r="V891" t="n">
        <v>0</v>
      </c>
    </row>
    <row r="893">
      <c r="A893" t="inlineStr">
        <is>
          <t>Attack% Bucket Multiplier</t>
        </is>
      </c>
      <c r="B893">
        <f>(1+(((C880=TRUE)*F880*5/7)+((C887=TRUE)*(F887-Calc!F24))+(IF(ArtifactsInput!$M$21,CHOOSE(ArtifactsInput!$N$21+1,25,30,35,40,45,50)*(IF(OR(Inputs!$B$4="Chapter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94">
      <c r="A894" t="inlineStr">
        <is>
          <t>Global Crit Rate Bonus %</t>
        </is>
      </c>
      <c r="B894" t="n">
        <v>0</v>
      </c>
    </row>
    <row r="895">
      <c r="A895" t="inlineStr">
        <is>
          <t>Attack Speed Buff Bonus % (Nimble Feet, duty-cycle averaged)</t>
        </is>
      </c>
      <c r="B895">
        <f>((C891=TRUE)*F891*IF(AND(Inputs!$B$38&lt;&gt;"pvp",Inputs!$B$43&gt;0),(((R891-1)*(Skills!T28*(1+Inputs!$B$34/100))+MIN((Skills!T28*(1+Inputs!$B$34/100)),MAX(0,Inputs!$B$43-((R891-1)*Skills!D28))))/Inputs!$B$43),IF(Inputs!$B$38="pvp",MIN((Skills!T28*(1+Inputs!$B$34/100)),15)/15,(Skills!T28*(1+Inputs!$B$34/100))/Skills!D28)))</f>
        <v/>
      </c>
    </row>
    <row r="896">
      <c r="A896" t="inlineStr">
        <is>
          <t>Actions Per Second</t>
        </is>
      </c>
      <c r="B896">
        <f>1+MIN(150,150*(1-(1-(Inputs!$B$11+((C883=TRUE)*(F883-Calc!F20))+((C884=TRUE)*(F884-Calc!F21)))/150)*(1-B895/150)))/100</f>
        <v/>
      </c>
    </row>
    <row r="897">
      <c r="A897" t="inlineStr">
        <is>
          <t>Skill + Buff Cast Rate</t>
        </is>
      </c>
      <c r="B897">
        <f>IF(AND(Inputs!$B$38&lt;&gt;"pvp",Inputs!$B$43&gt;0),SUMPRODUCT((Skills!E2:E28=TRUE)*(C865:C891=TRUE)*R865:R891*Skills!F2:F28)/Inputs!$B$43,SUMPRODUCT((Skills!E2:E28=TRUE)*(C865:C891=TRUE)*Q865:Q891*Skills!F2:F28))</f>
        <v/>
      </c>
    </row>
    <row r="898">
      <c r="A898" t="inlineStr">
        <is>
          <t>Eight-Legs Easton Casts Per Second</t>
        </is>
      </c>
      <c r="B898">
        <f>MAX(0,B896-B897)</f>
        <v/>
      </c>
    </row>
    <row r="899">
      <c r="A899" t="inlineStr">
        <is>
          <t>Global Critical Damage Bonus % (unused)</t>
        </is>
      </c>
      <c r="B899" t="n">
        <v>0</v>
      </c>
    </row>
    <row r="900">
      <c r="A900" t="inlineStr">
        <is>
          <t>Global Final Damage Bonus % (Jolly Roger + Ahoy Mateys - Final Damage proc)</t>
        </is>
      </c>
      <c r="B900">
        <f>((C881=TRUE)*F881*IF(AND(Inputs!$B$38&lt;&gt;"pvp",Inputs!$B$43&gt;0),(((R881-1)*(Skills!T18*(1+Inputs!$B$34/100))+MIN((Skills!T18*(1+Inputs!$B$34/100)),MAX(0,Inputs!$B$43-((R881-1)*Skills!D18))))/Inputs!$B$43),IF(Inputs!$B$38="pvp",MIN((Skills!T18*(1+Inputs!$B$34/100)),15)/15,(Skills!T18*(1+Inputs!$B$34/100))/Skills!D18)))+IF(Inputs!$B$3&gt;=122,20*IF(Inputs!$B$38="pvp",MIN((20*(1+Inputs!$B$34/100)),15)/15,(20*(1+Inputs!$B$34/100))/Skills!D4),0)</f>
        <v/>
      </c>
    </row>
    <row r="901">
      <c r="A901" t="inlineStr">
        <is>
          <t>Buff-Casting Startup Delay (s, fixed-duration only)</t>
        </is>
      </c>
      <c r="B901">
        <f>IF(AND(Inputs!$B$38&lt;&gt;"pvp",Inputs!$B$43&gt;0),SUMPRODUCT((Skills!T2:T28&gt;0)*(Skills!E2:E28=TRUE)*(C865:C891=TRUE))/B896,0)</f>
        <v/>
      </c>
    </row>
    <row r="902">
      <c r="A902" t="inlineStr">
        <is>
          <t>Boss-Only Total DPS (this block's swept value)</t>
        </is>
      </c>
      <c r="B902">
        <f>SUM(T865:T891)</f>
        <v/>
      </c>
    </row>
    <row r="903">
      <c r="A903" t="inlineStr">
        <is>
          <t>Normal-Only Total DPS (this block's swept value)</t>
        </is>
      </c>
      <c r="B903">
        <f>SUM(V865:V891)</f>
        <v/>
      </c>
    </row>
    <row r="904">
      <c r="A904" s="6" t="inlineStr">
        <is>
          <t>TOTAL DPS</t>
        </is>
      </c>
      <c r="B904" s="6">
        <f>SUM(O865:O891)</f>
        <v/>
      </c>
    </row>
    <row r="907">
      <c r="A907" s="6" t="inlineStr">
        <is>
          <t>Stat: Skill Level Bonus — 4th Job</t>
        </is>
      </c>
    </row>
    <row r="908">
      <c r="A908" s="5" t="inlineStr">
        <is>
          <t>Key</t>
        </is>
      </c>
      <c r="B908" s="5" t="inlineStr">
        <is>
          <t>Name</t>
        </is>
      </c>
      <c r="C908" s="5" t="inlineStr">
        <is>
          <t>Unlocked</t>
        </is>
      </c>
      <c r="D908" s="5" t="inlineStr">
        <is>
          <t>InputLevel</t>
        </is>
      </c>
      <c r="E908" s="5" t="inlineStr">
        <is>
          <t>Factor</t>
        </is>
      </c>
      <c r="F908" s="5" t="inlineStr">
        <is>
          <t>CoefficientPercent</t>
        </is>
      </c>
      <c r="G908" s="5" t="inlineStr">
        <is>
          <t>EffectiveHits</t>
        </is>
      </c>
      <c r="H908" s="5" t="inlineStr">
        <is>
          <t>ProcProbability</t>
        </is>
      </c>
      <c r="I908" s="5" t="inlineStr">
        <is>
          <t>MapleHeroMultiplier</t>
        </is>
      </c>
      <c r="J908" s="5" t="inlineStr">
        <is>
          <t>BaseDamage</t>
        </is>
      </c>
      <c r="K908" s="5" t="inlineStr">
        <is>
          <t>BaseHitDamage</t>
        </is>
      </c>
      <c r="L908" s="5" t="inlineStr">
        <is>
          <t>NonCritAvg</t>
        </is>
      </c>
      <c r="M908" s="5" t="inlineStr">
        <is>
          <t>CritAvg</t>
        </is>
      </c>
      <c r="N908" s="5" t="inlineStr">
        <is>
          <t>ExpectedDamage(perHit)</t>
        </is>
      </c>
      <c r="O908" s="5" t="inlineStr">
        <is>
          <t>DPS</t>
        </is>
      </c>
      <c r="P908" s="5" t="inlineStr">
        <is>
          <t>% of Total</t>
        </is>
      </c>
      <c r="Q908" s="5" t="inlineStr">
        <is>
          <t>InvCooldown</t>
        </is>
      </c>
      <c r="R908" s="5" t="inlineStr">
        <is>
          <t>CastsInFight</t>
        </is>
      </c>
      <c r="S908" s="5" t="inlineStr">
        <is>
          <t>HitRate(perSec)</t>
        </is>
      </c>
      <c r="U908" t="inlineStr">
        <is>
          <t>helpers</t>
        </is>
      </c>
    </row>
    <row r="909">
      <c r="A909">
        <f>Skills!A2</f>
        <v/>
      </c>
      <c r="B909">
        <f>Skills!B2</f>
        <v/>
      </c>
      <c r="C909">
        <f>Inputs!$B$3&gt;=100</f>
        <v/>
      </c>
      <c r="D909" t="inlineStr"/>
      <c r="E909" t="inlineStr"/>
      <c r="F909">
        <f>U911+Skills!O2</f>
        <v/>
      </c>
      <c r="G909">
        <f>Skills!G2*IF(Skills!H2&gt;0,Skills!I2/Skills!H2,1)</f>
        <v/>
      </c>
      <c r="H909">
        <f>1-(1-Skills!J2/100)^Skills!K2</f>
        <v/>
      </c>
      <c r="I909" t="inlineStr">
        <is>
          <t>1</t>
        </is>
      </c>
      <c r="J909">
        <f>((Inputs!$B$6*(1+Inputs!$B$7/100))+(((Inputs!$B$12*(1+Inputs!$B$13/100))-(Inputs!$B$12*(1+Inputs!$B$13/100)))+0.25*(Inputs!$B$14-Inputs!$B$14))*(1+Inputs!$B$7/100))*(F909/100)</f>
        <v/>
      </c>
      <c r="K909">
        <f>J909*(1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909)</f>
        <v/>
      </c>
      <c r="L909">
        <f>K909*(MIN(Inputs!$B$22+((C929=TRUE)*(F929-Calc!F22)),(Inputs!$B$23+0+(IF(ArtifactsInput!$M$15,CHOOSE(ArtifactsInput!$N$15+1,25,30,35,40,45,50)/100*(Inputs!$B$11-Inputs!$B$11),0))))/100+(Inputs!$B$23+0+(IF(ArtifactsInput!$M$15,CHOOSE(ArtifactsInput!$N$15+1,25,30,35,40,45,50)/100*(Inputs!$B$11-Inputs!$B$11),0)))/100)/2</f>
        <v/>
      </c>
      <c r="M909">
        <f>L909*(1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9">
        <f>L909*(1-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909*(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9">
        <f>(1-Summary!$B$11)*T909+Summary!$B$11*V909</f>
        <v/>
      </c>
      <c r="P909">
        <f>IF(B948=0,0,O909/B948)</f>
        <v/>
      </c>
      <c r="Q909" t="n">
        <v>0</v>
      </c>
      <c r="R909" t="n">
        <v>0</v>
      </c>
      <c r="S909">
        <f>IFERROR(O909/N909,0)</f>
        <v/>
      </c>
      <c r="T909">
        <f>IF(C909,(Skills!G2*N909*B942)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909*(1-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909*(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909*(1-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909*(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09">
        <f>MAX(0,(Inputs!$B$3-100)*3)+(Inputs!$B$28+1)+Inputs!$B$29</f>
        <v/>
      </c>
      <c r="V909">
        <f>IF(C909,(Skills!G2*N909*B942)*IF(Inputs!$B$38="pvp",1,(1+(Inputs!$B$21+Skills!Q2+(IF(ArtifactsInput!$M$33,CHOOSE(ArtifactsInput!$N$33+1,30,36,42,48,54,60),0))+(IF(AND(ArtifactsInput!$M$35,Inputs!$B$4&lt;&gt;"Chapter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0">
      <c r="A910">
        <f>Skills!A3</f>
        <v/>
      </c>
      <c r="B910">
        <f>Skills!B3</f>
        <v/>
      </c>
      <c r="C910">
        <f>Inputs!$B$3&gt;=35</f>
        <v/>
      </c>
      <c r="D910">
        <f>IF(Skills!C3=1,60+Inputs!$B$25+Inputs!$B$29,IF(Skills!C3=2,90+Inputs!$B$26+Inputs!$B$29,IF(Skills!C3=3,120+Inputs!$B$27+Inputs!$B$29,MAX(0,(Inputs!$B$3-100)*3)+(Inputs!$B$28+1)+Inputs!$B$29)))</f>
        <v/>
      </c>
      <c r="E910">
        <f>INDEX(FactorTable!$B$2:$Y$301, MATCH(ROUND(MIN(300,MAX(1,D910)),0), FactorTable!$A$2:$A$301,0), Skills!M3+1)</f>
        <v/>
      </c>
      <c r="F910">
        <f>IF(Skills!N3=TRUE,(Skills!L3/10)*(E910/1000),Skills!L3/10)+Skills!O3</f>
        <v/>
      </c>
      <c r="G910">
        <f>Skills!G3*IF(Skills!H3&gt;0,Skills!I3/Skills!H3,1)</f>
        <v/>
      </c>
      <c r="H910">
        <f>1-(1-Skills!J3/100)^Skills!K3</f>
        <v/>
      </c>
      <c r="I910" t="inlineStr">
        <is>
          <t>1</t>
        </is>
      </c>
      <c r="J910">
        <f>((Inputs!$B$6*(1+Inputs!$B$7/100))+(((Inputs!$B$12*(1+Inputs!$B$13/100))-(Inputs!$B$12*(1+Inputs!$B$13/100)))+0.25*(Inputs!$B$14-Inputs!$B$14))*(1+Inputs!$B$7/100))*(F910/100)</f>
        <v/>
      </c>
      <c r="K910">
        <f>J910*(1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922=TRUE,F922,0)/100)*(1+(IF(Skills!A3="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910)</f>
        <v/>
      </c>
      <c r="L910">
        <f>K910*(MIN(Inputs!$B$22+((C929=TRUE)*(F929-Calc!F22)),(Inputs!$B$23+0+(IF(ArtifactsInput!$M$15,CHOOSE(ArtifactsInput!$N$15+1,25,30,35,40,45,50)/100*(Inputs!$B$11-Inputs!$B$11),0))))/100+(Inputs!$B$23+0+(IF(ArtifactsInput!$M$15,CHOOSE(ArtifactsInput!$N$15+1,25,30,35,40,45,50)/100*(Inputs!$B$11-Inputs!$B$11),0)))/100)/2</f>
        <v/>
      </c>
      <c r="M910">
        <f>L910*(1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0">
        <f>L910*(1-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910*(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0">
        <f>(1-Summary!$B$11)*T910+Summary!$B$11*V910</f>
        <v/>
      </c>
      <c r="P910">
        <f>IF(B948=0,0,O910/B948)</f>
        <v/>
      </c>
      <c r="Q910">
        <f>IFERROR(1/(IF(Inputs!$B$38="pvp",15,MAX(0.1,Skills!D3-IF(Skills!E3=TRUE,Inputs!$B$32,0)))*(1-IF(AND(ArtifactsInput!$M$27,Inputs!$B$4="Chapter Hunt"),CHOOSE(ArtifactsInput!$N$27+1,20,24,28,32,36,40),0)/100)),0)</f>
        <v/>
      </c>
      <c r="R910">
        <f>IF(AND(Inputs!$B$38&lt;&gt;"pvp",Inputs!$B$43&gt;0),IF(MAX(0,Inputs!$B$43-B945)&lt;=0,0,(INT(MAX(0,Inputs!$B$43-B945)/(IF(Inputs!$B$38="pvp",15,MAX(0.1,Skills!D3-IF(Skills!E3=TRUE,Inputs!$B$32,0)))*(1-IF(AND(ArtifactsInput!$M$27,Inputs!$B$4="Chapter Hunt"),CHOOSE(ArtifactsInput!$N$27+1,20,24,28,32,36,40),0)/100)))+1)),0)</f>
        <v/>
      </c>
      <c r="S910">
        <f>IFERROR(O910/N910,0)</f>
        <v/>
      </c>
      <c r="T910">
        <f>IF(C910,(H910*N910*IF(AND(Inputs!$B$38&lt;&gt;"pvp",Inputs!$B$43&gt;0),((Skills!G3*((R910-1)*IF(Skills!H3&gt;0,Skills!I3/Skills!H3,1)+IF(Skills!H3&gt;0,MIN(Skills!I3,MAX(0,MAX(0,Inputs!$B$43-B945)-((R910-1)*(IF(Inputs!$B$38="pvp",15,MAX(0.1,Skills!D3-IF(Skills!E3=TRUE,Inputs!$B$32,0)))*(1-IF(AND(ArtifactsInput!$M$27,Inputs!$B$4="Chapter Hunt"),CHOOSE(ArtifactsInput!$N$27+1,20,24,28,32,36,40),0)/100)))))/Skills!H3,1)))/Inputs!$B$43),G910*Q910)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910*(1-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910*(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910*(1-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910*(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0">
        <f>INDEX(FactorTable!$B$2:$Y$301, MATCH(ROUND(MIN(300,MAX(1,U909)),0), FactorTable!$A$2:$A$301,0), 22)</f>
        <v/>
      </c>
      <c r="V910">
        <f>IF(C910,(H910*N910*IF(AND(Inputs!$B$38&lt;&gt;"pvp",Inputs!$B$43&gt;0),((Skills!G3*((R910-1)*IF(Skills!H3&gt;0,Skills!I3/Skills!H3,1)+IF(Skills!H3&gt;0,MIN(Skills!I3,MAX(0,MAX(0,Inputs!$B$43-B945)-((R910-1)*(IF(Inputs!$B$38="pvp",15,MAX(0.1,Skills!D3-IF(Skills!E3=TRUE,Inputs!$B$32,0)))*(1-IF(AND(ArtifactsInput!$M$27,Inputs!$B$4="Chapter Hunt"),CHOOSE(ArtifactsInput!$N$27+1,20,24,28,32,36,40),0)/100)))))/Skills!H3,1)))/Inputs!$B$43),G910*Q910))*IF(Inputs!$B$38="pvp",1,(1+(Inputs!$B$21+Skills!Q3+(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1">
      <c r="A911">
        <f>Skills!A4</f>
        <v/>
      </c>
      <c r="B911">
        <f>Skills!B4</f>
        <v/>
      </c>
      <c r="C911">
        <f>Inputs!$B$3&gt;=40</f>
        <v/>
      </c>
      <c r="D911">
        <f>IF(Skills!C4=1,60+Inputs!$B$25+Inputs!$B$29,IF(Skills!C4=2,90+Inputs!$B$26+Inputs!$B$29,IF(Skills!C4=3,120+Inputs!$B$27+Inputs!$B$29,MAX(0,(Inputs!$B$3-100)*3)+(Inputs!$B$28+1)+Inputs!$B$29)))</f>
        <v/>
      </c>
      <c r="E911">
        <f>INDEX(FactorTable!$B$2:$Y$301, MATCH(ROUND(MIN(300,MAX(1,D911)),0), FactorTable!$A$2:$A$301,0), Skills!M4+1)</f>
        <v/>
      </c>
      <c r="F911">
        <f>IF(Skills!N4=TRUE,(Skills!L4/10)*(E911/1000),Skills!L4/10)+Skills!O4</f>
        <v/>
      </c>
      <c r="G911">
        <f>Skills!G4*IF(Skills!H4&gt;0,Skills!I4/Skills!H4,1)</f>
        <v/>
      </c>
      <c r="H911">
        <f>1-(1-Skills!J4/100)^Skills!K4</f>
        <v/>
      </c>
      <c r="I911" t="inlineStr">
        <is>
          <t>1</t>
        </is>
      </c>
      <c r="J911">
        <f>((Inputs!$B$6*(1+Inputs!$B$7/100))+(((Inputs!$B$12*(1+Inputs!$B$13/100))-(Inputs!$B$12*(1+Inputs!$B$13/100)))+0.25*(Inputs!$B$14-Inputs!$B$14))*(1+Inputs!$B$7/100))*(F911/100)</f>
        <v/>
      </c>
      <c r="K911">
        <f>J911*(1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923=TRUE,F923,0)/100)*(1+(IF(Skills!A4="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911)</f>
        <v/>
      </c>
      <c r="L911">
        <f>K911*(MIN(Inputs!$B$22+((C929=TRUE)*(F929-Calc!F22)),(Inputs!$B$23+0+(IF(ArtifactsInput!$M$15,CHOOSE(ArtifactsInput!$N$15+1,25,30,35,40,45,50)/100*(Inputs!$B$11-Inputs!$B$11),0))))/100+(Inputs!$B$23+0+(IF(ArtifactsInput!$M$15,CHOOSE(ArtifactsInput!$N$15+1,25,30,35,40,45,50)/100*(Inputs!$B$11-Inputs!$B$11),0)))/100)/2</f>
        <v/>
      </c>
      <c r="M911">
        <f>L911*(1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1">
        <f>L911*(1-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1">
        <f>(1-Summary!$B$11)*T911+Summary!$B$11*V911</f>
        <v/>
      </c>
      <c r="P911">
        <f>IF(B948=0,0,O911/B948)</f>
        <v/>
      </c>
      <c r="Q911">
        <f>IFERROR(1/(IF(Inputs!$B$38="pvp",15,MAX(0.1,Skills!D4-IF(Skills!E4=TRUE,Inputs!$B$32,0)))*(1-IF(AND(ArtifactsInput!$M$27,Inputs!$B$4="Chapter Hunt"),CHOOSE(ArtifactsInput!$N$27+1,20,24,28,32,36,40),0)/100)),0)</f>
        <v/>
      </c>
      <c r="R911">
        <f>IF(AND(Inputs!$B$38&lt;&gt;"pvp",Inputs!$B$43&gt;0),IF(MAX(0,Inputs!$B$43-B945)&lt;=0,0,(INT(MAX(0,Inputs!$B$43-B945)/(IF(Inputs!$B$38="pvp",15,MAX(0.1,Skills!D4-IF(Skills!E4=TRUE,Inputs!$B$32,0)))*(1-IF(AND(ArtifactsInput!$M$27,Inputs!$B$4="Chapter Hunt"),CHOOSE(ArtifactsInput!$N$27+1,20,24,28,32,36,40),0)/100)))+1)),0)</f>
        <v/>
      </c>
      <c r="S911">
        <f>IFERROR(O911/N911,0)</f>
        <v/>
      </c>
      <c r="T911">
        <f>IF(C911,(H911*N911*IF(AND(Inputs!$B$38&lt;&gt;"pvp",Inputs!$B$43&gt;0),((Skills!G4*((R911-1)*IF(Skills!H4&gt;0,Skills!I4/Skills!H4,1)+IF(Skills!H4&gt;0,MIN(Skills!I4,MAX(0,MAX(0,Inputs!$B$43-B945)-((R911-1)*(IF(Inputs!$B$38="pvp",15,MAX(0.1,Skills!D4-IF(Skills!E4=TRUE,Inputs!$B$32,0)))*(1-IF(AND(ArtifactsInput!$M$27,Inputs!$B$4="Chapter Hunt"),CHOOSE(ArtifactsInput!$N$27+1,20,24,28,32,36,40),0)/100)))))/Skills!H4,1)))/Inputs!$B$43),G911*Q911)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911*(1-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911*(1-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1">
        <f>290*U910/1000</f>
        <v/>
      </c>
      <c r="V911">
        <f>IF(C911,(H911*N911*IF(AND(Inputs!$B$38&lt;&gt;"pvp",Inputs!$B$43&gt;0),((Skills!G4*((R911-1)*IF(Skills!H4&gt;0,Skills!I4/Skills!H4,1)+IF(Skills!H4&gt;0,MIN(Skills!I4,MAX(0,MAX(0,Inputs!$B$43-B945)-((R911-1)*(IF(Inputs!$B$38="pvp",15,MAX(0.1,Skills!D4-IF(Skills!E4=TRUE,Inputs!$B$32,0)))*(1-IF(AND(ArtifactsInput!$M$27,Inputs!$B$4="Chapter Hunt"),CHOOSE(ArtifactsInput!$N$27+1,20,24,28,32,36,40),0)/100)))))/Skills!H4,1)))/Inputs!$B$43),G911*Q911))*IF(Inputs!$B$38="pvp",1,(1+(Inputs!$B$21+Skills!Q4+(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2">
      <c r="A912">
        <f>Skills!A5</f>
        <v/>
      </c>
      <c r="B912">
        <f>Skills!B5</f>
        <v/>
      </c>
      <c r="C912">
        <f>Inputs!$B$3&gt;=45</f>
        <v/>
      </c>
      <c r="D912">
        <f>IF(Skills!C5=1,60+Inputs!$B$25+Inputs!$B$29,IF(Skills!C5=2,90+Inputs!$B$26+Inputs!$B$29,IF(Skills!C5=3,120+Inputs!$B$27+Inputs!$B$29,MAX(0,(Inputs!$B$3-100)*3)+(Inputs!$B$28+1)+Inputs!$B$29)))</f>
        <v/>
      </c>
      <c r="E912">
        <f>INDEX(FactorTable!$B$2:$Y$301, MATCH(ROUND(MIN(300,MAX(1,D912)),0), FactorTable!$A$2:$A$301,0), Skills!M5+1)</f>
        <v/>
      </c>
      <c r="F912">
        <f>IF(Skills!N5=TRUE,(Skills!L5/10)*(E912/1000),Skills!L5/10)+Skills!O5</f>
        <v/>
      </c>
      <c r="G912">
        <f>Skills!G5*IF(Skills!H5&gt;0,Skills!I5/Skills!H5,1)</f>
        <v/>
      </c>
      <c r="H912">
        <f>1-(1-Skills!J5/100)^Skills!K5</f>
        <v/>
      </c>
      <c r="I912" t="inlineStr">
        <is>
          <t>1</t>
        </is>
      </c>
      <c r="J912">
        <f>((Inputs!$B$6*(1+Inputs!$B$7/100))+(((Inputs!$B$12*(1+Inputs!$B$13/100))-(Inputs!$B$12*(1+Inputs!$B$13/100)))+0.25*(Inputs!$B$14-Inputs!$B$14))*(1+Inputs!$B$7/100))*(F912/100)</f>
        <v/>
      </c>
      <c r="K912">
        <f>J912*(1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923=TRUE,F923,0)/100)*(1+(IF(Skills!A5="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912)</f>
        <v/>
      </c>
      <c r="L912">
        <f>K912*(MIN(Inputs!$B$22+((C929=TRUE)*(F929-Calc!F22)),(Inputs!$B$23+0+(IF(ArtifactsInput!$M$15,CHOOSE(ArtifactsInput!$N$15+1,25,30,35,40,45,50)/100*(Inputs!$B$11-Inputs!$B$11),0))))/100+(Inputs!$B$23+0+(IF(ArtifactsInput!$M$15,CHOOSE(ArtifactsInput!$N$15+1,25,30,35,40,45,50)/100*(Inputs!$B$11-Inputs!$B$11),0)))/100)/2</f>
        <v/>
      </c>
      <c r="M912">
        <f>L912*(1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2">
        <f>L912*(1-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912*(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2">
        <f>(1-Summary!$B$11)*T912+Summary!$B$11*V912</f>
        <v/>
      </c>
      <c r="P912">
        <f>IF(B948=0,0,O912/B948)</f>
        <v/>
      </c>
      <c r="Q912">
        <f>IFERROR(1/(IF(Inputs!$B$38="pvp",15,MAX(0.1,Skills!D5-IF(Skills!E5=TRUE,Inputs!$B$32,0)))*(1-IF(AND(ArtifactsInput!$M$27,Inputs!$B$4="Chapter Hunt"),CHOOSE(ArtifactsInput!$N$27+1,20,24,28,32,36,40),0)/100)),0)</f>
        <v/>
      </c>
      <c r="R912">
        <f>IF(AND(Inputs!$B$38&lt;&gt;"pvp",Inputs!$B$43&gt;0),IF(MAX(0,Inputs!$B$43-B945)&lt;=0,0,(INT(MAX(0,Inputs!$B$43-B945)/(IF(Inputs!$B$38="pvp",15,MAX(0.1,Skills!D5-IF(Skills!E5=TRUE,Inputs!$B$32,0)))*(1-IF(AND(ArtifactsInput!$M$27,Inputs!$B$4="Chapter Hunt"),CHOOSE(ArtifactsInput!$N$27+1,20,24,28,32,36,40),0)/100)))+1)),0)</f>
        <v/>
      </c>
      <c r="S912">
        <f>IFERROR(O912/N912,0)</f>
        <v/>
      </c>
      <c r="T912">
        <f>IF(C912,(H912*N912*IF(AND(Inputs!$B$38&lt;&gt;"pvp",Inputs!$B$43&gt;0),((Skills!G5*((R912-1)*IF(Skills!H5&gt;0,Skills!I5/Skills!H5,1)+IF(Skills!H5&gt;0,MIN(Skills!I5,MAX(0,MAX(0,Inputs!$B$43-B945)-((R912-1)*(IF(Inputs!$B$38="pvp",15,MAX(0.1,Skills!D5-IF(Skills!E5=TRUE,Inputs!$B$32,0)))*(1-IF(AND(ArtifactsInput!$M$27,Inputs!$B$4="Chapter Hunt"),CHOOSE(ArtifactsInput!$N$27+1,20,24,28,32,36,40),0)/100)))))/Skills!H5,1)))/Inputs!$B$43),G912*Q912)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912*(1-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912*(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912*(1-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912*(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2">
        <f>IF(C912,(H912*N912*IF(AND(Inputs!$B$38&lt;&gt;"pvp",Inputs!$B$43&gt;0),((Skills!G5*((R912-1)*IF(Skills!H5&gt;0,Skills!I5/Skills!H5,1)+IF(Skills!H5&gt;0,MIN(Skills!I5,MAX(0,MAX(0,Inputs!$B$43-B945)-((R912-1)*(IF(Inputs!$B$38="pvp",15,MAX(0.1,Skills!D5-IF(Skills!E5=TRUE,Inputs!$B$32,0)))*(1-IF(AND(ArtifactsInput!$M$27,Inputs!$B$4="Chapter Hunt"),CHOOSE(ArtifactsInput!$N$27+1,20,24,28,32,36,40),0)/100)))))/Skills!H5,1)))/Inputs!$B$43),G912*Q912))*IF(Inputs!$B$38="pvp",1,(1+(Inputs!$B$21+Skills!Q5+(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3">
      <c r="A913">
        <f>Skills!A6</f>
        <v/>
      </c>
      <c r="B913">
        <f>Skills!B6</f>
        <v/>
      </c>
      <c r="C913">
        <f>Inputs!$B$3&gt;=63</f>
        <v/>
      </c>
      <c r="D913">
        <f>IF(Skills!C6=1,60+Inputs!$B$25+Inputs!$B$29,IF(Skills!C6=2,90+Inputs!$B$26+Inputs!$B$29,IF(Skills!C6=3,120+Inputs!$B$27+Inputs!$B$29,MAX(0,(Inputs!$B$3-100)*3)+(Inputs!$B$28+1)+Inputs!$B$29)))</f>
        <v/>
      </c>
      <c r="E913">
        <f>INDEX(FactorTable!$B$2:$Y$301, MATCH(ROUND(MIN(300,MAX(1,D913)),0), FactorTable!$A$2:$A$301,0), Skills!M6+1)</f>
        <v/>
      </c>
      <c r="F913">
        <f>IF(Skills!N6=TRUE,(Skills!L6/10)*(E913/1000),Skills!L6/10)+Skills!O6</f>
        <v/>
      </c>
      <c r="G913">
        <f>Skills!G6*IF(Skills!H6&gt;0,Skills!I6/Skills!H6,1)</f>
        <v/>
      </c>
      <c r="H913">
        <f>1-(1-Skills!J6/100)^Skills!K6</f>
        <v/>
      </c>
      <c r="I913" t="inlineStr">
        <is>
          <t>1</t>
        </is>
      </c>
      <c r="J913">
        <f>((Inputs!$B$6*(1+Inputs!$B$7/100))+(((Inputs!$B$12*(1+Inputs!$B$13/100))-(Inputs!$B$12*(1+Inputs!$B$13/100)))+0.25*(Inputs!$B$14-Inputs!$B$14))*(1+Inputs!$B$7/100))*(F913/100)</f>
        <v/>
      </c>
      <c r="K913">
        <f>J913*(1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922=TRUE,F922,0)/100)*(1+(IF(Skills!A6="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913)</f>
        <v/>
      </c>
      <c r="L913">
        <f>K913*(MIN(Inputs!$B$22+((C929=TRUE)*(F929-Calc!F22)),(Inputs!$B$23+0+(IF(ArtifactsInput!$M$15,CHOOSE(ArtifactsInput!$N$15+1,25,30,35,40,45,50)/100*(Inputs!$B$11-Inputs!$B$11),0))))/100+(Inputs!$B$23+0+(IF(ArtifactsInput!$M$15,CHOOSE(ArtifactsInput!$N$15+1,25,30,35,40,45,50)/100*(Inputs!$B$11-Inputs!$B$11),0)))/100)/2</f>
        <v/>
      </c>
      <c r="M913">
        <f>L913*(1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3">
        <f>L913*(1-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913*(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3">
        <f>(1-Summary!$B$11)*T913+Summary!$B$11*V913</f>
        <v/>
      </c>
      <c r="P913">
        <f>IF(B948=0,0,O913/B948)</f>
        <v/>
      </c>
      <c r="Q913">
        <f>IFERROR(1/(IF(Inputs!$B$38="pvp",15,MAX(0.1,Skills!D6-IF(Skills!E6=TRUE,Inputs!$B$32,0)))*(1-IF(AND(ArtifactsInput!$M$27,Inputs!$B$4="Chapter Hunt"),CHOOSE(ArtifactsInput!$N$27+1,20,24,28,32,36,40),0)/100)),0)</f>
        <v/>
      </c>
      <c r="R913">
        <f>IF(AND(Inputs!$B$38&lt;&gt;"pvp",Inputs!$B$43&gt;0),IF(MAX(0,Inputs!$B$43-B945)&lt;=0,0,(INT(MAX(0,Inputs!$B$43-B945)/(IF(Inputs!$B$38="pvp",15,MAX(0.1,Skills!D6-IF(Skills!E6=TRUE,Inputs!$B$32,0)))*(1-IF(AND(ArtifactsInput!$M$27,Inputs!$B$4="Chapter Hunt"),CHOOSE(ArtifactsInput!$N$27+1,20,24,28,32,36,40),0)/100)))+1)),0)</f>
        <v/>
      </c>
      <c r="S913">
        <f>IFERROR(O913/N913,0)</f>
        <v/>
      </c>
      <c r="T913">
        <f>IF(C913,(H913*N913*IF(AND(Inputs!$B$38&lt;&gt;"pvp",Inputs!$B$43&gt;0),((Skills!G6*((R913-1)*IF(Skills!H6&gt;0,Skills!I6/Skills!H6,1)+IF(Skills!H6&gt;0,MIN(Skills!I6,MAX(0,MAX(0,Inputs!$B$43-B945)-((R913-1)*(IF(Inputs!$B$38="pvp",15,MAX(0.1,Skills!D6-IF(Skills!E6=TRUE,Inputs!$B$32,0)))*(1-IF(AND(ArtifactsInput!$M$27,Inputs!$B$4="Chapter Hunt"),CHOOSE(ArtifactsInput!$N$27+1,20,24,28,32,36,40),0)/100)))))/Skills!H6,1)))/Inputs!$B$43),G913*Q913)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913*(1-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913*(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913*(1-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913*(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3">
        <f>IF(C913,(H913*N913*IF(AND(Inputs!$B$38&lt;&gt;"pvp",Inputs!$B$43&gt;0),((Skills!G6*((R913-1)*IF(Skills!H6&gt;0,Skills!I6/Skills!H6,1)+IF(Skills!H6&gt;0,MIN(Skills!I6,MAX(0,MAX(0,Inputs!$B$43-B945)-((R913-1)*(IF(Inputs!$B$38="pvp",15,MAX(0.1,Skills!D6-IF(Skills!E6=TRUE,Inputs!$B$32,0)))*(1-IF(AND(ArtifactsInput!$M$27,Inputs!$B$4="Chapter Hunt"),CHOOSE(ArtifactsInput!$N$27+1,20,24,28,32,36,40),0)/100)))))/Skills!H6,1)))/Inputs!$B$43),G913*Q913))*IF(Inputs!$B$38="pvp",1,(1+(Inputs!$B$21+Skills!Q6+(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4">
      <c r="A914">
        <f>Skills!A7</f>
        <v/>
      </c>
      <c r="B914">
        <f>Skills!B7</f>
        <v/>
      </c>
      <c r="C914">
        <f>Inputs!$B$3&gt;=66</f>
        <v/>
      </c>
      <c r="D914">
        <f>IF(Skills!C7=1,60+Inputs!$B$25+Inputs!$B$29,IF(Skills!C7=2,90+Inputs!$B$26+Inputs!$B$29,IF(Skills!C7=3,120+Inputs!$B$27+Inputs!$B$29,MAX(0,(Inputs!$B$3-100)*3)+(Inputs!$B$28+1)+Inputs!$B$29)))</f>
        <v/>
      </c>
      <c r="E914">
        <f>INDEX(FactorTable!$B$2:$Y$301, MATCH(ROUND(MIN(300,MAX(1,D914)),0), FactorTable!$A$2:$A$301,0), Skills!M7+1)</f>
        <v/>
      </c>
      <c r="F914">
        <f>IF(Skills!N7=TRUE,(Skills!L7/10)*(E914/1000),Skills!L7/10)+Skills!O7</f>
        <v/>
      </c>
      <c r="G914">
        <f>Skills!G7*IF(Skills!H7&gt;0,Skills!I7/Skills!H7,1)</f>
        <v/>
      </c>
      <c r="H914">
        <f>1-(1-Skills!J7/100)^Skills!K7</f>
        <v/>
      </c>
      <c r="I914" t="inlineStr">
        <is>
          <t>1</t>
        </is>
      </c>
      <c r="J914">
        <f>((Inputs!$B$6*(1+Inputs!$B$7/100))+(((Inputs!$B$12*(1+Inputs!$B$13/100))-(Inputs!$B$12*(1+Inputs!$B$13/100)))+0.25*(Inputs!$B$14-Inputs!$B$14))*(1+Inputs!$B$7/100))*(F914/100)</f>
        <v/>
      </c>
      <c r="K914">
        <f>J914*(1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922=TRUE,F922,0)/100)*(1+(IF(Skills!A7="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914)</f>
        <v/>
      </c>
      <c r="L914">
        <f>K914*(MIN(Inputs!$B$22+((C929=TRUE)*(F929-Calc!F22)),(Inputs!$B$23+0+(IF(ArtifactsInput!$M$15,CHOOSE(ArtifactsInput!$N$15+1,25,30,35,40,45,50)/100*(Inputs!$B$11-Inputs!$B$11),0))))/100+(Inputs!$B$23+0+(IF(ArtifactsInput!$M$15,CHOOSE(ArtifactsInput!$N$15+1,25,30,35,40,45,50)/100*(Inputs!$B$11-Inputs!$B$11),0)))/100)/2</f>
        <v/>
      </c>
      <c r="M914">
        <f>L914*(1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4">
        <f>L914*(1-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914*(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4">
        <f>(1-Summary!$B$11)*T914+Summary!$B$11*V914</f>
        <v/>
      </c>
      <c r="P914">
        <f>IF(B948=0,0,O914/B948)</f>
        <v/>
      </c>
      <c r="Q914">
        <f>IFERROR(1/(IF(Inputs!$B$38="pvp",15,MAX(0.1,Skills!D7-IF(Skills!E7=TRUE,Inputs!$B$32,0)))*(1-IF(AND(ArtifactsInput!$M$27,Inputs!$B$4="Chapter Hunt"),CHOOSE(ArtifactsInput!$N$27+1,20,24,28,32,36,40),0)/100)),0)</f>
        <v/>
      </c>
      <c r="R914">
        <f>IF(AND(Inputs!$B$38&lt;&gt;"pvp",Inputs!$B$43&gt;0),IF(MAX(0,Inputs!$B$43-B945)&lt;=0,0,(INT(MAX(0,Inputs!$B$43-B945)/(IF(Inputs!$B$38="pvp",15,MAX(0.1,Skills!D7-IF(Skills!E7=TRUE,Inputs!$B$32,0)))*(1-IF(AND(ArtifactsInput!$M$27,Inputs!$B$4="Chapter Hunt"),CHOOSE(ArtifactsInput!$N$27+1,20,24,28,32,36,40),0)/100)))+1)),0)</f>
        <v/>
      </c>
      <c r="S914">
        <f>IFERROR(O914/N914,0)</f>
        <v/>
      </c>
      <c r="T914">
        <f>IF(C914,(H914*N914*IF(AND(Inputs!$B$38&lt;&gt;"pvp",Inputs!$B$43&gt;0),((Skills!G7*((R914-1)*IF(Skills!H7&gt;0,Skills!I7/Skills!H7,1)+IF(Skills!H7&gt;0,MIN(Skills!I7,MAX(0,MAX(0,Inputs!$B$43-B945)-((R914-1)*(IF(Inputs!$B$38="pvp",15,MAX(0.1,Skills!D7-IF(Skills!E7=TRUE,Inputs!$B$32,0)))*(1-IF(AND(ArtifactsInput!$M$27,Inputs!$B$4="Chapter Hunt"),CHOOSE(ArtifactsInput!$N$27+1,20,24,28,32,36,40),0)/100)))))/Skills!H7,1)))/Inputs!$B$43),G914*Q914)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914*(1-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914*(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914*(1-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914*(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4">
        <f>IF(C914,(H914*N914*IF(AND(Inputs!$B$38&lt;&gt;"pvp",Inputs!$B$43&gt;0),((Skills!G7*((R914-1)*IF(Skills!H7&gt;0,Skills!I7/Skills!H7,1)+IF(Skills!H7&gt;0,MIN(Skills!I7,MAX(0,MAX(0,Inputs!$B$43-B945)-((R914-1)*(IF(Inputs!$B$38="pvp",15,MAX(0.1,Skills!D7-IF(Skills!E7=TRUE,Inputs!$B$32,0)))*(1-IF(AND(ArtifactsInput!$M$27,Inputs!$B$4="Chapter Hunt"),CHOOSE(ArtifactsInput!$N$27+1,20,24,28,32,36,40),0)/100)))))/Skills!H7,1)))/Inputs!$B$43),G914*Q914))*IF(Inputs!$B$38="pvp",1,(1+(Inputs!$B$21+Skills!Q7+(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5">
      <c r="A915">
        <f>Skills!A8</f>
        <v/>
      </c>
      <c r="B915">
        <f>Skills!B8</f>
        <v/>
      </c>
      <c r="C915">
        <f>Inputs!$B$3&gt;=100</f>
        <v/>
      </c>
      <c r="D915">
        <f>IF(Skills!C8=1,60+Inputs!$B$25+Inputs!$B$29,IF(Skills!C8=2,90+Inputs!$B$26+Inputs!$B$29,IF(Skills!C8=3,120+Inputs!$B$27+Inputs!$B$29,MAX(0,(Inputs!$B$3-100)*3)+(Inputs!$B$28+1)+Inputs!$B$29)))</f>
        <v/>
      </c>
      <c r="E915">
        <f>INDEX(FactorTable!$B$2:$Y$301, MATCH(ROUND(MIN(300,MAX(1,D915)),0), FactorTable!$A$2:$A$301,0), Skills!M8+1)</f>
        <v/>
      </c>
      <c r="F915">
        <f>IF(Skills!N8=TRUE,(Skills!L8/10)*(E915/1000),Skills!L8/10)+Skills!O8</f>
        <v/>
      </c>
      <c r="G915">
        <f>Skills!G8*IF(Skills!H8&gt;0,Skills!I8/Skills!H8,1)</f>
        <v/>
      </c>
      <c r="H915">
        <f>1-(1-Skills!J8/100)^Skills!K8</f>
        <v/>
      </c>
      <c r="I915" t="inlineStr">
        <is>
          <t>1</t>
        </is>
      </c>
      <c r="J915">
        <f>((Inputs!$B$6*(1+Inputs!$B$7/100))+(((Inputs!$B$12*(1+Inputs!$B$13/100))-(Inputs!$B$12*(1+Inputs!$B$13/100)))+0.25*(Inputs!$B$14-Inputs!$B$14))*(1+Inputs!$B$7/100))*(F915/100)</f>
        <v/>
      </c>
      <c r="K915">
        <f>J915*(1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915)</f>
        <v/>
      </c>
      <c r="L915">
        <f>K915*(MIN(Inputs!$B$22+((C929=TRUE)*(F929-Calc!F22)),(Inputs!$B$23+0+(IF(ArtifactsInput!$M$15,CHOOSE(ArtifactsInput!$N$15+1,25,30,35,40,45,50)/100*(Inputs!$B$11-Inputs!$B$11),0))))/100+(Inputs!$B$23+0+(IF(ArtifactsInput!$M$15,CHOOSE(ArtifactsInput!$N$15+1,25,30,35,40,45,50)/100*(Inputs!$B$11-Inputs!$B$11),0)))/100)/2</f>
        <v/>
      </c>
      <c r="M915">
        <f>L915*(1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5">
        <f>L915*(1-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915*(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5">
        <f>(1-Summary!$B$11)*T915+Summary!$B$11*V915</f>
        <v/>
      </c>
      <c r="P915">
        <f>IF(B948=0,0,O915/B948)</f>
        <v/>
      </c>
      <c r="Q915">
        <f>IFERROR(1/(IF(Inputs!$B$38="pvp",15,MAX(0.1,Skills!D8-IF(Skills!E8=TRUE,Inputs!$B$32,0)))*(1-IF(AND(ArtifactsInput!$M$27,Inputs!$B$4="Chapter Hunt"),CHOOSE(ArtifactsInput!$N$27+1,20,24,28,32,36,40),0)/100)),0)</f>
        <v/>
      </c>
      <c r="R915">
        <f>IF(AND(Inputs!$B$38&lt;&gt;"pvp",Inputs!$B$43&gt;0),IF(MAX(0,Inputs!$B$43-B945)&lt;=0,0,(INT(MAX(0,Inputs!$B$43-B945)/(IF(Inputs!$B$38="pvp",15,MAX(0.1,Skills!D8-IF(Skills!E8=TRUE,Inputs!$B$32,0)))*(1-IF(AND(ArtifactsInput!$M$27,Inputs!$B$4="Chapter Hunt"),CHOOSE(ArtifactsInput!$N$27+1,20,24,28,32,36,40),0)/100)))+1)),0)</f>
        <v/>
      </c>
      <c r="S915">
        <f>IFERROR(O915/N915,0)</f>
        <v/>
      </c>
      <c r="T915">
        <f>IF(C915,(H915*N915*IF(AND(Inputs!$B$38&lt;&gt;"pvp",Inputs!$B$43&gt;0),((Skills!G8*((R915-1)*IF(Skills!H8&gt;0,Skills!I8/Skills!H8,1)+IF(Skills!H8&gt;0,MIN(Skills!I8,MAX(0,MAX(0,Inputs!$B$43-B945)-((R915-1)*(IF(Inputs!$B$38="pvp",15,MAX(0.1,Skills!D8-IF(Skills!E8=TRUE,Inputs!$B$32,0)))*(1-IF(AND(ArtifactsInput!$M$27,Inputs!$B$4="Chapter Hunt"),CHOOSE(ArtifactsInput!$N$27+1,20,24,28,32,36,40),0)/100)))))/Skills!H8,1)))/Inputs!$B$43),G915*Q915)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915*(1-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915*(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915*(1-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915*(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5">
        <f>IF(C915,(H915*N915*IF(AND(Inputs!$B$38&lt;&gt;"pvp",Inputs!$B$43&gt;0),((Skills!G8*((R915-1)*IF(Skills!H8&gt;0,Skills!I8/Skills!H8,1)+IF(Skills!H8&gt;0,MIN(Skills!I8,MAX(0,MAX(0,Inputs!$B$43-B945)-((R915-1)*(IF(Inputs!$B$38="pvp",15,MAX(0.1,Skills!D8-IF(Skills!E8=TRUE,Inputs!$B$32,0)))*(1-IF(AND(ArtifactsInput!$M$27,Inputs!$B$4="Chapter Hunt"),CHOOSE(ArtifactsInput!$N$27+1,20,24,28,32,36,40),0)/100)))))/Skills!H8,1)))/Inputs!$B$43),G915*Q915))*IF(Inputs!$B$38="pvp",1,(1+(Inputs!$B$21+Skills!Q8+(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6">
      <c r="A916">
        <f>Skills!A9</f>
        <v/>
      </c>
      <c r="B916">
        <f>Skills!B9</f>
        <v/>
      </c>
      <c r="C916">
        <f>Inputs!$B$3&gt;=103</f>
        <v/>
      </c>
      <c r="D916">
        <f>IF(Skills!C9=1,60+Inputs!$B$25+Inputs!$B$29,IF(Skills!C9=2,90+Inputs!$B$26+Inputs!$B$29,IF(Skills!C9=3,120+Inputs!$B$27+Inputs!$B$29,MAX(0,(Inputs!$B$3-100)*3)+(Inputs!$B$28+1)+Inputs!$B$29)))</f>
        <v/>
      </c>
      <c r="E916">
        <f>INDEX(FactorTable!$B$2:$Y$301, MATCH(ROUND(MIN(300,MAX(1,D916)),0), FactorTable!$A$2:$A$301,0), Skills!M9+1)</f>
        <v/>
      </c>
      <c r="F916">
        <f>IF(Skills!N9=TRUE,(Skills!L9/10)*(E916/1000),Skills!L9/10)+Skills!O9</f>
        <v/>
      </c>
      <c r="G916">
        <f>Skills!G9*IF(Skills!H9&gt;0,Skills!I9/Skills!H9,1)</f>
        <v/>
      </c>
      <c r="H916">
        <f>1-(1-Skills!J9/100)^Skills!K9</f>
        <v/>
      </c>
      <c r="I916" t="inlineStr">
        <is>
          <t>1</t>
        </is>
      </c>
      <c r="J916">
        <f>((Inputs!$B$6*(1+Inputs!$B$7/100))+(((Inputs!$B$12*(1+Inputs!$B$13/100))-(Inputs!$B$12*(1+Inputs!$B$13/100)))+0.25*(Inputs!$B$14-Inputs!$B$14))*(1+Inputs!$B$7/100))*(F916/100)</f>
        <v/>
      </c>
      <c r="K916">
        <f>J916*(1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916)</f>
        <v/>
      </c>
      <c r="L916">
        <f>K916*(MIN(Inputs!$B$22+((C929=TRUE)*(F929-Calc!F22)),(Inputs!$B$23+0+(IF(ArtifactsInput!$M$15,CHOOSE(ArtifactsInput!$N$15+1,25,30,35,40,45,50)/100*(Inputs!$B$11-Inputs!$B$11),0))))/100+(Inputs!$B$23+0+(IF(ArtifactsInput!$M$15,CHOOSE(ArtifactsInput!$N$15+1,25,30,35,40,45,50)/100*(Inputs!$B$11-Inputs!$B$11),0)))/100)/2</f>
        <v/>
      </c>
      <c r="M916">
        <f>L916*(1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6">
        <f>L916*(1-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916*(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6">
        <f>(1-Summary!$B$11)*T916+Summary!$B$11*V916</f>
        <v/>
      </c>
      <c r="P916">
        <f>IF(B948=0,0,O916/B948)</f>
        <v/>
      </c>
      <c r="Q916">
        <f>IFERROR(1/(IF(Inputs!$B$38="pvp",15,MAX(0.1,Skills!D9-IF(Skills!E9=TRUE,Inputs!$B$32,0)))*(1-IF(AND(ArtifactsInput!$M$27,Inputs!$B$4="Chapter Hunt"),CHOOSE(ArtifactsInput!$N$27+1,20,24,28,32,36,40),0)/100)),0)</f>
        <v/>
      </c>
      <c r="R916">
        <f>IF(AND(Inputs!$B$38&lt;&gt;"pvp",Inputs!$B$43&gt;0),IF(MAX(0,Inputs!$B$43-B945)&lt;=0,0,(INT(MAX(0,Inputs!$B$43-B945)/(IF(Inputs!$B$38="pvp",15,MAX(0.1,Skills!D9-IF(Skills!E9=TRUE,Inputs!$B$32,0)))*(1-IF(AND(ArtifactsInput!$M$27,Inputs!$B$4="Chapter Hunt"),CHOOSE(ArtifactsInput!$N$27+1,20,24,28,32,36,40),0)/100)))+1)),0)</f>
        <v/>
      </c>
      <c r="S916">
        <f>IFERROR(O916/N916,0)</f>
        <v/>
      </c>
      <c r="T916">
        <f>IF(C916,(H916*N916*IF(AND(Inputs!$B$38&lt;&gt;"pvp",Inputs!$B$43&gt;0),((Skills!G9*((R916-1)*IF(Skills!H9&gt;0,Skills!I9/Skills!H9,1)+IF(Skills!H9&gt;0,MIN(Skills!I9,MAX(0,MAX(0,Inputs!$B$43-B945)-((R916-1)*(IF(Inputs!$B$38="pvp",15,MAX(0.1,Skills!D9-IF(Skills!E9=TRUE,Inputs!$B$32,0)))*(1-IF(AND(ArtifactsInput!$M$27,Inputs!$B$4="Chapter Hunt"),CHOOSE(ArtifactsInput!$N$27+1,20,24,28,32,36,40),0)/100)))))/Skills!H9,1)))/Inputs!$B$43),G916*Q916)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916*(1-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916*(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916*(1-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916*(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6">
        <f>IF(C916,(H916*N916*IF(AND(Inputs!$B$38&lt;&gt;"pvp",Inputs!$B$43&gt;0),((Skills!G9*((R916-1)*IF(Skills!H9&gt;0,Skills!I9/Skills!H9,1)+IF(Skills!H9&gt;0,MIN(Skills!I9,MAX(0,MAX(0,Inputs!$B$43-B945)-((R916-1)*(IF(Inputs!$B$38="pvp",15,MAX(0.1,Skills!D9-IF(Skills!E9=TRUE,Inputs!$B$32,0)))*(1-IF(AND(ArtifactsInput!$M$27,Inputs!$B$4="Chapter Hunt"),CHOOSE(ArtifactsInput!$N$27+1,20,24,28,32,36,40),0)/100)))))/Skills!H9,1)))/Inputs!$B$43),G916*Q916))*IF(Inputs!$B$38="pvp",1,(1+(Inputs!$B$21+Skills!Q9+(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7">
      <c r="A917">
        <f>Skills!A10</f>
        <v/>
      </c>
      <c r="B917">
        <f>Skills!B10</f>
        <v/>
      </c>
      <c r="C917">
        <f>Inputs!$B$3&gt;=113</f>
        <v/>
      </c>
      <c r="D917">
        <f>IF(Skills!C10=1,60+Inputs!$B$25+Inputs!$B$29,IF(Skills!C10=2,90+Inputs!$B$26+Inputs!$B$29,IF(Skills!C10=3,120+Inputs!$B$27+Inputs!$B$29,MAX(0,(Inputs!$B$3-100)*3)+(Inputs!$B$28+1)+Inputs!$B$29)))</f>
        <v/>
      </c>
      <c r="E917">
        <f>INDEX(FactorTable!$B$2:$Y$301, MATCH(ROUND(MIN(300,MAX(1,D917)),0), FactorTable!$A$2:$A$301,0), Skills!M10+1)</f>
        <v/>
      </c>
      <c r="F917">
        <f>IF(Skills!N10=TRUE,(Skills!L10/10)*(E917/1000),Skills!L10/10)+Skills!O10</f>
        <v/>
      </c>
      <c r="G917">
        <f>Skills!G10*IF(Skills!H10&gt;0,Skills!I10/Skills!H10,1)</f>
        <v/>
      </c>
      <c r="H917">
        <f>1-(1-Skills!J10/100)^Skills!K10</f>
        <v/>
      </c>
      <c r="I917" t="inlineStr">
        <is>
          <t>1</t>
        </is>
      </c>
      <c r="J917">
        <f>((Inputs!$B$6*(1+Inputs!$B$7/100))+(((Inputs!$B$12*(1+Inputs!$B$13/100))-(Inputs!$B$12*(1+Inputs!$B$13/100)))+0.25*(Inputs!$B$14-Inputs!$B$14))*(1+Inputs!$B$7/100))*(F917/100)</f>
        <v/>
      </c>
      <c r="K917">
        <f>J917*(1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917)</f>
        <v/>
      </c>
      <c r="L917">
        <f>K917*(MIN(Inputs!$B$22+((C929=TRUE)*(F929-Calc!F22)),(Inputs!$B$23+0+(IF(ArtifactsInput!$M$15,CHOOSE(ArtifactsInput!$N$15+1,25,30,35,40,45,50)/100*(Inputs!$B$11-Inputs!$B$11),0))))/100+(Inputs!$B$23+0+(IF(ArtifactsInput!$M$15,CHOOSE(ArtifactsInput!$N$15+1,25,30,35,40,45,50)/100*(Inputs!$B$11-Inputs!$B$11),0)))/100)/2</f>
        <v/>
      </c>
      <c r="M917">
        <f>L917*(1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7">
        <f>L917*(1-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917*(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7">
        <f>(1-Summary!$B$11)*T917+Summary!$B$11*V917</f>
        <v/>
      </c>
      <c r="P917">
        <f>IF(B948=0,0,O917/B948)</f>
        <v/>
      </c>
      <c r="Q917">
        <f>IFERROR(1/(IF(Inputs!$B$38="pvp",15,MAX(0.1,Skills!D10-IF(Skills!E10=TRUE,Inputs!$B$32,0)))*(1-IF(AND(ArtifactsInput!$M$27,Inputs!$B$4="Chapter Hunt"),CHOOSE(ArtifactsInput!$N$27+1,20,24,28,32,36,40),0)/100)),0)</f>
        <v/>
      </c>
      <c r="R917">
        <f>IF(AND(Inputs!$B$38&lt;&gt;"pvp",Inputs!$B$43&gt;0),IF(MAX(0,Inputs!$B$43-B945)&lt;=0,0,(INT(MAX(0,Inputs!$B$43-B945)/(IF(Inputs!$B$38="pvp",15,MAX(0.1,Skills!D10-IF(Skills!E10=TRUE,Inputs!$B$32,0)))*(1-IF(AND(ArtifactsInput!$M$27,Inputs!$B$4="Chapter Hunt"),CHOOSE(ArtifactsInput!$N$27+1,20,24,28,32,36,40),0)/100)))+1)),0)</f>
        <v/>
      </c>
      <c r="S917">
        <f>IFERROR(O917/N917,0)</f>
        <v/>
      </c>
      <c r="T917">
        <f>IF(C917,(H917*N917*IF(AND(Inputs!$B$38&lt;&gt;"pvp",Inputs!$B$43&gt;0),((Skills!G10*((R917-1)*IF(Skills!H10&gt;0,Skills!I10/Skills!H10,1)+IF(Skills!H10&gt;0,MIN(Skills!I10,MAX(0,MAX(0,Inputs!$B$43-B945)-((R917-1)*(IF(Inputs!$B$38="pvp",15,MAX(0.1,Skills!D10-IF(Skills!E10=TRUE,Inputs!$B$32,0)))*(1-IF(AND(ArtifactsInput!$M$27,Inputs!$B$4="Chapter Hunt"),CHOOSE(ArtifactsInput!$N$27+1,20,24,28,32,36,40),0)/100)))))/Skills!H10,1)))/Inputs!$B$43),G917*Q917)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917*(1-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917*(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917*(1-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917*(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7">
        <f>IF(C917,(H917*N917*IF(AND(Inputs!$B$38&lt;&gt;"pvp",Inputs!$B$43&gt;0),((Skills!G10*((R917-1)*IF(Skills!H10&gt;0,Skills!I10/Skills!H10,1)+IF(Skills!H10&gt;0,MIN(Skills!I10,MAX(0,MAX(0,Inputs!$B$43-B945)-((R917-1)*(IF(Inputs!$B$38="pvp",15,MAX(0.1,Skills!D10-IF(Skills!E10=TRUE,Inputs!$B$32,0)))*(1-IF(AND(ArtifactsInput!$M$27,Inputs!$B$4="Chapter Hunt"),CHOOSE(ArtifactsInput!$N$27+1,20,24,28,32,36,40),0)/100)))))/Skills!H10,1)))/Inputs!$B$43),G917*Q917))*IF(Inputs!$B$38="pvp",1,(1+(Inputs!$B$21+Skills!Q10+(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8">
      <c r="A918">
        <f>Skills!A11</f>
        <v/>
      </c>
      <c r="B918">
        <f>Skills!B11</f>
        <v/>
      </c>
      <c r="C918">
        <f>Inputs!$B$3&gt;=107</f>
        <v/>
      </c>
      <c r="D918">
        <f>IF(Skills!C11=1,60+Inputs!$B$25+Inputs!$B$29,IF(Skills!C11=2,90+Inputs!$B$26+Inputs!$B$29,IF(Skills!C11=3,120+Inputs!$B$27+Inputs!$B$29,MAX(0,(Inputs!$B$3-100)*3)+(Inputs!$B$28+1)+Inputs!$B$29)))</f>
        <v/>
      </c>
      <c r="E918">
        <f>INDEX(FactorTable!$B$2:$Y$301, MATCH(ROUND(MIN(300,MAX(1,D918)),0), FactorTable!$A$2:$A$301,0), Skills!M11+1)</f>
        <v/>
      </c>
      <c r="F918">
        <f>IF(Skills!N11=TRUE,(Skills!L11/10)*(E918/1000),Skills!L11/10)+Skills!O11</f>
        <v/>
      </c>
      <c r="G918">
        <f>Skills!G11*IF(Skills!H11&gt;0,Skills!I11/Skills!H11,1)</f>
        <v/>
      </c>
      <c r="H918">
        <f>1-(1-Skills!J11/100)^Skills!K11</f>
        <v/>
      </c>
      <c r="I918" t="inlineStr">
        <is>
          <t>1</t>
        </is>
      </c>
      <c r="J918">
        <f>((Inputs!$B$6*(1+Inputs!$B$7/100))+(((Inputs!$B$12*(1+Inputs!$B$13/100))-(Inputs!$B$12*(1+Inputs!$B$13/100)))+0.25*(Inputs!$B$14-Inputs!$B$14))*(1+Inputs!$B$7/100))*(F918/100)</f>
        <v/>
      </c>
      <c r="K918">
        <f>J918*(1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918)</f>
        <v/>
      </c>
      <c r="L918">
        <f>K918*(MIN(Inputs!$B$22+((C929=TRUE)*(F929-Calc!F22)),(Inputs!$B$23+0+(IF(ArtifactsInput!$M$15,CHOOSE(ArtifactsInput!$N$15+1,25,30,35,40,45,50)/100*(Inputs!$B$11-Inputs!$B$11),0))))/100+(Inputs!$B$23+0+(IF(ArtifactsInput!$M$15,CHOOSE(ArtifactsInput!$N$15+1,25,30,35,40,45,50)/100*(Inputs!$B$11-Inputs!$B$11),0)))/100)/2</f>
        <v/>
      </c>
      <c r="M918">
        <f>L918*(1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8">
        <f>L918*(1-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918*(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8">
        <f>(1-Summary!$B$11)*T918+Summary!$B$11*V918</f>
        <v/>
      </c>
      <c r="P918">
        <f>IF(B948=0,0,O918/B948)</f>
        <v/>
      </c>
      <c r="Q918">
        <f>IFERROR(1/(IF(Inputs!$B$38="pvp",15,MAX(0.1,Skills!D11-IF(Skills!E11=TRUE,Inputs!$B$32,0)))*(1-IF(AND(ArtifactsInput!$M$27,Inputs!$B$4="Chapter Hunt"),CHOOSE(ArtifactsInput!$N$27+1,20,24,28,32,36,40),0)/100)),0)</f>
        <v/>
      </c>
      <c r="R918">
        <f>IF(AND(Inputs!$B$38&lt;&gt;"pvp",Inputs!$B$43&gt;0),IF(MAX(0,Inputs!$B$43-B945)&lt;=0,0,(INT(MAX(0,Inputs!$B$43-B945)/(IF(Inputs!$B$38="pvp",15,MAX(0.1,Skills!D11-IF(Skills!E11=TRUE,Inputs!$B$32,0)))*(1-IF(AND(ArtifactsInput!$M$27,Inputs!$B$4="Chapter Hunt"),CHOOSE(ArtifactsInput!$N$27+1,20,24,28,32,36,40),0)/100)))+1)),0)</f>
        <v/>
      </c>
      <c r="S918">
        <f>IFERROR(O918/N918,0)</f>
        <v/>
      </c>
      <c r="T918">
        <f>IF(C918,(H918*N918*IF(AND(Inputs!$B$38&lt;&gt;"pvp",Inputs!$B$43&gt;0),((Skills!G11*((R918-1)*IF(Skills!H11&gt;0,Skills!I11/Skills!H11,1)+IF(Skills!H11&gt;0,MIN(Skills!I11,MAX(0,MAX(0,Inputs!$B$43-B945)-((R918-1)*(IF(Inputs!$B$38="pvp",15,MAX(0.1,Skills!D11-IF(Skills!E11=TRUE,Inputs!$B$32,0)))*(1-IF(AND(ArtifactsInput!$M$27,Inputs!$B$4="Chapter Hunt"),CHOOSE(ArtifactsInput!$N$27+1,20,24,28,32,36,40),0)/100)))))/Skills!H11,1)))/Inputs!$B$43),G918*Q918)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918*(1-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918*(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918*(1-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918*(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8">
        <f>IF(C918,(H918*N918*IF(AND(Inputs!$B$38&lt;&gt;"pvp",Inputs!$B$43&gt;0),((Skills!G11*((R918-1)*IF(Skills!H11&gt;0,Skills!I11/Skills!H11,1)+IF(Skills!H11&gt;0,MIN(Skills!I11,MAX(0,MAX(0,Inputs!$B$43-B945)-((R918-1)*(IF(Inputs!$B$38="pvp",15,MAX(0.1,Skills!D11-IF(Skills!E11=TRUE,Inputs!$B$32,0)))*(1-IF(AND(ArtifactsInput!$M$27,Inputs!$B$4="Chapter Hunt"),CHOOSE(ArtifactsInput!$N$27+1,20,24,28,32,36,40),0)/100)))))/Skills!H11,1)))/Inputs!$B$43),G918*Q918))*IF(Inputs!$B$38="pvp",1,(1+(Inputs!$B$21+Skills!Q11+(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9">
      <c r="A919">
        <f>Skills!A12</f>
        <v/>
      </c>
      <c r="B919">
        <f>Skills!B12</f>
        <v/>
      </c>
      <c r="C919">
        <f>Inputs!$B$3&gt;=110</f>
        <v/>
      </c>
      <c r="D919">
        <f>IF(Skills!C12=1,60+Inputs!$B$25+Inputs!$B$29,IF(Skills!C12=2,90+Inputs!$B$26+Inputs!$B$29,IF(Skills!C12=3,120+Inputs!$B$27+Inputs!$B$29,MAX(0,(Inputs!$B$3-100)*3)+(Inputs!$B$28+1)+Inputs!$B$29)))</f>
        <v/>
      </c>
      <c r="E919">
        <f>INDEX(FactorTable!$B$2:$Y$301, MATCH(ROUND(MIN(300,MAX(1,D919)),0), FactorTable!$A$2:$A$301,0), Skills!M12+1)</f>
        <v/>
      </c>
      <c r="F919">
        <f>IF(Skills!N12=TRUE,(Skills!L12/10)*(E919/1000),Skills!L12/10)+Skills!O12</f>
        <v/>
      </c>
      <c r="G919">
        <f>Skills!G12*IF(Skills!H12&gt;0,Skills!I12/Skills!H12,1)</f>
        <v/>
      </c>
      <c r="H919">
        <f>1-(1-Skills!J12/100)^Skills!K12</f>
        <v/>
      </c>
      <c r="I919" t="inlineStr">
        <is>
          <t>1</t>
        </is>
      </c>
      <c r="J919">
        <f>((Inputs!$B$6*(1+Inputs!$B$7/100))+(((Inputs!$B$12*(1+Inputs!$B$13/100))-(Inputs!$B$12*(1+Inputs!$B$13/100)))+0.25*(Inputs!$B$14-Inputs!$B$14))*(1+Inputs!$B$7/100))*(F919/100)</f>
        <v/>
      </c>
      <c r="K919">
        <f>J919*(1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919)</f>
        <v/>
      </c>
      <c r="L919">
        <f>K919*(MIN(Inputs!$B$22+((C929=TRUE)*(F929-Calc!F22)),(Inputs!$B$23+0+(IF(ArtifactsInput!$M$15,CHOOSE(ArtifactsInput!$N$15+1,25,30,35,40,45,50)/100*(Inputs!$B$11-Inputs!$B$11),0))))/100+(Inputs!$B$23+0+(IF(ArtifactsInput!$M$15,CHOOSE(ArtifactsInput!$N$15+1,25,30,35,40,45,50)/100*(Inputs!$B$11-Inputs!$B$11),0)))/100)/2</f>
        <v/>
      </c>
      <c r="M919">
        <f>L919*(1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9">
        <f>L919*(1-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919*(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9">
        <f>(1-Summary!$B$11)*T919+Summary!$B$11*V919</f>
        <v/>
      </c>
      <c r="P919">
        <f>IF(B948=0,0,O919/B948)</f>
        <v/>
      </c>
      <c r="Q919">
        <f>IFERROR(1/(IF(Inputs!$B$38="pvp",15,MAX(0.1,Skills!D12-IF(Skills!E12=TRUE,Inputs!$B$32,0)))*(1-IF(AND(ArtifactsInput!$M$27,Inputs!$B$4="Chapter Hunt"),CHOOSE(ArtifactsInput!$N$27+1,20,24,28,32,36,40),0)/100)),0)</f>
        <v/>
      </c>
      <c r="R919">
        <f>IF(AND(Inputs!$B$38&lt;&gt;"pvp",Inputs!$B$43&gt;0),IF(MAX(0,Inputs!$B$43-B945)&lt;=0,0,(INT(MAX(0,Inputs!$B$43-B945)/(IF(Inputs!$B$38="pvp",15,MAX(0.1,Skills!D12-IF(Skills!E12=TRUE,Inputs!$B$32,0)))*(1-IF(AND(ArtifactsInput!$M$27,Inputs!$B$4="Chapter Hunt"),CHOOSE(ArtifactsInput!$N$27+1,20,24,28,32,36,40),0)/100)))+1)),0)</f>
        <v/>
      </c>
      <c r="S919">
        <f>IFERROR(O919/N919,0)</f>
        <v/>
      </c>
      <c r="T919">
        <f>IF(C919,(H919*N919*IF(AND(Inputs!$B$38&lt;&gt;"pvp",Inputs!$B$43&gt;0),((Skills!G12*((R919-1)*IF(Skills!H12&gt;0,Skills!I12/Skills!H12,1)+IF(Skills!H12&gt;0,MIN(Skills!I12,MAX(0,MAX(0,Inputs!$B$43-B945)-((R919-1)*(IF(Inputs!$B$38="pvp",15,MAX(0.1,Skills!D12-IF(Skills!E12=TRUE,Inputs!$B$32,0)))*(1-IF(AND(ArtifactsInput!$M$27,Inputs!$B$4="Chapter Hunt"),CHOOSE(ArtifactsInput!$N$27+1,20,24,28,32,36,40),0)/100)))))/Skills!H12,1)))/Inputs!$B$43),G919*Q919)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919*(1-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919*(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919*(1-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919*(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9">
        <f>IF(C919,(H919*N919*IF(AND(Inputs!$B$38&lt;&gt;"pvp",Inputs!$B$43&gt;0),((Skills!G12*((R919-1)*IF(Skills!H12&gt;0,Skills!I12/Skills!H12,1)+IF(Skills!H12&gt;0,MIN(Skills!I12,MAX(0,MAX(0,Inputs!$B$43-B945)-((R919-1)*(IF(Inputs!$B$38="pvp",15,MAX(0.1,Skills!D12-IF(Skills!E12=TRUE,Inputs!$B$32,0)))*(1-IF(AND(ArtifactsInput!$M$27,Inputs!$B$4="Chapter Hunt"),CHOOSE(ArtifactsInput!$N$27+1,20,24,28,32,36,40),0)/100)))))/Skills!H12,1)))/Inputs!$B$43),G919*Q919))*IF(Inputs!$B$38="pvp",1,(1+(Inputs!$B$21+Skills!Q12+(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0">
      <c r="A920">
        <f>Skills!A13</f>
        <v/>
      </c>
      <c r="B920">
        <f>Skills!B13</f>
        <v/>
      </c>
      <c r="C920">
        <f>Inputs!$B$3&gt;=110</f>
        <v/>
      </c>
      <c r="D920">
        <f>IF(Skills!C13=1,60+Inputs!$B$25+Inputs!$B$29,IF(Skills!C13=2,90+Inputs!$B$26+Inputs!$B$29,IF(Skills!C13=3,120+Inputs!$B$27+Inputs!$B$29,MAX(0,(Inputs!$B$3-100)*3)+(Inputs!$B$28+1)+Inputs!$B$29)))</f>
        <v/>
      </c>
      <c r="E920">
        <f>INDEX(FactorTable!$B$2:$Y$301, MATCH(ROUND(MIN(300,MAX(1,D920)),0), FactorTable!$A$2:$A$301,0), Skills!M13+1)</f>
        <v/>
      </c>
      <c r="F920">
        <f>IF(Skills!N13=TRUE,(Skills!L13/10)*(E920/1000),Skills!L13/10)+Skills!O13</f>
        <v/>
      </c>
      <c r="G920">
        <f>Skills!G13*IF(Skills!H13&gt;0,Skills!I13/Skills!H13,1)</f>
        <v/>
      </c>
      <c r="H920">
        <f>1-(1-Skills!J13/100)^Skills!K13</f>
        <v/>
      </c>
      <c r="I920" t="inlineStr">
        <is>
          <t>1</t>
        </is>
      </c>
      <c r="J920">
        <f>((Inputs!$B$6*(1+Inputs!$B$7/100))+(((Inputs!$B$12*(1+Inputs!$B$13/100))-(Inputs!$B$12*(1+Inputs!$B$13/100)))+0.25*(Inputs!$B$14-Inputs!$B$14))*(1+Inputs!$B$7/100))*(F920/100)</f>
        <v/>
      </c>
      <c r="K920">
        <f>J920*(1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920)</f>
        <v/>
      </c>
      <c r="L920">
        <f>K920*(MIN(Inputs!$B$22+((C929=TRUE)*(F929-Calc!F22)),(Inputs!$B$23+0+(IF(ArtifactsInput!$M$15,CHOOSE(ArtifactsInput!$N$15+1,25,30,35,40,45,50)/100*(Inputs!$B$11-Inputs!$B$11),0))))/100+(Inputs!$B$23+0+(IF(ArtifactsInput!$M$15,CHOOSE(ArtifactsInput!$N$15+1,25,30,35,40,45,50)/100*(Inputs!$B$11-Inputs!$B$11),0)))/100)/2</f>
        <v/>
      </c>
      <c r="M920">
        <f>L920*(1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0">
        <f>L920*(1-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920*(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0">
        <f>(1-Summary!$B$11)*T920+Summary!$B$11*V920</f>
        <v/>
      </c>
      <c r="P920">
        <f>IF(B948=0,0,O920/B948)</f>
        <v/>
      </c>
      <c r="Q920">
        <f>IFERROR(1/(IF(Inputs!$B$38="pvp",15,MAX(0.1,Skills!D13-IF(Skills!E13=TRUE,Inputs!$B$32,0)))*(1-IF(AND(ArtifactsInput!$M$27,Inputs!$B$4="Chapter Hunt"),CHOOSE(ArtifactsInput!$N$27+1,20,24,28,32,36,40),0)/100)),0)</f>
        <v/>
      </c>
      <c r="R920">
        <f>IF(AND(Inputs!$B$38&lt;&gt;"pvp",Inputs!$B$43&gt;0),IF(MAX(0,Inputs!$B$43-B945)&lt;=0,0,(INT(MAX(0,Inputs!$B$43-B945)/(IF(Inputs!$B$38="pvp",15,MAX(0.1,Skills!D13-IF(Skills!E13=TRUE,Inputs!$B$32,0)))*(1-IF(AND(ArtifactsInput!$M$27,Inputs!$B$4="Chapter Hunt"),CHOOSE(ArtifactsInput!$N$27+1,20,24,28,32,36,40),0)/100)))+1)),0)</f>
        <v/>
      </c>
      <c r="S920">
        <f>IFERROR(O920/N920,0)</f>
        <v/>
      </c>
      <c r="T920">
        <f>IF(C920,(H920*N920*IF(AND(Inputs!$B$38&lt;&gt;"pvp",Inputs!$B$43&gt;0),((Skills!G13*((R920-1)*IF(Skills!H13&gt;0,Skills!I13/Skills!H13,1)+IF(Skills!H13&gt;0,MIN(Skills!I13,MAX(0,MAX(0,Inputs!$B$43-B945)-((R920-1)*(IF(Inputs!$B$38="pvp",15,MAX(0.1,Skills!D13-IF(Skills!E13=TRUE,Inputs!$B$32,0)))*(1-IF(AND(ArtifactsInput!$M$27,Inputs!$B$4="Chapter Hunt"),CHOOSE(ArtifactsInput!$N$27+1,20,24,28,32,36,40),0)/100)))))/Skills!H13,1)))/Inputs!$B$43),G920*Q920)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920*(1-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920*(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920*(1-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920*(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0">
        <f>IF(C920,(H920*N920*IF(AND(Inputs!$B$38&lt;&gt;"pvp",Inputs!$B$43&gt;0),((Skills!G13*((R920-1)*IF(Skills!H13&gt;0,Skills!I13/Skills!H13,1)+IF(Skills!H13&gt;0,MIN(Skills!I13,MAX(0,MAX(0,Inputs!$B$43-B945)-((R920-1)*(IF(Inputs!$B$38="pvp",15,MAX(0.1,Skills!D13-IF(Skills!E13=TRUE,Inputs!$B$32,0)))*(1-IF(AND(ArtifactsInput!$M$27,Inputs!$B$4="Chapter Hunt"),CHOOSE(ArtifactsInput!$N$27+1,20,24,28,32,36,40),0)/100)))))/Skills!H13,1)))/Inputs!$B$43),G920*Q920))*IF(Inputs!$B$38="pvp",1,(1+(Inputs!$B$21+Skills!Q13+(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1">
      <c r="A921">
        <f>Skills!A14</f>
        <v/>
      </c>
      <c r="B921">
        <f>Skills!B14</f>
        <v/>
      </c>
      <c r="C921">
        <f>Inputs!$B$3&gt;=125</f>
        <v/>
      </c>
      <c r="D921">
        <f>IF(Skills!C14=1,60+Inputs!$B$25+Inputs!$B$29,IF(Skills!C14=2,90+Inputs!$B$26+Inputs!$B$29,IF(Skills!C14=3,120+Inputs!$B$27+Inputs!$B$29,MAX(0,(Inputs!$B$3-100)*3)+(Inputs!$B$28+1)+Inputs!$B$29)))</f>
        <v/>
      </c>
      <c r="E921">
        <f>INDEX(FactorTable!$B$2:$Y$301, MATCH(ROUND(MIN(300,MAX(1,D921)),0), FactorTable!$A$2:$A$301,0), Skills!M14+1)</f>
        <v/>
      </c>
      <c r="F921">
        <f>IF(Skills!N14=TRUE,(Skills!L14/10)*(E921/1000),Skills!L14/10)+Skills!O14</f>
        <v/>
      </c>
      <c r="G921">
        <f>Skills!G14*IF(Skills!H14&gt;0,Skills!I14/Skills!H14,1)</f>
        <v/>
      </c>
      <c r="H921">
        <f>1-(1-Skills!J14/100)^Skills!K14</f>
        <v/>
      </c>
      <c r="I921" t="inlineStr">
        <is>
          <t>1</t>
        </is>
      </c>
      <c r="J921">
        <f>((Inputs!$B$6*(1+Inputs!$B$7/100))+(((Inputs!$B$12*(1+Inputs!$B$13/100))-(Inputs!$B$12*(1+Inputs!$B$13/100)))+0.25*(Inputs!$B$14-Inputs!$B$14))*(1+Inputs!$B$7/100))*(F921/100)</f>
        <v/>
      </c>
      <c r="K921">
        <f>J921*(1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921)</f>
        <v/>
      </c>
      <c r="L921">
        <f>K921*(MIN(Inputs!$B$22+((C929=TRUE)*(F929-Calc!F22)),(Inputs!$B$23+0+(IF(ArtifactsInput!$M$15,CHOOSE(ArtifactsInput!$N$15+1,25,30,35,40,45,50)/100*(Inputs!$B$11-Inputs!$B$11),0))))/100+(Inputs!$B$23+0+(IF(ArtifactsInput!$M$15,CHOOSE(ArtifactsInput!$N$15+1,25,30,35,40,45,50)/100*(Inputs!$B$11-Inputs!$B$11),0)))/100)/2</f>
        <v/>
      </c>
      <c r="M921">
        <f>L921*(1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1">
        <f>L921*(1-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1">
        <f>(1-Summary!$B$11)*T921+Summary!$B$11*V921</f>
        <v/>
      </c>
      <c r="P921">
        <f>IF(B948=0,0,O921/B948)</f>
        <v/>
      </c>
      <c r="Q921" t="n">
        <v>0</v>
      </c>
      <c r="R921" t="n">
        <v>0</v>
      </c>
      <c r="S921">
        <f>IFERROR(O921/N921,0)</f>
        <v/>
      </c>
      <c r="T921">
        <f>IF(C921,(H921*N921*(B942+IF(AND(Inputs!$B$38&lt;&gt;"pvp",Inputs!$B$43&gt;0),((Skills!G8*((R915-1)*IF(Skills!H8&gt;0,Skills!I8/Skills!H8,1)+IF(Skills!H8&gt;0,MIN(Skills!I8,MAX(0,MAX(0,Inputs!$B$43-B945)-((R915-1)*(IF(Inputs!$B$38="pvp",15,MAX(0.1,Skills!D8-IF(Skills!E8=TRUE,Inputs!$B$32,0)))*(1-IF(AND(ArtifactsInput!$M$27,Inputs!$B$4="Chapter Hunt"),CHOOSE(ArtifactsInput!$N$27+1,20,24,28,32,36,40),0)/100)))))/Skills!H8,1)))/Inputs!$B$43),G915*Q915)+IF(AND(Inputs!$B$38&lt;&gt;"pvp",Inputs!$B$43&gt;0),((Skills!G11*((R918-1)*IF(Skills!H11&gt;0,Skills!I11/Skills!H11,1)+IF(Skills!H11&gt;0,MIN(Skills!I11,MAX(0,MAX(0,Inputs!$B$43-B945)-((R918-1)*(IF(Inputs!$B$38="pvp",15,MAX(0.1,Skills!D11-IF(Skills!E11=TRUE,Inputs!$B$32,0)))*(1-IF(AND(ArtifactsInput!$M$27,Inputs!$B$4="Chapter Hunt"),CHOOSE(ArtifactsInput!$N$27+1,20,24,28,32,36,40),0)/100)))))/Skills!H11,1)))/Inputs!$B$43),G918*Q918)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921*(1-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921*(1-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1">
        <f>IF(C921,(H921*N921*(B942+IF(AND(Inputs!$B$38&lt;&gt;"pvp",Inputs!$B$43&gt;0),((Skills!G8*((R915-1)*IF(Skills!H8&gt;0,Skills!I8/Skills!H8,1)+IF(Skills!H8&gt;0,MIN(Skills!I8,MAX(0,MAX(0,Inputs!$B$43-B945)-((R915-1)*(IF(Inputs!$B$38="pvp",15,MAX(0.1,Skills!D8-IF(Skills!E8=TRUE,Inputs!$B$32,0)))*(1-IF(AND(ArtifactsInput!$M$27,Inputs!$B$4="Chapter Hunt"),CHOOSE(ArtifactsInput!$N$27+1,20,24,28,32,36,40),0)/100)))))/Skills!H8,1)))/Inputs!$B$43),G915*Q915)+IF(AND(Inputs!$B$38&lt;&gt;"pvp",Inputs!$B$43&gt;0),((Skills!G11*((R918-1)*IF(Skills!H11&gt;0,Skills!I11/Skills!H11,1)+IF(Skills!H11&gt;0,MIN(Skills!I11,MAX(0,MAX(0,Inputs!$B$43-B945)-((R918-1)*(IF(Inputs!$B$38="pvp",15,MAX(0.1,Skills!D11-IF(Skills!E11=TRUE,Inputs!$B$32,0)))*(1-IF(AND(ArtifactsInput!$M$27,Inputs!$B$4="Chapter Hunt"),CHOOSE(ArtifactsInput!$N$27+1,20,24,28,32,36,40),0)/100)))))/Skills!H11,1)))/Inputs!$B$43),G918*Q918)))*IF(Inputs!$B$38="pvp",1,(1+(Inputs!$B$21+Skills!Q14+(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2">
      <c r="A922">
        <f>Skills!A15</f>
        <v/>
      </c>
      <c r="B922">
        <f>Skills!B15</f>
        <v/>
      </c>
      <c r="C922">
        <f>Inputs!$B$3&gt;=100</f>
        <v/>
      </c>
      <c r="D922">
        <f>IF(Skills!C15=1,60+Inputs!$B$25+Inputs!$B$29,IF(Skills!C15=2,90+Inputs!$B$26+Inputs!$B$29,IF(Skills!C15=3,120+Inputs!$B$27+Inputs!$B$29,MAX(0,(Inputs!$B$3-100)*3)+(Inputs!$B$28+1)+Inputs!$B$29)))</f>
        <v/>
      </c>
      <c r="E922">
        <f>INDEX(FactorTable!$B$2:$Y$301, MATCH(ROUND(MIN(300,MAX(1,D922)),0), FactorTable!$A$2:$A$301,0), Skills!M15+1)</f>
        <v/>
      </c>
      <c r="F922">
        <f>IF(Skills!N15=TRUE,(Skills!L15/10)*(E922/1000),Skills!L15/10)+Skills!O15</f>
        <v/>
      </c>
      <c r="G922" t="inlineStr"/>
      <c r="H922" t="inlineStr"/>
      <c r="I922" t="inlineStr">
        <is>
          <t>1</t>
        </is>
      </c>
      <c r="J922" t="inlineStr"/>
      <c r="K922" t="inlineStr"/>
      <c r="L922" t="inlineStr"/>
      <c r="M922" t="inlineStr"/>
      <c r="N922" t="inlineStr"/>
      <c r="O922" t="inlineStr"/>
      <c r="P922" t="inlineStr"/>
      <c r="Q922" t="inlineStr"/>
      <c r="R922" t="inlineStr"/>
      <c r="S922" t="inlineStr"/>
    </row>
    <row r="923">
      <c r="A923">
        <f>Skills!A16</f>
        <v/>
      </c>
      <c r="B923">
        <f>Skills!B16</f>
        <v/>
      </c>
      <c r="C923">
        <f>Inputs!$B$3&gt;=120</f>
        <v/>
      </c>
      <c r="D923">
        <f>IF(Skills!C16=1,60+Inputs!$B$25+Inputs!$B$29,IF(Skills!C16=2,90+Inputs!$B$26+Inputs!$B$29,IF(Skills!C16=3,120+Inputs!$B$27+Inputs!$B$29,MAX(0,(Inputs!$B$3-100)*3)+(Inputs!$B$28+1)+Inputs!$B$29)))</f>
        <v/>
      </c>
      <c r="E923">
        <f>INDEX(FactorTable!$B$2:$Y$301, MATCH(ROUND(MIN(300,MAX(1,D923)),0), FactorTable!$A$2:$A$301,0), Skills!M16+1)</f>
        <v/>
      </c>
      <c r="F923">
        <f>IF(Skills!N16=TRUE,(Skills!L16/10)*(E923/1000),Skills!L16/10)+Skills!O16</f>
        <v/>
      </c>
      <c r="G923" t="inlineStr"/>
      <c r="H923" t="inlineStr"/>
      <c r="I923" t="inlineStr">
        <is>
          <t>1</t>
        </is>
      </c>
      <c r="J923" t="inlineStr"/>
      <c r="K923" t="inlineStr"/>
      <c r="L923" t="inlineStr"/>
      <c r="M923" t="inlineStr"/>
      <c r="N923" t="inlineStr"/>
      <c r="O923" t="inlineStr"/>
      <c r="P923" t="inlineStr"/>
      <c r="Q923" t="inlineStr"/>
      <c r="R923" t="inlineStr"/>
      <c r="S923" t="inlineStr"/>
    </row>
    <row r="924">
      <c r="A924">
        <f>Skills!A17</f>
        <v/>
      </c>
      <c r="B924">
        <f>Skills!B17</f>
        <v/>
      </c>
      <c r="C924">
        <f>Inputs!$B$3&gt;=66</f>
        <v/>
      </c>
      <c r="D924">
        <f>IF(Skills!C17=1,60+Inputs!$B$25+Inputs!$B$29,IF(Skills!C17=2,90+Inputs!$B$26+Inputs!$B$29,IF(Skills!C17=3,120+Inputs!$B$27+Inputs!$B$29,MAX(0,(Inputs!$B$3-100)*3)+(Inputs!$B$28+1)+Inputs!$B$29)))</f>
        <v/>
      </c>
      <c r="E924">
        <f>INDEX(FactorTable!$B$2:$Y$301, MATCH(ROUND(MIN(300,MAX(1,D924)),0), FactorTable!$A$2:$A$301,0), Skills!M17+1)</f>
        <v/>
      </c>
      <c r="F924">
        <f>IF(Skills!N17=TRUE,(Skills!L17/10)*(E924/1000),Skills!L17/10)+Skills!O17</f>
        <v/>
      </c>
      <c r="G924">
        <f>Skills!G17*IF(Skills!H17&gt;0,Skills!I17/Skills!H17,1)</f>
        <v/>
      </c>
      <c r="H924">
        <f>1-(1-Skills!J17/100)^Skills!K17</f>
        <v/>
      </c>
      <c r="I924" t="inlineStr">
        <is>
          <t>1</t>
        </is>
      </c>
      <c r="J924" t="inlineStr"/>
      <c r="K924" t="inlineStr"/>
      <c r="L924" t="inlineStr"/>
      <c r="M924" t="inlineStr"/>
      <c r="N924" t="inlineStr"/>
      <c r="O924">
        <f>(1-Summary!$B$11)*T924+Summary!$B$11*V924</f>
        <v/>
      </c>
      <c r="P924">
        <f>IF(B948=0,0,O924/B948)</f>
        <v/>
      </c>
      <c r="Q924" t="n">
        <v>0</v>
      </c>
      <c r="R924" t="n">
        <v>0</v>
      </c>
      <c r="S924">
        <f>IFERROR(O924/N924,0)</f>
        <v/>
      </c>
      <c r="T924" t="n">
        <v>0</v>
      </c>
      <c r="V924" t="n">
        <v>0</v>
      </c>
    </row>
    <row r="925">
      <c r="A925">
        <f>Skills!A18</f>
        <v/>
      </c>
      <c r="B925">
        <f>Skills!B18</f>
        <v/>
      </c>
      <c r="C925">
        <f>Inputs!$B$3&gt;=115</f>
        <v/>
      </c>
      <c r="D925">
        <f>IF(Skills!C18=1,60+Inputs!$B$25+Inputs!$B$29,IF(Skills!C18=2,90+Inputs!$B$26+Inputs!$B$29,IF(Skills!C18=3,120+Inputs!$B$27+Inputs!$B$29,MAX(0,(Inputs!$B$3-100)*3)+(Inputs!$B$28+1)+Inputs!$B$29)))</f>
        <v/>
      </c>
      <c r="E925">
        <f>INDEX(FactorTable!$B$2:$Y$301, MATCH(ROUND(MIN(300,MAX(1,D925)),0), FactorTable!$A$2:$A$301,0), Skills!M18+1)</f>
        <v/>
      </c>
      <c r="F925">
        <f>IF(Skills!N18=TRUE,(Skills!L18/10)*(E925/1000),Skills!L18/10)+Skills!O18</f>
        <v/>
      </c>
      <c r="G925">
        <f>Skills!G18*IF(Skills!H18&gt;0,Skills!I18/Skills!H18,1)</f>
        <v/>
      </c>
      <c r="H925">
        <f>1-(1-Skills!J18/100)^Skills!K18</f>
        <v/>
      </c>
      <c r="I925" t="inlineStr">
        <is>
          <t>1</t>
        </is>
      </c>
      <c r="J925" t="inlineStr"/>
      <c r="K925" t="inlineStr"/>
      <c r="L925" t="inlineStr"/>
      <c r="M925" t="inlineStr"/>
      <c r="N925" t="inlineStr"/>
      <c r="O925">
        <f>(1-Summary!$B$11)*T925+Summary!$B$11*V925</f>
        <v/>
      </c>
      <c r="P925">
        <f>IF(B948=0,0,O925/B948)</f>
        <v/>
      </c>
      <c r="Q925">
        <f>IFERROR(1/(IF(Inputs!$B$38="pvp",15,MAX(0.1,Skills!D18-IF(Skills!E18=TRUE,Inputs!$B$32,0)))*(1-IF(AND(ArtifactsInput!$M$27,Inputs!$B$4="Chapter Hunt"),CHOOSE(ArtifactsInput!$N$27+1,20,24,28,32,36,40),0)/100)),0)</f>
        <v/>
      </c>
      <c r="R925">
        <f>IF(AND(Inputs!$B$38&lt;&gt;"pvp",Inputs!$B$43&gt;0),IF(Inputs!$B$43&lt;=0,0,(INT(Inputs!$B$43/(IF(Inputs!$B$38="pvp",15,MAX(0.1,Skills!D18-IF(Skills!E18=TRUE,Inputs!$B$32,0)))*(1-IF(AND(ArtifactsInput!$M$27,Inputs!$B$4="Chapter Hunt"),CHOOSE(ArtifactsInput!$N$27+1,20,24,28,32,36,40),0)/100)))+1)),0)</f>
        <v/>
      </c>
      <c r="S925">
        <f>IFERROR(O925/N925,0)</f>
        <v/>
      </c>
      <c r="T925" t="n">
        <v>0</v>
      </c>
      <c r="V925" t="n">
        <v>0</v>
      </c>
    </row>
    <row r="926">
      <c r="A926">
        <f>Skills!A19</f>
        <v/>
      </c>
      <c r="B926">
        <f>Skills!B19</f>
        <v/>
      </c>
      <c r="C926">
        <f>Inputs!$B$3&gt;=15</f>
        <v/>
      </c>
      <c r="D926">
        <f>IF(Skills!C19=1,60+Inputs!$B$25+Inputs!$B$29,IF(Skills!C19=2,90+Inputs!$B$26+Inputs!$B$29,IF(Skills!C19=3,120+Inputs!$B$27+Inputs!$B$29,MAX(0,(Inputs!$B$3-100)*3)+(Inputs!$B$28+1)+Inputs!$B$29)))</f>
        <v/>
      </c>
      <c r="E926">
        <f>INDEX(FactorTable!$B$2:$Y$301, MATCH(ROUND(MIN(300,MAX(1,D926)),0), FactorTable!$A$2:$A$301,0), Skills!M19+1)</f>
        <v/>
      </c>
      <c r="F926">
        <f>IF(Skills!N19=TRUE,(Skills!L19/10)*(E926/1000),Skills!L19/10)+Skills!O19</f>
        <v/>
      </c>
      <c r="G926">
        <f>Skills!G19*IF(Skills!H19&gt;0,Skills!I19/Skills!H19,1)</f>
        <v/>
      </c>
      <c r="H926">
        <f>1-(1-Skills!J19/100)^Skills!K19</f>
        <v/>
      </c>
      <c r="I926" t="inlineStr">
        <is>
          <t>1</t>
        </is>
      </c>
      <c r="J926" t="inlineStr"/>
      <c r="K926" t="inlineStr"/>
      <c r="L926" t="inlineStr"/>
      <c r="M926" t="inlineStr"/>
      <c r="N926" t="inlineStr"/>
      <c r="O926">
        <f>(1-Summary!$B$11)*T926+Summary!$B$11*V926</f>
        <v/>
      </c>
      <c r="P926">
        <f>IF(B948=0,0,O926/B948)</f>
        <v/>
      </c>
      <c r="Q926" t="n">
        <v>0</v>
      </c>
      <c r="R926" t="n">
        <v>0</v>
      </c>
      <c r="S926">
        <f>IFERROR(O926/N926,0)</f>
        <v/>
      </c>
      <c r="T926" t="n">
        <v>0</v>
      </c>
      <c r="V926" t="n">
        <v>0</v>
      </c>
    </row>
    <row r="927">
      <c r="A927">
        <f>Skills!A20</f>
        <v/>
      </c>
      <c r="B927">
        <f>Skills!B20</f>
        <v/>
      </c>
      <c r="C927">
        <f>Inputs!$B$3&gt;=10</f>
        <v/>
      </c>
      <c r="D927">
        <f>IF(Skills!C20=1,60+Inputs!$B$25+Inputs!$B$29,IF(Skills!C20=2,90+Inputs!$B$26+Inputs!$B$29,IF(Skills!C20=3,120+Inputs!$B$27+Inputs!$B$29,MAX(0,(Inputs!$B$3-100)*3)+(Inputs!$B$28+1)+Inputs!$B$29)))</f>
        <v/>
      </c>
      <c r="E927">
        <f>INDEX(FactorTable!$B$2:$Y$301, MATCH(ROUND(MIN(300,MAX(1,D927)),0), FactorTable!$A$2:$A$301,0), Skills!M20+1)</f>
        <v/>
      </c>
      <c r="F927">
        <f>IF(Skills!N20=TRUE,(Skills!L20/10)*(E927/1000),Skills!L20/10)+Skills!O20</f>
        <v/>
      </c>
      <c r="G927">
        <f>Skills!G20*IF(Skills!H20&gt;0,Skills!I20/Skills!H20,1)</f>
        <v/>
      </c>
      <c r="H927">
        <f>1-(1-Skills!J20/100)^Skills!K20</f>
        <v/>
      </c>
      <c r="I927" t="inlineStr">
        <is>
          <t>1</t>
        </is>
      </c>
      <c r="J927" t="inlineStr"/>
      <c r="K927" t="inlineStr"/>
      <c r="L927" t="inlineStr"/>
      <c r="M927" t="inlineStr"/>
      <c r="N927" t="inlineStr"/>
      <c r="O927">
        <f>(1-Summary!$B$11)*T927+Summary!$B$11*V927</f>
        <v/>
      </c>
      <c r="P927">
        <f>IF(B948=0,0,O927/B948)</f>
        <v/>
      </c>
      <c r="Q927" t="n">
        <v>0</v>
      </c>
      <c r="R927" t="n">
        <v>0</v>
      </c>
      <c r="S927">
        <f>IFERROR(O927/N927,0)</f>
        <v/>
      </c>
      <c r="T927" t="n">
        <v>0</v>
      </c>
      <c r="V927" t="n">
        <v>0</v>
      </c>
    </row>
    <row r="928">
      <c r="A928">
        <f>Skills!A21</f>
        <v/>
      </c>
      <c r="B928">
        <f>Skills!B21</f>
        <v/>
      </c>
      <c r="C928">
        <f>Inputs!$B$3&gt;=33</f>
        <v/>
      </c>
      <c r="D928">
        <f>IF(Skills!C21=1,60+Inputs!$B$25+Inputs!$B$29,IF(Skills!C21=2,90+Inputs!$B$26+Inputs!$B$29,IF(Skills!C21=3,120+Inputs!$B$27+Inputs!$B$29,MAX(0,(Inputs!$B$3-100)*3)+(Inputs!$B$28+1)+Inputs!$B$29)))</f>
        <v/>
      </c>
      <c r="E928">
        <f>INDEX(FactorTable!$B$2:$Y$301, MATCH(ROUND(MIN(300,MAX(1,D928)),0), FactorTable!$A$2:$A$301,0), Skills!M21+1)</f>
        <v/>
      </c>
      <c r="F928">
        <f>IF(Skills!N21=TRUE,(Skills!L21/10)*(E928/1000),Skills!L21/10)+Skills!O21</f>
        <v/>
      </c>
      <c r="G928">
        <f>Skills!G21*IF(Skills!H21&gt;0,Skills!I21/Skills!H21,1)</f>
        <v/>
      </c>
      <c r="H928">
        <f>1-(1-Skills!J21/100)^Skills!K21</f>
        <v/>
      </c>
      <c r="I928" t="inlineStr">
        <is>
          <t>1</t>
        </is>
      </c>
      <c r="J928" t="inlineStr"/>
      <c r="K928" t="inlineStr"/>
      <c r="L928" t="inlineStr"/>
      <c r="M928" t="inlineStr"/>
      <c r="N928" t="inlineStr"/>
      <c r="O928">
        <f>(1-Summary!$B$11)*T928+Summary!$B$11*V928</f>
        <v/>
      </c>
      <c r="P928">
        <f>IF(B948=0,0,O928/B948)</f>
        <v/>
      </c>
      <c r="Q928" t="n">
        <v>0</v>
      </c>
      <c r="R928" t="n">
        <v>0</v>
      </c>
      <c r="S928">
        <f>IFERROR(O928/N928,0)</f>
        <v/>
      </c>
      <c r="T928" t="n">
        <v>0</v>
      </c>
      <c r="V928" t="n">
        <v>0</v>
      </c>
    </row>
    <row r="929">
      <c r="A929">
        <f>Skills!A22</f>
        <v/>
      </c>
      <c r="B929">
        <f>Skills!B22</f>
        <v/>
      </c>
      <c r="C929">
        <f>Inputs!$B$3&gt;=43</f>
        <v/>
      </c>
      <c r="D929">
        <f>IF(Skills!C22=1,60+Inputs!$B$25+Inputs!$B$29,IF(Skills!C22=2,90+Inputs!$B$26+Inputs!$B$29,IF(Skills!C22=3,120+Inputs!$B$27+Inputs!$B$29,MAX(0,(Inputs!$B$3-100)*3)+(Inputs!$B$28+1)+Inputs!$B$29)))</f>
        <v/>
      </c>
      <c r="E929">
        <f>INDEX(FactorTable!$B$2:$Y$301, MATCH(ROUND(MIN(300,MAX(1,D929)),0), FactorTable!$A$2:$A$301,0), Skills!M22+1)</f>
        <v/>
      </c>
      <c r="F929">
        <f>IF(Skills!N22=TRUE,(Skills!L22/10)*(E929/1000),Skills!L22/10)+Skills!O22</f>
        <v/>
      </c>
      <c r="G929">
        <f>Skills!G22*IF(Skills!H22&gt;0,Skills!I22/Skills!H22,1)</f>
        <v/>
      </c>
      <c r="H929">
        <f>1-(1-Skills!J22/100)^Skills!K22</f>
        <v/>
      </c>
      <c r="I929" t="inlineStr">
        <is>
          <t>1</t>
        </is>
      </c>
      <c r="J929" t="inlineStr"/>
      <c r="K929" t="inlineStr"/>
      <c r="L929" t="inlineStr"/>
      <c r="M929" t="inlineStr"/>
      <c r="N929" t="inlineStr"/>
      <c r="O929">
        <f>(1-Summary!$B$11)*T929+Summary!$B$11*V929</f>
        <v/>
      </c>
      <c r="P929">
        <f>IF(B948=0,0,O929/B948)</f>
        <v/>
      </c>
      <c r="Q929" t="n">
        <v>0</v>
      </c>
      <c r="R929" t="n">
        <v>0</v>
      </c>
      <c r="S929">
        <f>IFERROR(O929/N929,0)</f>
        <v/>
      </c>
      <c r="T929" t="n">
        <v>0</v>
      </c>
      <c r="V929" t="n">
        <v>0</v>
      </c>
    </row>
    <row r="930">
      <c r="A930">
        <f>Skills!A23</f>
        <v/>
      </c>
      <c r="B930">
        <f>Skills!B23</f>
        <v/>
      </c>
      <c r="C930">
        <f>Inputs!$B$3&gt;=38</f>
        <v/>
      </c>
      <c r="D930">
        <f>IF(Skills!C23=1,60+Inputs!$B$25+Inputs!$B$29,IF(Skills!C23=2,90+Inputs!$B$26+Inputs!$B$29,IF(Skills!C23=3,120+Inputs!$B$27+Inputs!$B$29,MAX(0,(Inputs!$B$3-100)*3)+(Inputs!$B$28+1)+Inputs!$B$29)))</f>
        <v/>
      </c>
      <c r="E930">
        <f>INDEX(FactorTable!$B$2:$Y$301, MATCH(ROUND(MIN(300,MAX(1,D930)),0), FactorTable!$A$2:$A$301,0), Skills!M23+1)</f>
        <v/>
      </c>
      <c r="F930">
        <f>IF(Skills!N23=TRUE,(Skills!L23/10)*(E930/1000),Skills!L23/10)+Skills!O23</f>
        <v/>
      </c>
      <c r="G930">
        <f>Skills!G23*IF(Skills!H23&gt;0,Skills!I23/Skills!H23,1)</f>
        <v/>
      </c>
      <c r="H930">
        <f>1-(1-Skills!J23/100)^Skills!K23</f>
        <v/>
      </c>
      <c r="I930" t="inlineStr">
        <is>
          <t>1</t>
        </is>
      </c>
      <c r="J930" t="inlineStr"/>
      <c r="K930" t="inlineStr"/>
      <c r="L930" t="inlineStr"/>
      <c r="M930" t="inlineStr"/>
      <c r="N930" t="inlineStr"/>
      <c r="O930">
        <f>(1-Summary!$B$11)*T930+Summary!$B$11*V930</f>
        <v/>
      </c>
      <c r="P930">
        <f>IF(B948=0,0,O930/B948)</f>
        <v/>
      </c>
      <c r="Q930" t="n">
        <v>0</v>
      </c>
      <c r="R930" t="n">
        <v>0</v>
      </c>
      <c r="S930">
        <f>IFERROR(O930/N930,0)</f>
        <v/>
      </c>
      <c r="T930" t="n">
        <v>0</v>
      </c>
      <c r="V930" t="n">
        <v>0</v>
      </c>
    </row>
    <row r="931">
      <c r="A931">
        <f>Skills!A24</f>
        <v/>
      </c>
      <c r="B931">
        <f>Skills!B24</f>
        <v/>
      </c>
      <c r="C931">
        <f>Inputs!$B$3&gt;=40</f>
        <v/>
      </c>
      <c r="D931">
        <f>IF(Skills!C24=1,60+Inputs!$B$25+Inputs!$B$29,IF(Skills!C24=2,90+Inputs!$B$26+Inputs!$B$29,IF(Skills!C24=3,120+Inputs!$B$27+Inputs!$B$29,MAX(0,(Inputs!$B$3-100)*3)+(Inputs!$B$28+1)+Inputs!$B$29)))</f>
        <v/>
      </c>
      <c r="E931">
        <f>INDEX(FactorTable!$B$2:$Y$301, MATCH(ROUND(MIN(300,MAX(1,D931)),0), FactorTable!$A$2:$A$301,0), Skills!M24+1)</f>
        <v/>
      </c>
      <c r="F931">
        <f>IF(Skills!N24=TRUE,(Skills!L24/10)*(E931/1000),Skills!L24/10)+Skills!O24</f>
        <v/>
      </c>
      <c r="G931">
        <f>Skills!G24*IF(Skills!H24&gt;0,Skills!I24/Skills!H24,1)</f>
        <v/>
      </c>
      <c r="H931">
        <f>1-(1-Skills!J24/100)^Skills!K24</f>
        <v/>
      </c>
      <c r="I931" t="inlineStr">
        <is>
          <t>1</t>
        </is>
      </c>
      <c r="J931" t="inlineStr"/>
      <c r="K931" t="inlineStr"/>
      <c r="L931" t="inlineStr"/>
      <c r="M931" t="inlineStr"/>
      <c r="N931" t="inlineStr"/>
      <c r="O931">
        <f>(1-Summary!$B$11)*T931+Summary!$B$11*V931</f>
        <v/>
      </c>
      <c r="P931">
        <f>IF(B948=0,0,O931/B948)</f>
        <v/>
      </c>
      <c r="Q931" t="n">
        <v>0</v>
      </c>
      <c r="R931" t="n">
        <v>0</v>
      </c>
      <c r="S931">
        <f>IFERROR(O931/N931,0)</f>
        <v/>
      </c>
      <c r="T931" t="n">
        <v>0</v>
      </c>
      <c r="V931" t="n">
        <v>0</v>
      </c>
    </row>
    <row r="932">
      <c r="A932">
        <f>Skills!A25</f>
        <v/>
      </c>
      <c r="B932">
        <f>Skills!B25</f>
        <v/>
      </c>
      <c r="C932">
        <f>Inputs!$B$3&gt;=72</f>
        <v/>
      </c>
      <c r="D932">
        <f>IF(Skills!C25=1,60+Inputs!$B$25+Inputs!$B$29,IF(Skills!C25=2,90+Inputs!$B$26+Inputs!$B$29,IF(Skills!C25=3,120+Inputs!$B$27+Inputs!$B$29,MAX(0,(Inputs!$B$3-100)*3)+(Inputs!$B$28+1)+Inputs!$B$29)))</f>
        <v/>
      </c>
      <c r="E932">
        <f>INDEX(FactorTable!$B$2:$Y$301, MATCH(ROUND(MIN(300,MAX(1,D932)),0), FactorTable!$A$2:$A$301,0), Skills!M25+1)</f>
        <v/>
      </c>
      <c r="F932">
        <f>IF(Skills!N25=TRUE,(Skills!L25/10)*(E932/1000),Skills!L25/10)+Skills!O25</f>
        <v/>
      </c>
      <c r="G932">
        <f>Skills!G25*IF(Skills!H25&gt;0,Skills!I25/Skills!H25,1)</f>
        <v/>
      </c>
      <c r="H932">
        <f>1-(1-Skills!J25/100)^Skills!K25</f>
        <v/>
      </c>
      <c r="I932" t="inlineStr">
        <is>
          <t>1</t>
        </is>
      </c>
      <c r="J932" t="inlineStr"/>
      <c r="K932" t="inlineStr"/>
      <c r="L932" t="inlineStr"/>
      <c r="M932" t="inlineStr"/>
      <c r="N932" t="inlineStr"/>
      <c r="O932">
        <f>(1-Summary!$B$11)*T932+Summary!$B$11*V932</f>
        <v/>
      </c>
      <c r="P932">
        <f>IF(B948=0,0,O932/B948)</f>
        <v/>
      </c>
      <c r="Q932" t="n">
        <v>0</v>
      </c>
      <c r="R932" t="n">
        <v>0</v>
      </c>
      <c r="S932">
        <f>IFERROR(O932/N932,0)</f>
        <v/>
      </c>
      <c r="T932" t="n">
        <v>0</v>
      </c>
      <c r="V932" t="n">
        <v>0</v>
      </c>
    </row>
    <row r="933">
      <c r="A933">
        <f>Skills!A26</f>
        <v/>
      </c>
      <c r="B933">
        <f>Skills!B26</f>
        <v/>
      </c>
      <c r="C933">
        <f>Inputs!$B$3&gt;=75</f>
        <v/>
      </c>
      <c r="D933">
        <f>IF(Skills!C26=1,60+Inputs!$B$25+Inputs!$B$29,IF(Skills!C26=2,90+Inputs!$B$26+Inputs!$B$29,IF(Skills!C26=3,120+Inputs!$B$27+Inputs!$B$29,MAX(0,(Inputs!$B$3-100)*3)+(Inputs!$B$28+1)+Inputs!$B$29)))</f>
        <v/>
      </c>
      <c r="E933">
        <f>INDEX(FactorTable!$B$2:$Y$301, MATCH(ROUND(MIN(300,MAX(1,D933)),0), FactorTable!$A$2:$A$301,0), Skills!M26+1)</f>
        <v/>
      </c>
      <c r="F933">
        <f>IF(Skills!N26=TRUE,(Skills!L26/10)*(E933/1000),Skills!L26/10)+Skills!O26</f>
        <v/>
      </c>
      <c r="G933">
        <f>Skills!G26*IF(Skills!H26&gt;0,Skills!I26/Skills!H26,1)</f>
        <v/>
      </c>
      <c r="H933">
        <f>1-(1-Skills!J26/100)^Skills!K26</f>
        <v/>
      </c>
      <c r="I933" t="inlineStr">
        <is>
          <t>1</t>
        </is>
      </c>
      <c r="J933" t="inlineStr"/>
      <c r="K933" t="inlineStr"/>
      <c r="L933" t="inlineStr"/>
      <c r="M933" t="inlineStr"/>
      <c r="N933" t="inlineStr"/>
      <c r="O933">
        <f>(1-Summary!$B$11)*T933+Summary!$B$11*V933</f>
        <v/>
      </c>
      <c r="P933">
        <f>IF(B948=0,0,O933/B948)</f>
        <v/>
      </c>
      <c r="Q933" t="n">
        <v>0</v>
      </c>
      <c r="R933" t="n">
        <v>0</v>
      </c>
      <c r="S933">
        <f>IFERROR(O933/N933,0)</f>
        <v/>
      </c>
      <c r="T933" t="n">
        <v>0</v>
      </c>
      <c r="V933" t="n">
        <v>0</v>
      </c>
    </row>
    <row r="934">
      <c r="A934">
        <f>Skills!A27</f>
        <v/>
      </c>
      <c r="B934">
        <f>Skills!B27</f>
        <v/>
      </c>
      <c r="C934">
        <f>Inputs!$B$3&gt;=117</f>
        <v/>
      </c>
      <c r="D934">
        <f>IF(Skills!C27=1,60+Inputs!$B$25+Inputs!$B$29,IF(Skills!C27=2,90+Inputs!$B$26+Inputs!$B$29,IF(Skills!C27=3,120+Inputs!$B$27+Inputs!$B$29,MAX(0,(Inputs!$B$3-100)*3)+(Inputs!$B$28+1)+Inputs!$B$29)))</f>
        <v/>
      </c>
      <c r="E934">
        <f>INDEX(FactorTable!$B$2:$Y$301, MATCH(ROUND(MIN(300,MAX(1,D934)),0), FactorTable!$A$2:$A$301,0), Skills!M27+1)</f>
        <v/>
      </c>
      <c r="F934">
        <f>IF(Skills!N27=TRUE,(Skills!L27/10)*(E934/1000),Skills!L27/10)+Skills!O27</f>
        <v/>
      </c>
      <c r="G934">
        <f>Skills!G27*IF(Skills!H27&gt;0,Skills!I27/Skills!H27,1)</f>
        <v/>
      </c>
      <c r="H934">
        <f>1-(1-Skills!J27/100)^Skills!K27</f>
        <v/>
      </c>
      <c r="I934" t="inlineStr">
        <is>
          <t>1</t>
        </is>
      </c>
      <c r="J934" t="inlineStr"/>
      <c r="K934" t="inlineStr"/>
      <c r="L934" t="inlineStr"/>
      <c r="M934" t="inlineStr"/>
      <c r="N934" t="inlineStr"/>
      <c r="O934">
        <f>(1-Summary!$B$11)*T934+Summary!$B$11*V934</f>
        <v/>
      </c>
      <c r="P934">
        <f>IF(B948=0,0,O934/B948)</f>
        <v/>
      </c>
      <c r="Q934" t="n">
        <v>0</v>
      </c>
      <c r="R934" t="n">
        <v>0</v>
      </c>
      <c r="S934">
        <f>IFERROR(O934/N934,0)</f>
        <v/>
      </c>
      <c r="T934" t="n">
        <v>0</v>
      </c>
      <c r="V934" t="n">
        <v>0</v>
      </c>
    </row>
    <row r="935">
      <c r="A935">
        <f>Skills!A28</f>
        <v/>
      </c>
      <c r="B935">
        <f>Skills!B28</f>
        <v/>
      </c>
      <c r="C935">
        <f>TRUE</f>
        <v/>
      </c>
      <c r="D935">
        <f>IF(Skills!C28=1,60+Inputs!$B$25+Inputs!$B$29,IF(Skills!C28=2,90+Inputs!$B$26+Inputs!$B$29,IF(Skills!C28=3,120+Inputs!$B$27+Inputs!$B$29,MAX(0,(Inputs!$B$3-100)*3)+(Inputs!$B$28+1)+Inputs!$B$29)))</f>
        <v/>
      </c>
      <c r="E935">
        <f>INDEX(FactorTable!$B$2:$Y$301, MATCH(ROUND(MIN(300,MAX(1,D935)),0), FactorTable!$A$2:$A$301,0), Skills!M28+1)</f>
        <v/>
      </c>
      <c r="F935">
        <f>IF(Skills!N28=TRUE,(Skills!L28/10)*(E935/1000),Skills!L28/10)+Skills!O28</f>
        <v/>
      </c>
      <c r="G935">
        <f>Skills!G28*IF(Skills!H28&gt;0,Skills!I28/Skills!H28,1)</f>
        <v/>
      </c>
      <c r="H935">
        <f>1-(1-Skills!J28/100)^Skills!K28</f>
        <v/>
      </c>
      <c r="I935" t="inlineStr">
        <is>
          <t>1</t>
        </is>
      </c>
      <c r="J935" t="inlineStr"/>
      <c r="K935" t="inlineStr"/>
      <c r="L935" t="inlineStr"/>
      <c r="M935" t="inlineStr"/>
      <c r="N935" t="inlineStr"/>
      <c r="O935">
        <f>(1-Summary!$B$11)*T935+Summary!$B$11*V935</f>
        <v/>
      </c>
      <c r="P935">
        <f>IF(B948=0,0,O935/B948)</f>
        <v/>
      </c>
      <c r="Q935">
        <f>IFERROR(1/(IF(Inputs!$B$38="pvp",15,MAX(0.1,Skills!D28-IF(Skills!E28=TRUE,Inputs!$B$32,0)))*(1-IF(AND(ArtifactsInput!$M$27,Inputs!$B$4="Chapter Hunt"),CHOOSE(ArtifactsInput!$N$27+1,20,24,28,32,36,40),0)/100)),0)</f>
        <v/>
      </c>
      <c r="R935">
        <f>IF(AND(Inputs!$B$38&lt;&gt;"pvp",Inputs!$B$43&gt;0),IF(Inputs!$B$43&lt;=0,0,(INT(Inputs!$B$43/(IF(Inputs!$B$38="pvp",15,MAX(0.1,Skills!D28-IF(Skills!E28=TRUE,Inputs!$B$32,0)))*(1-IF(AND(ArtifactsInput!$M$27,Inputs!$B$4="Chapter Hunt"),CHOOSE(ArtifactsInput!$N$27+1,20,24,28,32,36,40),0)/100)))+1)),0)</f>
        <v/>
      </c>
      <c r="S935">
        <f>IFERROR(O935/N935,0)</f>
        <v/>
      </c>
      <c r="T935" t="n">
        <v>0</v>
      </c>
      <c r="V935" t="n">
        <v>0</v>
      </c>
    </row>
    <row r="937">
      <c r="A937" t="inlineStr">
        <is>
          <t>Attack% Bucket Multiplier</t>
        </is>
      </c>
      <c r="B937">
        <f>(1+(((C924=TRUE)*F924*5/7)+((C931=TRUE)*(F931-Calc!F24))+(IF(ArtifactsInput!$M$21,CHOOSE(ArtifactsInput!$N$21+1,25,30,35,40,45,50)*(IF(OR(Inputs!$B$4="Chapter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38">
      <c r="A938" t="inlineStr">
        <is>
          <t>Global Crit Rate Bonus %</t>
        </is>
      </c>
      <c r="B938" t="n">
        <v>0</v>
      </c>
    </row>
    <row r="939">
      <c r="A939" t="inlineStr">
        <is>
          <t>Attack Speed Buff Bonus % (Nimble Feet, duty-cycle averaged)</t>
        </is>
      </c>
      <c r="B939">
        <f>((C935=TRUE)*F935*IF(AND(Inputs!$B$38&lt;&gt;"pvp",Inputs!$B$43&gt;0),(((R935-1)*(Skills!T28*(1+Inputs!$B$34/100))+MIN((Skills!T28*(1+Inputs!$B$34/100)),MAX(0,Inputs!$B$43-((R935-1)*Skills!D28))))/Inputs!$B$43),IF(Inputs!$B$38="pvp",MIN((Skills!T28*(1+Inputs!$B$34/100)),15)/15,(Skills!T28*(1+Inputs!$B$34/100))/Skills!D28)))</f>
        <v/>
      </c>
    </row>
    <row r="940">
      <c r="A940" t="inlineStr">
        <is>
          <t>Actions Per Second</t>
        </is>
      </c>
      <c r="B940">
        <f>1+MIN(150,150*(1-(1-(Inputs!$B$11+((C927=TRUE)*(F927-Calc!F20))+((C928=TRUE)*(F928-Calc!F21)))/150)*(1-B939/150)))/100</f>
        <v/>
      </c>
    </row>
    <row r="941">
      <c r="A941" t="inlineStr">
        <is>
          <t>Skill + Buff Cast Rate</t>
        </is>
      </c>
      <c r="B941">
        <f>IF(AND(Inputs!$B$38&lt;&gt;"pvp",Inputs!$B$43&gt;0),SUMPRODUCT((Skills!E2:E28=TRUE)*(C909:C935=TRUE)*R909:R935*Skills!F2:F28)/Inputs!$B$43,SUMPRODUCT((Skills!E2:E28=TRUE)*(C909:C935=TRUE)*Q909:Q935*Skills!F2:F28))</f>
        <v/>
      </c>
    </row>
    <row r="942">
      <c r="A942" t="inlineStr">
        <is>
          <t>Eight-Legs Easton Casts Per Second</t>
        </is>
      </c>
      <c r="B942">
        <f>MAX(0,B940-B941)</f>
        <v/>
      </c>
    </row>
    <row r="943">
      <c r="A943" t="inlineStr">
        <is>
          <t>Global Critical Damage Bonus % (unused)</t>
        </is>
      </c>
      <c r="B943" t="n">
        <v>0</v>
      </c>
    </row>
    <row r="944">
      <c r="A944" t="inlineStr">
        <is>
          <t>Global Final Damage Bonus % (Jolly Roger + Ahoy Mateys - Final Damage proc)</t>
        </is>
      </c>
      <c r="B944">
        <f>((C925=TRUE)*F925*IF(AND(Inputs!$B$38&lt;&gt;"pvp",Inputs!$B$43&gt;0),(((R925-1)*(Skills!T18*(1+Inputs!$B$34/100))+MIN((Skills!T18*(1+Inputs!$B$34/100)),MAX(0,Inputs!$B$43-((R925-1)*Skills!D18))))/Inputs!$B$43),IF(Inputs!$B$38="pvp",MIN((Skills!T18*(1+Inputs!$B$34/100)),15)/15,(Skills!T18*(1+Inputs!$B$34/100))/Skills!D18)))+IF(Inputs!$B$3&gt;=122,20*IF(Inputs!$B$38="pvp",MIN((20*(1+Inputs!$B$34/100)),15)/15,(20*(1+Inputs!$B$34/100))/Skills!D4),0)</f>
        <v/>
      </c>
    </row>
    <row r="945">
      <c r="A945" t="inlineStr">
        <is>
          <t>Buff-Casting Startup Delay (s, fixed-duration only)</t>
        </is>
      </c>
      <c r="B945">
        <f>IF(AND(Inputs!$B$38&lt;&gt;"pvp",Inputs!$B$43&gt;0),SUMPRODUCT((Skills!T2:T28&gt;0)*(Skills!E2:E28=TRUE)*(C909:C935=TRUE))/B940,0)</f>
        <v/>
      </c>
    </row>
    <row r="946">
      <c r="A946" t="inlineStr">
        <is>
          <t>Boss-Only Total DPS (this block's swept value)</t>
        </is>
      </c>
      <c r="B946">
        <f>SUM(T909:T935)</f>
        <v/>
      </c>
    </row>
    <row r="947">
      <c r="A947" t="inlineStr">
        <is>
          <t>Normal-Only Total DPS (this block's swept value)</t>
        </is>
      </c>
      <c r="B947">
        <f>SUM(V909:V935)</f>
        <v/>
      </c>
    </row>
    <row r="948">
      <c r="A948" s="6" t="inlineStr">
        <is>
          <t>TOTAL DPS</t>
        </is>
      </c>
      <c r="B948" s="6">
        <f>SUM(O909:O935)</f>
        <v/>
      </c>
    </row>
    <row r="951">
      <c r="A951" s="6" t="inlineStr">
        <is>
          <t>Stat: Skill Level Bonus — All Skills</t>
        </is>
      </c>
    </row>
    <row r="952">
      <c r="A952" s="5" t="inlineStr">
        <is>
          <t>Key</t>
        </is>
      </c>
      <c r="B952" s="5" t="inlineStr">
        <is>
          <t>Name</t>
        </is>
      </c>
      <c r="C952" s="5" t="inlineStr">
        <is>
          <t>Unlocked</t>
        </is>
      </c>
      <c r="D952" s="5" t="inlineStr">
        <is>
          <t>InputLevel</t>
        </is>
      </c>
      <c r="E952" s="5" t="inlineStr">
        <is>
          <t>Factor</t>
        </is>
      </c>
      <c r="F952" s="5" t="inlineStr">
        <is>
          <t>CoefficientPercent</t>
        </is>
      </c>
      <c r="G952" s="5" t="inlineStr">
        <is>
          <t>EffectiveHits</t>
        </is>
      </c>
      <c r="H952" s="5" t="inlineStr">
        <is>
          <t>ProcProbability</t>
        </is>
      </c>
      <c r="I952" s="5" t="inlineStr">
        <is>
          <t>MapleHeroMultiplier</t>
        </is>
      </c>
      <c r="J952" s="5" t="inlineStr">
        <is>
          <t>BaseDamage</t>
        </is>
      </c>
      <c r="K952" s="5" t="inlineStr">
        <is>
          <t>BaseHitDamage</t>
        </is>
      </c>
      <c r="L952" s="5" t="inlineStr">
        <is>
          <t>NonCritAvg</t>
        </is>
      </c>
      <c r="M952" s="5" t="inlineStr">
        <is>
          <t>CritAvg</t>
        </is>
      </c>
      <c r="N952" s="5" t="inlineStr">
        <is>
          <t>ExpectedDamage(perHit)</t>
        </is>
      </c>
      <c r="O952" s="5" t="inlineStr">
        <is>
          <t>DPS</t>
        </is>
      </c>
      <c r="P952" s="5" t="inlineStr">
        <is>
          <t>% of Total</t>
        </is>
      </c>
      <c r="Q952" s="5" t="inlineStr">
        <is>
          <t>InvCooldown</t>
        </is>
      </c>
      <c r="R952" s="5" t="inlineStr">
        <is>
          <t>CastsInFight</t>
        </is>
      </c>
      <c r="S952" s="5" t="inlineStr">
        <is>
          <t>HitRate(perSec)</t>
        </is>
      </c>
      <c r="U952" t="inlineStr">
        <is>
          <t>helpers</t>
        </is>
      </c>
    </row>
    <row r="953">
      <c r="A953">
        <f>Skills!A2</f>
        <v/>
      </c>
      <c r="B953">
        <f>Skills!B2</f>
        <v/>
      </c>
      <c r="C953">
        <f>Inputs!$B$3&gt;=100</f>
        <v/>
      </c>
      <c r="D953" t="inlineStr"/>
      <c r="E953" t="inlineStr"/>
      <c r="F953">
        <f>U955+Skills!O2</f>
        <v/>
      </c>
      <c r="G953">
        <f>Skills!G2*IF(Skills!H2&gt;0,Skills!I2/Skills!H2,1)</f>
        <v/>
      </c>
      <c r="H953">
        <f>1-(1-Skills!J2/100)^Skills!K2</f>
        <v/>
      </c>
      <c r="I953" t="inlineStr">
        <is>
          <t>1</t>
        </is>
      </c>
      <c r="J953">
        <f>((Inputs!$B$6*(1+Inputs!$B$7/100))+(((Inputs!$B$12*(1+Inputs!$B$13/100))-(Inputs!$B$12*(1+Inputs!$B$13/100)))+0.25*(Inputs!$B$14-Inputs!$B$14))*(1+Inputs!$B$7/100))*(F953/100)</f>
        <v/>
      </c>
      <c r="K953">
        <f>J953*(1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953)</f>
        <v/>
      </c>
      <c r="L953">
        <f>K953*(MIN(Inputs!$B$22+((C973=TRUE)*(F973-Calc!F22)),(Inputs!$B$23+0+(IF(ArtifactsInput!$M$15,CHOOSE(ArtifactsInput!$N$15+1,25,30,35,40,45,50)/100*(Inputs!$B$11-Inputs!$B$11),0))))/100+(Inputs!$B$23+0+(IF(ArtifactsInput!$M$15,CHOOSE(ArtifactsInput!$N$15+1,25,30,35,40,45,50)/100*(Inputs!$B$11-Inputs!$B$11),0)))/100)/2</f>
        <v/>
      </c>
      <c r="M953">
        <f>L953*(1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3">
        <f>L953*(1-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953*(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3">
        <f>(1-Summary!$B$11)*T953+Summary!$B$11*V953</f>
        <v/>
      </c>
      <c r="P953">
        <f>IF(B992=0,0,O953/B992)</f>
        <v/>
      </c>
      <c r="Q953" t="n">
        <v>0</v>
      </c>
      <c r="R953" t="n">
        <v>0</v>
      </c>
      <c r="S953">
        <f>IFERROR(O953/N953,0)</f>
        <v/>
      </c>
      <c r="T953">
        <f>IF(C953,(Skills!G2*N953*B986)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953*(1-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953*(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953*(1-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953*(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3">
        <f>MAX(0,(Inputs!$B$3-100)*3)+Inputs!$B$28+(Inputs!$B$29+1)</f>
        <v/>
      </c>
      <c r="V953">
        <f>IF(C953,(Skills!G2*N953*B986)*IF(Inputs!$B$38="pvp",1,(1+(Inputs!$B$21+Skills!Q2+(IF(ArtifactsInput!$M$33,CHOOSE(ArtifactsInput!$N$33+1,30,36,42,48,54,60),0))+(IF(AND(ArtifactsInput!$M$35,Inputs!$B$4&lt;&gt;"Chapter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4">
      <c r="A954">
        <f>Skills!A3</f>
        <v/>
      </c>
      <c r="B954">
        <f>Skills!B3</f>
        <v/>
      </c>
      <c r="C954">
        <f>Inputs!$B$3&gt;=35</f>
        <v/>
      </c>
      <c r="D954">
        <f>IF(Skills!C3=1,60+Inputs!$B$25+(Inputs!$B$29+1),IF(Skills!C3=2,90+Inputs!$B$26+(Inputs!$B$29+1),IF(Skills!C3=3,120+Inputs!$B$27+(Inputs!$B$29+1),MAX(0,(Inputs!$B$3-100)*3)+Inputs!$B$28+(Inputs!$B$29+1))))</f>
        <v/>
      </c>
      <c r="E954">
        <f>INDEX(FactorTable!$B$2:$Y$301, MATCH(ROUND(MIN(300,MAX(1,D954)),0), FactorTable!$A$2:$A$301,0), Skills!M3+1)</f>
        <v/>
      </c>
      <c r="F954">
        <f>IF(Skills!N3=TRUE,(Skills!L3/10)*(E954/1000),Skills!L3/10)+Skills!O3</f>
        <v/>
      </c>
      <c r="G954">
        <f>Skills!G3*IF(Skills!H3&gt;0,Skills!I3/Skills!H3,1)</f>
        <v/>
      </c>
      <c r="H954">
        <f>1-(1-Skills!J3/100)^Skills!K3</f>
        <v/>
      </c>
      <c r="I954" t="inlineStr">
        <is>
          <t>1</t>
        </is>
      </c>
      <c r="J954">
        <f>((Inputs!$B$6*(1+Inputs!$B$7/100))+(((Inputs!$B$12*(1+Inputs!$B$13/100))-(Inputs!$B$12*(1+Inputs!$B$13/100)))+0.25*(Inputs!$B$14-Inputs!$B$14))*(1+Inputs!$B$7/100))*(F954/100)</f>
        <v/>
      </c>
      <c r="K954">
        <f>J954*(1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966=TRUE,F966,0)/100)*(1+(IF(Skills!A3="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954)</f>
        <v/>
      </c>
      <c r="L954">
        <f>K954*(MIN(Inputs!$B$22+((C973=TRUE)*(F973-Calc!F22)),(Inputs!$B$23+0+(IF(ArtifactsInput!$M$15,CHOOSE(ArtifactsInput!$N$15+1,25,30,35,40,45,50)/100*(Inputs!$B$11-Inputs!$B$11),0))))/100+(Inputs!$B$23+0+(IF(ArtifactsInput!$M$15,CHOOSE(ArtifactsInput!$N$15+1,25,30,35,40,45,50)/100*(Inputs!$B$11-Inputs!$B$11),0)))/100)/2</f>
        <v/>
      </c>
      <c r="M954">
        <f>L954*(1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4">
        <f>L954*(1-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954*(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4">
        <f>(1-Summary!$B$11)*T954+Summary!$B$11*V954</f>
        <v/>
      </c>
      <c r="P954">
        <f>IF(B992=0,0,O954/B992)</f>
        <v/>
      </c>
      <c r="Q954">
        <f>IFERROR(1/(IF(Inputs!$B$38="pvp",15,MAX(0.1,Skills!D3-IF(Skills!E3=TRUE,Inputs!$B$32,0)))*(1-IF(AND(ArtifactsInput!$M$27,Inputs!$B$4="Chapter Hunt"),CHOOSE(ArtifactsInput!$N$27+1,20,24,28,32,36,40),0)/100)),0)</f>
        <v/>
      </c>
      <c r="R954">
        <f>IF(AND(Inputs!$B$38&lt;&gt;"pvp",Inputs!$B$43&gt;0),IF(MAX(0,Inputs!$B$43-B989)&lt;=0,0,(INT(MAX(0,Inputs!$B$43-B989)/(IF(Inputs!$B$38="pvp",15,MAX(0.1,Skills!D3-IF(Skills!E3=TRUE,Inputs!$B$32,0)))*(1-IF(AND(ArtifactsInput!$M$27,Inputs!$B$4="Chapter Hunt"),CHOOSE(ArtifactsInput!$N$27+1,20,24,28,32,36,40),0)/100)))+1)),0)</f>
        <v/>
      </c>
      <c r="S954">
        <f>IFERROR(O954/N954,0)</f>
        <v/>
      </c>
      <c r="T954">
        <f>IF(C954,(H954*N954*IF(AND(Inputs!$B$38&lt;&gt;"pvp",Inputs!$B$43&gt;0),((Skills!G3*((R954-1)*IF(Skills!H3&gt;0,Skills!I3/Skills!H3,1)+IF(Skills!H3&gt;0,MIN(Skills!I3,MAX(0,MAX(0,Inputs!$B$43-B989)-((R954-1)*(IF(Inputs!$B$38="pvp",15,MAX(0.1,Skills!D3-IF(Skills!E3=TRUE,Inputs!$B$32,0)))*(1-IF(AND(ArtifactsInput!$M$27,Inputs!$B$4="Chapter Hunt"),CHOOSE(ArtifactsInput!$N$27+1,20,24,28,32,36,40),0)/100)))))/Skills!H3,1)))/Inputs!$B$43),G954*Q954)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954*(1-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954*(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954*(1-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954*(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4">
        <f>INDEX(FactorTable!$B$2:$Y$301, MATCH(ROUND(MIN(300,MAX(1,U953)),0), FactorTable!$A$2:$A$301,0), 22)</f>
        <v/>
      </c>
      <c r="V954">
        <f>IF(C954,(H954*N954*IF(AND(Inputs!$B$38&lt;&gt;"pvp",Inputs!$B$43&gt;0),((Skills!G3*((R954-1)*IF(Skills!H3&gt;0,Skills!I3/Skills!H3,1)+IF(Skills!H3&gt;0,MIN(Skills!I3,MAX(0,MAX(0,Inputs!$B$43-B989)-((R954-1)*(IF(Inputs!$B$38="pvp",15,MAX(0.1,Skills!D3-IF(Skills!E3=TRUE,Inputs!$B$32,0)))*(1-IF(AND(ArtifactsInput!$M$27,Inputs!$B$4="Chapter Hunt"),CHOOSE(ArtifactsInput!$N$27+1,20,24,28,32,36,40),0)/100)))))/Skills!H3,1)))/Inputs!$B$43),G954*Q954))*IF(Inputs!$B$38="pvp",1,(1+(Inputs!$B$21+Skills!Q3+(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5">
      <c r="A955">
        <f>Skills!A4</f>
        <v/>
      </c>
      <c r="B955">
        <f>Skills!B4</f>
        <v/>
      </c>
      <c r="C955">
        <f>Inputs!$B$3&gt;=40</f>
        <v/>
      </c>
      <c r="D955">
        <f>IF(Skills!C4=1,60+Inputs!$B$25+(Inputs!$B$29+1),IF(Skills!C4=2,90+Inputs!$B$26+(Inputs!$B$29+1),IF(Skills!C4=3,120+Inputs!$B$27+(Inputs!$B$29+1),MAX(0,(Inputs!$B$3-100)*3)+Inputs!$B$28+(Inputs!$B$29+1))))</f>
        <v/>
      </c>
      <c r="E955">
        <f>INDEX(FactorTable!$B$2:$Y$301, MATCH(ROUND(MIN(300,MAX(1,D955)),0), FactorTable!$A$2:$A$301,0), Skills!M4+1)</f>
        <v/>
      </c>
      <c r="F955">
        <f>IF(Skills!N4=TRUE,(Skills!L4/10)*(E955/1000),Skills!L4/10)+Skills!O4</f>
        <v/>
      </c>
      <c r="G955">
        <f>Skills!G4*IF(Skills!H4&gt;0,Skills!I4/Skills!H4,1)</f>
        <v/>
      </c>
      <c r="H955">
        <f>1-(1-Skills!J4/100)^Skills!K4</f>
        <v/>
      </c>
      <c r="I955" t="inlineStr">
        <is>
          <t>1</t>
        </is>
      </c>
      <c r="J955">
        <f>((Inputs!$B$6*(1+Inputs!$B$7/100))+(((Inputs!$B$12*(1+Inputs!$B$13/100))-(Inputs!$B$12*(1+Inputs!$B$13/100)))+0.25*(Inputs!$B$14-Inputs!$B$14))*(1+Inputs!$B$7/100))*(F955/100)</f>
        <v/>
      </c>
      <c r="K955">
        <f>J955*(1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967=TRUE,F967,0)/100)*(1+(IF(Skills!A4="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955)</f>
        <v/>
      </c>
      <c r="L955">
        <f>K955*(MIN(Inputs!$B$22+((C973=TRUE)*(F973-Calc!F22)),(Inputs!$B$23+0+(IF(ArtifactsInput!$M$15,CHOOSE(ArtifactsInput!$N$15+1,25,30,35,40,45,50)/100*(Inputs!$B$11-Inputs!$B$11),0))))/100+(Inputs!$B$23+0+(IF(ArtifactsInput!$M$15,CHOOSE(ArtifactsInput!$N$15+1,25,30,35,40,45,50)/100*(Inputs!$B$11-Inputs!$B$11),0)))/100)/2</f>
        <v/>
      </c>
      <c r="M955">
        <f>L955*(1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5">
        <f>L955*(1-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955*(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5">
        <f>(1-Summary!$B$11)*T955+Summary!$B$11*V955</f>
        <v/>
      </c>
      <c r="P955">
        <f>IF(B992=0,0,O955/B992)</f>
        <v/>
      </c>
      <c r="Q955">
        <f>IFERROR(1/(IF(Inputs!$B$38="pvp",15,MAX(0.1,Skills!D4-IF(Skills!E4=TRUE,Inputs!$B$32,0)))*(1-IF(AND(ArtifactsInput!$M$27,Inputs!$B$4="Chapter Hunt"),CHOOSE(ArtifactsInput!$N$27+1,20,24,28,32,36,40),0)/100)),0)</f>
        <v/>
      </c>
      <c r="R955">
        <f>IF(AND(Inputs!$B$38&lt;&gt;"pvp",Inputs!$B$43&gt;0),IF(MAX(0,Inputs!$B$43-B989)&lt;=0,0,(INT(MAX(0,Inputs!$B$43-B989)/(IF(Inputs!$B$38="pvp",15,MAX(0.1,Skills!D4-IF(Skills!E4=TRUE,Inputs!$B$32,0)))*(1-IF(AND(ArtifactsInput!$M$27,Inputs!$B$4="Chapter Hunt"),CHOOSE(ArtifactsInput!$N$27+1,20,24,28,32,36,40),0)/100)))+1)),0)</f>
        <v/>
      </c>
      <c r="S955">
        <f>IFERROR(O955/N955,0)</f>
        <v/>
      </c>
      <c r="T955">
        <f>IF(C955,(H955*N955*IF(AND(Inputs!$B$38&lt;&gt;"pvp",Inputs!$B$43&gt;0),((Skills!G4*((R955-1)*IF(Skills!H4&gt;0,Skills!I4/Skills!H4,1)+IF(Skills!H4&gt;0,MIN(Skills!I4,MAX(0,MAX(0,Inputs!$B$43-B989)-((R955-1)*(IF(Inputs!$B$38="pvp",15,MAX(0.1,Skills!D4-IF(Skills!E4=TRUE,Inputs!$B$32,0)))*(1-IF(AND(ArtifactsInput!$M$27,Inputs!$B$4="Chapter Hunt"),CHOOSE(ArtifactsInput!$N$27+1,20,24,28,32,36,40),0)/100)))))/Skills!H4,1)))/Inputs!$B$43),G955*Q955)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955*(1-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955*(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955*(1-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955*(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5">
        <f>290*U954/1000</f>
        <v/>
      </c>
      <c r="V955">
        <f>IF(C955,(H955*N955*IF(AND(Inputs!$B$38&lt;&gt;"pvp",Inputs!$B$43&gt;0),((Skills!G4*((R955-1)*IF(Skills!H4&gt;0,Skills!I4/Skills!H4,1)+IF(Skills!H4&gt;0,MIN(Skills!I4,MAX(0,MAX(0,Inputs!$B$43-B989)-((R955-1)*(IF(Inputs!$B$38="pvp",15,MAX(0.1,Skills!D4-IF(Skills!E4=TRUE,Inputs!$B$32,0)))*(1-IF(AND(ArtifactsInput!$M$27,Inputs!$B$4="Chapter Hunt"),CHOOSE(ArtifactsInput!$N$27+1,20,24,28,32,36,40),0)/100)))))/Skills!H4,1)))/Inputs!$B$43),G955*Q955))*IF(Inputs!$B$38="pvp",1,(1+(Inputs!$B$21+Skills!Q4+(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6">
      <c r="A956">
        <f>Skills!A5</f>
        <v/>
      </c>
      <c r="B956">
        <f>Skills!B5</f>
        <v/>
      </c>
      <c r="C956">
        <f>Inputs!$B$3&gt;=45</f>
        <v/>
      </c>
      <c r="D956">
        <f>IF(Skills!C5=1,60+Inputs!$B$25+(Inputs!$B$29+1),IF(Skills!C5=2,90+Inputs!$B$26+(Inputs!$B$29+1),IF(Skills!C5=3,120+Inputs!$B$27+(Inputs!$B$29+1),MAX(0,(Inputs!$B$3-100)*3)+Inputs!$B$28+(Inputs!$B$29+1))))</f>
        <v/>
      </c>
      <c r="E956">
        <f>INDEX(FactorTable!$B$2:$Y$301, MATCH(ROUND(MIN(300,MAX(1,D956)),0), FactorTable!$A$2:$A$301,0), Skills!M5+1)</f>
        <v/>
      </c>
      <c r="F956">
        <f>IF(Skills!N5=TRUE,(Skills!L5/10)*(E956/1000),Skills!L5/10)+Skills!O5</f>
        <v/>
      </c>
      <c r="G956">
        <f>Skills!G5*IF(Skills!H5&gt;0,Skills!I5/Skills!H5,1)</f>
        <v/>
      </c>
      <c r="H956">
        <f>1-(1-Skills!J5/100)^Skills!K5</f>
        <v/>
      </c>
      <c r="I956" t="inlineStr">
        <is>
          <t>1</t>
        </is>
      </c>
      <c r="J956">
        <f>((Inputs!$B$6*(1+Inputs!$B$7/100))+(((Inputs!$B$12*(1+Inputs!$B$13/100))-(Inputs!$B$12*(1+Inputs!$B$13/100)))+0.25*(Inputs!$B$14-Inputs!$B$14))*(1+Inputs!$B$7/100))*(F956/100)</f>
        <v/>
      </c>
      <c r="K956">
        <f>J956*(1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967=TRUE,F967,0)/100)*(1+(IF(Skills!A5="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956)</f>
        <v/>
      </c>
      <c r="L956">
        <f>K956*(MIN(Inputs!$B$22+((C973=TRUE)*(F973-Calc!F22)),(Inputs!$B$23+0+(IF(ArtifactsInput!$M$15,CHOOSE(ArtifactsInput!$N$15+1,25,30,35,40,45,50)/100*(Inputs!$B$11-Inputs!$B$11),0))))/100+(Inputs!$B$23+0+(IF(ArtifactsInput!$M$15,CHOOSE(ArtifactsInput!$N$15+1,25,30,35,40,45,50)/100*(Inputs!$B$11-Inputs!$B$11),0)))/100)/2</f>
        <v/>
      </c>
      <c r="M956">
        <f>L956*(1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6">
        <f>L956*(1-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956*(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6">
        <f>(1-Summary!$B$11)*T956+Summary!$B$11*V956</f>
        <v/>
      </c>
      <c r="P956">
        <f>IF(B992=0,0,O956/B992)</f>
        <v/>
      </c>
      <c r="Q956">
        <f>IFERROR(1/(IF(Inputs!$B$38="pvp",15,MAX(0.1,Skills!D5-IF(Skills!E5=TRUE,Inputs!$B$32,0)))*(1-IF(AND(ArtifactsInput!$M$27,Inputs!$B$4="Chapter Hunt"),CHOOSE(ArtifactsInput!$N$27+1,20,24,28,32,36,40),0)/100)),0)</f>
        <v/>
      </c>
      <c r="R956">
        <f>IF(AND(Inputs!$B$38&lt;&gt;"pvp",Inputs!$B$43&gt;0),IF(MAX(0,Inputs!$B$43-B989)&lt;=0,0,(INT(MAX(0,Inputs!$B$43-B989)/(IF(Inputs!$B$38="pvp",15,MAX(0.1,Skills!D5-IF(Skills!E5=TRUE,Inputs!$B$32,0)))*(1-IF(AND(ArtifactsInput!$M$27,Inputs!$B$4="Chapter Hunt"),CHOOSE(ArtifactsInput!$N$27+1,20,24,28,32,36,40),0)/100)))+1)),0)</f>
        <v/>
      </c>
      <c r="S956">
        <f>IFERROR(O956/N956,0)</f>
        <v/>
      </c>
      <c r="T956">
        <f>IF(C956,(H956*N956*IF(AND(Inputs!$B$38&lt;&gt;"pvp",Inputs!$B$43&gt;0),((Skills!G5*((R956-1)*IF(Skills!H5&gt;0,Skills!I5/Skills!H5,1)+IF(Skills!H5&gt;0,MIN(Skills!I5,MAX(0,MAX(0,Inputs!$B$43-B989)-((R956-1)*(IF(Inputs!$B$38="pvp",15,MAX(0.1,Skills!D5-IF(Skills!E5=TRUE,Inputs!$B$32,0)))*(1-IF(AND(ArtifactsInput!$M$27,Inputs!$B$4="Chapter Hunt"),CHOOSE(ArtifactsInput!$N$27+1,20,24,28,32,36,40),0)/100)))))/Skills!H5,1)))/Inputs!$B$43),G956*Q956)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956*(1-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956*(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956*(1-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956*(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6">
        <f>IF(C956,(H956*N956*IF(AND(Inputs!$B$38&lt;&gt;"pvp",Inputs!$B$43&gt;0),((Skills!G5*((R956-1)*IF(Skills!H5&gt;0,Skills!I5/Skills!H5,1)+IF(Skills!H5&gt;0,MIN(Skills!I5,MAX(0,MAX(0,Inputs!$B$43-B989)-((R956-1)*(IF(Inputs!$B$38="pvp",15,MAX(0.1,Skills!D5-IF(Skills!E5=TRUE,Inputs!$B$32,0)))*(1-IF(AND(ArtifactsInput!$M$27,Inputs!$B$4="Chapter Hunt"),CHOOSE(ArtifactsInput!$N$27+1,20,24,28,32,36,40),0)/100)))))/Skills!H5,1)))/Inputs!$B$43),G956*Q956))*IF(Inputs!$B$38="pvp",1,(1+(Inputs!$B$21+Skills!Q5+(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7">
      <c r="A957">
        <f>Skills!A6</f>
        <v/>
      </c>
      <c r="B957">
        <f>Skills!B6</f>
        <v/>
      </c>
      <c r="C957">
        <f>Inputs!$B$3&gt;=63</f>
        <v/>
      </c>
      <c r="D957">
        <f>IF(Skills!C6=1,60+Inputs!$B$25+(Inputs!$B$29+1),IF(Skills!C6=2,90+Inputs!$B$26+(Inputs!$B$29+1),IF(Skills!C6=3,120+Inputs!$B$27+(Inputs!$B$29+1),MAX(0,(Inputs!$B$3-100)*3)+Inputs!$B$28+(Inputs!$B$29+1))))</f>
        <v/>
      </c>
      <c r="E957">
        <f>INDEX(FactorTable!$B$2:$Y$301, MATCH(ROUND(MIN(300,MAX(1,D957)),0), FactorTable!$A$2:$A$301,0), Skills!M6+1)</f>
        <v/>
      </c>
      <c r="F957">
        <f>IF(Skills!N6=TRUE,(Skills!L6/10)*(E957/1000),Skills!L6/10)+Skills!O6</f>
        <v/>
      </c>
      <c r="G957">
        <f>Skills!G6*IF(Skills!H6&gt;0,Skills!I6/Skills!H6,1)</f>
        <v/>
      </c>
      <c r="H957">
        <f>1-(1-Skills!J6/100)^Skills!K6</f>
        <v/>
      </c>
      <c r="I957" t="inlineStr">
        <is>
          <t>1</t>
        </is>
      </c>
      <c r="J957">
        <f>((Inputs!$B$6*(1+Inputs!$B$7/100))+(((Inputs!$B$12*(1+Inputs!$B$13/100))-(Inputs!$B$12*(1+Inputs!$B$13/100)))+0.25*(Inputs!$B$14-Inputs!$B$14))*(1+Inputs!$B$7/100))*(F957/100)</f>
        <v/>
      </c>
      <c r="K957">
        <f>J957*(1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966=TRUE,F966,0)/100)*(1+(IF(Skills!A6="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957)</f>
        <v/>
      </c>
      <c r="L957">
        <f>K957*(MIN(Inputs!$B$22+((C973=TRUE)*(F973-Calc!F22)),(Inputs!$B$23+0+(IF(ArtifactsInput!$M$15,CHOOSE(ArtifactsInput!$N$15+1,25,30,35,40,45,50)/100*(Inputs!$B$11-Inputs!$B$11),0))))/100+(Inputs!$B$23+0+(IF(ArtifactsInput!$M$15,CHOOSE(ArtifactsInput!$N$15+1,25,30,35,40,45,50)/100*(Inputs!$B$11-Inputs!$B$11),0)))/100)/2</f>
        <v/>
      </c>
      <c r="M957">
        <f>L957*(1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7">
        <f>L957*(1-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957*(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7">
        <f>(1-Summary!$B$11)*T957+Summary!$B$11*V957</f>
        <v/>
      </c>
      <c r="P957">
        <f>IF(B992=0,0,O957/B992)</f>
        <v/>
      </c>
      <c r="Q957">
        <f>IFERROR(1/(IF(Inputs!$B$38="pvp",15,MAX(0.1,Skills!D6-IF(Skills!E6=TRUE,Inputs!$B$32,0)))*(1-IF(AND(ArtifactsInput!$M$27,Inputs!$B$4="Chapter Hunt"),CHOOSE(ArtifactsInput!$N$27+1,20,24,28,32,36,40),0)/100)),0)</f>
        <v/>
      </c>
      <c r="R957">
        <f>IF(AND(Inputs!$B$38&lt;&gt;"pvp",Inputs!$B$43&gt;0),IF(MAX(0,Inputs!$B$43-B989)&lt;=0,0,(INT(MAX(0,Inputs!$B$43-B989)/(IF(Inputs!$B$38="pvp",15,MAX(0.1,Skills!D6-IF(Skills!E6=TRUE,Inputs!$B$32,0)))*(1-IF(AND(ArtifactsInput!$M$27,Inputs!$B$4="Chapter Hunt"),CHOOSE(ArtifactsInput!$N$27+1,20,24,28,32,36,40),0)/100)))+1)),0)</f>
        <v/>
      </c>
      <c r="S957">
        <f>IFERROR(O957/N957,0)</f>
        <v/>
      </c>
      <c r="T957">
        <f>IF(C957,(H957*N957*IF(AND(Inputs!$B$38&lt;&gt;"pvp",Inputs!$B$43&gt;0),((Skills!G6*((R957-1)*IF(Skills!H6&gt;0,Skills!I6/Skills!H6,1)+IF(Skills!H6&gt;0,MIN(Skills!I6,MAX(0,MAX(0,Inputs!$B$43-B989)-((R957-1)*(IF(Inputs!$B$38="pvp",15,MAX(0.1,Skills!D6-IF(Skills!E6=TRUE,Inputs!$B$32,0)))*(1-IF(AND(ArtifactsInput!$M$27,Inputs!$B$4="Chapter Hunt"),CHOOSE(ArtifactsInput!$N$27+1,20,24,28,32,36,40),0)/100)))))/Skills!H6,1)))/Inputs!$B$43),G957*Q957)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957*(1-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957*(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957*(1-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957*(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7">
        <f>IF(C957,(H957*N957*IF(AND(Inputs!$B$38&lt;&gt;"pvp",Inputs!$B$43&gt;0),((Skills!G6*((R957-1)*IF(Skills!H6&gt;0,Skills!I6/Skills!H6,1)+IF(Skills!H6&gt;0,MIN(Skills!I6,MAX(0,MAX(0,Inputs!$B$43-B989)-((R957-1)*(IF(Inputs!$B$38="pvp",15,MAX(0.1,Skills!D6-IF(Skills!E6=TRUE,Inputs!$B$32,0)))*(1-IF(AND(ArtifactsInput!$M$27,Inputs!$B$4="Chapter Hunt"),CHOOSE(ArtifactsInput!$N$27+1,20,24,28,32,36,40),0)/100)))))/Skills!H6,1)))/Inputs!$B$43),G957*Q957))*IF(Inputs!$B$38="pvp",1,(1+(Inputs!$B$21+Skills!Q6+(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8">
      <c r="A958">
        <f>Skills!A7</f>
        <v/>
      </c>
      <c r="B958">
        <f>Skills!B7</f>
        <v/>
      </c>
      <c r="C958">
        <f>Inputs!$B$3&gt;=66</f>
        <v/>
      </c>
      <c r="D958">
        <f>IF(Skills!C7=1,60+Inputs!$B$25+(Inputs!$B$29+1),IF(Skills!C7=2,90+Inputs!$B$26+(Inputs!$B$29+1),IF(Skills!C7=3,120+Inputs!$B$27+(Inputs!$B$29+1),MAX(0,(Inputs!$B$3-100)*3)+Inputs!$B$28+(Inputs!$B$29+1))))</f>
        <v/>
      </c>
      <c r="E958">
        <f>INDEX(FactorTable!$B$2:$Y$301, MATCH(ROUND(MIN(300,MAX(1,D958)),0), FactorTable!$A$2:$A$301,0), Skills!M7+1)</f>
        <v/>
      </c>
      <c r="F958">
        <f>IF(Skills!N7=TRUE,(Skills!L7/10)*(E958/1000),Skills!L7/10)+Skills!O7</f>
        <v/>
      </c>
      <c r="G958">
        <f>Skills!G7*IF(Skills!H7&gt;0,Skills!I7/Skills!H7,1)</f>
        <v/>
      </c>
      <c r="H958">
        <f>1-(1-Skills!J7/100)^Skills!K7</f>
        <v/>
      </c>
      <c r="I958" t="inlineStr">
        <is>
          <t>1</t>
        </is>
      </c>
      <c r="J958">
        <f>((Inputs!$B$6*(1+Inputs!$B$7/100))+(((Inputs!$B$12*(1+Inputs!$B$13/100))-(Inputs!$B$12*(1+Inputs!$B$13/100)))+0.25*(Inputs!$B$14-Inputs!$B$14))*(1+Inputs!$B$7/100))*(F958/100)</f>
        <v/>
      </c>
      <c r="K958">
        <f>J958*(1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966=TRUE,F966,0)/100)*(1+(IF(Skills!A7="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958)</f>
        <v/>
      </c>
      <c r="L958">
        <f>K958*(MIN(Inputs!$B$22+((C973=TRUE)*(F973-Calc!F22)),(Inputs!$B$23+0+(IF(ArtifactsInput!$M$15,CHOOSE(ArtifactsInput!$N$15+1,25,30,35,40,45,50)/100*(Inputs!$B$11-Inputs!$B$11),0))))/100+(Inputs!$B$23+0+(IF(ArtifactsInput!$M$15,CHOOSE(ArtifactsInput!$N$15+1,25,30,35,40,45,50)/100*(Inputs!$B$11-Inputs!$B$11),0)))/100)/2</f>
        <v/>
      </c>
      <c r="M958">
        <f>L958*(1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8">
        <f>L958*(1-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958*(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8">
        <f>(1-Summary!$B$11)*T958+Summary!$B$11*V958</f>
        <v/>
      </c>
      <c r="P958">
        <f>IF(B992=0,0,O958/B992)</f>
        <v/>
      </c>
      <c r="Q958">
        <f>IFERROR(1/(IF(Inputs!$B$38="pvp",15,MAX(0.1,Skills!D7-IF(Skills!E7=TRUE,Inputs!$B$32,0)))*(1-IF(AND(ArtifactsInput!$M$27,Inputs!$B$4="Chapter Hunt"),CHOOSE(ArtifactsInput!$N$27+1,20,24,28,32,36,40),0)/100)),0)</f>
        <v/>
      </c>
      <c r="R958">
        <f>IF(AND(Inputs!$B$38&lt;&gt;"pvp",Inputs!$B$43&gt;0),IF(MAX(0,Inputs!$B$43-B989)&lt;=0,0,(INT(MAX(0,Inputs!$B$43-B989)/(IF(Inputs!$B$38="pvp",15,MAX(0.1,Skills!D7-IF(Skills!E7=TRUE,Inputs!$B$32,0)))*(1-IF(AND(ArtifactsInput!$M$27,Inputs!$B$4="Chapter Hunt"),CHOOSE(ArtifactsInput!$N$27+1,20,24,28,32,36,40),0)/100)))+1)),0)</f>
        <v/>
      </c>
      <c r="S958">
        <f>IFERROR(O958/N958,0)</f>
        <v/>
      </c>
      <c r="T958">
        <f>IF(C958,(H958*N958*IF(AND(Inputs!$B$38&lt;&gt;"pvp",Inputs!$B$43&gt;0),((Skills!G7*((R958-1)*IF(Skills!H7&gt;0,Skills!I7/Skills!H7,1)+IF(Skills!H7&gt;0,MIN(Skills!I7,MAX(0,MAX(0,Inputs!$B$43-B989)-((R958-1)*(IF(Inputs!$B$38="pvp",15,MAX(0.1,Skills!D7-IF(Skills!E7=TRUE,Inputs!$B$32,0)))*(1-IF(AND(ArtifactsInput!$M$27,Inputs!$B$4="Chapter Hunt"),CHOOSE(ArtifactsInput!$N$27+1,20,24,28,32,36,40),0)/100)))))/Skills!H7,1)))/Inputs!$B$43),G958*Q958)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958*(1-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958*(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958*(1-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958*(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8">
        <f>IF(C958,(H958*N958*IF(AND(Inputs!$B$38&lt;&gt;"pvp",Inputs!$B$43&gt;0),((Skills!G7*((R958-1)*IF(Skills!H7&gt;0,Skills!I7/Skills!H7,1)+IF(Skills!H7&gt;0,MIN(Skills!I7,MAX(0,MAX(0,Inputs!$B$43-B989)-((R958-1)*(IF(Inputs!$B$38="pvp",15,MAX(0.1,Skills!D7-IF(Skills!E7=TRUE,Inputs!$B$32,0)))*(1-IF(AND(ArtifactsInput!$M$27,Inputs!$B$4="Chapter Hunt"),CHOOSE(ArtifactsInput!$N$27+1,20,24,28,32,36,40),0)/100)))))/Skills!H7,1)))/Inputs!$B$43),G958*Q958))*IF(Inputs!$B$38="pvp",1,(1+(Inputs!$B$21+Skills!Q7+(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9">
      <c r="A959">
        <f>Skills!A8</f>
        <v/>
      </c>
      <c r="B959">
        <f>Skills!B8</f>
        <v/>
      </c>
      <c r="C959">
        <f>Inputs!$B$3&gt;=100</f>
        <v/>
      </c>
      <c r="D959">
        <f>IF(Skills!C8=1,60+Inputs!$B$25+(Inputs!$B$29+1),IF(Skills!C8=2,90+Inputs!$B$26+(Inputs!$B$29+1),IF(Skills!C8=3,120+Inputs!$B$27+(Inputs!$B$29+1),MAX(0,(Inputs!$B$3-100)*3)+Inputs!$B$28+(Inputs!$B$29+1))))</f>
        <v/>
      </c>
      <c r="E959">
        <f>INDEX(FactorTable!$B$2:$Y$301, MATCH(ROUND(MIN(300,MAX(1,D959)),0), FactorTable!$A$2:$A$301,0), Skills!M8+1)</f>
        <v/>
      </c>
      <c r="F959">
        <f>IF(Skills!N8=TRUE,(Skills!L8/10)*(E959/1000),Skills!L8/10)+Skills!O8</f>
        <v/>
      </c>
      <c r="G959">
        <f>Skills!G8*IF(Skills!H8&gt;0,Skills!I8/Skills!H8,1)</f>
        <v/>
      </c>
      <c r="H959">
        <f>1-(1-Skills!J8/100)^Skills!K8</f>
        <v/>
      </c>
      <c r="I959" t="inlineStr">
        <is>
          <t>1</t>
        </is>
      </c>
      <c r="J959">
        <f>((Inputs!$B$6*(1+Inputs!$B$7/100))+(((Inputs!$B$12*(1+Inputs!$B$13/100))-(Inputs!$B$12*(1+Inputs!$B$13/100)))+0.25*(Inputs!$B$14-Inputs!$B$14))*(1+Inputs!$B$7/100))*(F959/100)</f>
        <v/>
      </c>
      <c r="K959">
        <f>J959*(1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959)</f>
        <v/>
      </c>
      <c r="L959">
        <f>K959*(MIN(Inputs!$B$22+((C973=TRUE)*(F973-Calc!F22)),(Inputs!$B$23+0+(IF(ArtifactsInput!$M$15,CHOOSE(ArtifactsInput!$N$15+1,25,30,35,40,45,50)/100*(Inputs!$B$11-Inputs!$B$11),0))))/100+(Inputs!$B$23+0+(IF(ArtifactsInput!$M$15,CHOOSE(ArtifactsInput!$N$15+1,25,30,35,40,45,50)/100*(Inputs!$B$11-Inputs!$B$11),0)))/100)/2</f>
        <v/>
      </c>
      <c r="M959">
        <f>L959*(1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9">
        <f>L959*(1-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959*(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9">
        <f>(1-Summary!$B$11)*T959+Summary!$B$11*V959</f>
        <v/>
      </c>
      <c r="P959">
        <f>IF(B992=0,0,O959/B992)</f>
        <v/>
      </c>
      <c r="Q959">
        <f>IFERROR(1/(IF(Inputs!$B$38="pvp",15,MAX(0.1,Skills!D8-IF(Skills!E8=TRUE,Inputs!$B$32,0)))*(1-IF(AND(ArtifactsInput!$M$27,Inputs!$B$4="Chapter Hunt"),CHOOSE(ArtifactsInput!$N$27+1,20,24,28,32,36,40),0)/100)),0)</f>
        <v/>
      </c>
      <c r="R959">
        <f>IF(AND(Inputs!$B$38&lt;&gt;"pvp",Inputs!$B$43&gt;0),IF(MAX(0,Inputs!$B$43-B989)&lt;=0,0,(INT(MAX(0,Inputs!$B$43-B989)/(IF(Inputs!$B$38="pvp",15,MAX(0.1,Skills!D8-IF(Skills!E8=TRUE,Inputs!$B$32,0)))*(1-IF(AND(ArtifactsInput!$M$27,Inputs!$B$4="Chapter Hunt"),CHOOSE(ArtifactsInput!$N$27+1,20,24,28,32,36,40),0)/100)))+1)),0)</f>
        <v/>
      </c>
      <c r="S959">
        <f>IFERROR(O959/N959,0)</f>
        <v/>
      </c>
      <c r="T959">
        <f>IF(C959,(H959*N959*IF(AND(Inputs!$B$38&lt;&gt;"pvp",Inputs!$B$43&gt;0),((Skills!G8*((R959-1)*IF(Skills!H8&gt;0,Skills!I8/Skills!H8,1)+IF(Skills!H8&gt;0,MIN(Skills!I8,MAX(0,MAX(0,Inputs!$B$43-B989)-((R959-1)*(IF(Inputs!$B$38="pvp",15,MAX(0.1,Skills!D8-IF(Skills!E8=TRUE,Inputs!$B$32,0)))*(1-IF(AND(ArtifactsInput!$M$27,Inputs!$B$4="Chapter Hunt"),CHOOSE(ArtifactsInput!$N$27+1,20,24,28,32,36,40),0)/100)))))/Skills!H8,1)))/Inputs!$B$43),G959*Q959)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959*(1-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959*(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959*(1-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959*(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9">
        <f>IF(C959,(H959*N959*IF(AND(Inputs!$B$38&lt;&gt;"pvp",Inputs!$B$43&gt;0),((Skills!G8*((R959-1)*IF(Skills!H8&gt;0,Skills!I8/Skills!H8,1)+IF(Skills!H8&gt;0,MIN(Skills!I8,MAX(0,MAX(0,Inputs!$B$43-B989)-((R959-1)*(IF(Inputs!$B$38="pvp",15,MAX(0.1,Skills!D8-IF(Skills!E8=TRUE,Inputs!$B$32,0)))*(1-IF(AND(ArtifactsInput!$M$27,Inputs!$B$4="Chapter Hunt"),CHOOSE(ArtifactsInput!$N$27+1,20,24,28,32,36,40),0)/100)))))/Skills!H8,1)))/Inputs!$B$43),G959*Q959))*IF(Inputs!$B$38="pvp",1,(1+(Inputs!$B$21+Skills!Q8+(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0">
      <c r="A960">
        <f>Skills!A9</f>
        <v/>
      </c>
      <c r="B960">
        <f>Skills!B9</f>
        <v/>
      </c>
      <c r="C960">
        <f>Inputs!$B$3&gt;=103</f>
        <v/>
      </c>
      <c r="D960">
        <f>IF(Skills!C9=1,60+Inputs!$B$25+(Inputs!$B$29+1),IF(Skills!C9=2,90+Inputs!$B$26+(Inputs!$B$29+1),IF(Skills!C9=3,120+Inputs!$B$27+(Inputs!$B$29+1),MAX(0,(Inputs!$B$3-100)*3)+Inputs!$B$28+(Inputs!$B$29+1))))</f>
        <v/>
      </c>
      <c r="E960">
        <f>INDEX(FactorTable!$B$2:$Y$301, MATCH(ROUND(MIN(300,MAX(1,D960)),0), FactorTable!$A$2:$A$301,0), Skills!M9+1)</f>
        <v/>
      </c>
      <c r="F960">
        <f>IF(Skills!N9=TRUE,(Skills!L9/10)*(E960/1000),Skills!L9/10)+Skills!O9</f>
        <v/>
      </c>
      <c r="G960">
        <f>Skills!G9*IF(Skills!H9&gt;0,Skills!I9/Skills!H9,1)</f>
        <v/>
      </c>
      <c r="H960">
        <f>1-(1-Skills!J9/100)^Skills!K9</f>
        <v/>
      </c>
      <c r="I960" t="inlineStr">
        <is>
          <t>1</t>
        </is>
      </c>
      <c r="J960">
        <f>((Inputs!$B$6*(1+Inputs!$B$7/100))+(((Inputs!$B$12*(1+Inputs!$B$13/100))-(Inputs!$B$12*(1+Inputs!$B$13/100)))+0.25*(Inputs!$B$14-Inputs!$B$14))*(1+Inputs!$B$7/100))*(F960/100)</f>
        <v/>
      </c>
      <c r="K960">
        <f>J960*(1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960)</f>
        <v/>
      </c>
      <c r="L960">
        <f>K960*(MIN(Inputs!$B$22+((C973=TRUE)*(F973-Calc!F22)),(Inputs!$B$23+0+(IF(ArtifactsInput!$M$15,CHOOSE(ArtifactsInput!$N$15+1,25,30,35,40,45,50)/100*(Inputs!$B$11-Inputs!$B$11),0))))/100+(Inputs!$B$23+0+(IF(ArtifactsInput!$M$15,CHOOSE(ArtifactsInput!$N$15+1,25,30,35,40,45,50)/100*(Inputs!$B$11-Inputs!$B$11),0)))/100)/2</f>
        <v/>
      </c>
      <c r="M960">
        <f>L960*(1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0">
        <f>L960*(1-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960*(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0">
        <f>(1-Summary!$B$11)*T960+Summary!$B$11*V960</f>
        <v/>
      </c>
      <c r="P960">
        <f>IF(B992=0,0,O960/B992)</f>
        <v/>
      </c>
      <c r="Q960">
        <f>IFERROR(1/(IF(Inputs!$B$38="pvp",15,MAX(0.1,Skills!D9-IF(Skills!E9=TRUE,Inputs!$B$32,0)))*(1-IF(AND(ArtifactsInput!$M$27,Inputs!$B$4="Chapter Hunt"),CHOOSE(ArtifactsInput!$N$27+1,20,24,28,32,36,40),0)/100)),0)</f>
        <v/>
      </c>
      <c r="R960">
        <f>IF(AND(Inputs!$B$38&lt;&gt;"pvp",Inputs!$B$43&gt;0),IF(MAX(0,Inputs!$B$43-B989)&lt;=0,0,(INT(MAX(0,Inputs!$B$43-B989)/(IF(Inputs!$B$38="pvp",15,MAX(0.1,Skills!D9-IF(Skills!E9=TRUE,Inputs!$B$32,0)))*(1-IF(AND(ArtifactsInput!$M$27,Inputs!$B$4="Chapter Hunt"),CHOOSE(ArtifactsInput!$N$27+1,20,24,28,32,36,40),0)/100)))+1)),0)</f>
        <v/>
      </c>
      <c r="S960">
        <f>IFERROR(O960/N960,0)</f>
        <v/>
      </c>
      <c r="T960">
        <f>IF(C960,(H960*N960*IF(AND(Inputs!$B$38&lt;&gt;"pvp",Inputs!$B$43&gt;0),((Skills!G9*((R960-1)*IF(Skills!H9&gt;0,Skills!I9/Skills!H9,1)+IF(Skills!H9&gt;0,MIN(Skills!I9,MAX(0,MAX(0,Inputs!$B$43-B989)-((R960-1)*(IF(Inputs!$B$38="pvp",15,MAX(0.1,Skills!D9-IF(Skills!E9=TRUE,Inputs!$B$32,0)))*(1-IF(AND(ArtifactsInput!$M$27,Inputs!$B$4="Chapter Hunt"),CHOOSE(ArtifactsInput!$N$27+1,20,24,28,32,36,40),0)/100)))))/Skills!H9,1)))/Inputs!$B$43),G960*Q960)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960*(1-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960*(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960*(1-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960*(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0">
        <f>IF(C960,(H960*N960*IF(AND(Inputs!$B$38&lt;&gt;"pvp",Inputs!$B$43&gt;0),((Skills!G9*((R960-1)*IF(Skills!H9&gt;0,Skills!I9/Skills!H9,1)+IF(Skills!H9&gt;0,MIN(Skills!I9,MAX(0,MAX(0,Inputs!$B$43-B989)-((R960-1)*(IF(Inputs!$B$38="pvp",15,MAX(0.1,Skills!D9-IF(Skills!E9=TRUE,Inputs!$B$32,0)))*(1-IF(AND(ArtifactsInput!$M$27,Inputs!$B$4="Chapter Hunt"),CHOOSE(ArtifactsInput!$N$27+1,20,24,28,32,36,40),0)/100)))))/Skills!H9,1)))/Inputs!$B$43),G960*Q960))*IF(Inputs!$B$38="pvp",1,(1+(Inputs!$B$21+Skills!Q9+(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1">
      <c r="A961">
        <f>Skills!A10</f>
        <v/>
      </c>
      <c r="B961">
        <f>Skills!B10</f>
        <v/>
      </c>
      <c r="C961">
        <f>Inputs!$B$3&gt;=113</f>
        <v/>
      </c>
      <c r="D961">
        <f>IF(Skills!C10=1,60+Inputs!$B$25+(Inputs!$B$29+1),IF(Skills!C10=2,90+Inputs!$B$26+(Inputs!$B$29+1),IF(Skills!C10=3,120+Inputs!$B$27+(Inputs!$B$29+1),MAX(0,(Inputs!$B$3-100)*3)+Inputs!$B$28+(Inputs!$B$29+1))))</f>
        <v/>
      </c>
      <c r="E961">
        <f>INDEX(FactorTable!$B$2:$Y$301, MATCH(ROUND(MIN(300,MAX(1,D961)),0), FactorTable!$A$2:$A$301,0), Skills!M10+1)</f>
        <v/>
      </c>
      <c r="F961">
        <f>IF(Skills!N10=TRUE,(Skills!L10/10)*(E961/1000),Skills!L10/10)+Skills!O10</f>
        <v/>
      </c>
      <c r="G961">
        <f>Skills!G10*IF(Skills!H10&gt;0,Skills!I10/Skills!H10,1)</f>
        <v/>
      </c>
      <c r="H961">
        <f>1-(1-Skills!J10/100)^Skills!K10</f>
        <v/>
      </c>
      <c r="I961" t="inlineStr">
        <is>
          <t>1</t>
        </is>
      </c>
      <c r="J961">
        <f>((Inputs!$B$6*(1+Inputs!$B$7/100))+(((Inputs!$B$12*(1+Inputs!$B$13/100))-(Inputs!$B$12*(1+Inputs!$B$13/100)))+0.25*(Inputs!$B$14-Inputs!$B$14))*(1+Inputs!$B$7/100))*(F961/100)</f>
        <v/>
      </c>
      <c r="K961">
        <f>J961*(1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961)</f>
        <v/>
      </c>
      <c r="L961">
        <f>K961*(MIN(Inputs!$B$22+((C973=TRUE)*(F973-Calc!F22)),(Inputs!$B$23+0+(IF(ArtifactsInput!$M$15,CHOOSE(ArtifactsInput!$N$15+1,25,30,35,40,45,50)/100*(Inputs!$B$11-Inputs!$B$11),0))))/100+(Inputs!$B$23+0+(IF(ArtifactsInput!$M$15,CHOOSE(ArtifactsInput!$N$15+1,25,30,35,40,45,50)/100*(Inputs!$B$11-Inputs!$B$11),0)))/100)/2</f>
        <v/>
      </c>
      <c r="M961">
        <f>L961*(1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1">
        <f>L961*(1-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1">
        <f>(1-Summary!$B$11)*T961+Summary!$B$11*V961</f>
        <v/>
      </c>
      <c r="P961">
        <f>IF(B992=0,0,O961/B992)</f>
        <v/>
      </c>
      <c r="Q961">
        <f>IFERROR(1/(IF(Inputs!$B$38="pvp",15,MAX(0.1,Skills!D10-IF(Skills!E10=TRUE,Inputs!$B$32,0)))*(1-IF(AND(ArtifactsInput!$M$27,Inputs!$B$4="Chapter Hunt"),CHOOSE(ArtifactsInput!$N$27+1,20,24,28,32,36,40),0)/100)),0)</f>
        <v/>
      </c>
      <c r="R961">
        <f>IF(AND(Inputs!$B$38&lt;&gt;"pvp",Inputs!$B$43&gt;0),IF(MAX(0,Inputs!$B$43-B989)&lt;=0,0,(INT(MAX(0,Inputs!$B$43-B989)/(IF(Inputs!$B$38="pvp",15,MAX(0.1,Skills!D10-IF(Skills!E10=TRUE,Inputs!$B$32,0)))*(1-IF(AND(ArtifactsInput!$M$27,Inputs!$B$4="Chapter Hunt"),CHOOSE(ArtifactsInput!$N$27+1,20,24,28,32,36,40),0)/100)))+1)),0)</f>
        <v/>
      </c>
      <c r="S961">
        <f>IFERROR(O961/N961,0)</f>
        <v/>
      </c>
      <c r="T961">
        <f>IF(C961,(H961*N961*IF(AND(Inputs!$B$38&lt;&gt;"pvp",Inputs!$B$43&gt;0),((Skills!G10*((R961-1)*IF(Skills!H10&gt;0,Skills!I10/Skills!H10,1)+IF(Skills!H10&gt;0,MIN(Skills!I10,MAX(0,MAX(0,Inputs!$B$43-B989)-((R961-1)*(IF(Inputs!$B$38="pvp",15,MAX(0.1,Skills!D10-IF(Skills!E10=TRUE,Inputs!$B$32,0)))*(1-IF(AND(ArtifactsInput!$M$27,Inputs!$B$4="Chapter Hunt"),CHOOSE(ArtifactsInput!$N$27+1,20,24,28,32,36,40),0)/100)))))/Skills!H10,1)))/Inputs!$B$43),G961*Q961)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961*(1-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961*(1-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1">
        <f>IF(C961,(H961*N961*IF(AND(Inputs!$B$38&lt;&gt;"pvp",Inputs!$B$43&gt;0),((Skills!G10*((R961-1)*IF(Skills!H10&gt;0,Skills!I10/Skills!H10,1)+IF(Skills!H10&gt;0,MIN(Skills!I10,MAX(0,MAX(0,Inputs!$B$43-B989)-((R961-1)*(IF(Inputs!$B$38="pvp",15,MAX(0.1,Skills!D10-IF(Skills!E10=TRUE,Inputs!$B$32,0)))*(1-IF(AND(ArtifactsInput!$M$27,Inputs!$B$4="Chapter Hunt"),CHOOSE(ArtifactsInput!$N$27+1,20,24,28,32,36,40),0)/100)))))/Skills!H10,1)))/Inputs!$B$43),G961*Q961))*IF(Inputs!$B$38="pvp",1,(1+(Inputs!$B$21+Skills!Q10+(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2">
      <c r="A962">
        <f>Skills!A11</f>
        <v/>
      </c>
      <c r="B962">
        <f>Skills!B11</f>
        <v/>
      </c>
      <c r="C962">
        <f>Inputs!$B$3&gt;=107</f>
        <v/>
      </c>
      <c r="D962">
        <f>IF(Skills!C11=1,60+Inputs!$B$25+(Inputs!$B$29+1),IF(Skills!C11=2,90+Inputs!$B$26+(Inputs!$B$29+1),IF(Skills!C11=3,120+Inputs!$B$27+(Inputs!$B$29+1),MAX(0,(Inputs!$B$3-100)*3)+Inputs!$B$28+(Inputs!$B$29+1))))</f>
        <v/>
      </c>
      <c r="E962">
        <f>INDEX(FactorTable!$B$2:$Y$301, MATCH(ROUND(MIN(300,MAX(1,D962)),0), FactorTable!$A$2:$A$301,0), Skills!M11+1)</f>
        <v/>
      </c>
      <c r="F962">
        <f>IF(Skills!N11=TRUE,(Skills!L11/10)*(E962/1000),Skills!L11/10)+Skills!O11</f>
        <v/>
      </c>
      <c r="G962">
        <f>Skills!G11*IF(Skills!H11&gt;0,Skills!I11/Skills!H11,1)</f>
        <v/>
      </c>
      <c r="H962">
        <f>1-(1-Skills!J11/100)^Skills!K11</f>
        <v/>
      </c>
      <c r="I962" t="inlineStr">
        <is>
          <t>1</t>
        </is>
      </c>
      <c r="J962">
        <f>((Inputs!$B$6*(1+Inputs!$B$7/100))+(((Inputs!$B$12*(1+Inputs!$B$13/100))-(Inputs!$B$12*(1+Inputs!$B$13/100)))+0.25*(Inputs!$B$14-Inputs!$B$14))*(1+Inputs!$B$7/100))*(F962/100)</f>
        <v/>
      </c>
      <c r="K962">
        <f>J962*(1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962)</f>
        <v/>
      </c>
      <c r="L962">
        <f>K962*(MIN(Inputs!$B$22+((C973=TRUE)*(F973-Calc!F22)),(Inputs!$B$23+0+(IF(ArtifactsInput!$M$15,CHOOSE(ArtifactsInput!$N$15+1,25,30,35,40,45,50)/100*(Inputs!$B$11-Inputs!$B$11),0))))/100+(Inputs!$B$23+0+(IF(ArtifactsInput!$M$15,CHOOSE(ArtifactsInput!$N$15+1,25,30,35,40,45,50)/100*(Inputs!$B$11-Inputs!$B$11),0)))/100)/2</f>
        <v/>
      </c>
      <c r="M962">
        <f>L962*(1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2">
        <f>L962*(1-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962*(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2">
        <f>(1-Summary!$B$11)*T962+Summary!$B$11*V962</f>
        <v/>
      </c>
      <c r="P962">
        <f>IF(B992=0,0,O962/B992)</f>
        <v/>
      </c>
      <c r="Q962">
        <f>IFERROR(1/(IF(Inputs!$B$38="pvp",15,MAX(0.1,Skills!D11-IF(Skills!E11=TRUE,Inputs!$B$32,0)))*(1-IF(AND(ArtifactsInput!$M$27,Inputs!$B$4="Chapter Hunt"),CHOOSE(ArtifactsInput!$N$27+1,20,24,28,32,36,40),0)/100)),0)</f>
        <v/>
      </c>
      <c r="R962">
        <f>IF(AND(Inputs!$B$38&lt;&gt;"pvp",Inputs!$B$43&gt;0),IF(MAX(0,Inputs!$B$43-B989)&lt;=0,0,(INT(MAX(0,Inputs!$B$43-B989)/(IF(Inputs!$B$38="pvp",15,MAX(0.1,Skills!D11-IF(Skills!E11=TRUE,Inputs!$B$32,0)))*(1-IF(AND(ArtifactsInput!$M$27,Inputs!$B$4="Chapter Hunt"),CHOOSE(ArtifactsInput!$N$27+1,20,24,28,32,36,40),0)/100)))+1)),0)</f>
        <v/>
      </c>
      <c r="S962">
        <f>IFERROR(O962/N962,0)</f>
        <v/>
      </c>
      <c r="T962">
        <f>IF(C962,(H962*N962*IF(AND(Inputs!$B$38&lt;&gt;"pvp",Inputs!$B$43&gt;0),((Skills!G11*((R962-1)*IF(Skills!H11&gt;0,Skills!I11/Skills!H11,1)+IF(Skills!H11&gt;0,MIN(Skills!I11,MAX(0,MAX(0,Inputs!$B$43-B989)-((R962-1)*(IF(Inputs!$B$38="pvp",15,MAX(0.1,Skills!D11-IF(Skills!E11=TRUE,Inputs!$B$32,0)))*(1-IF(AND(ArtifactsInput!$M$27,Inputs!$B$4="Chapter Hunt"),CHOOSE(ArtifactsInput!$N$27+1,20,24,28,32,36,40),0)/100)))))/Skills!H11,1)))/Inputs!$B$43),G962*Q962)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962*(1-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962*(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962*(1-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962*(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2">
        <f>IF(C962,(H962*N962*IF(AND(Inputs!$B$38&lt;&gt;"pvp",Inputs!$B$43&gt;0),((Skills!G11*((R962-1)*IF(Skills!H11&gt;0,Skills!I11/Skills!H11,1)+IF(Skills!H11&gt;0,MIN(Skills!I11,MAX(0,MAX(0,Inputs!$B$43-B989)-((R962-1)*(IF(Inputs!$B$38="pvp",15,MAX(0.1,Skills!D11-IF(Skills!E11=TRUE,Inputs!$B$32,0)))*(1-IF(AND(ArtifactsInput!$M$27,Inputs!$B$4="Chapter Hunt"),CHOOSE(ArtifactsInput!$N$27+1,20,24,28,32,36,40),0)/100)))))/Skills!H11,1)))/Inputs!$B$43),G962*Q962))*IF(Inputs!$B$38="pvp",1,(1+(Inputs!$B$21+Skills!Q11+(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3">
      <c r="A963">
        <f>Skills!A12</f>
        <v/>
      </c>
      <c r="B963">
        <f>Skills!B12</f>
        <v/>
      </c>
      <c r="C963">
        <f>Inputs!$B$3&gt;=110</f>
        <v/>
      </c>
      <c r="D963">
        <f>IF(Skills!C12=1,60+Inputs!$B$25+(Inputs!$B$29+1),IF(Skills!C12=2,90+Inputs!$B$26+(Inputs!$B$29+1),IF(Skills!C12=3,120+Inputs!$B$27+(Inputs!$B$29+1),MAX(0,(Inputs!$B$3-100)*3)+Inputs!$B$28+(Inputs!$B$29+1))))</f>
        <v/>
      </c>
      <c r="E963">
        <f>INDEX(FactorTable!$B$2:$Y$301, MATCH(ROUND(MIN(300,MAX(1,D963)),0), FactorTable!$A$2:$A$301,0), Skills!M12+1)</f>
        <v/>
      </c>
      <c r="F963">
        <f>IF(Skills!N12=TRUE,(Skills!L12/10)*(E963/1000),Skills!L12/10)+Skills!O12</f>
        <v/>
      </c>
      <c r="G963">
        <f>Skills!G12*IF(Skills!H12&gt;0,Skills!I12/Skills!H12,1)</f>
        <v/>
      </c>
      <c r="H963">
        <f>1-(1-Skills!J12/100)^Skills!K12</f>
        <v/>
      </c>
      <c r="I963" t="inlineStr">
        <is>
          <t>1</t>
        </is>
      </c>
      <c r="J963">
        <f>((Inputs!$B$6*(1+Inputs!$B$7/100))+(((Inputs!$B$12*(1+Inputs!$B$13/100))-(Inputs!$B$12*(1+Inputs!$B$13/100)))+0.25*(Inputs!$B$14-Inputs!$B$14))*(1+Inputs!$B$7/100))*(F963/100)</f>
        <v/>
      </c>
      <c r="K963">
        <f>J963*(1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963)</f>
        <v/>
      </c>
      <c r="L963">
        <f>K963*(MIN(Inputs!$B$22+((C973=TRUE)*(F973-Calc!F22)),(Inputs!$B$23+0+(IF(ArtifactsInput!$M$15,CHOOSE(ArtifactsInput!$N$15+1,25,30,35,40,45,50)/100*(Inputs!$B$11-Inputs!$B$11),0))))/100+(Inputs!$B$23+0+(IF(ArtifactsInput!$M$15,CHOOSE(ArtifactsInput!$N$15+1,25,30,35,40,45,50)/100*(Inputs!$B$11-Inputs!$B$11),0)))/100)/2</f>
        <v/>
      </c>
      <c r="M963">
        <f>L963*(1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3">
        <f>L963*(1-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963*(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3">
        <f>(1-Summary!$B$11)*T963+Summary!$B$11*V963</f>
        <v/>
      </c>
      <c r="P963">
        <f>IF(B992=0,0,O963/B992)</f>
        <v/>
      </c>
      <c r="Q963">
        <f>IFERROR(1/(IF(Inputs!$B$38="pvp",15,MAX(0.1,Skills!D12-IF(Skills!E12=TRUE,Inputs!$B$32,0)))*(1-IF(AND(ArtifactsInput!$M$27,Inputs!$B$4="Chapter Hunt"),CHOOSE(ArtifactsInput!$N$27+1,20,24,28,32,36,40),0)/100)),0)</f>
        <v/>
      </c>
      <c r="R963">
        <f>IF(AND(Inputs!$B$38&lt;&gt;"pvp",Inputs!$B$43&gt;0),IF(MAX(0,Inputs!$B$43-B989)&lt;=0,0,(INT(MAX(0,Inputs!$B$43-B989)/(IF(Inputs!$B$38="pvp",15,MAX(0.1,Skills!D12-IF(Skills!E12=TRUE,Inputs!$B$32,0)))*(1-IF(AND(ArtifactsInput!$M$27,Inputs!$B$4="Chapter Hunt"),CHOOSE(ArtifactsInput!$N$27+1,20,24,28,32,36,40),0)/100)))+1)),0)</f>
        <v/>
      </c>
      <c r="S963">
        <f>IFERROR(O963/N963,0)</f>
        <v/>
      </c>
      <c r="T963">
        <f>IF(C963,(H963*N963*IF(AND(Inputs!$B$38&lt;&gt;"pvp",Inputs!$B$43&gt;0),((Skills!G12*((R963-1)*IF(Skills!H12&gt;0,Skills!I12/Skills!H12,1)+IF(Skills!H12&gt;0,MIN(Skills!I12,MAX(0,MAX(0,Inputs!$B$43-B989)-((R963-1)*(IF(Inputs!$B$38="pvp",15,MAX(0.1,Skills!D12-IF(Skills!E12=TRUE,Inputs!$B$32,0)))*(1-IF(AND(ArtifactsInput!$M$27,Inputs!$B$4="Chapter Hunt"),CHOOSE(ArtifactsInput!$N$27+1,20,24,28,32,36,40),0)/100)))))/Skills!H12,1)))/Inputs!$B$43),G963*Q963)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963*(1-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963*(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963*(1-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963*(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3">
        <f>IF(C963,(H963*N963*IF(AND(Inputs!$B$38&lt;&gt;"pvp",Inputs!$B$43&gt;0),((Skills!G12*((R963-1)*IF(Skills!H12&gt;0,Skills!I12/Skills!H12,1)+IF(Skills!H12&gt;0,MIN(Skills!I12,MAX(0,MAX(0,Inputs!$B$43-B989)-((R963-1)*(IF(Inputs!$B$38="pvp",15,MAX(0.1,Skills!D12-IF(Skills!E12=TRUE,Inputs!$B$32,0)))*(1-IF(AND(ArtifactsInput!$M$27,Inputs!$B$4="Chapter Hunt"),CHOOSE(ArtifactsInput!$N$27+1,20,24,28,32,36,40),0)/100)))))/Skills!H12,1)))/Inputs!$B$43),G963*Q963))*IF(Inputs!$B$38="pvp",1,(1+(Inputs!$B$21+Skills!Q12+(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4">
      <c r="A964">
        <f>Skills!A13</f>
        <v/>
      </c>
      <c r="B964">
        <f>Skills!B13</f>
        <v/>
      </c>
      <c r="C964">
        <f>Inputs!$B$3&gt;=110</f>
        <v/>
      </c>
      <c r="D964">
        <f>IF(Skills!C13=1,60+Inputs!$B$25+(Inputs!$B$29+1),IF(Skills!C13=2,90+Inputs!$B$26+(Inputs!$B$29+1),IF(Skills!C13=3,120+Inputs!$B$27+(Inputs!$B$29+1),MAX(0,(Inputs!$B$3-100)*3)+Inputs!$B$28+(Inputs!$B$29+1))))</f>
        <v/>
      </c>
      <c r="E964">
        <f>INDEX(FactorTable!$B$2:$Y$301, MATCH(ROUND(MIN(300,MAX(1,D964)),0), FactorTable!$A$2:$A$301,0), Skills!M13+1)</f>
        <v/>
      </c>
      <c r="F964">
        <f>IF(Skills!N13=TRUE,(Skills!L13/10)*(E964/1000),Skills!L13/10)+Skills!O13</f>
        <v/>
      </c>
      <c r="G964">
        <f>Skills!G13*IF(Skills!H13&gt;0,Skills!I13/Skills!H13,1)</f>
        <v/>
      </c>
      <c r="H964">
        <f>1-(1-Skills!J13/100)^Skills!K13</f>
        <v/>
      </c>
      <c r="I964" t="inlineStr">
        <is>
          <t>1</t>
        </is>
      </c>
      <c r="J964">
        <f>((Inputs!$B$6*(1+Inputs!$B$7/100))+(((Inputs!$B$12*(1+Inputs!$B$13/100))-(Inputs!$B$12*(1+Inputs!$B$13/100)))+0.25*(Inputs!$B$14-Inputs!$B$14))*(1+Inputs!$B$7/100))*(F964/100)</f>
        <v/>
      </c>
      <c r="K964">
        <f>J964*(1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964)</f>
        <v/>
      </c>
      <c r="L964">
        <f>K964*(MIN(Inputs!$B$22+((C973=TRUE)*(F973-Calc!F22)),(Inputs!$B$23+0+(IF(ArtifactsInput!$M$15,CHOOSE(ArtifactsInput!$N$15+1,25,30,35,40,45,50)/100*(Inputs!$B$11-Inputs!$B$11),0))))/100+(Inputs!$B$23+0+(IF(ArtifactsInput!$M$15,CHOOSE(ArtifactsInput!$N$15+1,25,30,35,40,45,50)/100*(Inputs!$B$11-Inputs!$B$11),0)))/100)/2</f>
        <v/>
      </c>
      <c r="M964">
        <f>L964*(1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4">
        <f>L964*(1-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964*(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4">
        <f>(1-Summary!$B$11)*T964+Summary!$B$11*V964</f>
        <v/>
      </c>
      <c r="P964">
        <f>IF(B992=0,0,O964/B992)</f>
        <v/>
      </c>
      <c r="Q964">
        <f>IFERROR(1/(IF(Inputs!$B$38="pvp",15,MAX(0.1,Skills!D13-IF(Skills!E13=TRUE,Inputs!$B$32,0)))*(1-IF(AND(ArtifactsInput!$M$27,Inputs!$B$4="Chapter Hunt"),CHOOSE(ArtifactsInput!$N$27+1,20,24,28,32,36,40),0)/100)),0)</f>
        <v/>
      </c>
      <c r="R964">
        <f>IF(AND(Inputs!$B$38&lt;&gt;"pvp",Inputs!$B$43&gt;0),IF(MAX(0,Inputs!$B$43-B989)&lt;=0,0,(INT(MAX(0,Inputs!$B$43-B989)/(IF(Inputs!$B$38="pvp",15,MAX(0.1,Skills!D13-IF(Skills!E13=TRUE,Inputs!$B$32,0)))*(1-IF(AND(ArtifactsInput!$M$27,Inputs!$B$4="Chapter Hunt"),CHOOSE(ArtifactsInput!$N$27+1,20,24,28,32,36,40),0)/100)))+1)),0)</f>
        <v/>
      </c>
      <c r="S964">
        <f>IFERROR(O964/N964,0)</f>
        <v/>
      </c>
      <c r="T964">
        <f>IF(C964,(H964*N964*IF(AND(Inputs!$B$38&lt;&gt;"pvp",Inputs!$B$43&gt;0),((Skills!G13*((R964-1)*IF(Skills!H13&gt;0,Skills!I13/Skills!H13,1)+IF(Skills!H13&gt;0,MIN(Skills!I13,MAX(0,MAX(0,Inputs!$B$43-B989)-((R964-1)*(IF(Inputs!$B$38="pvp",15,MAX(0.1,Skills!D13-IF(Skills!E13=TRUE,Inputs!$B$32,0)))*(1-IF(AND(ArtifactsInput!$M$27,Inputs!$B$4="Chapter Hunt"),CHOOSE(ArtifactsInput!$N$27+1,20,24,28,32,36,40),0)/100)))))/Skills!H13,1)))/Inputs!$B$43),G964*Q964)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964*(1-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964*(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964*(1-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964*(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4">
        <f>IF(C964,(H964*N964*IF(AND(Inputs!$B$38&lt;&gt;"pvp",Inputs!$B$43&gt;0),((Skills!G13*((R964-1)*IF(Skills!H13&gt;0,Skills!I13/Skills!H13,1)+IF(Skills!H13&gt;0,MIN(Skills!I13,MAX(0,MAX(0,Inputs!$B$43-B989)-((R964-1)*(IF(Inputs!$B$38="pvp",15,MAX(0.1,Skills!D13-IF(Skills!E13=TRUE,Inputs!$B$32,0)))*(1-IF(AND(ArtifactsInput!$M$27,Inputs!$B$4="Chapter Hunt"),CHOOSE(ArtifactsInput!$N$27+1,20,24,28,32,36,40),0)/100)))))/Skills!H13,1)))/Inputs!$B$43),G964*Q964))*IF(Inputs!$B$38="pvp",1,(1+(Inputs!$B$21+Skills!Q13+(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5">
      <c r="A965">
        <f>Skills!A14</f>
        <v/>
      </c>
      <c r="B965">
        <f>Skills!B14</f>
        <v/>
      </c>
      <c r="C965">
        <f>Inputs!$B$3&gt;=125</f>
        <v/>
      </c>
      <c r="D965">
        <f>IF(Skills!C14=1,60+Inputs!$B$25+(Inputs!$B$29+1),IF(Skills!C14=2,90+Inputs!$B$26+(Inputs!$B$29+1),IF(Skills!C14=3,120+Inputs!$B$27+(Inputs!$B$29+1),MAX(0,(Inputs!$B$3-100)*3)+Inputs!$B$28+(Inputs!$B$29+1))))</f>
        <v/>
      </c>
      <c r="E965">
        <f>INDEX(FactorTable!$B$2:$Y$301, MATCH(ROUND(MIN(300,MAX(1,D965)),0), FactorTable!$A$2:$A$301,0), Skills!M14+1)</f>
        <v/>
      </c>
      <c r="F965">
        <f>IF(Skills!N14=TRUE,(Skills!L14/10)*(E965/1000),Skills!L14/10)+Skills!O14</f>
        <v/>
      </c>
      <c r="G965">
        <f>Skills!G14*IF(Skills!H14&gt;0,Skills!I14/Skills!H14,1)</f>
        <v/>
      </c>
      <c r="H965">
        <f>1-(1-Skills!J14/100)^Skills!K14</f>
        <v/>
      </c>
      <c r="I965" t="inlineStr">
        <is>
          <t>1</t>
        </is>
      </c>
      <c r="J965">
        <f>((Inputs!$B$6*(1+Inputs!$B$7/100))+(((Inputs!$B$12*(1+Inputs!$B$13/100))-(Inputs!$B$12*(1+Inputs!$B$13/100)))+0.25*(Inputs!$B$14-Inputs!$B$14))*(1+Inputs!$B$7/100))*(F965/100)</f>
        <v/>
      </c>
      <c r="K965">
        <f>J965*(1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965)</f>
        <v/>
      </c>
      <c r="L965">
        <f>K965*(MIN(Inputs!$B$22+((C973=TRUE)*(F973-Calc!F22)),(Inputs!$B$23+0+(IF(ArtifactsInput!$M$15,CHOOSE(ArtifactsInput!$N$15+1,25,30,35,40,45,50)/100*(Inputs!$B$11-Inputs!$B$11),0))))/100+(Inputs!$B$23+0+(IF(ArtifactsInput!$M$15,CHOOSE(ArtifactsInput!$N$15+1,25,30,35,40,45,50)/100*(Inputs!$B$11-Inputs!$B$11),0)))/100)/2</f>
        <v/>
      </c>
      <c r="M965">
        <f>L965*(1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5">
        <f>L965*(1-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965*(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5">
        <f>(1-Summary!$B$11)*T965+Summary!$B$11*V965</f>
        <v/>
      </c>
      <c r="P965">
        <f>IF(B992=0,0,O965/B992)</f>
        <v/>
      </c>
      <c r="Q965" t="n">
        <v>0</v>
      </c>
      <c r="R965" t="n">
        <v>0</v>
      </c>
      <c r="S965">
        <f>IFERROR(O965/N965,0)</f>
        <v/>
      </c>
      <c r="T965">
        <f>IF(C965,(H965*N965*(B986+IF(AND(Inputs!$B$38&lt;&gt;"pvp",Inputs!$B$43&gt;0),((Skills!G8*((R959-1)*IF(Skills!H8&gt;0,Skills!I8/Skills!H8,1)+IF(Skills!H8&gt;0,MIN(Skills!I8,MAX(0,MAX(0,Inputs!$B$43-B989)-((R959-1)*(IF(Inputs!$B$38="pvp",15,MAX(0.1,Skills!D8-IF(Skills!E8=TRUE,Inputs!$B$32,0)))*(1-IF(AND(ArtifactsInput!$M$27,Inputs!$B$4="Chapter Hunt"),CHOOSE(ArtifactsInput!$N$27+1,20,24,28,32,36,40),0)/100)))))/Skills!H8,1)))/Inputs!$B$43),G959*Q959)+IF(AND(Inputs!$B$38&lt;&gt;"pvp",Inputs!$B$43&gt;0),((Skills!G11*((R962-1)*IF(Skills!H11&gt;0,Skills!I11/Skills!H11,1)+IF(Skills!H11&gt;0,MIN(Skills!I11,MAX(0,MAX(0,Inputs!$B$43-B989)-((R962-1)*(IF(Inputs!$B$38="pvp",15,MAX(0.1,Skills!D11-IF(Skills!E11=TRUE,Inputs!$B$32,0)))*(1-IF(AND(ArtifactsInput!$M$27,Inputs!$B$4="Chapter Hunt"),CHOOSE(ArtifactsInput!$N$27+1,20,24,28,32,36,40),0)/100)))))/Skills!H11,1)))/Inputs!$B$43),G962*Q962)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965*(1-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965*(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965*(1-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965*(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5">
        <f>IF(C965,(H965*N965*(B986+IF(AND(Inputs!$B$38&lt;&gt;"pvp",Inputs!$B$43&gt;0),((Skills!G8*((R959-1)*IF(Skills!H8&gt;0,Skills!I8/Skills!H8,1)+IF(Skills!H8&gt;0,MIN(Skills!I8,MAX(0,MAX(0,Inputs!$B$43-B989)-((R959-1)*(IF(Inputs!$B$38="pvp",15,MAX(0.1,Skills!D8-IF(Skills!E8=TRUE,Inputs!$B$32,0)))*(1-IF(AND(ArtifactsInput!$M$27,Inputs!$B$4="Chapter Hunt"),CHOOSE(ArtifactsInput!$N$27+1,20,24,28,32,36,40),0)/100)))))/Skills!H8,1)))/Inputs!$B$43),G959*Q959)+IF(AND(Inputs!$B$38&lt;&gt;"pvp",Inputs!$B$43&gt;0),((Skills!G11*((R962-1)*IF(Skills!H11&gt;0,Skills!I11/Skills!H11,1)+IF(Skills!H11&gt;0,MIN(Skills!I11,MAX(0,MAX(0,Inputs!$B$43-B989)-((R962-1)*(IF(Inputs!$B$38="pvp",15,MAX(0.1,Skills!D11-IF(Skills!E11=TRUE,Inputs!$B$32,0)))*(1-IF(AND(ArtifactsInput!$M$27,Inputs!$B$4="Chapter Hunt"),CHOOSE(ArtifactsInput!$N$27+1,20,24,28,32,36,40),0)/100)))))/Skills!H11,1)))/Inputs!$B$43),G962*Q962)))*IF(Inputs!$B$38="pvp",1,(1+(Inputs!$B$21+Skills!Q14+(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6">
      <c r="A966">
        <f>Skills!A15</f>
        <v/>
      </c>
      <c r="B966">
        <f>Skills!B15</f>
        <v/>
      </c>
      <c r="C966">
        <f>Inputs!$B$3&gt;=100</f>
        <v/>
      </c>
      <c r="D966">
        <f>IF(Skills!C15=1,60+Inputs!$B$25+(Inputs!$B$29+1),IF(Skills!C15=2,90+Inputs!$B$26+(Inputs!$B$29+1),IF(Skills!C15=3,120+Inputs!$B$27+(Inputs!$B$29+1),MAX(0,(Inputs!$B$3-100)*3)+Inputs!$B$28+(Inputs!$B$29+1))))</f>
        <v/>
      </c>
      <c r="E966">
        <f>INDEX(FactorTable!$B$2:$Y$301, MATCH(ROUND(MIN(300,MAX(1,D966)),0), FactorTable!$A$2:$A$301,0), Skills!M15+1)</f>
        <v/>
      </c>
      <c r="F966">
        <f>IF(Skills!N15=TRUE,(Skills!L15/10)*(E966/1000),Skills!L15/10)+Skills!O15</f>
        <v/>
      </c>
      <c r="G966" t="inlineStr"/>
      <c r="H966" t="inlineStr"/>
      <c r="I966" t="inlineStr">
        <is>
          <t>1</t>
        </is>
      </c>
      <c r="J966" t="inlineStr"/>
      <c r="K966" t="inlineStr"/>
      <c r="L966" t="inlineStr"/>
      <c r="M966" t="inlineStr"/>
      <c r="N966" t="inlineStr"/>
      <c r="O966" t="inlineStr"/>
      <c r="P966" t="inlineStr"/>
      <c r="Q966" t="inlineStr"/>
      <c r="R966" t="inlineStr"/>
      <c r="S966" t="inlineStr"/>
    </row>
    <row r="967">
      <c r="A967">
        <f>Skills!A16</f>
        <v/>
      </c>
      <c r="B967">
        <f>Skills!B16</f>
        <v/>
      </c>
      <c r="C967">
        <f>Inputs!$B$3&gt;=120</f>
        <v/>
      </c>
      <c r="D967">
        <f>IF(Skills!C16=1,60+Inputs!$B$25+(Inputs!$B$29+1),IF(Skills!C16=2,90+Inputs!$B$26+(Inputs!$B$29+1),IF(Skills!C16=3,120+Inputs!$B$27+(Inputs!$B$29+1),MAX(0,(Inputs!$B$3-100)*3)+Inputs!$B$28+(Inputs!$B$29+1))))</f>
        <v/>
      </c>
      <c r="E967">
        <f>INDEX(FactorTable!$B$2:$Y$301, MATCH(ROUND(MIN(300,MAX(1,D967)),0), FactorTable!$A$2:$A$301,0), Skills!M16+1)</f>
        <v/>
      </c>
      <c r="F967">
        <f>IF(Skills!N16=TRUE,(Skills!L16/10)*(E967/1000),Skills!L16/10)+Skills!O16</f>
        <v/>
      </c>
      <c r="G967" t="inlineStr"/>
      <c r="H967" t="inlineStr"/>
      <c r="I967" t="inlineStr">
        <is>
          <t>1</t>
        </is>
      </c>
      <c r="J967" t="inlineStr"/>
      <c r="K967" t="inlineStr"/>
      <c r="L967" t="inlineStr"/>
      <c r="M967" t="inlineStr"/>
      <c r="N967" t="inlineStr"/>
      <c r="O967" t="inlineStr"/>
      <c r="P967" t="inlineStr"/>
      <c r="Q967" t="inlineStr"/>
      <c r="R967" t="inlineStr"/>
      <c r="S967" t="inlineStr"/>
    </row>
    <row r="968">
      <c r="A968">
        <f>Skills!A17</f>
        <v/>
      </c>
      <c r="B968">
        <f>Skills!B17</f>
        <v/>
      </c>
      <c r="C968">
        <f>Inputs!$B$3&gt;=66</f>
        <v/>
      </c>
      <c r="D968">
        <f>IF(Skills!C17=1,60+Inputs!$B$25+(Inputs!$B$29+1),IF(Skills!C17=2,90+Inputs!$B$26+(Inputs!$B$29+1),IF(Skills!C17=3,120+Inputs!$B$27+(Inputs!$B$29+1),MAX(0,(Inputs!$B$3-100)*3)+Inputs!$B$28+(Inputs!$B$29+1))))</f>
        <v/>
      </c>
      <c r="E968">
        <f>INDEX(FactorTable!$B$2:$Y$301, MATCH(ROUND(MIN(300,MAX(1,D968)),0), FactorTable!$A$2:$A$301,0), Skills!M17+1)</f>
        <v/>
      </c>
      <c r="F968">
        <f>IF(Skills!N17=TRUE,(Skills!L17/10)*(E968/1000),Skills!L17/10)+Skills!O17</f>
        <v/>
      </c>
      <c r="G968">
        <f>Skills!G17*IF(Skills!H17&gt;0,Skills!I17/Skills!H17,1)</f>
        <v/>
      </c>
      <c r="H968">
        <f>1-(1-Skills!J17/100)^Skills!K17</f>
        <v/>
      </c>
      <c r="I968" t="inlineStr">
        <is>
          <t>1</t>
        </is>
      </c>
      <c r="J968" t="inlineStr"/>
      <c r="K968" t="inlineStr"/>
      <c r="L968" t="inlineStr"/>
      <c r="M968" t="inlineStr"/>
      <c r="N968" t="inlineStr"/>
      <c r="O968">
        <f>(1-Summary!$B$11)*T968+Summary!$B$11*V968</f>
        <v/>
      </c>
      <c r="P968">
        <f>IF(B992=0,0,O968/B992)</f>
        <v/>
      </c>
      <c r="Q968" t="n">
        <v>0</v>
      </c>
      <c r="R968" t="n">
        <v>0</v>
      </c>
      <c r="S968">
        <f>IFERROR(O968/N968,0)</f>
        <v/>
      </c>
      <c r="T968" t="n">
        <v>0</v>
      </c>
      <c r="V968" t="n">
        <v>0</v>
      </c>
    </row>
    <row r="969">
      <c r="A969">
        <f>Skills!A18</f>
        <v/>
      </c>
      <c r="B969">
        <f>Skills!B18</f>
        <v/>
      </c>
      <c r="C969">
        <f>Inputs!$B$3&gt;=115</f>
        <v/>
      </c>
      <c r="D969">
        <f>IF(Skills!C18=1,60+Inputs!$B$25+(Inputs!$B$29+1),IF(Skills!C18=2,90+Inputs!$B$26+(Inputs!$B$29+1),IF(Skills!C18=3,120+Inputs!$B$27+(Inputs!$B$29+1),MAX(0,(Inputs!$B$3-100)*3)+Inputs!$B$28+(Inputs!$B$29+1))))</f>
        <v/>
      </c>
      <c r="E969">
        <f>INDEX(FactorTable!$B$2:$Y$301, MATCH(ROUND(MIN(300,MAX(1,D969)),0), FactorTable!$A$2:$A$301,0), Skills!M18+1)</f>
        <v/>
      </c>
      <c r="F969">
        <f>IF(Skills!N18=TRUE,(Skills!L18/10)*(E969/1000),Skills!L18/10)+Skills!O18</f>
        <v/>
      </c>
      <c r="G969">
        <f>Skills!G18*IF(Skills!H18&gt;0,Skills!I18/Skills!H18,1)</f>
        <v/>
      </c>
      <c r="H969">
        <f>1-(1-Skills!J18/100)^Skills!K18</f>
        <v/>
      </c>
      <c r="I969" t="inlineStr">
        <is>
          <t>1</t>
        </is>
      </c>
      <c r="J969" t="inlineStr"/>
      <c r="K969" t="inlineStr"/>
      <c r="L969" t="inlineStr"/>
      <c r="M969" t="inlineStr"/>
      <c r="N969" t="inlineStr"/>
      <c r="O969">
        <f>(1-Summary!$B$11)*T969+Summary!$B$11*V969</f>
        <v/>
      </c>
      <c r="P969">
        <f>IF(B992=0,0,O969/B992)</f>
        <v/>
      </c>
      <c r="Q969">
        <f>IFERROR(1/(IF(Inputs!$B$38="pvp",15,MAX(0.1,Skills!D18-IF(Skills!E18=TRUE,Inputs!$B$32,0)))*(1-IF(AND(ArtifactsInput!$M$27,Inputs!$B$4="Chapter Hunt"),CHOOSE(ArtifactsInput!$N$27+1,20,24,28,32,36,40),0)/100)),0)</f>
        <v/>
      </c>
      <c r="R969">
        <f>IF(AND(Inputs!$B$38&lt;&gt;"pvp",Inputs!$B$43&gt;0),IF(Inputs!$B$43&lt;=0,0,(INT(Inputs!$B$43/(IF(Inputs!$B$38="pvp",15,MAX(0.1,Skills!D18-IF(Skills!E18=TRUE,Inputs!$B$32,0)))*(1-IF(AND(ArtifactsInput!$M$27,Inputs!$B$4="Chapter Hunt"),CHOOSE(ArtifactsInput!$N$27+1,20,24,28,32,36,40),0)/100)))+1)),0)</f>
        <v/>
      </c>
      <c r="S969">
        <f>IFERROR(O969/N969,0)</f>
        <v/>
      </c>
      <c r="T969" t="n">
        <v>0</v>
      </c>
      <c r="V969" t="n">
        <v>0</v>
      </c>
    </row>
    <row r="970">
      <c r="A970">
        <f>Skills!A19</f>
        <v/>
      </c>
      <c r="B970">
        <f>Skills!B19</f>
        <v/>
      </c>
      <c r="C970">
        <f>Inputs!$B$3&gt;=15</f>
        <v/>
      </c>
      <c r="D970">
        <f>IF(Skills!C19=1,60+Inputs!$B$25+(Inputs!$B$29+1),IF(Skills!C19=2,90+Inputs!$B$26+(Inputs!$B$29+1),IF(Skills!C19=3,120+Inputs!$B$27+(Inputs!$B$29+1),MAX(0,(Inputs!$B$3-100)*3)+Inputs!$B$28+(Inputs!$B$29+1))))</f>
        <v/>
      </c>
      <c r="E970">
        <f>INDEX(FactorTable!$B$2:$Y$301, MATCH(ROUND(MIN(300,MAX(1,D970)),0), FactorTable!$A$2:$A$301,0), Skills!M19+1)</f>
        <v/>
      </c>
      <c r="F970">
        <f>IF(Skills!N19=TRUE,(Skills!L19/10)*(E970/1000),Skills!L19/10)+Skills!O19</f>
        <v/>
      </c>
      <c r="G970">
        <f>Skills!G19*IF(Skills!H19&gt;0,Skills!I19/Skills!H19,1)</f>
        <v/>
      </c>
      <c r="H970">
        <f>1-(1-Skills!J19/100)^Skills!K19</f>
        <v/>
      </c>
      <c r="I970" t="inlineStr">
        <is>
          <t>1</t>
        </is>
      </c>
      <c r="J970" t="inlineStr"/>
      <c r="K970" t="inlineStr"/>
      <c r="L970" t="inlineStr"/>
      <c r="M970" t="inlineStr"/>
      <c r="N970" t="inlineStr"/>
      <c r="O970">
        <f>(1-Summary!$B$11)*T970+Summary!$B$11*V970</f>
        <v/>
      </c>
      <c r="P970">
        <f>IF(B992=0,0,O970/B992)</f>
        <v/>
      </c>
      <c r="Q970" t="n">
        <v>0</v>
      </c>
      <c r="R970" t="n">
        <v>0</v>
      </c>
      <c r="S970">
        <f>IFERROR(O970/N970,0)</f>
        <v/>
      </c>
      <c r="T970" t="n">
        <v>0</v>
      </c>
      <c r="V970" t="n">
        <v>0</v>
      </c>
    </row>
    <row r="971">
      <c r="A971">
        <f>Skills!A20</f>
        <v/>
      </c>
      <c r="B971">
        <f>Skills!B20</f>
        <v/>
      </c>
      <c r="C971">
        <f>Inputs!$B$3&gt;=10</f>
        <v/>
      </c>
      <c r="D971">
        <f>IF(Skills!C20=1,60+Inputs!$B$25+(Inputs!$B$29+1),IF(Skills!C20=2,90+Inputs!$B$26+(Inputs!$B$29+1),IF(Skills!C20=3,120+Inputs!$B$27+(Inputs!$B$29+1),MAX(0,(Inputs!$B$3-100)*3)+Inputs!$B$28+(Inputs!$B$29+1))))</f>
        <v/>
      </c>
      <c r="E971">
        <f>INDEX(FactorTable!$B$2:$Y$301, MATCH(ROUND(MIN(300,MAX(1,D971)),0), FactorTable!$A$2:$A$301,0), Skills!M20+1)</f>
        <v/>
      </c>
      <c r="F971">
        <f>IF(Skills!N20=TRUE,(Skills!L20/10)*(E971/1000),Skills!L20/10)+Skills!O20</f>
        <v/>
      </c>
      <c r="G971">
        <f>Skills!G20*IF(Skills!H20&gt;0,Skills!I20/Skills!H20,1)</f>
        <v/>
      </c>
      <c r="H971">
        <f>1-(1-Skills!J20/100)^Skills!K20</f>
        <v/>
      </c>
      <c r="I971" t="inlineStr">
        <is>
          <t>1</t>
        </is>
      </c>
      <c r="J971" t="inlineStr"/>
      <c r="K971" t="inlineStr"/>
      <c r="L971" t="inlineStr"/>
      <c r="M971" t="inlineStr"/>
      <c r="N971" t="inlineStr"/>
      <c r="O971">
        <f>(1-Summary!$B$11)*T971+Summary!$B$11*V971</f>
        <v/>
      </c>
      <c r="P971">
        <f>IF(B992=0,0,O971/B992)</f>
        <v/>
      </c>
      <c r="Q971" t="n">
        <v>0</v>
      </c>
      <c r="R971" t="n">
        <v>0</v>
      </c>
      <c r="S971">
        <f>IFERROR(O971/N971,0)</f>
        <v/>
      </c>
      <c r="T971" t="n">
        <v>0</v>
      </c>
      <c r="V971" t="n">
        <v>0</v>
      </c>
    </row>
    <row r="972">
      <c r="A972">
        <f>Skills!A21</f>
        <v/>
      </c>
      <c r="B972">
        <f>Skills!B21</f>
        <v/>
      </c>
      <c r="C972">
        <f>Inputs!$B$3&gt;=33</f>
        <v/>
      </c>
      <c r="D972">
        <f>IF(Skills!C21=1,60+Inputs!$B$25+(Inputs!$B$29+1),IF(Skills!C21=2,90+Inputs!$B$26+(Inputs!$B$29+1),IF(Skills!C21=3,120+Inputs!$B$27+(Inputs!$B$29+1),MAX(0,(Inputs!$B$3-100)*3)+Inputs!$B$28+(Inputs!$B$29+1))))</f>
        <v/>
      </c>
      <c r="E972">
        <f>INDEX(FactorTable!$B$2:$Y$301, MATCH(ROUND(MIN(300,MAX(1,D972)),0), FactorTable!$A$2:$A$301,0), Skills!M21+1)</f>
        <v/>
      </c>
      <c r="F972">
        <f>IF(Skills!N21=TRUE,(Skills!L21/10)*(E972/1000),Skills!L21/10)+Skills!O21</f>
        <v/>
      </c>
      <c r="G972">
        <f>Skills!G21*IF(Skills!H21&gt;0,Skills!I21/Skills!H21,1)</f>
        <v/>
      </c>
      <c r="H972">
        <f>1-(1-Skills!J21/100)^Skills!K21</f>
        <v/>
      </c>
      <c r="I972" t="inlineStr">
        <is>
          <t>1</t>
        </is>
      </c>
      <c r="J972" t="inlineStr"/>
      <c r="K972" t="inlineStr"/>
      <c r="L972" t="inlineStr"/>
      <c r="M972" t="inlineStr"/>
      <c r="N972" t="inlineStr"/>
      <c r="O972">
        <f>(1-Summary!$B$11)*T972+Summary!$B$11*V972</f>
        <v/>
      </c>
      <c r="P972">
        <f>IF(B992=0,0,O972/B992)</f>
        <v/>
      </c>
      <c r="Q972" t="n">
        <v>0</v>
      </c>
      <c r="R972" t="n">
        <v>0</v>
      </c>
      <c r="S972">
        <f>IFERROR(O972/N972,0)</f>
        <v/>
      </c>
      <c r="T972" t="n">
        <v>0</v>
      </c>
      <c r="V972" t="n">
        <v>0</v>
      </c>
    </row>
    <row r="973">
      <c r="A973">
        <f>Skills!A22</f>
        <v/>
      </c>
      <c r="B973">
        <f>Skills!B22</f>
        <v/>
      </c>
      <c r="C973">
        <f>Inputs!$B$3&gt;=43</f>
        <v/>
      </c>
      <c r="D973">
        <f>IF(Skills!C22=1,60+Inputs!$B$25+(Inputs!$B$29+1),IF(Skills!C22=2,90+Inputs!$B$26+(Inputs!$B$29+1),IF(Skills!C22=3,120+Inputs!$B$27+(Inputs!$B$29+1),MAX(0,(Inputs!$B$3-100)*3)+Inputs!$B$28+(Inputs!$B$29+1))))</f>
        <v/>
      </c>
      <c r="E973">
        <f>INDEX(FactorTable!$B$2:$Y$301, MATCH(ROUND(MIN(300,MAX(1,D973)),0), FactorTable!$A$2:$A$301,0), Skills!M22+1)</f>
        <v/>
      </c>
      <c r="F973">
        <f>IF(Skills!N22=TRUE,(Skills!L22/10)*(E973/1000),Skills!L22/10)+Skills!O22</f>
        <v/>
      </c>
      <c r="G973">
        <f>Skills!G22*IF(Skills!H22&gt;0,Skills!I22/Skills!H22,1)</f>
        <v/>
      </c>
      <c r="H973">
        <f>1-(1-Skills!J22/100)^Skills!K22</f>
        <v/>
      </c>
      <c r="I973" t="inlineStr">
        <is>
          <t>1</t>
        </is>
      </c>
      <c r="J973" t="inlineStr"/>
      <c r="K973" t="inlineStr"/>
      <c r="L973" t="inlineStr"/>
      <c r="M973" t="inlineStr"/>
      <c r="N973" t="inlineStr"/>
      <c r="O973">
        <f>(1-Summary!$B$11)*T973+Summary!$B$11*V973</f>
        <v/>
      </c>
      <c r="P973">
        <f>IF(B992=0,0,O973/B992)</f>
        <v/>
      </c>
      <c r="Q973" t="n">
        <v>0</v>
      </c>
      <c r="R973" t="n">
        <v>0</v>
      </c>
      <c r="S973">
        <f>IFERROR(O973/N973,0)</f>
        <v/>
      </c>
      <c r="T973" t="n">
        <v>0</v>
      </c>
      <c r="V973" t="n">
        <v>0</v>
      </c>
    </row>
    <row r="974">
      <c r="A974">
        <f>Skills!A23</f>
        <v/>
      </c>
      <c r="B974">
        <f>Skills!B23</f>
        <v/>
      </c>
      <c r="C974">
        <f>Inputs!$B$3&gt;=38</f>
        <v/>
      </c>
      <c r="D974">
        <f>IF(Skills!C23=1,60+Inputs!$B$25+(Inputs!$B$29+1),IF(Skills!C23=2,90+Inputs!$B$26+(Inputs!$B$29+1),IF(Skills!C23=3,120+Inputs!$B$27+(Inputs!$B$29+1),MAX(0,(Inputs!$B$3-100)*3)+Inputs!$B$28+(Inputs!$B$29+1))))</f>
        <v/>
      </c>
      <c r="E974">
        <f>INDEX(FactorTable!$B$2:$Y$301, MATCH(ROUND(MIN(300,MAX(1,D974)),0), FactorTable!$A$2:$A$301,0), Skills!M23+1)</f>
        <v/>
      </c>
      <c r="F974">
        <f>IF(Skills!N23=TRUE,(Skills!L23/10)*(E974/1000),Skills!L23/10)+Skills!O23</f>
        <v/>
      </c>
      <c r="G974">
        <f>Skills!G23*IF(Skills!H23&gt;0,Skills!I23/Skills!H23,1)</f>
        <v/>
      </c>
      <c r="H974">
        <f>1-(1-Skills!J23/100)^Skills!K23</f>
        <v/>
      </c>
      <c r="I974" t="inlineStr">
        <is>
          <t>1</t>
        </is>
      </c>
      <c r="J974" t="inlineStr"/>
      <c r="K974" t="inlineStr"/>
      <c r="L974" t="inlineStr"/>
      <c r="M974" t="inlineStr"/>
      <c r="N974" t="inlineStr"/>
      <c r="O974">
        <f>(1-Summary!$B$11)*T974+Summary!$B$11*V974</f>
        <v/>
      </c>
      <c r="P974">
        <f>IF(B992=0,0,O974/B992)</f>
        <v/>
      </c>
      <c r="Q974" t="n">
        <v>0</v>
      </c>
      <c r="R974" t="n">
        <v>0</v>
      </c>
      <c r="S974">
        <f>IFERROR(O974/N974,0)</f>
        <v/>
      </c>
      <c r="T974" t="n">
        <v>0</v>
      </c>
      <c r="V974" t="n">
        <v>0</v>
      </c>
    </row>
    <row r="975">
      <c r="A975">
        <f>Skills!A24</f>
        <v/>
      </c>
      <c r="B975">
        <f>Skills!B24</f>
        <v/>
      </c>
      <c r="C975">
        <f>Inputs!$B$3&gt;=40</f>
        <v/>
      </c>
      <c r="D975">
        <f>IF(Skills!C24=1,60+Inputs!$B$25+(Inputs!$B$29+1),IF(Skills!C24=2,90+Inputs!$B$26+(Inputs!$B$29+1),IF(Skills!C24=3,120+Inputs!$B$27+(Inputs!$B$29+1),MAX(0,(Inputs!$B$3-100)*3)+Inputs!$B$28+(Inputs!$B$29+1))))</f>
        <v/>
      </c>
      <c r="E975">
        <f>INDEX(FactorTable!$B$2:$Y$301, MATCH(ROUND(MIN(300,MAX(1,D975)),0), FactorTable!$A$2:$A$301,0), Skills!M24+1)</f>
        <v/>
      </c>
      <c r="F975">
        <f>IF(Skills!N24=TRUE,(Skills!L24/10)*(E975/1000),Skills!L24/10)+Skills!O24</f>
        <v/>
      </c>
      <c r="G975">
        <f>Skills!G24*IF(Skills!H24&gt;0,Skills!I24/Skills!H24,1)</f>
        <v/>
      </c>
      <c r="H975">
        <f>1-(1-Skills!J24/100)^Skills!K24</f>
        <v/>
      </c>
      <c r="I975" t="inlineStr">
        <is>
          <t>1</t>
        </is>
      </c>
      <c r="J975" t="inlineStr"/>
      <c r="K975" t="inlineStr"/>
      <c r="L975" t="inlineStr"/>
      <c r="M975" t="inlineStr"/>
      <c r="N975" t="inlineStr"/>
      <c r="O975">
        <f>(1-Summary!$B$11)*T975+Summary!$B$11*V975</f>
        <v/>
      </c>
      <c r="P975">
        <f>IF(B992=0,0,O975/B992)</f>
        <v/>
      </c>
      <c r="Q975" t="n">
        <v>0</v>
      </c>
      <c r="R975" t="n">
        <v>0</v>
      </c>
      <c r="S975">
        <f>IFERROR(O975/N975,0)</f>
        <v/>
      </c>
      <c r="T975" t="n">
        <v>0</v>
      </c>
      <c r="V975" t="n">
        <v>0</v>
      </c>
    </row>
    <row r="976">
      <c r="A976">
        <f>Skills!A25</f>
        <v/>
      </c>
      <c r="B976">
        <f>Skills!B25</f>
        <v/>
      </c>
      <c r="C976">
        <f>Inputs!$B$3&gt;=72</f>
        <v/>
      </c>
      <c r="D976">
        <f>IF(Skills!C25=1,60+Inputs!$B$25+(Inputs!$B$29+1),IF(Skills!C25=2,90+Inputs!$B$26+(Inputs!$B$29+1),IF(Skills!C25=3,120+Inputs!$B$27+(Inputs!$B$29+1),MAX(0,(Inputs!$B$3-100)*3)+Inputs!$B$28+(Inputs!$B$29+1))))</f>
        <v/>
      </c>
      <c r="E976">
        <f>INDEX(FactorTable!$B$2:$Y$301, MATCH(ROUND(MIN(300,MAX(1,D976)),0), FactorTable!$A$2:$A$301,0), Skills!M25+1)</f>
        <v/>
      </c>
      <c r="F976">
        <f>IF(Skills!N25=TRUE,(Skills!L25/10)*(E976/1000),Skills!L25/10)+Skills!O25</f>
        <v/>
      </c>
      <c r="G976">
        <f>Skills!G25*IF(Skills!H25&gt;0,Skills!I25/Skills!H25,1)</f>
        <v/>
      </c>
      <c r="H976">
        <f>1-(1-Skills!J25/100)^Skills!K25</f>
        <v/>
      </c>
      <c r="I976" t="inlineStr">
        <is>
          <t>1</t>
        </is>
      </c>
      <c r="J976" t="inlineStr"/>
      <c r="K976" t="inlineStr"/>
      <c r="L976" t="inlineStr"/>
      <c r="M976" t="inlineStr"/>
      <c r="N976" t="inlineStr"/>
      <c r="O976">
        <f>(1-Summary!$B$11)*T976+Summary!$B$11*V976</f>
        <v/>
      </c>
      <c r="P976">
        <f>IF(B992=0,0,O976/B992)</f>
        <v/>
      </c>
      <c r="Q976" t="n">
        <v>0</v>
      </c>
      <c r="R976" t="n">
        <v>0</v>
      </c>
      <c r="S976">
        <f>IFERROR(O976/N976,0)</f>
        <v/>
      </c>
      <c r="T976" t="n">
        <v>0</v>
      </c>
      <c r="V976" t="n">
        <v>0</v>
      </c>
    </row>
    <row r="977">
      <c r="A977">
        <f>Skills!A26</f>
        <v/>
      </c>
      <c r="B977">
        <f>Skills!B26</f>
        <v/>
      </c>
      <c r="C977">
        <f>Inputs!$B$3&gt;=75</f>
        <v/>
      </c>
      <c r="D977">
        <f>IF(Skills!C26=1,60+Inputs!$B$25+(Inputs!$B$29+1),IF(Skills!C26=2,90+Inputs!$B$26+(Inputs!$B$29+1),IF(Skills!C26=3,120+Inputs!$B$27+(Inputs!$B$29+1),MAX(0,(Inputs!$B$3-100)*3)+Inputs!$B$28+(Inputs!$B$29+1))))</f>
        <v/>
      </c>
      <c r="E977">
        <f>INDEX(FactorTable!$B$2:$Y$301, MATCH(ROUND(MIN(300,MAX(1,D977)),0), FactorTable!$A$2:$A$301,0), Skills!M26+1)</f>
        <v/>
      </c>
      <c r="F977">
        <f>IF(Skills!N26=TRUE,(Skills!L26/10)*(E977/1000),Skills!L26/10)+Skills!O26</f>
        <v/>
      </c>
      <c r="G977">
        <f>Skills!G26*IF(Skills!H26&gt;0,Skills!I26/Skills!H26,1)</f>
        <v/>
      </c>
      <c r="H977">
        <f>1-(1-Skills!J26/100)^Skills!K26</f>
        <v/>
      </c>
      <c r="I977" t="inlineStr">
        <is>
          <t>1</t>
        </is>
      </c>
      <c r="J977" t="inlineStr"/>
      <c r="K977" t="inlineStr"/>
      <c r="L977" t="inlineStr"/>
      <c r="M977" t="inlineStr"/>
      <c r="N977" t="inlineStr"/>
      <c r="O977">
        <f>(1-Summary!$B$11)*T977+Summary!$B$11*V977</f>
        <v/>
      </c>
      <c r="P977">
        <f>IF(B992=0,0,O977/B992)</f>
        <v/>
      </c>
      <c r="Q977" t="n">
        <v>0</v>
      </c>
      <c r="R977" t="n">
        <v>0</v>
      </c>
      <c r="S977">
        <f>IFERROR(O977/N977,0)</f>
        <v/>
      </c>
      <c r="T977" t="n">
        <v>0</v>
      </c>
      <c r="V977" t="n">
        <v>0</v>
      </c>
    </row>
    <row r="978">
      <c r="A978">
        <f>Skills!A27</f>
        <v/>
      </c>
      <c r="B978">
        <f>Skills!B27</f>
        <v/>
      </c>
      <c r="C978">
        <f>Inputs!$B$3&gt;=117</f>
        <v/>
      </c>
      <c r="D978">
        <f>IF(Skills!C27=1,60+Inputs!$B$25+(Inputs!$B$29+1),IF(Skills!C27=2,90+Inputs!$B$26+(Inputs!$B$29+1),IF(Skills!C27=3,120+Inputs!$B$27+(Inputs!$B$29+1),MAX(0,(Inputs!$B$3-100)*3)+Inputs!$B$28+(Inputs!$B$29+1))))</f>
        <v/>
      </c>
      <c r="E978">
        <f>INDEX(FactorTable!$B$2:$Y$301, MATCH(ROUND(MIN(300,MAX(1,D978)),0), FactorTable!$A$2:$A$301,0), Skills!M27+1)</f>
        <v/>
      </c>
      <c r="F978">
        <f>IF(Skills!N27=TRUE,(Skills!L27/10)*(E978/1000),Skills!L27/10)+Skills!O27</f>
        <v/>
      </c>
      <c r="G978">
        <f>Skills!G27*IF(Skills!H27&gt;0,Skills!I27/Skills!H27,1)</f>
        <v/>
      </c>
      <c r="H978">
        <f>1-(1-Skills!J27/100)^Skills!K27</f>
        <v/>
      </c>
      <c r="I978" t="inlineStr">
        <is>
          <t>1</t>
        </is>
      </c>
      <c r="J978" t="inlineStr"/>
      <c r="K978" t="inlineStr"/>
      <c r="L978" t="inlineStr"/>
      <c r="M978" t="inlineStr"/>
      <c r="N978" t="inlineStr"/>
      <c r="O978">
        <f>(1-Summary!$B$11)*T978+Summary!$B$11*V978</f>
        <v/>
      </c>
      <c r="P978">
        <f>IF(B992=0,0,O978/B992)</f>
        <v/>
      </c>
      <c r="Q978" t="n">
        <v>0</v>
      </c>
      <c r="R978" t="n">
        <v>0</v>
      </c>
      <c r="S978">
        <f>IFERROR(O978/N978,0)</f>
        <v/>
      </c>
      <c r="T978" t="n">
        <v>0</v>
      </c>
      <c r="V978" t="n">
        <v>0</v>
      </c>
    </row>
    <row r="979">
      <c r="A979">
        <f>Skills!A28</f>
        <v/>
      </c>
      <c r="B979">
        <f>Skills!B28</f>
        <v/>
      </c>
      <c r="C979">
        <f>TRUE</f>
        <v/>
      </c>
      <c r="D979">
        <f>IF(Skills!C28=1,60+Inputs!$B$25+(Inputs!$B$29+1),IF(Skills!C28=2,90+Inputs!$B$26+(Inputs!$B$29+1),IF(Skills!C28=3,120+Inputs!$B$27+(Inputs!$B$29+1),MAX(0,(Inputs!$B$3-100)*3)+Inputs!$B$28+(Inputs!$B$29+1))))</f>
        <v/>
      </c>
      <c r="E979">
        <f>INDEX(FactorTable!$B$2:$Y$301, MATCH(ROUND(MIN(300,MAX(1,D979)),0), FactorTable!$A$2:$A$301,0), Skills!M28+1)</f>
        <v/>
      </c>
      <c r="F979">
        <f>IF(Skills!N28=TRUE,(Skills!L28/10)*(E979/1000),Skills!L28/10)+Skills!O28</f>
        <v/>
      </c>
      <c r="G979">
        <f>Skills!G28*IF(Skills!H28&gt;0,Skills!I28/Skills!H28,1)</f>
        <v/>
      </c>
      <c r="H979">
        <f>1-(1-Skills!J28/100)^Skills!K28</f>
        <v/>
      </c>
      <c r="I979" t="inlineStr">
        <is>
          <t>1</t>
        </is>
      </c>
      <c r="J979" t="inlineStr"/>
      <c r="K979" t="inlineStr"/>
      <c r="L979" t="inlineStr"/>
      <c r="M979" t="inlineStr"/>
      <c r="N979" t="inlineStr"/>
      <c r="O979">
        <f>(1-Summary!$B$11)*T979+Summary!$B$11*V979</f>
        <v/>
      </c>
      <c r="P979">
        <f>IF(B992=0,0,O979/B992)</f>
        <v/>
      </c>
      <c r="Q979">
        <f>IFERROR(1/(IF(Inputs!$B$38="pvp",15,MAX(0.1,Skills!D28-IF(Skills!E28=TRUE,Inputs!$B$32,0)))*(1-IF(AND(ArtifactsInput!$M$27,Inputs!$B$4="Chapter Hunt"),CHOOSE(ArtifactsInput!$N$27+1,20,24,28,32,36,40),0)/100)),0)</f>
        <v/>
      </c>
      <c r="R979">
        <f>IF(AND(Inputs!$B$38&lt;&gt;"pvp",Inputs!$B$43&gt;0),IF(Inputs!$B$43&lt;=0,0,(INT(Inputs!$B$43/(IF(Inputs!$B$38="pvp",15,MAX(0.1,Skills!D28-IF(Skills!E28=TRUE,Inputs!$B$32,0)))*(1-IF(AND(ArtifactsInput!$M$27,Inputs!$B$4="Chapter Hunt"),CHOOSE(ArtifactsInput!$N$27+1,20,24,28,32,36,40),0)/100)))+1)),0)</f>
        <v/>
      </c>
      <c r="S979">
        <f>IFERROR(O979/N979,0)</f>
        <v/>
      </c>
      <c r="T979" t="n">
        <v>0</v>
      </c>
      <c r="V979" t="n">
        <v>0</v>
      </c>
    </row>
    <row r="981">
      <c r="A981" t="inlineStr">
        <is>
          <t>Attack% Bucket Multiplier</t>
        </is>
      </c>
      <c r="B981">
        <f>(1+(((C968=TRUE)*F968*5/7)+((C975=TRUE)*(F975-Calc!F24))+(IF(ArtifactsInput!$M$21,CHOOSE(ArtifactsInput!$N$21+1,25,30,35,40,45,50)*(IF(OR(Inputs!$B$4="Chapter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82">
      <c r="A982" t="inlineStr">
        <is>
          <t>Global Crit Rate Bonus %</t>
        </is>
      </c>
      <c r="B982" t="n">
        <v>0</v>
      </c>
    </row>
    <row r="983">
      <c r="A983" t="inlineStr">
        <is>
          <t>Attack Speed Buff Bonus % (Nimble Feet, duty-cycle averaged)</t>
        </is>
      </c>
      <c r="B983">
        <f>((C979=TRUE)*F979*IF(AND(Inputs!$B$38&lt;&gt;"pvp",Inputs!$B$43&gt;0),(((R979-1)*(Skills!T28*(1+Inputs!$B$34/100))+MIN((Skills!T28*(1+Inputs!$B$34/100)),MAX(0,Inputs!$B$43-((R979-1)*Skills!D28))))/Inputs!$B$43),IF(Inputs!$B$38="pvp",MIN((Skills!T28*(1+Inputs!$B$34/100)),15)/15,(Skills!T28*(1+Inputs!$B$34/100))/Skills!D28)))</f>
        <v/>
      </c>
    </row>
    <row r="984">
      <c r="A984" t="inlineStr">
        <is>
          <t>Actions Per Second</t>
        </is>
      </c>
      <c r="B984">
        <f>1+MIN(150,150*(1-(1-(Inputs!$B$11+((C971=TRUE)*(F971-Calc!F20))+((C972=TRUE)*(F972-Calc!F21)))/150)*(1-B983/150)))/100</f>
        <v/>
      </c>
    </row>
    <row r="985">
      <c r="A985" t="inlineStr">
        <is>
          <t>Skill + Buff Cast Rate</t>
        </is>
      </c>
      <c r="B985">
        <f>IF(AND(Inputs!$B$38&lt;&gt;"pvp",Inputs!$B$43&gt;0),SUMPRODUCT((Skills!E2:E28=TRUE)*(C953:C979=TRUE)*R953:R979*Skills!F2:F28)/Inputs!$B$43,SUMPRODUCT((Skills!E2:E28=TRUE)*(C953:C979=TRUE)*Q953:Q979*Skills!F2:F28))</f>
        <v/>
      </c>
    </row>
    <row r="986">
      <c r="A986" t="inlineStr">
        <is>
          <t>Eight-Legs Easton Casts Per Second</t>
        </is>
      </c>
      <c r="B986">
        <f>MAX(0,B984-B985)</f>
        <v/>
      </c>
    </row>
    <row r="987">
      <c r="A987" t="inlineStr">
        <is>
          <t>Global Critical Damage Bonus % (unused)</t>
        </is>
      </c>
      <c r="B987" t="n">
        <v>0</v>
      </c>
    </row>
    <row r="988">
      <c r="A988" t="inlineStr">
        <is>
          <t>Global Final Damage Bonus % (Jolly Roger + Ahoy Mateys - Final Damage proc)</t>
        </is>
      </c>
      <c r="B988">
        <f>((C969=TRUE)*F969*IF(AND(Inputs!$B$38&lt;&gt;"pvp",Inputs!$B$43&gt;0),(((R969-1)*(Skills!T18*(1+Inputs!$B$34/100))+MIN((Skills!T18*(1+Inputs!$B$34/100)),MAX(0,Inputs!$B$43-((R969-1)*Skills!D18))))/Inputs!$B$43),IF(Inputs!$B$38="pvp",MIN((Skills!T18*(1+Inputs!$B$34/100)),15)/15,(Skills!T18*(1+Inputs!$B$34/100))/Skills!D18)))+IF(Inputs!$B$3&gt;=122,20*IF(Inputs!$B$38="pvp",MIN((20*(1+Inputs!$B$34/100)),15)/15,(20*(1+Inputs!$B$34/100))/Skills!D4),0)</f>
        <v/>
      </c>
    </row>
    <row r="989">
      <c r="A989" t="inlineStr">
        <is>
          <t>Buff-Casting Startup Delay (s, fixed-duration only)</t>
        </is>
      </c>
      <c r="B989">
        <f>IF(AND(Inputs!$B$38&lt;&gt;"pvp",Inputs!$B$43&gt;0),SUMPRODUCT((Skills!T2:T28&gt;0)*(Skills!E2:E28=TRUE)*(C953:C979=TRUE))/B984,0)</f>
        <v/>
      </c>
    </row>
    <row r="990">
      <c r="A990" t="inlineStr">
        <is>
          <t>Boss-Only Total DPS (this block's swept value)</t>
        </is>
      </c>
      <c r="B990">
        <f>SUM(T953:T979)</f>
        <v/>
      </c>
    </row>
    <row r="991">
      <c r="A991" t="inlineStr">
        <is>
          <t>Normal-Only Total DPS (this block's swept value)</t>
        </is>
      </c>
      <c r="B991">
        <f>SUM(V953:V979)</f>
        <v/>
      </c>
    </row>
    <row r="992">
      <c r="A992" s="6" t="inlineStr">
        <is>
          <t>TOTAL DPS</t>
        </is>
      </c>
      <c r="B992" s="6">
        <f>SUM(O953:O979)</f>
        <v/>
      </c>
    </row>
    <row r="995">
      <c r="A995" s="6" t="inlineStr">
        <is>
          <t>Stat: Flat ATTACK</t>
        </is>
      </c>
    </row>
    <row r="996">
      <c r="A996" s="5" t="inlineStr">
        <is>
          <t>Key</t>
        </is>
      </c>
      <c r="B996" s="5" t="inlineStr">
        <is>
          <t>Name</t>
        </is>
      </c>
      <c r="C996" s="5" t="inlineStr">
        <is>
          <t>Unlocked</t>
        </is>
      </c>
      <c r="D996" s="5" t="inlineStr">
        <is>
          <t>InputLevel</t>
        </is>
      </c>
      <c r="E996" s="5" t="inlineStr">
        <is>
          <t>Factor</t>
        </is>
      </c>
      <c r="F996" s="5" t="inlineStr">
        <is>
          <t>CoefficientPercent</t>
        </is>
      </c>
      <c r="G996" s="5" t="inlineStr">
        <is>
          <t>EffectiveHits</t>
        </is>
      </c>
      <c r="H996" s="5" t="inlineStr">
        <is>
          <t>ProcProbability</t>
        </is>
      </c>
      <c r="I996" s="5" t="inlineStr">
        <is>
          <t>MapleHeroMultiplier</t>
        </is>
      </c>
      <c r="J996" s="5" t="inlineStr">
        <is>
          <t>BaseDamage</t>
        </is>
      </c>
      <c r="K996" s="5" t="inlineStr">
        <is>
          <t>BaseHitDamage</t>
        </is>
      </c>
      <c r="L996" s="5" t="inlineStr">
        <is>
          <t>NonCritAvg</t>
        </is>
      </c>
      <c r="M996" s="5" t="inlineStr">
        <is>
          <t>CritAvg</t>
        </is>
      </c>
      <c r="N996" s="5" t="inlineStr">
        <is>
          <t>ExpectedDamage(perHit)</t>
        </is>
      </c>
      <c r="O996" s="5" t="inlineStr">
        <is>
          <t>DPS</t>
        </is>
      </c>
      <c r="P996" s="5" t="inlineStr">
        <is>
          <t>% of Total</t>
        </is>
      </c>
      <c r="Q996" s="5" t="inlineStr">
        <is>
          <t>InvCooldown</t>
        </is>
      </c>
      <c r="R996" s="5" t="inlineStr">
        <is>
          <t>CastsInFight</t>
        </is>
      </c>
      <c r="S996" s="5" t="inlineStr">
        <is>
          <t>HitRate(perSec)</t>
        </is>
      </c>
      <c r="U996" t="inlineStr">
        <is>
          <t>helpers</t>
        </is>
      </c>
    </row>
    <row r="997">
      <c r="A997">
        <f>Skills!A2</f>
        <v/>
      </c>
      <c r="B997">
        <f>Skills!B2</f>
        <v/>
      </c>
      <c r="C997">
        <f>Inputs!$B$3&gt;=100</f>
        <v/>
      </c>
      <c r="D997" t="inlineStr"/>
      <c r="E997" t="inlineStr"/>
      <c r="F997">
        <f>U999+Skills!O2</f>
        <v/>
      </c>
      <c r="G997">
        <f>Skills!G2*IF(Skills!H2&gt;0,Skills!I2/Skills!H2,1)</f>
        <v/>
      </c>
      <c r="H997">
        <f>1-(1-Skills!J2/100)^Skills!K2</f>
        <v/>
      </c>
      <c r="I997" t="inlineStr">
        <is>
          <t>1</t>
        </is>
      </c>
      <c r="J997">
        <f>(((Inputs!$B$6+1)*(1+Inputs!$B$7/100))+(((Inputs!$B$12*(1+Inputs!$B$13/100))-(Inputs!$B$12*(1+Inputs!$B$13/100)))+0.25*(Inputs!$B$14-Inputs!$B$14))*(1+Inputs!$B$7/100))*(F997/100)</f>
        <v/>
      </c>
      <c r="K997">
        <f>J997*(1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997)</f>
        <v/>
      </c>
      <c r="L997">
        <f>K997*(MIN(Inputs!$B$22+((C1017=TRUE)*(F1017-Calc!F22)),(Inputs!$B$23+0+(IF(ArtifactsInput!$M$15,CHOOSE(ArtifactsInput!$N$15+1,25,30,35,40,45,50)/100*(Inputs!$B$11-Inputs!$B$11),0))))/100+(Inputs!$B$23+0+(IF(ArtifactsInput!$M$15,CHOOSE(ArtifactsInput!$N$15+1,25,30,35,40,45,50)/100*(Inputs!$B$11-Inputs!$B$11),0)))/100)/2</f>
        <v/>
      </c>
      <c r="M997">
        <f>L997*(1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7">
        <f>L997*(1-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997*(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7">
        <f>(1-Summary!$B$11)*T997+Summary!$B$11*V997</f>
        <v/>
      </c>
      <c r="P997">
        <f>IF(B1036=0,0,O997/B1036)</f>
        <v/>
      </c>
      <c r="Q997" t="n">
        <v>0</v>
      </c>
      <c r="R997" t="n">
        <v>0</v>
      </c>
      <c r="S997">
        <f>IFERROR(O997/N997,0)</f>
        <v/>
      </c>
      <c r="T997">
        <f>IF(C997,(Skills!G2*N997*B1030)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997*(1-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997*(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997*(1-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997*(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7">
        <f>MAX(0,(Inputs!$B$3-100)*3)+Inputs!$B$28+Inputs!$B$29</f>
        <v/>
      </c>
      <c r="V997">
        <f>IF(C997,(Skills!G2*N997*B1030)*IF(Inputs!$B$38="pvp",1,(1+(Inputs!$B$21+Skills!Q2+(IF(ArtifactsInput!$M$33,CHOOSE(ArtifactsInput!$N$33+1,30,36,42,48,54,60),0))+(IF(AND(ArtifactsInput!$M$35,Inputs!$B$4&lt;&gt;"Chapter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8">
      <c r="A998">
        <f>Skills!A3</f>
        <v/>
      </c>
      <c r="B998">
        <f>Skills!B3</f>
        <v/>
      </c>
      <c r="C998">
        <f>Inputs!$B$3&gt;=35</f>
        <v/>
      </c>
      <c r="D998">
        <f>IF(Skills!C3=1,60+Inputs!$B$25+Inputs!$B$29,IF(Skills!C3=2,90+Inputs!$B$26+Inputs!$B$29,IF(Skills!C3=3,120+Inputs!$B$27+Inputs!$B$29,MAX(0,(Inputs!$B$3-100)*3)+Inputs!$B$28+Inputs!$B$29)))</f>
        <v/>
      </c>
      <c r="E998">
        <f>INDEX(FactorTable!$B$2:$Y$301, MATCH(ROUND(MIN(300,MAX(1,D998)),0), FactorTable!$A$2:$A$301,0), Skills!M3+1)</f>
        <v/>
      </c>
      <c r="F998">
        <f>IF(Skills!N3=TRUE,(Skills!L3/10)*(E998/1000),Skills!L3/10)+Skills!O3</f>
        <v/>
      </c>
      <c r="G998">
        <f>Skills!G3*IF(Skills!H3&gt;0,Skills!I3/Skills!H3,1)</f>
        <v/>
      </c>
      <c r="H998">
        <f>1-(1-Skills!J3/100)^Skills!K3</f>
        <v/>
      </c>
      <c r="I998" t="inlineStr">
        <is>
          <t>1</t>
        </is>
      </c>
      <c r="J998">
        <f>(((Inputs!$B$6+1)*(1+Inputs!$B$7/100))+(((Inputs!$B$12*(1+Inputs!$B$13/100))-(Inputs!$B$12*(1+Inputs!$B$13/100)))+0.25*(Inputs!$B$14-Inputs!$B$14))*(1+Inputs!$B$7/100))*(F998/100)</f>
        <v/>
      </c>
      <c r="K998">
        <f>J998*(1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1010=TRUE,F1010,0)/100)*(1+(IF(Skills!A3="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998)</f>
        <v/>
      </c>
      <c r="L998">
        <f>K998*(MIN(Inputs!$B$22+((C1017=TRUE)*(F1017-Calc!F22)),(Inputs!$B$23+0+(IF(ArtifactsInput!$M$15,CHOOSE(ArtifactsInput!$N$15+1,25,30,35,40,45,50)/100*(Inputs!$B$11-Inputs!$B$11),0))))/100+(Inputs!$B$23+0+(IF(ArtifactsInput!$M$15,CHOOSE(ArtifactsInput!$N$15+1,25,30,35,40,45,50)/100*(Inputs!$B$11-Inputs!$B$11),0)))/100)/2</f>
        <v/>
      </c>
      <c r="M998">
        <f>L998*(1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8">
        <f>L998*(1-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998*(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8">
        <f>(1-Summary!$B$11)*T998+Summary!$B$11*V998</f>
        <v/>
      </c>
      <c r="P998">
        <f>IF(B1036=0,0,O998/B1036)</f>
        <v/>
      </c>
      <c r="Q998">
        <f>IFERROR(1/(IF(Inputs!$B$38="pvp",15,MAX(0.1,Skills!D3-IF(Skills!E3=TRUE,Inputs!$B$32,0)))*(1-IF(AND(ArtifactsInput!$M$27,Inputs!$B$4="Chapter Hunt"),CHOOSE(ArtifactsInput!$N$27+1,20,24,28,32,36,40),0)/100)),0)</f>
        <v/>
      </c>
      <c r="R998">
        <f>IF(AND(Inputs!$B$38&lt;&gt;"pvp",Inputs!$B$43&gt;0),IF(MAX(0,Inputs!$B$43-B1033)&lt;=0,0,(INT(MAX(0,Inputs!$B$43-B1033)/(IF(Inputs!$B$38="pvp",15,MAX(0.1,Skills!D3-IF(Skills!E3=TRUE,Inputs!$B$32,0)))*(1-IF(AND(ArtifactsInput!$M$27,Inputs!$B$4="Chapter Hunt"),CHOOSE(ArtifactsInput!$N$27+1,20,24,28,32,36,40),0)/100)))+1)),0)</f>
        <v/>
      </c>
      <c r="S998">
        <f>IFERROR(O998/N998,0)</f>
        <v/>
      </c>
      <c r="T998">
        <f>IF(C998,(H998*N998*IF(AND(Inputs!$B$38&lt;&gt;"pvp",Inputs!$B$43&gt;0),((Skills!G3*((R998-1)*IF(Skills!H3&gt;0,Skills!I3/Skills!H3,1)+IF(Skills!H3&gt;0,MIN(Skills!I3,MAX(0,MAX(0,Inputs!$B$43-B1033)-((R998-1)*(IF(Inputs!$B$38="pvp",15,MAX(0.1,Skills!D3-IF(Skills!E3=TRUE,Inputs!$B$32,0)))*(1-IF(AND(ArtifactsInput!$M$27,Inputs!$B$4="Chapter Hunt"),CHOOSE(ArtifactsInput!$N$27+1,20,24,28,32,36,40),0)/100)))))/Skills!H3,1)))/Inputs!$B$43),G998*Q998)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998*(1-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998*(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998*(1-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998*(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8">
        <f>INDEX(FactorTable!$B$2:$Y$301, MATCH(ROUND(MIN(300,MAX(1,U997)),0), FactorTable!$A$2:$A$301,0), 22)</f>
        <v/>
      </c>
      <c r="V998">
        <f>IF(C998,(H998*N998*IF(AND(Inputs!$B$38&lt;&gt;"pvp",Inputs!$B$43&gt;0),((Skills!G3*((R998-1)*IF(Skills!H3&gt;0,Skills!I3/Skills!H3,1)+IF(Skills!H3&gt;0,MIN(Skills!I3,MAX(0,MAX(0,Inputs!$B$43-B1033)-((R998-1)*(IF(Inputs!$B$38="pvp",15,MAX(0.1,Skills!D3-IF(Skills!E3=TRUE,Inputs!$B$32,0)))*(1-IF(AND(ArtifactsInput!$M$27,Inputs!$B$4="Chapter Hunt"),CHOOSE(ArtifactsInput!$N$27+1,20,24,28,32,36,40),0)/100)))))/Skills!H3,1)))/Inputs!$B$43),G998*Q998))*IF(Inputs!$B$38="pvp",1,(1+(Inputs!$B$21+Skills!Q3+(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9">
      <c r="A999">
        <f>Skills!A4</f>
        <v/>
      </c>
      <c r="B999">
        <f>Skills!B4</f>
        <v/>
      </c>
      <c r="C999">
        <f>Inputs!$B$3&gt;=40</f>
        <v/>
      </c>
      <c r="D999">
        <f>IF(Skills!C4=1,60+Inputs!$B$25+Inputs!$B$29,IF(Skills!C4=2,90+Inputs!$B$26+Inputs!$B$29,IF(Skills!C4=3,120+Inputs!$B$27+Inputs!$B$29,MAX(0,(Inputs!$B$3-100)*3)+Inputs!$B$28+Inputs!$B$29)))</f>
        <v/>
      </c>
      <c r="E999">
        <f>INDEX(FactorTable!$B$2:$Y$301, MATCH(ROUND(MIN(300,MAX(1,D999)),0), FactorTable!$A$2:$A$301,0), Skills!M4+1)</f>
        <v/>
      </c>
      <c r="F999">
        <f>IF(Skills!N4=TRUE,(Skills!L4/10)*(E999/1000),Skills!L4/10)+Skills!O4</f>
        <v/>
      </c>
      <c r="G999">
        <f>Skills!G4*IF(Skills!H4&gt;0,Skills!I4/Skills!H4,1)</f>
        <v/>
      </c>
      <c r="H999">
        <f>1-(1-Skills!J4/100)^Skills!K4</f>
        <v/>
      </c>
      <c r="I999" t="inlineStr">
        <is>
          <t>1</t>
        </is>
      </c>
      <c r="J999">
        <f>(((Inputs!$B$6+1)*(1+Inputs!$B$7/100))+(((Inputs!$B$12*(1+Inputs!$B$13/100))-(Inputs!$B$12*(1+Inputs!$B$13/100)))+0.25*(Inputs!$B$14-Inputs!$B$14))*(1+Inputs!$B$7/100))*(F999/100)</f>
        <v/>
      </c>
      <c r="K999">
        <f>J999*(1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1011=TRUE,F1011,0)/100)*(1+(IF(Skills!A4="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999)</f>
        <v/>
      </c>
      <c r="L999">
        <f>K999*(MIN(Inputs!$B$22+((C1017=TRUE)*(F1017-Calc!F22)),(Inputs!$B$23+0+(IF(ArtifactsInput!$M$15,CHOOSE(ArtifactsInput!$N$15+1,25,30,35,40,45,50)/100*(Inputs!$B$11-Inputs!$B$11),0))))/100+(Inputs!$B$23+0+(IF(ArtifactsInput!$M$15,CHOOSE(ArtifactsInput!$N$15+1,25,30,35,40,45,50)/100*(Inputs!$B$11-Inputs!$B$11),0)))/100)/2</f>
        <v/>
      </c>
      <c r="M999">
        <f>L999*(1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9">
        <f>L999*(1-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999*(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9">
        <f>(1-Summary!$B$11)*T999+Summary!$B$11*V999</f>
        <v/>
      </c>
      <c r="P999">
        <f>IF(B1036=0,0,O999/B1036)</f>
        <v/>
      </c>
      <c r="Q999">
        <f>IFERROR(1/(IF(Inputs!$B$38="pvp",15,MAX(0.1,Skills!D4-IF(Skills!E4=TRUE,Inputs!$B$32,0)))*(1-IF(AND(ArtifactsInput!$M$27,Inputs!$B$4="Chapter Hunt"),CHOOSE(ArtifactsInput!$N$27+1,20,24,28,32,36,40),0)/100)),0)</f>
        <v/>
      </c>
      <c r="R999">
        <f>IF(AND(Inputs!$B$38&lt;&gt;"pvp",Inputs!$B$43&gt;0),IF(MAX(0,Inputs!$B$43-B1033)&lt;=0,0,(INT(MAX(0,Inputs!$B$43-B1033)/(IF(Inputs!$B$38="pvp",15,MAX(0.1,Skills!D4-IF(Skills!E4=TRUE,Inputs!$B$32,0)))*(1-IF(AND(ArtifactsInput!$M$27,Inputs!$B$4="Chapter Hunt"),CHOOSE(ArtifactsInput!$N$27+1,20,24,28,32,36,40),0)/100)))+1)),0)</f>
        <v/>
      </c>
      <c r="S999">
        <f>IFERROR(O999/N999,0)</f>
        <v/>
      </c>
      <c r="T999">
        <f>IF(C999,(H999*N999*IF(AND(Inputs!$B$38&lt;&gt;"pvp",Inputs!$B$43&gt;0),((Skills!G4*((R999-1)*IF(Skills!H4&gt;0,Skills!I4/Skills!H4,1)+IF(Skills!H4&gt;0,MIN(Skills!I4,MAX(0,MAX(0,Inputs!$B$43-B1033)-((R999-1)*(IF(Inputs!$B$38="pvp",15,MAX(0.1,Skills!D4-IF(Skills!E4=TRUE,Inputs!$B$32,0)))*(1-IF(AND(ArtifactsInput!$M$27,Inputs!$B$4="Chapter Hunt"),CHOOSE(ArtifactsInput!$N$27+1,20,24,28,32,36,40),0)/100)))))/Skills!H4,1)))/Inputs!$B$43),G999*Q999)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999*(1-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999*(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999*(1-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999*(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9">
        <f>290*U998/1000</f>
        <v/>
      </c>
      <c r="V999">
        <f>IF(C999,(H999*N999*IF(AND(Inputs!$B$38&lt;&gt;"pvp",Inputs!$B$43&gt;0),((Skills!G4*((R999-1)*IF(Skills!H4&gt;0,Skills!I4/Skills!H4,1)+IF(Skills!H4&gt;0,MIN(Skills!I4,MAX(0,MAX(0,Inputs!$B$43-B1033)-((R999-1)*(IF(Inputs!$B$38="pvp",15,MAX(0.1,Skills!D4-IF(Skills!E4=TRUE,Inputs!$B$32,0)))*(1-IF(AND(ArtifactsInput!$M$27,Inputs!$B$4="Chapter Hunt"),CHOOSE(ArtifactsInput!$N$27+1,20,24,28,32,36,40),0)/100)))))/Skills!H4,1)))/Inputs!$B$43),G999*Q999))*IF(Inputs!$B$38="pvp",1,(1+(Inputs!$B$21+Skills!Q4+(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0">
      <c r="A1000">
        <f>Skills!A5</f>
        <v/>
      </c>
      <c r="B1000">
        <f>Skills!B5</f>
        <v/>
      </c>
      <c r="C1000">
        <f>Inputs!$B$3&gt;=45</f>
        <v/>
      </c>
      <c r="D1000">
        <f>IF(Skills!C5=1,60+Inputs!$B$25+Inputs!$B$29,IF(Skills!C5=2,90+Inputs!$B$26+Inputs!$B$29,IF(Skills!C5=3,120+Inputs!$B$27+Inputs!$B$29,MAX(0,(Inputs!$B$3-100)*3)+Inputs!$B$28+Inputs!$B$29)))</f>
        <v/>
      </c>
      <c r="E1000">
        <f>INDEX(FactorTable!$B$2:$Y$301, MATCH(ROUND(MIN(300,MAX(1,D1000)),0), FactorTable!$A$2:$A$301,0), Skills!M5+1)</f>
        <v/>
      </c>
      <c r="F1000">
        <f>IF(Skills!N5=TRUE,(Skills!L5/10)*(E1000/1000),Skills!L5/10)+Skills!O5</f>
        <v/>
      </c>
      <c r="G1000">
        <f>Skills!G5*IF(Skills!H5&gt;0,Skills!I5/Skills!H5,1)</f>
        <v/>
      </c>
      <c r="H1000">
        <f>1-(1-Skills!J5/100)^Skills!K5</f>
        <v/>
      </c>
      <c r="I1000" t="inlineStr">
        <is>
          <t>1</t>
        </is>
      </c>
      <c r="J1000">
        <f>(((Inputs!$B$6+1)*(1+Inputs!$B$7/100))+(((Inputs!$B$12*(1+Inputs!$B$13/100))-(Inputs!$B$12*(1+Inputs!$B$13/100)))+0.25*(Inputs!$B$14-Inputs!$B$14))*(1+Inputs!$B$7/100))*(F1000/100)</f>
        <v/>
      </c>
      <c r="K1000">
        <f>J1000*(1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1011=TRUE,F1011,0)/100)*(1+(IF(Skills!A5="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1000)</f>
        <v/>
      </c>
      <c r="L1000">
        <f>K1000*(MIN(Inputs!$B$22+((C1017=TRUE)*(F1017-Calc!F22)),(Inputs!$B$23+0+(IF(ArtifactsInput!$M$15,CHOOSE(ArtifactsInput!$N$15+1,25,30,35,40,45,50)/100*(Inputs!$B$11-Inputs!$B$11),0))))/100+(Inputs!$B$23+0+(IF(ArtifactsInput!$M$15,CHOOSE(ArtifactsInput!$N$15+1,25,30,35,40,45,50)/100*(Inputs!$B$11-Inputs!$B$11),0)))/100)/2</f>
        <v/>
      </c>
      <c r="M1000">
        <f>L1000*(1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0">
        <f>L1000*(1-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1000*(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0">
        <f>(1-Summary!$B$11)*T1000+Summary!$B$11*V1000</f>
        <v/>
      </c>
      <c r="P1000">
        <f>IF(B1036=0,0,O1000/B1036)</f>
        <v/>
      </c>
      <c r="Q1000">
        <f>IFERROR(1/(IF(Inputs!$B$38="pvp",15,MAX(0.1,Skills!D5-IF(Skills!E5=TRUE,Inputs!$B$32,0)))*(1-IF(AND(ArtifactsInput!$M$27,Inputs!$B$4="Chapter Hunt"),CHOOSE(ArtifactsInput!$N$27+1,20,24,28,32,36,40),0)/100)),0)</f>
        <v/>
      </c>
      <c r="R1000">
        <f>IF(AND(Inputs!$B$38&lt;&gt;"pvp",Inputs!$B$43&gt;0),IF(MAX(0,Inputs!$B$43-B1033)&lt;=0,0,(INT(MAX(0,Inputs!$B$43-B1033)/(IF(Inputs!$B$38="pvp",15,MAX(0.1,Skills!D5-IF(Skills!E5=TRUE,Inputs!$B$32,0)))*(1-IF(AND(ArtifactsInput!$M$27,Inputs!$B$4="Chapter Hunt"),CHOOSE(ArtifactsInput!$N$27+1,20,24,28,32,36,40),0)/100)))+1)),0)</f>
        <v/>
      </c>
      <c r="S1000">
        <f>IFERROR(O1000/N1000,0)</f>
        <v/>
      </c>
      <c r="T1000">
        <f>IF(C1000,(H1000*N1000*IF(AND(Inputs!$B$38&lt;&gt;"pvp",Inputs!$B$43&gt;0),((Skills!G5*((R1000-1)*IF(Skills!H5&gt;0,Skills!I5/Skills!H5,1)+IF(Skills!H5&gt;0,MIN(Skills!I5,MAX(0,MAX(0,Inputs!$B$43-B1033)-((R1000-1)*(IF(Inputs!$B$38="pvp",15,MAX(0.1,Skills!D5-IF(Skills!E5=TRUE,Inputs!$B$32,0)))*(1-IF(AND(ArtifactsInput!$M$27,Inputs!$B$4="Chapter Hunt"),CHOOSE(ArtifactsInput!$N$27+1,20,24,28,32,36,40),0)/100)))))/Skills!H5,1)))/Inputs!$B$43),G1000*Q1000)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1000*(1-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1000*(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1000*(1-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1000*(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0">
        <f>IF(C1000,(H1000*N1000*IF(AND(Inputs!$B$38&lt;&gt;"pvp",Inputs!$B$43&gt;0),((Skills!G5*((R1000-1)*IF(Skills!H5&gt;0,Skills!I5/Skills!H5,1)+IF(Skills!H5&gt;0,MIN(Skills!I5,MAX(0,MAX(0,Inputs!$B$43-B1033)-((R1000-1)*(IF(Inputs!$B$38="pvp",15,MAX(0.1,Skills!D5-IF(Skills!E5=TRUE,Inputs!$B$32,0)))*(1-IF(AND(ArtifactsInput!$M$27,Inputs!$B$4="Chapter Hunt"),CHOOSE(ArtifactsInput!$N$27+1,20,24,28,32,36,40),0)/100)))))/Skills!H5,1)))/Inputs!$B$43),G1000*Q1000))*IF(Inputs!$B$38="pvp",1,(1+(Inputs!$B$21+Skills!Q5+(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1">
      <c r="A1001">
        <f>Skills!A6</f>
        <v/>
      </c>
      <c r="B1001">
        <f>Skills!B6</f>
        <v/>
      </c>
      <c r="C1001">
        <f>Inputs!$B$3&gt;=63</f>
        <v/>
      </c>
      <c r="D1001">
        <f>IF(Skills!C6=1,60+Inputs!$B$25+Inputs!$B$29,IF(Skills!C6=2,90+Inputs!$B$26+Inputs!$B$29,IF(Skills!C6=3,120+Inputs!$B$27+Inputs!$B$29,MAX(0,(Inputs!$B$3-100)*3)+Inputs!$B$28+Inputs!$B$29)))</f>
        <v/>
      </c>
      <c r="E1001">
        <f>INDEX(FactorTable!$B$2:$Y$301, MATCH(ROUND(MIN(300,MAX(1,D1001)),0), FactorTable!$A$2:$A$301,0), Skills!M6+1)</f>
        <v/>
      </c>
      <c r="F1001">
        <f>IF(Skills!N6=TRUE,(Skills!L6/10)*(E1001/1000),Skills!L6/10)+Skills!O6</f>
        <v/>
      </c>
      <c r="G1001">
        <f>Skills!G6*IF(Skills!H6&gt;0,Skills!I6/Skills!H6,1)</f>
        <v/>
      </c>
      <c r="H1001">
        <f>1-(1-Skills!J6/100)^Skills!K6</f>
        <v/>
      </c>
      <c r="I1001" t="inlineStr">
        <is>
          <t>1</t>
        </is>
      </c>
      <c r="J1001">
        <f>(((Inputs!$B$6+1)*(1+Inputs!$B$7/100))+(((Inputs!$B$12*(1+Inputs!$B$13/100))-(Inputs!$B$12*(1+Inputs!$B$13/100)))+0.25*(Inputs!$B$14-Inputs!$B$14))*(1+Inputs!$B$7/100))*(F1001/100)</f>
        <v/>
      </c>
      <c r="K1001">
        <f>J1001*(1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1010=TRUE,F1010,0)/100)*(1+(IF(Skills!A6="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1001)</f>
        <v/>
      </c>
      <c r="L1001">
        <f>K1001*(MIN(Inputs!$B$22+((C1017=TRUE)*(F1017-Calc!F22)),(Inputs!$B$23+0+(IF(ArtifactsInput!$M$15,CHOOSE(ArtifactsInput!$N$15+1,25,30,35,40,45,50)/100*(Inputs!$B$11-Inputs!$B$11),0))))/100+(Inputs!$B$23+0+(IF(ArtifactsInput!$M$15,CHOOSE(ArtifactsInput!$N$15+1,25,30,35,40,45,50)/100*(Inputs!$B$11-Inputs!$B$11),0)))/100)/2</f>
        <v/>
      </c>
      <c r="M1001">
        <f>L1001*(1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1">
        <f>L1001*(1-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1">
        <f>(1-Summary!$B$11)*T1001+Summary!$B$11*V1001</f>
        <v/>
      </c>
      <c r="P1001">
        <f>IF(B1036=0,0,O1001/B1036)</f>
        <v/>
      </c>
      <c r="Q1001">
        <f>IFERROR(1/(IF(Inputs!$B$38="pvp",15,MAX(0.1,Skills!D6-IF(Skills!E6=TRUE,Inputs!$B$32,0)))*(1-IF(AND(ArtifactsInput!$M$27,Inputs!$B$4="Chapter Hunt"),CHOOSE(ArtifactsInput!$N$27+1,20,24,28,32,36,40),0)/100)),0)</f>
        <v/>
      </c>
      <c r="R1001">
        <f>IF(AND(Inputs!$B$38&lt;&gt;"pvp",Inputs!$B$43&gt;0),IF(MAX(0,Inputs!$B$43-B1033)&lt;=0,0,(INT(MAX(0,Inputs!$B$43-B1033)/(IF(Inputs!$B$38="pvp",15,MAX(0.1,Skills!D6-IF(Skills!E6=TRUE,Inputs!$B$32,0)))*(1-IF(AND(ArtifactsInput!$M$27,Inputs!$B$4="Chapter Hunt"),CHOOSE(ArtifactsInput!$N$27+1,20,24,28,32,36,40),0)/100)))+1)),0)</f>
        <v/>
      </c>
      <c r="S1001">
        <f>IFERROR(O1001/N1001,0)</f>
        <v/>
      </c>
      <c r="T1001">
        <f>IF(C1001,(H1001*N1001*IF(AND(Inputs!$B$38&lt;&gt;"pvp",Inputs!$B$43&gt;0),((Skills!G6*((R1001-1)*IF(Skills!H6&gt;0,Skills!I6/Skills!H6,1)+IF(Skills!H6&gt;0,MIN(Skills!I6,MAX(0,MAX(0,Inputs!$B$43-B1033)-((R1001-1)*(IF(Inputs!$B$38="pvp",15,MAX(0.1,Skills!D6-IF(Skills!E6=TRUE,Inputs!$B$32,0)))*(1-IF(AND(ArtifactsInput!$M$27,Inputs!$B$4="Chapter Hunt"),CHOOSE(ArtifactsInput!$N$27+1,20,24,28,32,36,40),0)/100)))))/Skills!H6,1)))/Inputs!$B$43),G1001*Q1001)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1001*(1-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1001*(1-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1">
        <f>IF(C1001,(H1001*N1001*IF(AND(Inputs!$B$38&lt;&gt;"pvp",Inputs!$B$43&gt;0),((Skills!G6*((R1001-1)*IF(Skills!H6&gt;0,Skills!I6/Skills!H6,1)+IF(Skills!H6&gt;0,MIN(Skills!I6,MAX(0,MAX(0,Inputs!$B$43-B1033)-((R1001-1)*(IF(Inputs!$B$38="pvp",15,MAX(0.1,Skills!D6-IF(Skills!E6=TRUE,Inputs!$B$32,0)))*(1-IF(AND(ArtifactsInput!$M$27,Inputs!$B$4="Chapter Hunt"),CHOOSE(ArtifactsInput!$N$27+1,20,24,28,32,36,40),0)/100)))))/Skills!H6,1)))/Inputs!$B$43),G1001*Q1001))*IF(Inputs!$B$38="pvp",1,(1+(Inputs!$B$21+Skills!Q6+(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2">
      <c r="A1002">
        <f>Skills!A7</f>
        <v/>
      </c>
      <c r="B1002">
        <f>Skills!B7</f>
        <v/>
      </c>
      <c r="C1002">
        <f>Inputs!$B$3&gt;=66</f>
        <v/>
      </c>
      <c r="D1002">
        <f>IF(Skills!C7=1,60+Inputs!$B$25+Inputs!$B$29,IF(Skills!C7=2,90+Inputs!$B$26+Inputs!$B$29,IF(Skills!C7=3,120+Inputs!$B$27+Inputs!$B$29,MAX(0,(Inputs!$B$3-100)*3)+Inputs!$B$28+Inputs!$B$29)))</f>
        <v/>
      </c>
      <c r="E1002">
        <f>INDEX(FactorTable!$B$2:$Y$301, MATCH(ROUND(MIN(300,MAX(1,D1002)),0), FactorTable!$A$2:$A$301,0), Skills!M7+1)</f>
        <v/>
      </c>
      <c r="F1002">
        <f>IF(Skills!N7=TRUE,(Skills!L7/10)*(E1002/1000),Skills!L7/10)+Skills!O7</f>
        <v/>
      </c>
      <c r="G1002">
        <f>Skills!G7*IF(Skills!H7&gt;0,Skills!I7/Skills!H7,1)</f>
        <v/>
      </c>
      <c r="H1002">
        <f>1-(1-Skills!J7/100)^Skills!K7</f>
        <v/>
      </c>
      <c r="I1002" t="inlineStr">
        <is>
          <t>1</t>
        </is>
      </c>
      <c r="J1002">
        <f>(((Inputs!$B$6+1)*(1+Inputs!$B$7/100))+(((Inputs!$B$12*(1+Inputs!$B$13/100))-(Inputs!$B$12*(1+Inputs!$B$13/100)))+0.25*(Inputs!$B$14-Inputs!$B$14))*(1+Inputs!$B$7/100))*(F1002/100)</f>
        <v/>
      </c>
      <c r="K1002">
        <f>J1002*(1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1010=TRUE,F1010,0)/100)*(1+(IF(Skills!A7="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1002)</f>
        <v/>
      </c>
      <c r="L1002">
        <f>K1002*(MIN(Inputs!$B$22+((C1017=TRUE)*(F1017-Calc!F22)),(Inputs!$B$23+0+(IF(ArtifactsInput!$M$15,CHOOSE(ArtifactsInput!$N$15+1,25,30,35,40,45,50)/100*(Inputs!$B$11-Inputs!$B$11),0))))/100+(Inputs!$B$23+0+(IF(ArtifactsInput!$M$15,CHOOSE(ArtifactsInput!$N$15+1,25,30,35,40,45,50)/100*(Inputs!$B$11-Inputs!$B$11),0)))/100)/2</f>
        <v/>
      </c>
      <c r="M1002">
        <f>L1002*(1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2">
        <f>L1002*(1-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1002*(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2">
        <f>(1-Summary!$B$11)*T1002+Summary!$B$11*V1002</f>
        <v/>
      </c>
      <c r="P1002">
        <f>IF(B1036=0,0,O1002/B1036)</f>
        <v/>
      </c>
      <c r="Q1002">
        <f>IFERROR(1/(IF(Inputs!$B$38="pvp",15,MAX(0.1,Skills!D7-IF(Skills!E7=TRUE,Inputs!$B$32,0)))*(1-IF(AND(ArtifactsInput!$M$27,Inputs!$B$4="Chapter Hunt"),CHOOSE(ArtifactsInput!$N$27+1,20,24,28,32,36,40),0)/100)),0)</f>
        <v/>
      </c>
      <c r="R1002">
        <f>IF(AND(Inputs!$B$38&lt;&gt;"pvp",Inputs!$B$43&gt;0),IF(MAX(0,Inputs!$B$43-B1033)&lt;=0,0,(INT(MAX(0,Inputs!$B$43-B1033)/(IF(Inputs!$B$38="pvp",15,MAX(0.1,Skills!D7-IF(Skills!E7=TRUE,Inputs!$B$32,0)))*(1-IF(AND(ArtifactsInput!$M$27,Inputs!$B$4="Chapter Hunt"),CHOOSE(ArtifactsInput!$N$27+1,20,24,28,32,36,40),0)/100)))+1)),0)</f>
        <v/>
      </c>
      <c r="S1002">
        <f>IFERROR(O1002/N1002,0)</f>
        <v/>
      </c>
      <c r="T1002">
        <f>IF(C1002,(H1002*N1002*IF(AND(Inputs!$B$38&lt;&gt;"pvp",Inputs!$B$43&gt;0),((Skills!G7*((R1002-1)*IF(Skills!H7&gt;0,Skills!I7/Skills!H7,1)+IF(Skills!H7&gt;0,MIN(Skills!I7,MAX(0,MAX(0,Inputs!$B$43-B1033)-((R1002-1)*(IF(Inputs!$B$38="pvp",15,MAX(0.1,Skills!D7-IF(Skills!E7=TRUE,Inputs!$B$32,0)))*(1-IF(AND(ArtifactsInput!$M$27,Inputs!$B$4="Chapter Hunt"),CHOOSE(ArtifactsInput!$N$27+1,20,24,28,32,36,40),0)/100)))))/Skills!H7,1)))/Inputs!$B$43),G1002*Q1002)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1002*(1-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1002*(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1002*(1-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1002*(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2">
        <f>IF(C1002,(H1002*N1002*IF(AND(Inputs!$B$38&lt;&gt;"pvp",Inputs!$B$43&gt;0),((Skills!G7*((R1002-1)*IF(Skills!H7&gt;0,Skills!I7/Skills!H7,1)+IF(Skills!H7&gt;0,MIN(Skills!I7,MAX(0,MAX(0,Inputs!$B$43-B1033)-((R1002-1)*(IF(Inputs!$B$38="pvp",15,MAX(0.1,Skills!D7-IF(Skills!E7=TRUE,Inputs!$B$32,0)))*(1-IF(AND(ArtifactsInput!$M$27,Inputs!$B$4="Chapter Hunt"),CHOOSE(ArtifactsInput!$N$27+1,20,24,28,32,36,40),0)/100)))))/Skills!H7,1)))/Inputs!$B$43),G1002*Q1002))*IF(Inputs!$B$38="pvp",1,(1+(Inputs!$B$21+Skills!Q7+(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3">
      <c r="A1003">
        <f>Skills!A8</f>
        <v/>
      </c>
      <c r="B1003">
        <f>Skills!B8</f>
        <v/>
      </c>
      <c r="C1003">
        <f>Inputs!$B$3&gt;=100</f>
        <v/>
      </c>
      <c r="D1003">
        <f>IF(Skills!C8=1,60+Inputs!$B$25+Inputs!$B$29,IF(Skills!C8=2,90+Inputs!$B$26+Inputs!$B$29,IF(Skills!C8=3,120+Inputs!$B$27+Inputs!$B$29,MAX(0,(Inputs!$B$3-100)*3)+Inputs!$B$28+Inputs!$B$29)))</f>
        <v/>
      </c>
      <c r="E1003">
        <f>INDEX(FactorTable!$B$2:$Y$301, MATCH(ROUND(MIN(300,MAX(1,D1003)),0), FactorTable!$A$2:$A$301,0), Skills!M8+1)</f>
        <v/>
      </c>
      <c r="F1003">
        <f>IF(Skills!N8=TRUE,(Skills!L8/10)*(E1003/1000),Skills!L8/10)+Skills!O8</f>
        <v/>
      </c>
      <c r="G1003">
        <f>Skills!G8*IF(Skills!H8&gt;0,Skills!I8/Skills!H8,1)</f>
        <v/>
      </c>
      <c r="H1003">
        <f>1-(1-Skills!J8/100)^Skills!K8</f>
        <v/>
      </c>
      <c r="I1003" t="inlineStr">
        <is>
          <t>1</t>
        </is>
      </c>
      <c r="J1003">
        <f>(((Inputs!$B$6+1)*(1+Inputs!$B$7/100))+(((Inputs!$B$12*(1+Inputs!$B$13/100))-(Inputs!$B$12*(1+Inputs!$B$13/100)))+0.25*(Inputs!$B$14-Inputs!$B$14))*(1+Inputs!$B$7/100))*(F1003/100)</f>
        <v/>
      </c>
      <c r="K1003">
        <f>J1003*(1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1003)</f>
        <v/>
      </c>
      <c r="L1003">
        <f>K1003*(MIN(Inputs!$B$22+((C1017=TRUE)*(F1017-Calc!F22)),(Inputs!$B$23+0+(IF(ArtifactsInput!$M$15,CHOOSE(ArtifactsInput!$N$15+1,25,30,35,40,45,50)/100*(Inputs!$B$11-Inputs!$B$11),0))))/100+(Inputs!$B$23+0+(IF(ArtifactsInput!$M$15,CHOOSE(ArtifactsInput!$N$15+1,25,30,35,40,45,50)/100*(Inputs!$B$11-Inputs!$B$11),0)))/100)/2</f>
        <v/>
      </c>
      <c r="M1003">
        <f>L1003*(1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3">
        <f>L1003*(1-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1003*(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3">
        <f>(1-Summary!$B$11)*T1003+Summary!$B$11*V1003</f>
        <v/>
      </c>
      <c r="P1003">
        <f>IF(B1036=0,0,O1003/B1036)</f>
        <v/>
      </c>
      <c r="Q1003">
        <f>IFERROR(1/(IF(Inputs!$B$38="pvp",15,MAX(0.1,Skills!D8-IF(Skills!E8=TRUE,Inputs!$B$32,0)))*(1-IF(AND(ArtifactsInput!$M$27,Inputs!$B$4="Chapter Hunt"),CHOOSE(ArtifactsInput!$N$27+1,20,24,28,32,36,40),0)/100)),0)</f>
        <v/>
      </c>
      <c r="R1003">
        <f>IF(AND(Inputs!$B$38&lt;&gt;"pvp",Inputs!$B$43&gt;0),IF(MAX(0,Inputs!$B$43-B1033)&lt;=0,0,(INT(MAX(0,Inputs!$B$43-B1033)/(IF(Inputs!$B$38="pvp",15,MAX(0.1,Skills!D8-IF(Skills!E8=TRUE,Inputs!$B$32,0)))*(1-IF(AND(ArtifactsInput!$M$27,Inputs!$B$4="Chapter Hunt"),CHOOSE(ArtifactsInput!$N$27+1,20,24,28,32,36,40),0)/100)))+1)),0)</f>
        <v/>
      </c>
      <c r="S1003">
        <f>IFERROR(O1003/N1003,0)</f>
        <v/>
      </c>
      <c r="T1003">
        <f>IF(C1003,(H1003*N1003*IF(AND(Inputs!$B$38&lt;&gt;"pvp",Inputs!$B$43&gt;0),((Skills!G8*((R1003-1)*IF(Skills!H8&gt;0,Skills!I8/Skills!H8,1)+IF(Skills!H8&gt;0,MIN(Skills!I8,MAX(0,MAX(0,Inputs!$B$43-B1033)-((R1003-1)*(IF(Inputs!$B$38="pvp",15,MAX(0.1,Skills!D8-IF(Skills!E8=TRUE,Inputs!$B$32,0)))*(1-IF(AND(ArtifactsInput!$M$27,Inputs!$B$4="Chapter Hunt"),CHOOSE(ArtifactsInput!$N$27+1,20,24,28,32,36,40),0)/100)))))/Skills!H8,1)))/Inputs!$B$43),G1003*Q1003)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1003*(1-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1003*(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1003*(1-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1003*(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3">
        <f>IF(C1003,(H1003*N1003*IF(AND(Inputs!$B$38&lt;&gt;"pvp",Inputs!$B$43&gt;0),((Skills!G8*((R1003-1)*IF(Skills!H8&gt;0,Skills!I8/Skills!H8,1)+IF(Skills!H8&gt;0,MIN(Skills!I8,MAX(0,MAX(0,Inputs!$B$43-B1033)-((R1003-1)*(IF(Inputs!$B$38="pvp",15,MAX(0.1,Skills!D8-IF(Skills!E8=TRUE,Inputs!$B$32,0)))*(1-IF(AND(ArtifactsInput!$M$27,Inputs!$B$4="Chapter Hunt"),CHOOSE(ArtifactsInput!$N$27+1,20,24,28,32,36,40),0)/100)))))/Skills!H8,1)))/Inputs!$B$43),G1003*Q1003))*IF(Inputs!$B$38="pvp",1,(1+(Inputs!$B$21+Skills!Q8+(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4">
      <c r="A1004">
        <f>Skills!A9</f>
        <v/>
      </c>
      <c r="B1004">
        <f>Skills!B9</f>
        <v/>
      </c>
      <c r="C1004">
        <f>Inputs!$B$3&gt;=103</f>
        <v/>
      </c>
      <c r="D1004">
        <f>IF(Skills!C9=1,60+Inputs!$B$25+Inputs!$B$29,IF(Skills!C9=2,90+Inputs!$B$26+Inputs!$B$29,IF(Skills!C9=3,120+Inputs!$B$27+Inputs!$B$29,MAX(0,(Inputs!$B$3-100)*3)+Inputs!$B$28+Inputs!$B$29)))</f>
        <v/>
      </c>
      <c r="E1004">
        <f>INDEX(FactorTable!$B$2:$Y$301, MATCH(ROUND(MIN(300,MAX(1,D1004)),0), FactorTable!$A$2:$A$301,0), Skills!M9+1)</f>
        <v/>
      </c>
      <c r="F1004">
        <f>IF(Skills!N9=TRUE,(Skills!L9/10)*(E1004/1000),Skills!L9/10)+Skills!O9</f>
        <v/>
      </c>
      <c r="G1004">
        <f>Skills!G9*IF(Skills!H9&gt;0,Skills!I9/Skills!H9,1)</f>
        <v/>
      </c>
      <c r="H1004">
        <f>1-(1-Skills!J9/100)^Skills!K9</f>
        <v/>
      </c>
      <c r="I1004" t="inlineStr">
        <is>
          <t>1</t>
        </is>
      </c>
      <c r="J1004">
        <f>(((Inputs!$B$6+1)*(1+Inputs!$B$7/100))+(((Inputs!$B$12*(1+Inputs!$B$13/100))-(Inputs!$B$12*(1+Inputs!$B$13/100)))+0.25*(Inputs!$B$14-Inputs!$B$14))*(1+Inputs!$B$7/100))*(F1004/100)</f>
        <v/>
      </c>
      <c r="K1004">
        <f>J1004*(1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1004)</f>
        <v/>
      </c>
      <c r="L1004">
        <f>K1004*(MIN(Inputs!$B$22+((C1017=TRUE)*(F1017-Calc!F22)),(Inputs!$B$23+0+(IF(ArtifactsInput!$M$15,CHOOSE(ArtifactsInput!$N$15+1,25,30,35,40,45,50)/100*(Inputs!$B$11-Inputs!$B$11),0))))/100+(Inputs!$B$23+0+(IF(ArtifactsInput!$M$15,CHOOSE(ArtifactsInput!$N$15+1,25,30,35,40,45,50)/100*(Inputs!$B$11-Inputs!$B$11),0)))/100)/2</f>
        <v/>
      </c>
      <c r="M1004">
        <f>L1004*(1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4">
        <f>L1004*(1-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1004*(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4">
        <f>(1-Summary!$B$11)*T1004+Summary!$B$11*V1004</f>
        <v/>
      </c>
      <c r="P1004">
        <f>IF(B1036=0,0,O1004/B1036)</f>
        <v/>
      </c>
      <c r="Q1004">
        <f>IFERROR(1/(IF(Inputs!$B$38="pvp",15,MAX(0.1,Skills!D9-IF(Skills!E9=TRUE,Inputs!$B$32,0)))*(1-IF(AND(ArtifactsInput!$M$27,Inputs!$B$4="Chapter Hunt"),CHOOSE(ArtifactsInput!$N$27+1,20,24,28,32,36,40),0)/100)),0)</f>
        <v/>
      </c>
      <c r="R1004">
        <f>IF(AND(Inputs!$B$38&lt;&gt;"pvp",Inputs!$B$43&gt;0),IF(MAX(0,Inputs!$B$43-B1033)&lt;=0,0,(INT(MAX(0,Inputs!$B$43-B1033)/(IF(Inputs!$B$38="pvp",15,MAX(0.1,Skills!D9-IF(Skills!E9=TRUE,Inputs!$B$32,0)))*(1-IF(AND(ArtifactsInput!$M$27,Inputs!$B$4="Chapter Hunt"),CHOOSE(ArtifactsInput!$N$27+1,20,24,28,32,36,40),0)/100)))+1)),0)</f>
        <v/>
      </c>
      <c r="S1004">
        <f>IFERROR(O1004/N1004,0)</f>
        <v/>
      </c>
      <c r="T1004">
        <f>IF(C1004,(H1004*N1004*IF(AND(Inputs!$B$38&lt;&gt;"pvp",Inputs!$B$43&gt;0),((Skills!G9*((R1004-1)*IF(Skills!H9&gt;0,Skills!I9/Skills!H9,1)+IF(Skills!H9&gt;0,MIN(Skills!I9,MAX(0,MAX(0,Inputs!$B$43-B1033)-((R1004-1)*(IF(Inputs!$B$38="pvp",15,MAX(0.1,Skills!D9-IF(Skills!E9=TRUE,Inputs!$B$32,0)))*(1-IF(AND(ArtifactsInput!$M$27,Inputs!$B$4="Chapter Hunt"),CHOOSE(ArtifactsInput!$N$27+1,20,24,28,32,36,40),0)/100)))))/Skills!H9,1)))/Inputs!$B$43),G1004*Q1004)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1004*(1-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1004*(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1004*(1-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1004*(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4">
        <f>IF(C1004,(H1004*N1004*IF(AND(Inputs!$B$38&lt;&gt;"pvp",Inputs!$B$43&gt;0),((Skills!G9*((R1004-1)*IF(Skills!H9&gt;0,Skills!I9/Skills!H9,1)+IF(Skills!H9&gt;0,MIN(Skills!I9,MAX(0,MAX(0,Inputs!$B$43-B1033)-((R1004-1)*(IF(Inputs!$B$38="pvp",15,MAX(0.1,Skills!D9-IF(Skills!E9=TRUE,Inputs!$B$32,0)))*(1-IF(AND(ArtifactsInput!$M$27,Inputs!$B$4="Chapter Hunt"),CHOOSE(ArtifactsInput!$N$27+1,20,24,28,32,36,40),0)/100)))))/Skills!H9,1)))/Inputs!$B$43),G1004*Q1004))*IF(Inputs!$B$38="pvp",1,(1+(Inputs!$B$21+Skills!Q9+(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5">
      <c r="A1005">
        <f>Skills!A10</f>
        <v/>
      </c>
      <c r="B1005">
        <f>Skills!B10</f>
        <v/>
      </c>
      <c r="C1005">
        <f>Inputs!$B$3&gt;=113</f>
        <v/>
      </c>
      <c r="D1005">
        <f>IF(Skills!C10=1,60+Inputs!$B$25+Inputs!$B$29,IF(Skills!C10=2,90+Inputs!$B$26+Inputs!$B$29,IF(Skills!C10=3,120+Inputs!$B$27+Inputs!$B$29,MAX(0,(Inputs!$B$3-100)*3)+Inputs!$B$28+Inputs!$B$29)))</f>
        <v/>
      </c>
      <c r="E1005">
        <f>INDEX(FactorTable!$B$2:$Y$301, MATCH(ROUND(MIN(300,MAX(1,D1005)),0), FactorTable!$A$2:$A$301,0), Skills!M10+1)</f>
        <v/>
      </c>
      <c r="F1005">
        <f>IF(Skills!N10=TRUE,(Skills!L10/10)*(E1005/1000),Skills!L10/10)+Skills!O10</f>
        <v/>
      </c>
      <c r="G1005">
        <f>Skills!G10*IF(Skills!H10&gt;0,Skills!I10/Skills!H10,1)</f>
        <v/>
      </c>
      <c r="H1005">
        <f>1-(1-Skills!J10/100)^Skills!K10</f>
        <v/>
      </c>
      <c r="I1005" t="inlineStr">
        <is>
          <t>1</t>
        </is>
      </c>
      <c r="J1005">
        <f>(((Inputs!$B$6+1)*(1+Inputs!$B$7/100))+(((Inputs!$B$12*(1+Inputs!$B$13/100))-(Inputs!$B$12*(1+Inputs!$B$13/100)))+0.25*(Inputs!$B$14-Inputs!$B$14))*(1+Inputs!$B$7/100))*(F1005/100)</f>
        <v/>
      </c>
      <c r="K1005">
        <f>J1005*(1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1005)</f>
        <v/>
      </c>
      <c r="L1005">
        <f>K1005*(MIN(Inputs!$B$22+((C1017=TRUE)*(F1017-Calc!F22)),(Inputs!$B$23+0+(IF(ArtifactsInput!$M$15,CHOOSE(ArtifactsInput!$N$15+1,25,30,35,40,45,50)/100*(Inputs!$B$11-Inputs!$B$11),0))))/100+(Inputs!$B$23+0+(IF(ArtifactsInput!$M$15,CHOOSE(ArtifactsInput!$N$15+1,25,30,35,40,45,50)/100*(Inputs!$B$11-Inputs!$B$11),0)))/100)/2</f>
        <v/>
      </c>
      <c r="M1005">
        <f>L1005*(1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5">
        <f>L1005*(1-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1005*(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5">
        <f>(1-Summary!$B$11)*T1005+Summary!$B$11*V1005</f>
        <v/>
      </c>
      <c r="P1005">
        <f>IF(B1036=0,0,O1005/B1036)</f>
        <v/>
      </c>
      <c r="Q1005">
        <f>IFERROR(1/(IF(Inputs!$B$38="pvp",15,MAX(0.1,Skills!D10-IF(Skills!E10=TRUE,Inputs!$B$32,0)))*(1-IF(AND(ArtifactsInput!$M$27,Inputs!$B$4="Chapter Hunt"),CHOOSE(ArtifactsInput!$N$27+1,20,24,28,32,36,40),0)/100)),0)</f>
        <v/>
      </c>
      <c r="R1005">
        <f>IF(AND(Inputs!$B$38&lt;&gt;"pvp",Inputs!$B$43&gt;0),IF(MAX(0,Inputs!$B$43-B1033)&lt;=0,0,(INT(MAX(0,Inputs!$B$43-B1033)/(IF(Inputs!$B$38="pvp",15,MAX(0.1,Skills!D10-IF(Skills!E10=TRUE,Inputs!$B$32,0)))*(1-IF(AND(ArtifactsInput!$M$27,Inputs!$B$4="Chapter Hunt"),CHOOSE(ArtifactsInput!$N$27+1,20,24,28,32,36,40),0)/100)))+1)),0)</f>
        <v/>
      </c>
      <c r="S1005">
        <f>IFERROR(O1005/N1005,0)</f>
        <v/>
      </c>
      <c r="T1005">
        <f>IF(C1005,(H1005*N1005*IF(AND(Inputs!$B$38&lt;&gt;"pvp",Inputs!$B$43&gt;0),((Skills!G10*((R1005-1)*IF(Skills!H10&gt;0,Skills!I10/Skills!H10,1)+IF(Skills!H10&gt;0,MIN(Skills!I10,MAX(0,MAX(0,Inputs!$B$43-B1033)-((R1005-1)*(IF(Inputs!$B$38="pvp",15,MAX(0.1,Skills!D10-IF(Skills!E10=TRUE,Inputs!$B$32,0)))*(1-IF(AND(ArtifactsInput!$M$27,Inputs!$B$4="Chapter Hunt"),CHOOSE(ArtifactsInput!$N$27+1,20,24,28,32,36,40),0)/100)))))/Skills!H10,1)))/Inputs!$B$43),G1005*Q1005)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1005*(1-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1005*(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1005*(1-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1005*(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5">
        <f>IF(C1005,(H1005*N1005*IF(AND(Inputs!$B$38&lt;&gt;"pvp",Inputs!$B$43&gt;0),((Skills!G10*((R1005-1)*IF(Skills!H10&gt;0,Skills!I10/Skills!H10,1)+IF(Skills!H10&gt;0,MIN(Skills!I10,MAX(0,MAX(0,Inputs!$B$43-B1033)-((R1005-1)*(IF(Inputs!$B$38="pvp",15,MAX(0.1,Skills!D10-IF(Skills!E10=TRUE,Inputs!$B$32,0)))*(1-IF(AND(ArtifactsInput!$M$27,Inputs!$B$4="Chapter Hunt"),CHOOSE(ArtifactsInput!$N$27+1,20,24,28,32,36,40),0)/100)))))/Skills!H10,1)))/Inputs!$B$43),G1005*Q1005))*IF(Inputs!$B$38="pvp",1,(1+(Inputs!$B$21+Skills!Q10+(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6">
      <c r="A1006">
        <f>Skills!A11</f>
        <v/>
      </c>
      <c r="B1006">
        <f>Skills!B11</f>
        <v/>
      </c>
      <c r="C1006">
        <f>Inputs!$B$3&gt;=107</f>
        <v/>
      </c>
      <c r="D1006">
        <f>IF(Skills!C11=1,60+Inputs!$B$25+Inputs!$B$29,IF(Skills!C11=2,90+Inputs!$B$26+Inputs!$B$29,IF(Skills!C11=3,120+Inputs!$B$27+Inputs!$B$29,MAX(0,(Inputs!$B$3-100)*3)+Inputs!$B$28+Inputs!$B$29)))</f>
        <v/>
      </c>
      <c r="E1006">
        <f>INDEX(FactorTable!$B$2:$Y$301, MATCH(ROUND(MIN(300,MAX(1,D1006)),0), FactorTable!$A$2:$A$301,0), Skills!M11+1)</f>
        <v/>
      </c>
      <c r="F1006">
        <f>IF(Skills!N11=TRUE,(Skills!L11/10)*(E1006/1000),Skills!L11/10)+Skills!O11</f>
        <v/>
      </c>
      <c r="G1006">
        <f>Skills!G11*IF(Skills!H11&gt;0,Skills!I11/Skills!H11,1)</f>
        <v/>
      </c>
      <c r="H1006">
        <f>1-(1-Skills!J11/100)^Skills!K11</f>
        <v/>
      </c>
      <c r="I1006" t="inlineStr">
        <is>
          <t>1</t>
        </is>
      </c>
      <c r="J1006">
        <f>(((Inputs!$B$6+1)*(1+Inputs!$B$7/100))+(((Inputs!$B$12*(1+Inputs!$B$13/100))-(Inputs!$B$12*(1+Inputs!$B$13/100)))+0.25*(Inputs!$B$14-Inputs!$B$14))*(1+Inputs!$B$7/100))*(F1006/100)</f>
        <v/>
      </c>
      <c r="K1006">
        <f>J1006*(1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1006)</f>
        <v/>
      </c>
      <c r="L1006">
        <f>K1006*(MIN(Inputs!$B$22+((C1017=TRUE)*(F1017-Calc!F22)),(Inputs!$B$23+0+(IF(ArtifactsInput!$M$15,CHOOSE(ArtifactsInput!$N$15+1,25,30,35,40,45,50)/100*(Inputs!$B$11-Inputs!$B$11),0))))/100+(Inputs!$B$23+0+(IF(ArtifactsInput!$M$15,CHOOSE(ArtifactsInput!$N$15+1,25,30,35,40,45,50)/100*(Inputs!$B$11-Inputs!$B$11),0)))/100)/2</f>
        <v/>
      </c>
      <c r="M1006">
        <f>L1006*(1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6">
        <f>L1006*(1-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1006*(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6">
        <f>(1-Summary!$B$11)*T1006+Summary!$B$11*V1006</f>
        <v/>
      </c>
      <c r="P1006">
        <f>IF(B1036=0,0,O1006/B1036)</f>
        <v/>
      </c>
      <c r="Q1006">
        <f>IFERROR(1/(IF(Inputs!$B$38="pvp",15,MAX(0.1,Skills!D11-IF(Skills!E11=TRUE,Inputs!$B$32,0)))*(1-IF(AND(ArtifactsInput!$M$27,Inputs!$B$4="Chapter Hunt"),CHOOSE(ArtifactsInput!$N$27+1,20,24,28,32,36,40),0)/100)),0)</f>
        <v/>
      </c>
      <c r="R1006">
        <f>IF(AND(Inputs!$B$38&lt;&gt;"pvp",Inputs!$B$43&gt;0),IF(MAX(0,Inputs!$B$43-B1033)&lt;=0,0,(INT(MAX(0,Inputs!$B$43-B1033)/(IF(Inputs!$B$38="pvp",15,MAX(0.1,Skills!D11-IF(Skills!E11=TRUE,Inputs!$B$32,0)))*(1-IF(AND(ArtifactsInput!$M$27,Inputs!$B$4="Chapter Hunt"),CHOOSE(ArtifactsInput!$N$27+1,20,24,28,32,36,40),0)/100)))+1)),0)</f>
        <v/>
      </c>
      <c r="S1006">
        <f>IFERROR(O1006/N1006,0)</f>
        <v/>
      </c>
      <c r="T1006">
        <f>IF(C1006,(H1006*N1006*IF(AND(Inputs!$B$38&lt;&gt;"pvp",Inputs!$B$43&gt;0),((Skills!G11*((R1006-1)*IF(Skills!H11&gt;0,Skills!I11/Skills!H11,1)+IF(Skills!H11&gt;0,MIN(Skills!I11,MAX(0,MAX(0,Inputs!$B$43-B1033)-((R1006-1)*(IF(Inputs!$B$38="pvp",15,MAX(0.1,Skills!D11-IF(Skills!E11=TRUE,Inputs!$B$32,0)))*(1-IF(AND(ArtifactsInput!$M$27,Inputs!$B$4="Chapter Hunt"),CHOOSE(ArtifactsInput!$N$27+1,20,24,28,32,36,40),0)/100)))))/Skills!H11,1)))/Inputs!$B$43),G1006*Q1006)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1006*(1-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1006*(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1006*(1-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1006*(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6">
        <f>IF(C1006,(H1006*N1006*IF(AND(Inputs!$B$38&lt;&gt;"pvp",Inputs!$B$43&gt;0),((Skills!G11*((R1006-1)*IF(Skills!H11&gt;0,Skills!I11/Skills!H11,1)+IF(Skills!H11&gt;0,MIN(Skills!I11,MAX(0,MAX(0,Inputs!$B$43-B1033)-((R1006-1)*(IF(Inputs!$B$38="pvp",15,MAX(0.1,Skills!D11-IF(Skills!E11=TRUE,Inputs!$B$32,0)))*(1-IF(AND(ArtifactsInput!$M$27,Inputs!$B$4="Chapter Hunt"),CHOOSE(ArtifactsInput!$N$27+1,20,24,28,32,36,40),0)/100)))))/Skills!H11,1)))/Inputs!$B$43),G1006*Q1006))*IF(Inputs!$B$38="pvp",1,(1+(Inputs!$B$21+Skills!Q11+(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7">
      <c r="A1007">
        <f>Skills!A12</f>
        <v/>
      </c>
      <c r="B1007">
        <f>Skills!B12</f>
        <v/>
      </c>
      <c r="C1007">
        <f>Inputs!$B$3&gt;=110</f>
        <v/>
      </c>
      <c r="D1007">
        <f>IF(Skills!C12=1,60+Inputs!$B$25+Inputs!$B$29,IF(Skills!C12=2,90+Inputs!$B$26+Inputs!$B$29,IF(Skills!C12=3,120+Inputs!$B$27+Inputs!$B$29,MAX(0,(Inputs!$B$3-100)*3)+Inputs!$B$28+Inputs!$B$29)))</f>
        <v/>
      </c>
      <c r="E1007">
        <f>INDEX(FactorTable!$B$2:$Y$301, MATCH(ROUND(MIN(300,MAX(1,D1007)),0), FactorTable!$A$2:$A$301,0), Skills!M12+1)</f>
        <v/>
      </c>
      <c r="F1007">
        <f>IF(Skills!N12=TRUE,(Skills!L12/10)*(E1007/1000),Skills!L12/10)+Skills!O12</f>
        <v/>
      </c>
      <c r="G1007">
        <f>Skills!G12*IF(Skills!H12&gt;0,Skills!I12/Skills!H12,1)</f>
        <v/>
      </c>
      <c r="H1007">
        <f>1-(1-Skills!J12/100)^Skills!K12</f>
        <v/>
      </c>
      <c r="I1007" t="inlineStr">
        <is>
          <t>1</t>
        </is>
      </c>
      <c r="J1007">
        <f>(((Inputs!$B$6+1)*(1+Inputs!$B$7/100))+(((Inputs!$B$12*(1+Inputs!$B$13/100))-(Inputs!$B$12*(1+Inputs!$B$13/100)))+0.25*(Inputs!$B$14-Inputs!$B$14))*(1+Inputs!$B$7/100))*(F1007/100)</f>
        <v/>
      </c>
      <c r="K1007">
        <f>J1007*(1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1007)</f>
        <v/>
      </c>
      <c r="L1007">
        <f>K1007*(MIN(Inputs!$B$22+((C1017=TRUE)*(F1017-Calc!F22)),(Inputs!$B$23+0+(IF(ArtifactsInput!$M$15,CHOOSE(ArtifactsInput!$N$15+1,25,30,35,40,45,50)/100*(Inputs!$B$11-Inputs!$B$11),0))))/100+(Inputs!$B$23+0+(IF(ArtifactsInput!$M$15,CHOOSE(ArtifactsInput!$N$15+1,25,30,35,40,45,50)/100*(Inputs!$B$11-Inputs!$B$11),0)))/100)/2</f>
        <v/>
      </c>
      <c r="M1007">
        <f>L1007*(1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7">
        <f>L1007*(1-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1007*(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7">
        <f>(1-Summary!$B$11)*T1007+Summary!$B$11*V1007</f>
        <v/>
      </c>
      <c r="P1007">
        <f>IF(B1036=0,0,O1007/B1036)</f>
        <v/>
      </c>
      <c r="Q1007">
        <f>IFERROR(1/(IF(Inputs!$B$38="pvp",15,MAX(0.1,Skills!D12-IF(Skills!E12=TRUE,Inputs!$B$32,0)))*(1-IF(AND(ArtifactsInput!$M$27,Inputs!$B$4="Chapter Hunt"),CHOOSE(ArtifactsInput!$N$27+1,20,24,28,32,36,40),0)/100)),0)</f>
        <v/>
      </c>
      <c r="R1007">
        <f>IF(AND(Inputs!$B$38&lt;&gt;"pvp",Inputs!$B$43&gt;0),IF(MAX(0,Inputs!$B$43-B1033)&lt;=0,0,(INT(MAX(0,Inputs!$B$43-B1033)/(IF(Inputs!$B$38="pvp",15,MAX(0.1,Skills!D12-IF(Skills!E12=TRUE,Inputs!$B$32,0)))*(1-IF(AND(ArtifactsInput!$M$27,Inputs!$B$4="Chapter Hunt"),CHOOSE(ArtifactsInput!$N$27+1,20,24,28,32,36,40),0)/100)))+1)),0)</f>
        <v/>
      </c>
      <c r="S1007">
        <f>IFERROR(O1007/N1007,0)</f>
        <v/>
      </c>
      <c r="T1007">
        <f>IF(C1007,(H1007*N1007*IF(AND(Inputs!$B$38&lt;&gt;"pvp",Inputs!$B$43&gt;0),((Skills!G12*((R1007-1)*IF(Skills!H12&gt;0,Skills!I12/Skills!H12,1)+IF(Skills!H12&gt;0,MIN(Skills!I12,MAX(0,MAX(0,Inputs!$B$43-B1033)-((R1007-1)*(IF(Inputs!$B$38="pvp",15,MAX(0.1,Skills!D12-IF(Skills!E12=TRUE,Inputs!$B$32,0)))*(1-IF(AND(ArtifactsInput!$M$27,Inputs!$B$4="Chapter Hunt"),CHOOSE(ArtifactsInput!$N$27+1,20,24,28,32,36,40),0)/100)))))/Skills!H12,1)))/Inputs!$B$43),G1007*Q1007)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1007*(1-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1007*(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1007*(1-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1007*(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7">
        <f>IF(C1007,(H1007*N1007*IF(AND(Inputs!$B$38&lt;&gt;"pvp",Inputs!$B$43&gt;0),((Skills!G12*((R1007-1)*IF(Skills!H12&gt;0,Skills!I12/Skills!H12,1)+IF(Skills!H12&gt;0,MIN(Skills!I12,MAX(0,MAX(0,Inputs!$B$43-B1033)-((R1007-1)*(IF(Inputs!$B$38="pvp",15,MAX(0.1,Skills!D12-IF(Skills!E12=TRUE,Inputs!$B$32,0)))*(1-IF(AND(ArtifactsInput!$M$27,Inputs!$B$4="Chapter Hunt"),CHOOSE(ArtifactsInput!$N$27+1,20,24,28,32,36,40),0)/100)))))/Skills!H12,1)))/Inputs!$B$43),G1007*Q1007))*IF(Inputs!$B$38="pvp",1,(1+(Inputs!$B$21+Skills!Q12+(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8">
      <c r="A1008">
        <f>Skills!A13</f>
        <v/>
      </c>
      <c r="B1008">
        <f>Skills!B13</f>
        <v/>
      </c>
      <c r="C1008">
        <f>Inputs!$B$3&gt;=110</f>
        <v/>
      </c>
      <c r="D1008">
        <f>IF(Skills!C13=1,60+Inputs!$B$25+Inputs!$B$29,IF(Skills!C13=2,90+Inputs!$B$26+Inputs!$B$29,IF(Skills!C13=3,120+Inputs!$B$27+Inputs!$B$29,MAX(0,(Inputs!$B$3-100)*3)+Inputs!$B$28+Inputs!$B$29)))</f>
        <v/>
      </c>
      <c r="E1008">
        <f>INDEX(FactorTable!$B$2:$Y$301, MATCH(ROUND(MIN(300,MAX(1,D1008)),0), FactorTable!$A$2:$A$301,0), Skills!M13+1)</f>
        <v/>
      </c>
      <c r="F1008">
        <f>IF(Skills!N13=TRUE,(Skills!L13/10)*(E1008/1000),Skills!L13/10)+Skills!O13</f>
        <v/>
      </c>
      <c r="G1008">
        <f>Skills!G13*IF(Skills!H13&gt;0,Skills!I13/Skills!H13,1)</f>
        <v/>
      </c>
      <c r="H1008">
        <f>1-(1-Skills!J13/100)^Skills!K13</f>
        <v/>
      </c>
      <c r="I1008" t="inlineStr">
        <is>
          <t>1</t>
        </is>
      </c>
      <c r="J1008">
        <f>(((Inputs!$B$6+1)*(1+Inputs!$B$7/100))+(((Inputs!$B$12*(1+Inputs!$B$13/100))-(Inputs!$B$12*(1+Inputs!$B$13/100)))+0.25*(Inputs!$B$14-Inputs!$B$14))*(1+Inputs!$B$7/100))*(F1008/100)</f>
        <v/>
      </c>
      <c r="K1008">
        <f>J1008*(1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1008)</f>
        <v/>
      </c>
      <c r="L1008">
        <f>K1008*(MIN(Inputs!$B$22+((C1017=TRUE)*(F1017-Calc!F22)),(Inputs!$B$23+0+(IF(ArtifactsInput!$M$15,CHOOSE(ArtifactsInput!$N$15+1,25,30,35,40,45,50)/100*(Inputs!$B$11-Inputs!$B$11),0))))/100+(Inputs!$B$23+0+(IF(ArtifactsInput!$M$15,CHOOSE(ArtifactsInput!$N$15+1,25,30,35,40,45,50)/100*(Inputs!$B$11-Inputs!$B$11),0)))/100)/2</f>
        <v/>
      </c>
      <c r="M1008">
        <f>L1008*(1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8">
        <f>L1008*(1-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1008*(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8">
        <f>(1-Summary!$B$11)*T1008+Summary!$B$11*V1008</f>
        <v/>
      </c>
      <c r="P1008">
        <f>IF(B1036=0,0,O1008/B1036)</f>
        <v/>
      </c>
      <c r="Q1008">
        <f>IFERROR(1/(IF(Inputs!$B$38="pvp",15,MAX(0.1,Skills!D13-IF(Skills!E13=TRUE,Inputs!$B$32,0)))*(1-IF(AND(ArtifactsInput!$M$27,Inputs!$B$4="Chapter Hunt"),CHOOSE(ArtifactsInput!$N$27+1,20,24,28,32,36,40),0)/100)),0)</f>
        <v/>
      </c>
      <c r="R1008">
        <f>IF(AND(Inputs!$B$38&lt;&gt;"pvp",Inputs!$B$43&gt;0),IF(MAX(0,Inputs!$B$43-B1033)&lt;=0,0,(INT(MAX(0,Inputs!$B$43-B1033)/(IF(Inputs!$B$38="pvp",15,MAX(0.1,Skills!D13-IF(Skills!E13=TRUE,Inputs!$B$32,0)))*(1-IF(AND(ArtifactsInput!$M$27,Inputs!$B$4="Chapter Hunt"),CHOOSE(ArtifactsInput!$N$27+1,20,24,28,32,36,40),0)/100)))+1)),0)</f>
        <v/>
      </c>
      <c r="S1008">
        <f>IFERROR(O1008/N1008,0)</f>
        <v/>
      </c>
      <c r="T1008">
        <f>IF(C1008,(H1008*N1008*IF(AND(Inputs!$B$38&lt;&gt;"pvp",Inputs!$B$43&gt;0),((Skills!G13*((R1008-1)*IF(Skills!H13&gt;0,Skills!I13/Skills!H13,1)+IF(Skills!H13&gt;0,MIN(Skills!I13,MAX(0,MAX(0,Inputs!$B$43-B1033)-((R1008-1)*(IF(Inputs!$B$38="pvp",15,MAX(0.1,Skills!D13-IF(Skills!E13=TRUE,Inputs!$B$32,0)))*(1-IF(AND(ArtifactsInput!$M$27,Inputs!$B$4="Chapter Hunt"),CHOOSE(ArtifactsInput!$N$27+1,20,24,28,32,36,40),0)/100)))))/Skills!H13,1)))/Inputs!$B$43),G1008*Q1008)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1008*(1-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1008*(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1008*(1-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1008*(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8">
        <f>IF(C1008,(H1008*N1008*IF(AND(Inputs!$B$38&lt;&gt;"pvp",Inputs!$B$43&gt;0),((Skills!G13*((R1008-1)*IF(Skills!H13&gt;0,Skills!I13/Skills!H13,1)+IF(Skills!H13&gt;0,MIN(Skills!I13,MAX(0,MAX(0,Inputs!$B$43-B1033)-((R1008-1)*(IF(Inputs!$B$38="pvp",15,MAX(0.1,Skills!D13-IF(Skills!E13=TRUE,Inputs!$B$32,0)))*(1-IF(AND(ArtifactsInput!$M$27,Inputs!$B$4="Chapter Hunt"),CHOOSE(ArtifactsInput!$N$27+1,20,24,28,32,36,40),0)/100)))))/Skills!H13,1)))/Inputs!$B$43),G1008*Q1008))*IF(Inputs!$B$38="pvp",1,(1+(Inputs!$B$21+Skills!Q13+(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9">
      <c r="A1009">
        <f>Skills!A14</f>
        <v/>
      </c>
      <c r="B1009">
        <f>Skills!B14</f>
        <v/>
      </c>
      <c r="C1009">
        <f>Inputs!$B$3&gt;=125</f>
        <v/>
      </c>
      <c r="D1009">
        <f>IF(Skills!C14=1,60+Inputs!$B$25+Inputs!$B$29,IF(Skills!C14=2,90+Inputs!$B$26+Inputs!$B$29,IF(Skills!C14=3,120+Inputs!$B$27+Inputs!$B$29,MAX(0,(Inputs!$B$3-100)*3)+Inputs!$B$28+Inputs!$B$29)))</f>
        <v/>
      </c>
      <c r="E1009">
        <f>INDEX(FactorTable!$B$2:$Y$301, MATCH(ROUND(MIN(300,MAX(1,D1009)),0), FactorTable!$A$2:$A$301,0), Skills!M14+1)</f>
        <v/>
      </c>
      <c r="F1009">
        <f>IF(Skills!N14=TRUE,(Skills!L14/10)*(E1009/1000),Skills!L14/10)+Skills!O14</f>
        <v/>
      </c>
      <c r="G1009">
        <f>Skills!G14*IF(Skills!H14&gt;0,Skills!I14/Skills!H14,1)</f>
        <v/>
      </c>
      <c r="H1009">
        <f>1-(1-Skills!J14/100)^Skills!K14</f>
        <v/>
      </c>
      <c r="I1009" t="inlineStr">
        <is>
          <t>1</t>
        </is>
      </c>
      <c r="J1009">
        <f>(((Inputs!$B$6+1)*(1+Inputs!$B$7/100))+(((Inputs!$B$12*(1+Inputs!$B$13/100))-(Inputs!$B$12*(1+Inputs!$B$13/100)))+0.25*(Inputs!$B$14-Inputs!$B$14))*(1+Inputs!$B$7/100))*(F1009/100)</f>
        <v/>
      </c>
      <c r="K1009">
        <f>J1009*(1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1009)</f>
        <v/>
      </c>
      <c r="L1009">
        <f>K1009*(MIN(Inputs!$B$22+((C1017=TRUE)*(F1017-Calc!F22)),(Inputs!$B$23+0+(IF(ArtifactsInput!$M$15,CHOOSE(ArtifactsInput!$N$15+1,25,30,35,40,45,50)/100*(Inputs!$B$11-Inputs!$B$11),0))))/100+(Inputs!$B$23+0+(IF(ArtifactsInput!$M$15,CHOOSE(ArtifactsInput!$N$15+1,25,30,35,40,45,50)/100*(Inputs!$B$11-Inputs!$B$11),0)))/100)/2</f>
        <v/>
      </c>
      <c r="M1009">
        <f>L1009*(1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9">
        <f>L1009*(1-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1009*(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9">
        <f>(1-Summary!$B$11)*T1009+Summary!$B$11*V1009</f>
        <v/>
      </c>
      <c r="P1009">
        <f>IF(B1036=0,0,O1009/B1036)</f>
        <v/>
      </c>
      <c r="Q1009" t="n">
        <v>0</v>
      </c>
      <c r="R1009" t="n">
        <v>0</v>
      </c>
      <c r="S1009">
        <f>IFERROR(O1009/N1009,0)</f>
        <v/>
      </c>
      <c r="T1009">
        <f>IF(C1009,(H1009*N1009*(B1030+IF(AND(Inputs!$B$38&lt;&gt;"pvp",Inputs!$B$43&gt;0),((Skills!G8*((R1003-1)*IF(Skills!H8&gt;0,Skills!I8/Skills!H8,1)+IF(Skills!H8&gt;0,MIN(Skills!I8,MAX(0,MAX(0,Inputs!$B$43-B1033)-((R1003-1)*(IF(Inputs!$B$38="pvp",15,MAX(0.1,Skills!D8-IF(Skills!E8=TRUE,Inputs!$B$32,0)))*(1-IF(AND(ArtifactsInput!$M$27,Inputs!$B$4="Chapter Hunt"),CHOOSE(ArtifactsInput!$N$27+1,20,24,28,32,36,40),0)/100)))))/Skills!H8,1)))/Inputs!$B$43),G1003*Q1003)+IF(AND(Inputs!$B$38&lt;&gt;"pvp",Inputs!$B$43&gt;0),((Skills!G11*((R1006-1)*IF(Skills!H11&gt;0,Skills!I11/Skills!H11,1)+IF(Skills!H11&gt;0,MIN(Skills!I11,MAX(0,MAX(0,Inputs!$B$43-B1033)-((R1006-1)*(IF(Inputs!$B$38="pvp",15,MAX(0.1,Skills!D11-IF(Skills!E11=TRUE,Inputs!$B$32,0)))*(1-IF(AND(ArtifactsInput!$M$27,Inputs!$B$4="Chapter Hunt"),CHOOSE(ArtifactsInput!$N$27+1,20,24,28,32,36,40),0)/100)))))/Skills!H11,1)))/Inputs!$B$43),G1006*Q1006)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1009*(1-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1009*(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1009*(1-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1009*(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9">
        <f>IF(C1009,(H1009*N1009*(B1030+IF(AND(Inputs!$B$38&lt;&gt;"pvp",Inputs!$B$43&gt;0),((Skills!G8*((R1003-1)*IF(Skills!H8&gt;0,Skills!I8/Skills!H8,1)+IF(Skills!H8&gt;0,MIN(Skills!I8,MAX(0,MAX(0,Inputs!$B$43-B1033)-((R1003-1)*(IF(Inputs!$B$38="pvp",15,MAX(0.1,Skills!D8-IF(Skills!E8=TRUE,Inputs!$B$32,0)))*(1-IF(AND(ArtifactsInput!$M$27,Inputs!$B$4="Chapter Hunt"),CHOOSE(ArtifactsInput!$N$27+1,20,24,28,32,36,40),0)/100)))))/Skills!H8,1)))/Inputs!$B$43),G1003*Q1003)+IF(AND(Inputs!$B$38&lt;&gt;"pvp",Inputs!$B$43&gt;0),((Skills!G11*((R1006-1)*IF(Skills!H11&gt;0,Skills!I11/Skills!H11,1)+IF(Skills!H11&gt;0,MIN(Skills!I11,MAX(0,MAX(0,Inputs!$B$43-B1033)-((R1006-1)*(IF(Inputs!$B$38="pvp",15,MAX(0.1,Skills!D11-IF(Skills!E11=TRUE,Inputs!$B$32,0)))*(1-IF(AND(ArtifactsInput!$M$27,Inputs!$B$4="Chapter Hunt"),CHOOSE(ArtifactsInput!$N$27+1,20,24,28,32,36,40),0)/100)))))/Skills!H11,1)))/Inputs!$B$43),G1006*Q1006)))*IF(Inputs!$B$38="pvp",1,(1+(Inputs!$B$21+Skills!Q14+(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0">
      <c r="A1010">
        <f>Skills!A15</f>
        <v/>
      </c>
      <c r="B1010">
        <f>Skills!B15</f>
        <v/>
      </c>
      <c r="C1010">
        <f>Inputs!$B$3&gt;=100</f>
        <v/>
      </c>
      <c r="D1010">
        <f>IF(Skills!C15=1,60+Inputs!$B$25+Inputs!$B$29,IF(Skills!C15=2,90+Inputs!$B$26+Inputs!$B$29,IF(Skills!C15=3,120+Inputs!$B$27+Inputs!$B$29,MAX(0,(Inputs!$B$3-100)*3)+Inputs!$B$28+Inputs!$B$29)))</f>
        <v/>
      </c>
      <c r="E1010">
        <f>INDEX(FactorTable!$B$2:$Y$301, MATCH(ROUND(MIN(300,MAX(1,D1010)),0), FactorTable!$A$2:$A$301,0), Skills!M15+1)</f>
        <v/>
      </c>
      <c r="F1010">
        <f>IF(Skills!N15=TRUE,(Skills!L15/10)*(E1010/1000),Skills!L15/10)+Skills!O15</f>
        <v/>
      </c>
      <c r="G1010" t="inlineStr"/>
      <c r="H1010" t="inlineStr"/>
      <c r="I1010" t="inlineStr">
        <is>
          <t>1</t>
        </is>
      </c>
      <c r="J1010" t="inlineStr"/>
      <c r="K1010" t="inlineStr"/>
      <c r="L1010" t="inlineStr"/>
      <c r="M1010" t="inlineStr"/>
      <c r="N1010" t="inlineStr"/>
      <c r="O1010" t="inlineStr"/>
      <c r="P1010" t="inlineStr"/>
      <c r="Q1010" t="inlineStr"/>
      <c r="R1010" t="inlineStr"/>
      <c r="S1010" t="inlineStr"/>
    </row>
    <row r="1011">
      <c r="A1011">
        <f>Skills!A16</f>
        <v/>
      </c>
      <c r="B1011">
        <f>Skills!B16</f>
        <v/>
      </c>
      <c r="C1011">
        <f>Inputs!$B$3&gt;=120</f>
        <v/>
      </c>
      <c r="D1011">
        <f>IF(Skills!C16=1,60+Inputs!$B$25+Inputs!$B$29,IF(Skills!C16=2,90+Inputs!$B$26+Inputs!$B$29,IF(Skills!C16=3,120+Inputs!$B$27+Inputs!$B$29,MAX(0,(Inputs!$B$3-100)*3)+Inputs!$B$28+Inputs!$B$29)))</f>
        <v/>
      </c>
      <c r="E1011">
        <f>INDEX(FactorTable!$B$2:$Y$301, MATCH(ROUND(MIN(300,MAX(1,D1011)),0), FactorTable!$A$2:$A$301,0), Skills!M16+1)</f>
        <v/>
      </c>
      <c r="F1011">
        <f>IF(Skills!N16=TRUE,(Skills!L16/10)*(E1011/1000),Skills!L16/10)+Skills!O16</f>
        <v/>
      </c>
      <c r="G1011" t="inlineStr"/>
      <c r="H1011" t="inlineStr"/>
      <c r="I1011" t="inlineStr">
        <is>
          <t>1</t>
        </is>
      </c>
      <c r="J1011" t="inlineStr"/>
      <c r="K1011" t="inlineStr"/>
      <c r="L1011" t="inlineStr"/>
      <c r="M1011" t="inlineStr"/>
      <c r="N1011" t="inlineStr"/>
      <c r="O1011" t="inlineStr"/>
      <c r="P1011" t="inlineStr"/>
      <c r="Q1011" t="inlineStr"/>
      <c r="R1011" t="inlineStr"/>
      <c r="S1011" t="inlineStr"/>
    </row>
    <row r="1012">
      <c r="A1012">
        <f>Skills!A17</f>
        <v/>
      </c>
      <c r="B1012">
        <f>Skills!B17</f>
        <v/>
      </c>
      <c r="C1012">
        <f>Inputs!$B$3&gt;=66</f>
        <v/>
      </c>
      <c r="D1012">
        <f>IF(Skills!C17=1,60+Inputs!$B$25+Inputs!$B$29,IF(Skills!C17=2,90+Inputs!$B$26+Inputs!$B$29,IF(Skills!C17=3,120+Inputs!$B$27+Inputs!$B$29,MAX(0,(Inputs!$B$3-100)*3)+Inputs!$B$28+Inputs!$B$29)))</f>
        <v/>
      </c>
      <c r="E1012">
        <f>INDEX(FactorTable!$B$2:$Y$301, MATCH(ROUND(MIN(300,MAX(1,D1012)),0), FactorTable!$A$2:$A$301,0), Skills!M17+1)</f>
        <v/>
      </c>
      <c r="F1012">
        <f>IF(Skills!N17=TRUE,(Skills!L17/10)*(E1012/1000),Skills!L17/10)+Skills!O17</f>
        <v/>
      </c>
      <c r="G1012">
        <f>Skills!G17*IF(Skills!H17&gt;0,Skills!I17/Skills!H17,1)</f>
        <v/>
      </c>
      <c r="H1012">
        <f>1-(1-Skills!J17/100)^Skills!K17</f>
        <v/>
      </c>
      <c r="I1012" t="inlineStr">
        <is>
          <t>1</t>
        </is>
      </c>
      <c r="J1012" t="inlineStr"/>
      <c r="K1012" t="inlineStr"/>
      <c r="L1012" t="inlineStr"/>
      <c r="M1012" t="inlineStr"/>
      <c r="N1012" t="inlineStr"/>
      <c r="O1012">
        <f>(1-Summary!$B$11)*T1012+Summary!$B$11*V1012</f>
        <v/>
      </c>
      <c r="P1012">
        <f>IF(B1036=0,0,O1012/B1036)</f>
        <v/>
      </c>
      <c r="Q1012" t="n">
        <v>0</v>
      </c>
      <c r="R1012" t="n">
        <v>0</v>
      </c>
      <c r="S1012">
        <f>IFERROR(O1012/N1012,0)</f>
        <v/>
      </c>
      <c r="T1012" t="n">
        <v>0</v>
      </c>
      <c r="V1012" t="n">
        <v>0</v>
      </c>
    </row>
    <row r="1013">
      <c r="A1013">
        <f>Skills!A18</f>
        <v/>
      </c>
      <c r="B1013">
        <f>Skills!B18</f>
        <v/>
      </c>
      <c r="C1013">
        <f>Inputs!$B$3&gt;=115</f>
        <v/>
      </c>
      <c r="D1013">
        <f>IF(Skills!C18=1,60+Inputs!$B$25+Inputs!$B$29,IF(Skills!C18=2,90+Inputs!$B$26+Inputs!$B$29,IF(Skills!C18=3,120+Inputs!$B$27+Inputs!$B$29,MAX(0,(Inputs!$B$3-100)*3)+Inputs!$B$28+Inputs!$B$29)))</f>
        <v/>
      </c>
      <c r="E1013">
        <f>INDEX(FactorTable!$B$2:$Y$301, MATCH(ROUND(MIN(300,MAX(1,D1013)),0), FactorTable!$A$2:$A$301,0), Skills!M18+1)</f>
        <v/>
      </c>
      <c r="F1013">
        <f>IF(Skills!N18=TRUE,(Skills!L18/10)*(E1013/1000),Skills!L18/10)+Skills!O18</f>
        <v/>
      </c>
      <c r="G1013">
        <f>Skills!G18*IF(Skills!H18&gt;0,Skills!I18/Skills!H18,1)</f>
        <v/>
      </c>
      <c r="H1013">
        <f>1-(1-Skills!J18/100)^Skills!K18</f>
        <v/>
      </c>
      <c r="I1013" t="inlineStr">
        <is>
          <t>1</t>
        </is>
      </c>
      <c r="J1013" t="inlineStr"/>
      <c r="K1013" t="inlineStr"/>
      <c r="L1013" t="inlineStr"/>
      <c r="M1013" t="inlineStr"/>
      <c r="N1013" t="inlineStr"/>
      <c r="O1013">
        <f>(1-Summary!$B$11)*T1013+Summary!$B$11*V1013</f>
        <v/>
      </c>
      <c r="P1013">
        <f>IF(B1036=0,0,O1013/B1036)</f>
        <v/>
      </c>
      <c r="Q1013">
        <f>IFERROR(1/(IF(Inputs!$B$38="pvp",15,MAX(0.1,Skills!D18-IF(Skills!E18=TRUE,Inputs!$B$32,0)))*(1-IF(AND(ArtifactsInput!$M$27,Inputs!$B$4="Chapter Hunt"),CHOOSE(ArtifactsInput!$N$27+1,20,24,28,32,36,40),0)/100)),0)</f>
        <v/>
      </c>
      <c r="R1013">
        <f>IF(AND(Inputs!$B$38&lt;&gt;"pvp",Inputs!$B$43&gt;0),IF(Inputs!$B$43&lt;=0,0,(INT(Inputs!$B$43/(IF(Inputs!$B$38="pvp",15,MAX(0.1,Skills!D18-IF(Skills!E18=TRUE,Inputs!$B$32,0)))*(1-IF(AND(ArtifactsInput!$M$27,Inputs!$B$4="Chapter Hunt"),CHOOSE(ArtifactsInput!$N$27+1,20,24,28,32,36,40),0)/100)))+1)),0)</f>
        <v/>
      </c>
      <c r="S1013">
        <f>IFERROR(O1013/N1013,0)</f>
        <v/>
      </c>
      <c r="T1013" t="n">
        <v>0</v>
      </c>
      <c r="V1013" t="n">
        <v>0</v>
      </c>
    </row>
    <row r="1014">
      <c r="A1014">
        <f>Skills!A19</f>
        <v/>
      </c>
      <c r="B1014">
        <f>Skills!B19</f>
        <v/>
      </c>
      <c r="C1014">
        <f>Inputs!$B$3&gt;=15</f>
        <v/>
      </c>
      <c r="D1014">
        <f>IF(Skills!C19=1,60+Inputs!$B$25+Inputs!$B$29,IF(Skills!C19=2,90+Inputs!$B$26+Inputs!$B$29,IF(Skills!C19=3,120+Inputs!$B$27+Inputs!$B$29,MAX(0,(Inputs!$B$3-100)*3)+Inputs!$B$28+Inputs!$B$29)))</f>
        <v/>
      </c>
      <c r="E1014">
        <f>INDEX(FactorTable!$B$2:$Y$301, MATCH(ROUND(MIN(300,MAX(1,D1014)),0), FactorTable!$A$2:$A$301,0), Skills!M19+1)</f>
        <v/>
      </c>
      <c r="F1014">
        <f>IF(Skills!N19=TRUE,(Skills!L19/10)*(E1014/1000),Skills!L19/10)+Skills!O19</f>
        <v/>
      </c>
      <c r="G1014">
        <f>Skills!G19*IF(Skills!H19&gt;0,Skills!I19/Skills!H19,1)</f>
        <v/>
      </c>
      <c r="H1014">
        <f>1-(1-Skills!J19/100)^Skills!K19</f>
        <v/>
      </c>
      <c r="I1014" t="inlineStr">
        <is>
          <t>1</t>
        </is>
      </c>
      <c r="J1014" t="inlineStr"/>
      <c r="K1014" t="inlineStr"/>
      <c r="L1014" t="inlineStr"/>
      <c r="M1014" t="inlineStr"/>
      <c r="N1014" t="inlineStr"/>
      <c r="O1014">
        <f>(1-Summary!$B$11)*T1014+Summary!$B$11*V1014</f>
        <v/>
      </c>
      <c r="P1014">
        <f>IF(B1036=0,0,O1014/B1036)</f>
        <v/>
      </c>
      <c r="Q1014" t="n">
        <v>0</v>
      </c>
      <c r="R1014" t="n">
        <v>0</v>
      </c>
      <c r="S1014">
        <f>IFERROR(O1014/N1014,0)</f>
        <v/>
      </c>
      <c r="T1014" t="n">
        <v>0</v>
      </c>
      <c r="V1014" t="n">
        <v>0</v>
      </c>
    </row>
    <row r="1015">
      <c r="A1015">
        <f>Skills!A20</f>
        <v/>
      </c>
      <c r="B1015">
        <f>Skills!B20</f>
        <v/>
      </c>
      <c r="C1015">
        <f>Inputs!$B$3&gt;=10</f>
        <v/>
      </c>
      <c r="D1015">
        <f>IF(Skills!C20=1,60+Inputs!$B$25+Inputs!$B$29,IF(Skills!C20=2,90+Inputs!$B$26+Inputs!$B$29,IF(Skills!C20=3,120+Inputs!$B$27+Inputs!$B$29,MAX(0,(Inputs!$B$3-100)*3)+Inputs!$B$28+Inputs!$B$29)))</f>
        <v/>
      </c>
      <c r="E1015">
        <f>INDEX(FactorTable!$B$2:$Y$301, MATCH(ROUND(MIN(300,MAX(1,D1015)),0), FactorTable!$A$2:$A$301,0), Skills!M20+1)</f>
        <v/>
      </c>
      <c r="F1015">
        <f>IF(Skills!N20=TRUE,(Skills!L20/10)*(E1015/1000),Skills!L20/10)+Skills!O20</f>
        <v/>
      </c>
      <c r="G1015">
        <f>Skills!G20*IF(Skills!H20&gt;0,Skills!I20/Skills!H20,1)</f>
        <v/>
      </c>
      <c r="H1015">
        <f>1-(1-Skills!J20/100)^Skills!K20</f>
        <v/>
      </c>
      <c r="I1015" t="inlineStr">
        <is>
          <t>1</t>
        </is>
      </c>
      <c r="J1015" t="inlineStr"/>
      <c r="K1015" t="inlineStr"/>
      <c r="L1015" t="inlineStr"/>
      <c r="M1015" t="inlineStr"/>
      <c r="N1015" t="inlineStr"/>
      <c r="O1015">
        <f>(1-Summary!$B$11)*T1015+Summary!$B$11*V1015</f>
        <v/>
      </c>
      <c r="P1015">
        <f>IF(B1036=0,0,O1015/B1036)</f>
        <v/>
      </c>
      <c r="Q1015" t="n">
        <v>0</v>
      </c>
      <c r="R1015" t="n">
        <v>0</v>
      </c>
      <c r="S1015">
        <f>IFERROR(O1015/N1015,0)</f>
        <v/>
      </c>
      <c r="T1015" t="n">
        <v>0</v>
      </c>
      <c r="V1015" t="n">
        <v>0</v>
      </c>
    </row>
    <row r="1016">
      <c r="A1016">
        <f>Skills!A21</f>
        <v/>
      </c>
      <c r="B1016">
        <f>Skills!B21</f>
        <v/>
      </c>
      <c r="C1016">
        <f>Inputs!$B$3&gt;=33</f>
        <v/>
      </c>
      <c r="D1016">
        <f>IF(Skills!C21=1,60+Inputs!$B$25+Inputs!$B$29,IF(Skills!C21=2,90+Inputs!$B$26+Inputs!$B$29,IF(Skills!C21=3,120+Inputs!$B$27+Inputs!$B$29,MAX(0,(Inputs!$B$3-100)*3)+Inputs!$B$28+Inputs!$B$29)))</f>
        <v/>
      </c>
      <c r="E1016">
        <f>INDEX(FactorTable!$B$2:$Y$301, MATCH(ROUND(MIN(300,MAX(1,D1016)),0), FactorTable!$A$2:$A$301,0), Skills!M21+1)</f>
        <v/>
      </c>
      <c r="F1016">
        <f>IF(Skills!N21=TRUE,(Skills!L21/10)*(E1016/1000),Skills!L21/10)+Skills!O21</f>
        <v/>
      </c>
      <c r="G1016">
        <f>Skills!G21*IF(Skills!H21&gt;0,Skills!I21/Skills!H21,1)</f>
        <v/>
      </c>
      <c r="H1016">
        <f>1-(1-Skills!J21/100)^Skills!K21</f>
        <v/>
      </c>
      <c r="I1016" t="inlineStr">
        <is>
          <t>1</t>
        </is>
      </c>
      <c r="J1016" t="inlineStr"/>
      <c r="K1016" t="inlineStr"/>
      <c r="L1016" t="inlineStr"/>
      <c r="M1016" t="inlineStr"/>
      <c r="N1016" t="inlineStr"/>
      <c r="O1016">
        <f>(1-Summary!$B$11)*T1016+Summary!$B$11*V1016</f>
        <v/>
      </c>
      <c r="P1016">
        <f>IF(B1036=0,0,O1016/B1036)</f>
        <v/>
      </c>
      <c r="Q1016" t="n">
        <v>0</v>
      </c>
      <c r="R1016" t="n">
        <v>0</v>
      </c>
      <c r="S1016">
        <f>IFERROR(O1016/N1016,0)</f>
        <v/>
      </c>
      <c r="T1016" t="n">
        <v>0</v>
      </c>
      <c r="V1016" t="n">
        <v>0</v>
      </c>
    </row>
    <row r="1017">
      <c r="A1017">
        <f>Skills!A22</f>
        <v/>
      </c>
      <c r="B1017">
        <f>Skills!B22</f>
        <v/>
      </c>
      <c r="C1017">
        <f>Inputs!$B$3&gt;=43</f>
        <v/>
      </c>
      <c r="D1017">
        <f>IF(Skills!C22=1,60+Inputs!$B$25+Inputs!$B$29,IF(Skills!C22=2,90+Inputs!$B$26+Inputs!$B$29,IF(Skills!C22=3,120+Inputs!$B$27+Inputs!$B$29,MAX(0,(Inputs!$B$3-100)*3)+Inputs!$B$28+Inputs!$B$29)))</f>
        <v/>
      </c>
      <c r="E1017">
        <f>INDEX(FactorTable!$B$2:$Y$301, MATCH(ROUND(MIN(300,MAX(1,D1017)),0), FactorTable!$A$2:$A$301,0), Skills!M22+1)</f>
        <v/>
      </c>
      <c r="F1017">
        <f>IF(Skills!N22=TRUE,(Skills!L22/10)*(E1017/1000),Skills!L22/10)+Skills!O22</f>
        <v/>
      </c>
      <c r="G1017">
        <f>Skills!G22*IF(Skills!H22&gt;0,Skills!I22/Skills!H22,1)</f>
        <v/>
      </c>
      <c r="H1017">
        <f>1-(1-Skills!J22/100)^Skills!K22</f>
        <v/>
      </c>
      <c r="I1017" t="inlineStr">
        <is>
          <t>1</t>
        </is>
      </c>
      <c r="J1017" t="inlineStr"/>
      <c r="K1017" t="inlineStr"/>
      <c r="L1017" t="inlineStr"/>
      <c r="M1017" t="inlineStr"/>
      <c r="N1017" t="inlineStr"/>
      <c r="O1017">
        <f>(1-Summary!$B$11)*T1017+Summary!$B$11*V1017</f>
        <v/>
      </c>
      <c r="P1017">
        <f>IF(B1036=0,0,O1017/B1036)</f>
        <v/>
      </c>
      <c r="Q1017" t="n">
        <v>0</v>
      </c>
      <c r="R1017" t="n">
        <v>0</v>
      </c>
      <c r="S1017">
        <f>IFERROR(O1017/N1017,0)</f>
        <v/>
      </c>
      <c r="T1017" t="n">
        <v>0</v>
      </c>
      <c r="V1017" t="n">
        <v>0</v>
      </c>
    </row>
    <row r="1018">
      <c r="A1018">
        <f>Skills!A23</f>
        <v/>
      </c>
      <c r="B1018">
        <f>Skills!B23</f>
        <v/>
      </c>
      <c r="C1018">
        <f>Inputs!$B$3&gt;=38</f>
        <v/>
      </c>
      <c r="D1018">
        <f>IF(Skills!C23=1,60+Inputs!$B$25+Inputs!$B$29,IF(Skills!C23=2,90+Inputs!$B$26+Inputs!$B$29,IF(Skills!C23=3,120+Inputs!$B$27+Inputs!$B$29,MAX(0,(Inputs!$B$3-100)*3)+Inputs!$B$28+Inputs!$B$29)))</f>
        <v/>
      </c>
      <c r="E1018">
        <f>INDEX(FactorTable!$B$2:$Y$301, MATCH(ROUND(MIN(300,MAX(1,D1018)),0), FactorTable!$A$2:$A$301,0), Skills!M23+1)</f>
        <v/>
      </c>
      <c r="F1018">
        <f>IF(Skills!N23=TRUE,(Skills!L23/10)*(E1018/1000),Skills!L23/10)+Skills!O23</f>
        <v/>
      </c>
      <c r="G1018">
        <f>Skills!G23*IF(Skills!H23&gt;0,Skills!I23/Skills!H23,1)</f>
        <v/>
      </c>
      <c r="H1018">
        <f>1-(1-Skills!J23/100)^Skills!K23</f>
        <v/>
      </c>
      <c r="I1018" t="inlineStr">
        <is>
          <t>1</t>
        </is>
      </c>
      <c r="J1018" t="inlineStr"/>
      <c r="K1018" t="inlineStr"/>
      <c r="L1018" t="inlineStr"/>
      <c r="M1018" t="inlineStr"/>
      <c r="N1018" t="inlineStr"/>
      <c r="O1018">
        <f>(1-Summary!$B$11)*T1018+Summary!$B$11*V1018</f>
        <v/>
      </c>
      <c r="P1018">
        <f>IF(B1036=0,0,O1018/B1036)</f>
        <v/>
      </c>
      <c r="Q1018" t="n">
        <v>0</v>
      </c>
      <c r="R1018" t="n">
        <v>0</v>
      </c>
      <c r="S1018">
        <f>IFERROR(O1018/N1018,0)</f>
        <v/>
      </c>
      <c r="T1018" t="n">
        <v>0</v>
      </c>
      <c r="V1018" t="n">
        <v>0</v>
      </c>
    </row>
    <row r="1019">
      <c r="A1019">
        <f>Skills!A24</f>
        <v/>
      </c>
      <c r="B1019">
        <f>Skills!B24</f>
        <v/>
      </c>
      <c r="C1019">
        <f>Inputs!$B$3&gt;=40</f>
        <v/>
      </c>
      <c r="D1019">
        <f>IF(Skills!C24=1,60+Inputs!$B$25+Inputs!$B$29,IF(Skills!C24=2,90+Inputs!$B$26+Inputs!$B$29,IF(Skills!C24=3,120+Inputs!$B$27+Inputs!$B$29,MAX(0,(Inputs!$B$3-100)*3)+Inputs!$B$28+Inputs!$B$29)))</f>
        <v/>
      </c>
      <c r="E1019">
        <f>INDEX(FactorTable!$B$2:$Y$301, MATCH(ROUND(MIN(300,MAX(1,D1019)),0), FactorTable!$A$2:$A$301,0), Skills!M24+1)</f>
        <v/>
      </c>
      <c r="F1019">
        <f>IF(Skills!N24=TRUE,(Skills!L24/10)*(E1019/1000),Skills!L24/10)+Skills!O24</f>
        <v/>
      </c>
      <c r="G1019">
        <f>Skills!G24*IF(Skills!H24&gt;0,Skills!I24/Skills!H24,1)</f>
        <v/>
      </c>
      <c r="H1019">
        <f>1-(1-Skills!J24/100)^Skills!K24</f>
        <v/>
      </c>
      <c r="I1019" t="inlineStr">
        <is>
          <t>1</t>
        </is>
      </c>
      <c r="J1019" t="inlineStr"/>
      <c r="K1019" t="inlineStr"/>
      <c r="L1019" t="inlineStr"/>
      <c r="M1019" t="inlineStr"/>
      <c r="N1019" t="inlineStr"/>
      <c r="O1019">
        <f>(1-Summary!$B$11)*T1019+Summary!$B$11*V1019</f>
        <v/>
      </c>
      <c r="P1019">
        <f>IF(B1036=0,0,O1019/B1036)</f>
        <v/>
      </c>
      <c r="Q1019" t="n">
        <v>0</v>
      </c>
      <c r="R1019" t="n">
        <v>0</v>
      </c>
      <c r="S1019">
        <f>IFERROR(O1019/N1019,0)</f>
        <v/>
      </c>
      <c r="T1019" t="n">
        <v>0</v>
      </c>
      <c r="V1019" t="n">
        <v>0</v>
      </c>
    </row>
    <row r="1020">
      <c r="A1020">
        <f>Skills!A25</f>
        <v/>
      </c>
      <c r="B1020">
        <f>Skills!B25</f>
        <v/>
      </c>
      <c r="C1020">
        <f>Inputs!$B$3&gt;=72</f>
        <v/>
      </c>
      <c r="D1020">
        <f>IF(Skills!C25=1,60+Inputs!$B$25+Inputs!$B$29,IF(Skills!C25=2,90+Inputs!$B$26+Inputs!$B$29,IF(Skills!C25=3,120+Inputs!$B$27+Inputs!$B$29,MAX(0,(Inputs!$B$3-100)*3)+Inputs!$B$28+Inputs!$B$29)))</f>
        <v/>
      </c>
      <c r="E1020">
        <f>INDEX(FactorTable!$B$2:$Y$301, MATCH(ROUND(MIN(300,MAX(1,D1020)),0), FactorTable!$A$2:$A$301,0), Skills!M25+1)</f>
        <v/>
      </c>
      <c r="F1020">
        <f>IF(Skills!N25=TRUE,(Skills!L25/10)*(E1020/1000),Skills!L25/10)+Skills!O25</f>
        <v/>
      </c>
      <c r="G1020">
        <f>Skills!G25*IF(Skills!H25&gt;0,Skills!I25/Skills!H25,1)</f>
        <v/>
      </c>
      <c r="H1020">
        <f>1-(1-Skills!J25/100)^Skills!K25</f>
        <v/>
      </c>
      <c r="I1020" t="inlineStr">
        <is>
          <t>1</t>
        </is>
      </c>
      <c r="J1020" t="inlineStr"/>
      <c r="K1020" t="inlineStr"/>
      <c r="L1020" t="inlineStr"/>
      <c r="M1020" t="inlineStr"/>
      <c r="N1020" t="inlineStr"/>
      <c r="O1020">
        <f>(1-Summary!$B$11)*T1020+Summary!$B$11*V1020</f>
        <v/>
      </c>
      <c r="P1020">
        <f>IF(B1036=0,0,O1020/B1036)</f>
        <v/>
      </c>
      <c r="Q1020" t="n">
        <v>0</v>
      </c>
      <c r="R1020" t="n">
        <v>0</v>
      </c>
      <c r="S1020">
        <f>IFERROR(O1020/N1020,0)</f>
        <v/>
      </c>
      <c r="T1020" t="n">
        <v>0</v>
      </c>
      <c r="V1020" t="n">
        <v>0</v>
      </c>
    </row>
    <row r="1021">
      <c r="A1021">
        <f>Skills!A26</f>
        <v/>
      </c>
      <c r="B1021">
        <f>Skills!B26</f>
        <v/>
      </c>
      <c r="C1021">
        <f>Inputs!$B$3&gt;=75</f>
        <v/>
      </c>
      <c r="D1021">
        <f>IF(Skills!C26=1,60+Inputs!$B$25+Inputs!$B$29,IF(Skills!C26=2,90+Inputs!$B$26+Inputs!$B$29,IF(Skills!C26=3,120+Inputs!$B$27+Inputs!$B$29,MAX(0,(Inputs!$B$3-100)*3)+Inputs!$B$28+Inputs!$B$29)))</f>
        <v/>
      </c>
      <c r="E1021">
        <f>INDEX(FactorTable!$B$2:$Y$301, MATCH(ROUND(MIN(300,MAX(1,D1021)),0), FactorTable!$A$2:$A$301,0), Skills!M26+1)</f>
        <v/>
      </c>
      <c r="F1021">
        <f>IF(Skills!N26=TRUE,(Skills!L26/10)*(E1021/1000),Skills!L26/10)+Skills!O26</f>
        <v/>
      </c>
      <c r="G1021">
        <f>Skills!G26*IF(Skills!H26&gt;0,Skills!I26/Skills!H26,1)</f>
        <v/>
      </c>
      <c r="H1021">
        <f>1-(1-Skills!J26/100)^Skills!K26</f>
        <v/>
      </c>
      <c r="I1021" t="inlineStr">
        <is>
          <t>1</t>
        </is>
      </c>
      <c r="J1021" t="inlineStr"/>
      <c r="K1021" t="inlineStr"/>
      <c r="L1021" t="inlineStr"/>
      <c r="M1021" t="inlineStr"/>
      <c r="N1021" t="inlineStr"/>
      <c r="O1021">
        <f>(1-Summary!$B$11)*T1021+Summary!$B$11*V1021</f>
        <v/>
      </c>
      <c r="P1021">
        <f>IF(B1036=0,0,O1021/B1036)</f>
        <v/>
      </c>
      <c r="Q1021" t="n">
        <v>0</v>
      </c>
      <c r="R1021" t="n">
        <v>0</v>
      </c>
      <c r="S1021">
        <f>IFERROR(O1021/N1021,0)</f>
        <v/>
      </c>
      <c r="T1021" t="n">
        <v>0</v>
      </c>
      <c r="V1021" t="n">
        <v>0</v>
      </c>
    </row>
    <row r="1022">
      <c r="A1022">
        <f>Skills!A27</f>
        <v/>
      </c>
      <c r="B1022">
        <f>Skills!B27</f>
        <v/>
      </c>
      <c r="C1022">
        <f>Inputs!$B$3&gt;=117</f>
        <v/>
      </c>
      <c r="D1022">
        <f>IF(Skills!C27=1,60+Inputs!$B$25+Inputs!$B$29,IF(Skills!C27=2,90+Inputs!$B$26+Inputs!$B$29,IF(Skills!C27=3,120+Inputs!$B$27+Inputs!$B$29,MAX(0,(Inputs!$B$3-100)*3)+Inputs!$B$28+Inputs!$B$29)))</f>
        <v/>
      </c>
      <c r="E1022">
        <f>INDEX(FactorTable!$B$2:$Y$301, MATCH(ROUND(MIN(300,MAX(1,D1022)),0), FactorTable!$A$2:$A$301,0), Skills!M27+1)</f>
        <v/>
      </c>
      <c r="F1022">
        <f>IF(Skills!N27=TRUE,(Skills!L27/10)*(E1022/1000),Skills!L27/10)+Skills!O27</f>
        <v/>
      </c>
      <c r="G1022">
        <f>Skills!G27*IF(Skills!H27&gt;0,Skills!I27/Skills!H27,1)</f>
        <v/>
      </c>
      <c r="H1022">
        <f>1-(1-Skills!J27/100)^Skills!K27</f>
        <v/>
      </c>
      <c r="I1022" t="inlineStr">
        <is>
          <t>1</t>
        </is>
      </c>
      <c r="J1022" t="inlineStr"/>
      <c r="K1022" t="inlineStr"/>
      <c r="L1022" t="inlineStr"/>
      <c r="M1022" t="inlineStr"/>
      <c r="N1022" t="inlineStr"/>
      <c r="O1022">
        <f>(1-Summary!$B$11)*T1022+Summary!$B$11*V1022</f>
        <v/>
      </c>
      <c r="P1022">
        <f>IF(B1036=0,0,O1022/B1036)</f>
        <v/>
      </c>
      <c r="Q1022" t="n">
        <v>0</v>
      </c>
      <c r="R1022" t="n">
        <v>0</v>
      </c>
      <c r="S1022">
        <f>IFERROR(O1022/N1022,0)</f>
        <v/>
      </c>
      <c r="T1022" t="n">
        <v>0</v>
      </c>
      <c r="V1022" t="n">
        <v>0</v>
      </c>
    </row>
    <row r="1023">
      <c r="A1023">
        <f>Skills!A28</f>
        <v/>
      </c>
      <c r="B1023">
        <f>Skills!B28</f>
        <v/>
      </c>
      <c r="C1023">
        <f>TRUE</f>
        <v/>
      </c>
      <c r="D1023">
        <f>IF(Skills!C28=1,60+Inputs!$B$25+Inputs!$B$29,IF(Skills!C28=2,90+Inputs!$B$26+Inputs!$B$29,IF(Skills!C28=3,120+Inputs!$B$27+Inputs!$B$29,MAX(0,(Inputs!$B$3-100)*3)+Inputs!$B$28+Inputs!$B$29)))</f>
        <v/>
      </c>
      <c r="E1023">
        <f>INDEX(FactorTable!$B$2:$Y$301, MATCH(ROUND(MIN(300,MAX(1,D1023)),0), FactorTable!$A$2:$A$301,0), Skills!M28+1)</f>
        <v/>
      </c>
      <c r="F1023">
        <f>IF(Skills!N28=TRUE,(Skills!L28/10)*(E1023/1000),Skills!L28/10)+Skills!O28</f>
        <v/>
      </c>
      <c r="G1023">
        <f>Skills!G28*IF(Skills!H28&gt;0,Skills!I28/Skills!H28,1)</f>
        <v/>
      </c>
      <c r="H1023">
        <f>1-(1-Skills!J28/100)^Skills!K28</f>
        <v/>
      </c>
      <c r="I1023" t="inlineStr">
        <is>
          <t>1</t>
        </is>
      </c>
      <c r="J1023" t="inlineStr"/>
      <c r="K1023" t="inlineStr"/>
      <c r="L1023" t="inlineStr"/>
      <c r="M1023" t="inlineStr"/>
      <c r="N1023" t="inlineStr"/>
      <c r="O1023">
        <f>(1-Summary!$B$11)*T1023+Summary!$B$11*V1023</f>
        <v/>
      </c>
      <c r="P1023">
        <f>IF(B1036=0,0,O1023/B1036)</f>
        <v/>
      </c>
      <c r="Q1023">
        <f>IFERROR(1/(IF(Inputs!$B$38="pvp",15,MAX(0.1,Skills!D28-IF(Skills!E28=TRUE,Inputs!$B$32,0)))*(1-IF(AND(ArtifactsInput!$M$27,Inputs!$B$4="Chapter Hunt"),CHOOSE(ArtifactsInput!$N$27+1,20,24,28,32,36,40),0)/100)),0)</f>
        <v/>
      </c>
      <c r="R1023">
        <f>IF(AND(Inputs!$B$38&lt;&gt;"pvp",Inputs!$B$43&gt;0),IF(Inputs!$B$43&lt;=0,0,(INT(Inputs!$B$43/(IF(Inputs!$B$38="pvp",15,MAX(0.1,Skills!D28-IF(Skills!E28=TRUE,Inputs!$B$32,0)))*(1-IF(AND(ArtifactsInput!$M$27,Inputs!$B$4="Chapter Hunt"),CHOOSE(ArtifactsInput!$N$27+1,20,24,28,32,36,40),0)/100)))+1)),0)</f>
        <v/>
      </c>
      <c r="S1023">
        <f>IFERROR(O1023/N1023,0)</f>
        <v/>
      </c>
      <c r="T1023" t="n">
        <v>0</v>
      </c>
      <c r="V1023" t="n">
        <v>0</v>
      </c>
    </row>
    <row r="1025">
      <c r="A1025" t="inlineStr">
        <is>
          <t>Attack% Bucket Multiplier</t>
        </is>
      </c>
      <c r="B1025">
        <f>(1+(((C1012=TRUE)*F1012*5/7)+((C1019=TRUE)*(F1019-Calc!F24))+(IF(ArtifactsInput!$M$21,CHOOSE(ArtifactsInput!$N$21+1,25,30,35,40,45,50)*(IF(OR(Inputs!$B$4="Chapter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26">
      <c r="A1026" t="inlineStr">
        <is>
          <t>Global Crit Rate Bonus %</t>
        </is>
      </c>
      <c r="B1026" t="n">
        <v>0</v>
      </c>
    </row>
    <row r="1027">
      <c r="A1027" t="inlineStr">
        <is>
          <t>Attack Speed Buff Bonus % (Nimble Feet, duty-cycle averaged)</t>
        </is>
      </c>
      <c r="B1027">
        <f>((C1023=TRUE)*F1023*IF(AND(Inputs!$B$38&lt;&gt;"pvp",Inputs!$B$43&gt;0),(((R1023-1)*(Skills!T28*(1+Inputs!$B$34/100))+MIN((Skills!T28*(1+Inputs!$B$34/100)),MAX(0,Inputs!$B$43-((R1023-1)*Skills!D28))))/Inputs!$B$43),IF(Inputs!$B$38="pvp",MIN((Skills!T28*(1+Inputs!$B$34/100)),15)/15,(Skills!T28*(1+Inputs!$B$34/100))/Skills!D28)))</f>
        <v/>
      </c>
    </row>
    <row r="1028">
      <c r="A1028" t="inlineStr">
        <is>
          <t>Actions Per Second</t>
        </is>
      </c>
      <c r="B1028">
        <f>1+MIN(150,150*(1-(1-(Inputs!$B$11+((C1015=TRUE)*(F1015-Calc!F20))+((C1016=TRUE)*(F1016-Calc!F21)))/150)*(1-B1027/150)))/100</f>
        <v/>
      </c>
    </row>
    <row r="1029">
      <c r="A1029" t="inlineStr">
        <is>
          <t>Skill + Buff Cast Rate</t>
        </is>
      </c>
      <c r="B1029">
        <f>IF(AND(Inputs!$B$38&lt;&gt;"pvp",Inputs!$B$43&gt;0),SUMPRODUCT((Skills!E2:E28=TRUE)*(C997:C1023=TRUE)*R997:R1023*Skills!F2:F28)/Inputs!$B$43,SUMPRODUCT((Skills!E2:E28=TRUE)*(C997:C1023=TRUE)*Q997:Q1023*Skills!F2:F28))</f>
        <v/>
      </c>
    </row>
    <row r="1030">
      <c r="A1030" t="inlineStr">
        <is>
          <t>Eight-Legs Easton Casts Per Second</t>
        </is>
      </c>
      <c r="B1030">
        <f>MAX(0,B1028-B1029)</f>
        <v/>
      </c>
    </row>
    <row r="1031">
      <c r="A1031" t="inlineStr">
        <is>
          <t>Global Critical Damage Bonus % (unused)</t>
        </is>
      </c>
      <c r="B1031" t="n">
        <v>0</v>
      </c>
    </row>
    <row r="1032">
      <c r="A1032" t="inlineStr">
        <is>
          <t>Global Final Damage Bonus % (Jolly Roger + Ahoy Mateys - Final Damage proc)</t>
        </is>
      </c>
      <c r="B1032">
        <f>((C1013=TRUE)*F1013*IF(AND(Inputs!$B$38&lt;&gt;"pvp",Inputs!$B$43&gt;0),(((R1013-1)*(Skills!T18*(1+Inputs!$B$34/100))+MIN((Skills!T18*(1+Inputs!$B$34/100)),MAX(0,Inputs!$B$43-((R1013-1)*Skills!D18))))/Inputs!$B$43),IF(Inputs!$B$38="pvp",MIN((Skills!T18*(1+Inputs!$B$34/100)),15)/15,(Skills!T18*(1+Inputs!$B$34/100))/Skills!D18)))+IF(Inputs!$B$3&gt;=122,20*IF(Inputs!$B$38="pvp",MIN((20*(1+Inputs!$B$34/100)),15)/15,(20*(1+Inputs!$B$34/100))/Skills!D4),0)</f>
        <v/>
      </c>
    </row>
    <row r="1033">
      <c r="A1033" t="inlineStr">
        <is>
          <t>Buff-Casting Startup Delay (s, fixed-duration only)</t>
        </is>
      </c>
      <c r="B1033">
        <f>IF(AND(Inputs!$B$38&lt;&gt;"pvp",Inputs!$B$43&gt;0),SUMPRODUCT((Skills!T2:T28&gt;0)*(Skills!E2:E28=TRUE)*(C997:C1023=TRUE))/B1028,0)</f>
        <v/>
      </c>
    </row>
    <row r="1034">
      <c r="A1034" t="inlineStr">
        <is>
          <t>Boss-Only Total DPS (this block's swept value)</t>
        </is>
      </c>
      <c r="B1034">
        <f>SUM(T997:T1023)</f>
        <v/>
      </c>
    </row>
    <row r="1035">
      <c r="A1035" t="inlineStr">
        <is>
          <t>Normal-Only Total DPS (this block's swept value)</t>
        </is>
      </c>
      <c r="B1035">
        <f>SUM(V997:V1023)</f>
        <v/>
      </c>
    </row>
    <row r="1036">
      <c r="A1036" s="6" t="inlineStr">
        <is>
          <t>TOTAL DPS</t>
        </is>
      </c>
      <c r="B1036" s="6">
        <f>SUM(O997:O1023)</f>
        <v/>
      </c>
    </row>
    <row r="1039">
      <c r="A1039" s="6" t="inlineStr">
        <is>
          <t>Stat: ATTACK %</t>
        </is>
      </c>
    </row>
    <row r="1040">
      <c r="A1040" s="5" t="inlineStr">
        <is>
          <t>Key</t>
        </is>
      </c>
      <c r="B1040" s="5" t="inlineStr">
        <is>
          <t>Name</t>
        </is>
      </c>
      <c r="C1040" s="5" t="inlineStr">
        <is>
          <t>Unlocked</t>
        </is>
      </c>
      <c r="D1040" s="5" t="inlineStr">
        <is>
          <t>InputLevel</t>
        </is>
      </c>
      <c r="E1040" s="5" t="inlineStr">
        <is>
          <t>Factor</t>
        </is>
      </c>
      <c r="F1040" s="5" t="inlineStr">
        <is>
          <t>CoefficientPercent</t>
        </is>
      </c>
      <c r="G1040" s="5" t="inlineStr">
        <is>
          <t>EffectiveHits</t>
        </is>
      </c>
      <c r="H1040" s="5" t="inlineStr">
        <is>
          <t>ProcProbability</t>
        </is>
      </c>
      <c r="I1040" s="5" t="inlineStr">
        <is>
          <t>MapleHeroMultiplier</t>
        </is>
      </c>
      <c r="J1040" s="5" t="inlineStr">
        <is>
          <t>BaseDamage</t>
        </is>
      </c>
      <c r="K1040" s="5" t="inlineStr">
        <is>
          <t>BaseHitDamage</t>
        </is>
      </c>
      <c r="L1040" s="5" t="inlineStr">
        <is>
          <t>NonCritAvg</t>
        </is>
      </c>
      <c r="M1040" s="5" t="inlineStr">
        <is>
          <t>CritAvg</t>
        </is>
      </c>
      <c r="N1040" s="5" t="inlineStr">
        <is>
          <t>ExpectedDamage(perHit)</t>
        </is>
      </c>
      <c r="O1040" s="5" t="inlineStr">
        <is>
          <t>DPS</t>
        </is>
      </c>
      <c r="P1040" s="5" t="inlineStr">
        <is>
          <t>% of Total</t>
        </is>
      </c>
      <c r="Q1040" s="5" t="inlineStr">
        <is>
          <t>InvCooldown</t>
        </is>
      </c>
      <c r="R1040" s="5" t="inlineStr">
        <is>
          <t>CastsInFight</t>
        </is>
      </c>
      <c r="S1040" s="5" t="inlineStr">
        <is>
          <t>HitRate(perSec)</t>
        </is>
      </c>
      <c r="U1040" t="inlineStr">
        <is>
          <t>helpers</t>
        </is>
      </c>
    </row>
    <row r="1041">
      <c r="A1041">
        <f>Skills!A2</f>
        <v/>
      </c>
      <c r="B1041">
        <f>Skills!B2</f>
        <v/>
      </c>
      <c r="C1041">
        <f>Inputs!$B$3&gt;=100</f>
        <v/>
      </c>
      <c r="D1041" t="inlineStr"/>
      <c r="E1041" t="inlineStr"/>
      <c r="F1041">
        <f>U1043+Skills!O2</f>
        <v/>
      </c>
      <c r="G1041">
        <f>Skills!G2*IF(Skills!H2&gt;0,Skills!I2/Skills!H2,1)</f>
        <v/>
      </c>
      <c r="H1041">
        <f>1-(1-Skills!J2/100)^Skills!K2</f>
        <v/>
      </c>
      <c r="I1041" t="inlineStr">
        <is>
          <t>1</t>
        </is>
      </c>
      <c r="J1041">
        <f>((Inputs!$B$6*(1+(Inputs!$B$7+1)/100))+(((Inputs!$B$12*(1+Inputs!$B$13/100))-(Inputs!$B$12*(1+Inputs!$B$13/100)))+0.25*(Inputs!$B$14-Inputs!$B$14))*(1+(Inputs!$B$7+1)/100))*(F1041/100)</f>
        <v/>
      </c>
      <c r="K1041">
        <f>J1041*(1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1041)</f>
        <v/>
      </c>
      <c r="L1041">
        <f>K1041*(MIN(Inputs!$B$22+((C1061=TRUE)*(F1061-Calc!F22)),(Inputs!$B$23+0+(IF(ArtifactsInput!$M$15,CHOOSE(ArtifactsInput!$N$15+1,25,30,35,40,45,50)/100*(Inputs!$B$11-Inputs!$B$11),0))))/100+(Inputs!$B$23+0+(IF(ArtifactsInput!$M$15,CHOOSE(ArtifactsInput!$N$15+1,25,30,35,40,45,50)/100*(Inputs!$B$11-Inputs!$B$11),0)))/100)/2</f>
        <v/>
      </c>
      <c r="M1041">
        <f>L1041*(1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1">
        <f>L1041*(1-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1">
        <f>(1-Summary!$B$11)*T1041+Summary!$B$11*V1041</f>
        <v/>
      </c>
      <c r="P1041">
        <f>IF(B1080=0,0,O1041/B1080)</f>
        <v/>
      </c>
      <c r="Q1041" t="n">
        <v>0</v>
      </c>
      <c r="R1041" t="n">
        <v>0</v>
      </c>
      <c r="S1041">
        <f>IFERROR(O1041/N1041,0)</f>
        <v/>
      </c>
      <c r="T1041">
        <f>IF(C1041,(Skills!G2*N1041*B1074)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1041*(1-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1041*(1-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1">
        <f>MAX(0,(Inputs!$B$3-100)*3)+Inputs!$B$28+Inputs!$B$29</f>
        <v/>
      </c>
      <c r="V1041">
        <f>IF(C1041,(Skills!G2*N1041*B1074)*IF(Inputs!$B$38="pvp",1,(1+(Inputs!$B$21+Skills!Q2+(IF(ArtifactsInput!$M$33,CHOOSE(ArtifactsInput!$N$33+1,30,36,42,48,54,60),0))+(IF(AND(ArtifactsInput!$M$35,Inputs!$B$4&lt;&gt;"Chapter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2">
      <c r="A1042">
        <f>Skills!A3</f>
        <v/>
      </c>
      <c r="B1042">
        <f>Skills!B3</f>
        <v/>
      </c>
      <c r="C1042">
        <f>Inputs!$B$3&gt;=35</f>
        <v/>
      </c>
      <c r="D1042">
        <f>IF(Skills!C3=1,60+Inputs!$B$25+Inputs!$B$29,IF(Skills!C3=2,90+Inputs!$B$26+Inputs!$B$29,IF(Skills!C3=3,120+Inputs!$B$27+Inputs!$B$29,MAX(0,(Inputs!$B$3-100)*3)+Inputs!$B$28+Inputs!$B$29)))</f>
        <v/>
      </c>
      <c r="E1042">
        <f>INDEX(FactorTable!$B$2:$Y$301, MATCH(ROUND(MIN(300,MAX(1,D1042)),0), FactorTable!$A$2:$A$301,0), Skills!M3+1)</f>
        <v/>
      </c>
      <c r="F1042">
        <f>IF(Skills!N3=TRUE,(Skills!L3/10)*(E1042/1000),Skills!L3/10)+Skills!O3</f>
        <v/>
      </c>
      <c r="G1042">
        <f>Skills!G3*IF(Skills!H3&gt;0,Skills!I3/Skills!H3,1)</f>
        <v/>
      </c>
      <c r="H1042">
        <f>1-(1-Skills!J3/100)^Skills!K3</f>
        <v/>
      </c>
      <c r="I1042" t="inlineStr">
        <is>
          <t>1</t>
        </is>
      </c>
      <c r="J1042">
        <f>((Inputs!$B$6*(1+(Inputs!$B$7+1)/100))+(((Inputs!$B$12*(1+Inputs!$B$13/100))-(Inputs!$B$12*(1+Inputs!$B$13/100)))+0.25*(Inputs!$B$14-Inputs!$B$14))*(1+(Inputs!$B$7+1)/100))*(F1042/100)</f>
        <v/>
      </c>
      <c r="K1042">
        <f>J1042*(1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1054=TRUE,F1054,0)/100)*(1+(IF(Skills!A3="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1042)</f>
        <v/>
      </c>
      <c r="L1042">
        <f>K1042*(MIN(Inputs!$B$22+((C1061=TRUE)*(F1061-Calc!F22)),(Inputs!$B$23+0+(IF(ArtifactsInput!$M$15,CHOOSE(ArtifactsInput!$N$15+1,25,30,35,40,45,50)/100*(Inputs!$B$11-Inputs!$B$11),0))))/100+(Inputs!$B$23+0+(IF(ArtifactsInput!$M$15,CHOOSE(ArtifactsInput!$N$15+1,25,30,35,40,45,50)/100*(Inputs!$B$11-Inputs!$B$11),0)))/100)/2</f>
        <v/>
      </c>
      <c r="M1042">
        <f>L1042*(1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2">
        <f>L1042*(1-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1042*(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2">
        <f>(1-Summary!$B$11)*T1042+Summary!$B$11*V1042</f>
        <v/>
      </c>
      <c r="P1042">
        <f>IF(B1080=0,0,O1042/B1080)</f>
        <v/>
      </c>
      <c r="Q1042">
        <f>IFERROR(1/(IF(Inputs!$B$38="pvp",15,MAX(0.1,Skills!D3-IF(Skills!E3=TRUE,Inputs!$B$32,0)))*(1-IF(AND(ArtifactsInput!$M$27,Inputs!$B$4="Chapter Hunt"),CHOOSE(ArtifactsInput!$N$27+1,20,24,28,32,36,40),0)/100)),0)</f>
        <v/>
      </c>
      <c r="R1042">
        <f>IF(AND(Inputs!$B$38&lt;&gt;"pvp",Inputs!$B$43&gt;0),IF(MAX(0,Inputs!$B$43-B1077)&lt;=0,0,(INT(MAX(0,Inputs!$B$43-B1077)/(IF(Inputs!$B$38="pvp",15,MAX(0.1,Skills!D3-IF(Skills!E3=TRUE,Inputs!$B$32,0)))*(1-IF(AND(ArtifactsInput!$M$27,Inputs!$B$4="Chapter Hunt"),CHOOSE(ArtifactsInput!$N$27+1,20,24,28,32,36,40),0)/100)))+1)),0)</f>
        <v/>
      </c>
      <c r="S1042">
        <f>IFERROR(O1042/N1042,0)</f>
        <v/>
      </c>
      <c r="T1042">
        <f>IF(C1042,(H1042*N1042*IF(AND(Inputs!$B$38&lt;&gt;"pvp",Inputs!$B$43&gt;0),((Skills!G3*((R1042-1)*IF(Skills!H3&gt;0,Skills!I3/Skills!H3,1)+IF(Skills!H3&gt;0,MIN(Skills!I3,MAX(0,MAX(0,Inputs!$B$43-B1077)-((R1042-1)*(IF(Inputs!$B$38="pvp",15,MAX(0.1,Skills!D3-IF(Skills!E3=TRUE,Inputs!$B$32,0)))*(1-IF(AND(ArtifactsInput!$M$27,Inputs!$B$4="Chapter Hunt"),CHOOSE(ArtifactsInput!$N$27+1,20,24,28,32,36,40),0)/100)))))/Skills!H3,1)))/Inputs!$B$43),G1042*Q1042)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1042*(1-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1042*(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1042*(1-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1042*(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2">
        <f>INDEX(FactorTable!$B$2:$Y$301, MATCH(ROUND(MIN(300,MAX(1,U1041)),0), FactorTable!$A$2:$A$301,0), 22)</f>
        <v/>
      </c>
      <c r="V1042">
        <f>IF(C1042,(H1042*N1042*IF(AND(Inputs!$B$38&lt;&gt;"pvp",Inputs!$B$43&gt;0),((Skills!G3*((R1042-1)*IF(Skills!H3&gt;0,Skills!I3/Skills!H3,1)+IF(Skills!H3&gt;0,MIN(Skills!I3,MAX(0,MAX(0,Inputs!$B$43-B1077)-((R1042-1)*(IF(Inputs!$B$38="pvp",15,MAX(0.1,Skills!D3-IF(Skills!E3=TRUE,Inputs!$B$32,0)))*(1-IF(AND(ArtifactsInput!$M$27,Inputs!$B$4="Chapter Hunt"),CHOOSE(ArtifactsInput!$N$27+1,20,24,28,32,36,40),0)/100)))))/Skills!H3,1)))/Inputs!$B$43),G1042*Q1042))*IF(Inputs!$B$38="pvp",1,(1+(Inputs!$B$21+Skills!Q3+(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3">
      <c r="A1043">
        <f>Skills!A4</f>
        <v/>
      </c>
      <c r="B1043">
        <f>Skills!B4</f>
        <v/>
      </c>
      <c r="C1043">
        <f>Inputs!$B$3&gt;=40</f>
        <v/>
      </c>
      <c r="D1043">
        <f>IF(Skills!C4=1,60+Inputs!$B$25+Inputs!$B$29,IF(Skills!C4=2,90+Inputs!$B$26+Inputs!$B$29,IF(Skills!C4=3,120+Inputs!$B$27+Inputs!$B$29,MAX(0,(Inputs!$B$3-100)*3)+Inputs!$B$28+Inputs!$B$29)))</f>
        <v/>
      </c>
      <c r="E1043">
        <f>INDEX(FactorTable!$B$2:$Y$301, MATCH(ROUND(MIN(300,MAX(1,D1043)),0), FactorTable!$A$2:$A$301,0), Skills!M4+1)</f>
        <v/>
      </c>
      <c r="F1043">
        <f>IF(Skills!N4=TRUE,(Skills!L4/10)*(E1043/1000),Skills!L4/10)+Skills!O4</f>
        <v/>
      </c>
      <c r="G1043">
        <f>Skills!G4*IF(Skills!H4&gt;0,Skills!I4/Skills!H4,1)</f>
        <v/>
      </c>
      <c r="H1043">
        <f>1-(1-Skills!J4/100)^Skills!K4</f>
        <v/>
      </c>
      <c r="I1043" t="inlineStr">
        <is>
          <t>1</t>
        </is>
      </c>
      <c r="J1043">
        <f>((Inputs!$B$6*(1+(Inputs!$B$7+1)/100))+(((Inputs!$B$12*(1+Inputs!$B$13/100))-(Inputs!$B$12*(1+Inputs!$B$13/100)))+0.25*(Inputs!$B$14-Inputs!$B$14))*(1+(Inputs!$B$7+1)/100))*(F1043/100)</f>
        <v/>
      </c>
      <c r="K1043">
        <f>J1043*(1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1055=TRUE,F1055,0)/100)*(1+(IF(Skills!A4="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1043)</f>
        <v/>
      </c>
      <c r="L1043">
        <f>K1043*(MIN(Inputs!$B$22+((C1061=TRUE)*(F1061-Calc!F22)),(Inputs!$B$23+0+(IF(ArtifactsInput!$M$15,CHOOSE(ArtifactsInput!$N$15+1,25,30,35,40,45,50)/100*(Inputs!$B$11-Inputs!$B$11),0))))/100+(Inputs!$B$23+0+(IF(ArtifactsInput!$M$15,CHOOSE(ArtifactsInput!$N$15+1,25,30,35,40,45,50)/100*(Inputs!$B$11-Inputs!$B$11),0)))/100)/2</f>
        <v/>
      </c>
      <c r="M1043">
        <f>L1043*(1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3">
        <f>L1043*(1-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1043*(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3">
        <f>(1-Summary!$B$11)*T1043+Summary!$B$11*V1043</f>
        <v/>
      </c>
      <c r="P1043">
        <f>IF(B1080=0,0,O1043/B1080)</f>
        <v/>
      </c>
      <c r="Q1043">
        <f>IFERROR(1/(IF(Inputs!$B$38="pvp",15,MAX(0.1,Skills!D4-IF(Skills!E4=TRUE,Inputs!$B$32,0)))*(1-IF(AND(ArtifactsInput!$M$27,Inputs!$B$4="Chapter Hunt"),CHOOSE(ArtifactsInput!$N$27+1,20,24,28,32,36,40),0)/100)),0)</f>
        <v/>
      </c>
      <c r="R1043">
        <f>IF(AND(Inputs!$B$38&lt;&gt;"pvp",Inputs!$B$43&gt;0),IF(MAX(0,Inputs!$B$43-B1077)&lt;=0,0,(INT(MAX(0,Inputs!$B$43-B1077)/(IF(Inputs!$B$38="pvp",15,MAX(0.1,Skills!D4-IF(Skills!E4=TRUE,Inputs!$B$32,0)))*(1-IF(AND(ArtifactsInput!$M$27,Inputs!$B$4="Chapter Hunt"),CHOOSE(ArtifactsInput!$N$27+1,20,24,28,32,36,40),0)/100)))+1)),0)</f>
        <v/>
      </c>
      <c r="S1043">
        <f>IFERROR(O1043/N1043,0)</f>
        <v/>
      </c>
      <c r="T1043">
        <f>IF(C1043,(H1043*N1043*IF(AND(Inputs!$B$38&lt;&gt;"pvp",Inputs!$B$43&gt;0),((Skills!G4*((R1043-1)*IF(Skills!H4&gt;0,Skills!I4/Skills!H4,1)+IF(Skills!H4&gt;0,MIN(Skills!I4,MAX(0,MAX(0,Inputs!$B$43-B1077)-((R1043-1)*(IF(Inputs!$B$38="pvp",15,MAX(0.1,Skills!D4-IF(Skills!E4=TRUE,Inputs!$B$32,0)))*(1-IF(AND(ArtifactsInput!$M$27,Inputs!$B$4="Chapter Hunt"),CHOOSE(ArtifactsInput!$N$27+1,20,24,28,32,36,40),0)/100)))))/Skills!H4,1)))/Inputs!$B$43),G1043*Q1043)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1043*(1-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1043*(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1043*(1-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1043*(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3">
        <f>290*U1042/1000</f>
        <v/>
      </c>
      <c r="V1043">
        <f>IF(C1043,(H1043*N1043*IF(AND(Inputs!$B$38&lt;&gt;"pvp",Inputs!$B$43&gt;0),((Skills!G4*((R1043-1)*IF(Skills!H4&gt;0,Skills!I4/Skills!H4,1)+IF(Skills!H4&gt;0,MIN(Skills!I4,MAX(0,MAX(0,Inputs!$B$43-B1077)-((R1043-1)*(IF(Inputs!$B$38="pvp",15,MAX(0.1,Skills!D4-IF(Skills!E4=TRUE,Inputs!$B$32,0)))*(1-IF(AND(ArtifactsInput!$M$27,Inputs!$B$4="Chapter Hunt"),CHOOSE(ArtifactsInput!$N$27+1,20,24,28,32,36,40),0)/100)))))/Skills!H4,1)))/Inputs!$B$43),G1043*Q1043))*IF(Inputs!$B$38="pvp",1,(1+(Inputs!$B$21+Skills!Q4+(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4">
      <c r="A1044">
        <f>Skills!A5</f>
        <v/>
      </c>
      <c r="B1044">
        <f>Skills!B5</f>
        <v/>
      </c>
      <c r="C1044">
        <f>Inputs!$B$3&gt;=45</f>
        <v/>
      </c>
      <c r="D1044">
        <f>IF(Skills!C5=1,60+Inputs!$B$25+Inputs!$B$29,IF(Skills!C5=2,90+Inputs!$B$26+Inputs!$B$29,IF(Skills!C5=3,120+Inputs!$B$27+Inputs!$B$29,MAX(0,(Inputs!$B$3-100)*3)+Inputs!$B$28+Inputs!$B$29)))</f>
        <v/>
      </c>
      <c r="E1044">
        <f>INDEX(FactorTable!$B$2:$Y$301, MATCH(ROUND(MIN(300,MAX(1,D1044)),0), FactorTable!$A$2:$A$301,0), Skills!M5+1)</f>
        <v/>
      </c>
      <c r="F1044">
        <f>IF(Skills!N5=TRUE,(Skills!L5/10)*(E1044/1000),Skills!L5/10)+Skills!O5</f>
        <v/>
      </c>
      <c r="G1044">
        <f>Skills!G5*IF(Skills!H5&gt;0,Skills!I5/Skills!H5,1)</f>
        <v/>
      </c>
      <c r="H1044">
        <f>1-(1-Skills!J5/100)^Skills!K5</f>
        <v/>
      </c>
      <c r="I1044" t="inlineStr">
        <is>
          <t>1</t>
        </is>
      </c>
      <c r="J1044">
        <f>((Inputs!$B$6*(1+(Inputs!$B$7+1)/100))+(((Inputs!$B$12*(1+Inputs!$B$13/100))-(Inputs!$B$12*(1+Inputs!$B$13/100)))+0.25*(Inputs!$B$14-Inputs!$B$14))*(1+(Inputs!$B$7+1)/100))*(F1044/100)</f>
        <v/>
      </c>
      <c r="K1044">
        <f>J1044*(1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1055=TRUE,F1055,0)/100)*(1+(IF(Skills!A5="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1044)</f>
        <v/>
      </c>
      <c r="L1044">
        <f>K1044*(MIN(Inputs!$B$22+((C1061=TRUE)*(F1061-Calc!F22)),(Inputs!$B$23+0+(IF(ArtifactsInput!$M$15,CHOOSE(ArtifactsInput!$N$15+1,25,30,35,40,45,50)/100*(Inputs!$B$11-Inputs!$B$11),0))))/100+(Inputs!$B$23+0+(IF(ArtifactsInput!$M$15,CHOOSE(ArtifactsInput!$N$15+1,25,30,35,40,45,50)/100*(Inputs!$B$11-Inputs!$B$11),0)))/100)/2</f>
        <v/>
      </c>
      <c r="M1044">
        <f>L1044*(1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4">
        <f>L1044*(1-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1044*(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4">
        <f>(1-Summary!$B$11)*T1044+Summary!$B$11*V1044</f>
        <v/>
      </c>
      <c r="P1044">
        <f>IF(B1080=0,0,O1044/B1080)</f>
        <v/>
      </c>
      <c r="Q1044">
        <f>IFERROR(1/(IF(Inputs!$B$38="pvp",15,MAX(0.1,Skills!D5-IF(Skills!E5=TRUE,Inputs!$B$32,0)))*(1-IF(AND(ArtifactsInput!$M$27,Inputs!$B$4="Chapter Hunt"),CHOOSE(ArtifactsInput!$N$27+1,20,24,28,32,36,40),0)/100)),0)</f>
        <v/>
      </c>
      <c r="R1044">
        <f>IF(AND(Inputs!$B$38&lt;&gt;"pvp",Inputs!$B$43&gt;0),IF(MAX(0,Inputs!$B$43-B1077)&lt;=0,0,(INT(MAX(0,Inputs!$B$43-B1077)/(IF(Inputs!$B$38="pvp",15,MAX(0.1,Skills!D5-IF(Skills!E5=TRUE,Inputs!$B$32,0)))*(1-IF(AND(ArtifactsInput!$M$27,Inputs!$B$4="Chapter Hunt"),CHOOSE(ArtifactsInput!$N$27+1,20,24,28,32,36,40),0)/100)))+1)),0)</f>
        <v/>
      </c>
      <c r="S1044">
        <f>IFERROR(O1044/N1044,0)</f>
        <v/>
      </c>
      <c r="T1044">
        <f>IF(C1044,(H1044*N1044*IF(AND(Inputs!$B$38&lt;&gt;"pvp",Inputs!$B$43&gt;0),((Skills!G5*((R1044-1)*IF(Skills!H5&gt;0,Skills!I5/Skills!H5,1)+IF(Skills!H5&gt;0,MIN(Skills!I5,MAX(0,MAX(0,Inputs!$B$43-B1077)-((R1044-1)*(IF(Inputs!$B$38="pvp",15,MAX(0.1,Skills!D5-IF(Skills!E5=TRUE,Inputs!$B$32,0)))*(1-IF(AND(ArtifactsInput!$M$27,Inputs!$B$4="Chapter Hunt"),CHOOSE(ArtifactsInput!$N$27+1,20,24,28,32,36,40),0)/100)))))/Skills!H5,1)))/Inputs!$B$43),G1044*Q1044)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1044*(1-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1044*(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1044*(1-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1044*(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4">
        <f>IF(C1044,(H1044*N1044*IF(AND(Inputs!$B$38&lt;&gt;"pvp",Inputs!$B$43&gt;0),((Skills!G5*((R1044-1)*IF(Skills!H5&gt;0,Skills!I5/Skills!H5,1)+IF(Skills!H5&gt;0,MIN(Skills!I5,MAX(0,MAX(0,Inputs!$B$43-B1077)-((R1044-1)*(IF(Inputs!$B$38="pvp",15,MAX(0.1,Skills!D5-IF(Skills!E5=TRUE,Inputs!$B$32,0)))*(1-IF(AND(ArtifactsInput!$M$27,Inputs!$B$4="Chapter Hunt"),CHOOSE(ArtifactsInput!$N$27+1,20,24,28,32,36,40),0)/100)))))/Skills!H5,1)))/Inputs!$B$43),G1044*Q1044))*IF(Inputs!$B$38="pvp",1,(1+(Inputs!$B$21+Skills!Q5+(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5">
      <c r="A1045">
        <f>Skills!A6</f>
        <v/>
      </c>
      <c r="B1045">
        <f>Skills!B6</f>
        <v/>
      </c>
      <c r="C1045">
        <f>Inputs!$B$3&gt;=63</f>
        <v/>
      </c>
      <c r="D1045">
        <f>IF(Skills!C6=1,60+Inputs!$B$25+Inputs!$B$29,IF(Skills!C6=2,90+Inputs!$B$26+Inputs!$B$29,IF(Skills!C6=3,120+Inputs!$B$27+Inputs!$B$29,MAX(0,(Inputs!$B$3-100)*3)+Inputs!$B$28+Inputs!$B$29)))</f>
        <v/>
      </c>
      <c r="E1045">
        <f>INDEX(FactorTable!$B$2:$Y$301, MATCH(ROUND(MIN(300,MAX(1,D1045)),0), FactorTable!$A$2:$A$301,0), Skills!M6+1)</f>
        <v/>
      </c>
      <c r="F1045">
        <f>IF(Skills!N6=TRUE,(Skills!L6/10)*(E1045/1000),Skills!L6/10)+Skills!O6</f>
        <v/>
      </c>
      <c r="G1045">
        <f>Skills!G6*IF(Skills!H6&gt;0,Skills!I6/Skills!H6,1)</f>
        <v/>
      </c>
      <c r="H1045">
        <f>1-(1-Skills!J6/100)^Skills!K6</f>
        <v/>
      </c>
      <c r="I1045" t="inlineStr">
        <is>
          <t>1</t>
        </is>
      </c>
      <c r="J1045">
        <f>((Inputs!$B$6*(1+(Inputs!$B$7+1)/100))+(((Inputs!$B$12*(1+Inputs!$B$13/100))-(Inputs!$B$12*(1+Inputs!$B$13/100)))+0.25*(Inputs!$B$14-Inputs!$B$14))*(1+(Inputs!$B$7+1)/100))*(F1045/100)</f>
        <v/>
      </c>
      <c r="K1045">
        <f>J1045*(1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1054=TRUE,F1054,0)/100)*(1+(IF(Skills!A6="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1045)</f>
        <v/>
      </c>
      <c r="L1045">
        <f>K1045*(MIN(Inputs!$B$22+((C1061=TRUE)*(F1061-Calc!F22)),(Inputs!$B$23+0+(IF(ArtifactsInput!$M$15,CHOOSE(ArtifactsInput!$N$15+1,25,30,35,40,45,50)/100*(Inputs!$B$11-Inputs!$B$11),0))))/100+(Inputs!$B$23+0+(IF(ArtifactsInput!$M$15,CHOOSE(ArtifactsInput!$N$15+1,25,30,35,40,45,50)/100*(Inputs!$B$11-Inputs!$B$11),0)))/100)/2</f>
        <v/>
      </c>
      <c r="M1045">
        <f>L1045*(1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5">
        <f>L1045*(1-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1045*(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5">
        <f>(1-Summary!$B$11)*T1045+Summary!$B$11*V1045</f>
        <v/>
      </c>
      <c r="P1045">
        <f>IF(B1080=0,0,O1045/B1080)</f>
        <v/>
      </c>
      <c r="Q1045">
        <f>IFERROR(1/(IF(Inputs!$B$38="pvp",15,MAX(0.1,Skills!D6-IF(Skills!E6=TRUE,Inputs!$B$32,0)))*(1-IF(AND(ArtifactsInput!$M$27,Inputs!$B$4="Chapter Hunt"),CHOOSE(ArtifactsInput!$N$27+1,20,24,28,32,36,40),0)/100)),0)</f>
        <v/>
      </c>
      <c r="R1045">
        <f>IF(AND(Inputs!$B$38&lt;&gt;"pvp",Inputs!$B$43&gt;0),IF(MAX(0,Inputs!$B$43-B1077)&lt;=0,0,(INT(MAX(0,Inputs!$B$43-B1077)/(IF(Inputs!$B$38="pvp",15,MAX(0.1,Skills!D6-IF(Skills!E6=TRUE,Inputs!$B$32,0)))*(1-IF(AND(ArtifactsInput!$M$27,Inputs!$B$4="Chapter Hunt"),CHOOSE(ArtifactsInput!$N$27+1,20,24,28,32,36,40),0)/100)))+1)),0)</f>
        <v/>
      </c>
      <c r="S1045">
        <f>IFERROR(O1045/N1045,0)</f>
        <v/>
      </c>
      <c r="T1045">
        <f>IF(C1045,(H1045*N1045*IF(AND(Inputs!$B$38&lt;&gt;"pvp",Inputs!$B$43&gt;0),((Skills!G6*((R1045-1)*IF(Skills!H6&gt;0,Skills!I6/Skills!H6,1)+IF(Skills!H6&gt;0,MIN(Skills!I6,MAX(0,MAX(0,Inputs!$B$43-B1077)-((R1045-1)*(IF(Inputs!$B$38="pvp",15,MAX(0.1,Skills!D6-IF(Skills!E6=TRUE,Inputs!$B$32,0)))*(1-IF(AND(ArtifactsInput!$M$27,Inputs!$B$4="Chapter Hunt"),CHOOSE(ArtifactsInput!$N$27+1,20,24,28,32,36,40),0)/100)))))/Skills!H6,1)))/Inputs!$B$43),G1045*Q1045)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1045*(1-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1045*(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1045*(1-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1045*(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5">
        <f>IF(C1045,(H1045*N1045*IF(AND(Inputs!$B$38&lt;&gt;"pvp",Inputs!$B$43&gt;0),((Skills!G6*((R1045-1)*IF(Skills!H6&gt;0,Skills!I6/Skills!H6,1)+IF(Skills!H6&gt;0,MIN(Skills!I6,MAX(0,MAX(0,Inputs!$B$43-B1077)-((R1045-1)*(IF(Inputs!$B$38="pvp",15,MAX(0.1,Skills!D6-IF(Skills!E6=TRUE,Inputs!$B$32,0)))*(1-IF(AND(ArtifactsInput!$M$27,Inputs!$B$4="Chapter Hunt"),CHOOSE(ArtifactsInput!$N$27+1,20,24,28,32,36,40),0)/100)))))/Skills!H6,1)))/Inputs!$B$43),G1045*Q1045))*IF(Inputs!$B$38="pvp",1,(1+(Inputs!$B$21+Skills!Q6+(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6">
      <c r="A1046">
        <f>Skills!A7</f>
        <v/>
      </c>
      <c r="B1046">
        <f>Skills!B7</f>
        <v/>
      </c>
      <c r="C1046">
        <f>Inputs!$B$3&gt;=66</f>
        <v/>
      </c>
      <c r="D1046">
        <f>IF(Skills!C7=1,60+Inputs!$B$25+Inputs!$B$29,IF(Skills!C7=2,90+Inputs!$B$26+Inputs!$B$29,IF(Skills!C7=3,120+Inputs!$B$27+Inputs!$B$29,MAX(0,(Inputs!$B$3-100)*3)+Inputs!$B$28+Inputs!$B$29)))</f>
        <v/>
      </c>
      <c r="E1046">
        <f>INDEX(FactorTable!$B$2:$Y$301, MATCH(ROUND(MIN(300,MAX(1,D1046)),0), FactorTable!$A$2:$A$301,0), Skills!M7+1)</f>
        <v/>
      </c>
      <c r="F1046">
        <f>IF(Skills!N7=TRUE,(Skills!L7/10)*(E1046/1000),Skills!L7/10)+Skills!O7</f>
        <v/>
      </c>
      <c r="G1046">
        <f>Skills!G7*IF(Skills!H7&gt;0,Skills!I7/Skills!H7,1)</f>
        <v/>
      </c>
      <c r="H1046">
        <f>1-(1-Skills!J7/100)^Skills!K7</f>
        <v/>
      </c>
      <c r="I1046" t="inlineStr">
        <is>
          <t>1</t>
        </is>
      </c>
      <c r="J1046">
        <f>((Inputs!$B$6*(1+(Inputs!$B$7+1)/100))+(((Inputs!$B$12*(1+Inputs!$B$13/100))-(Inputs!$B$12*(1+Inputs!$B$13/100)))+0.25*(Inputs!$B$14-Inputs!$B$14))*(1+(Inputs!$B$7+1)/100))*(F1046/100)</f>
        <v/>
      </c>
      <c r="K1046">
        <f>J1046*(1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1054=TRUE,F1054,0)/100)*(1+(IF(Skills!A7="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1046)</f>
        <v/>
      </c>
      <c r="L1046">
        <f>K1046*(MIN(Inputs!$B$22+((C1061=TRUE)*(F1061-Calc!F22)),(Inputs!$B$23+0+(IF(ArtifactsInput!$M$15,CHOOSE(ArtifactsInput!$N$15+1,25,30,35,40,45,50)/100*(Inputs!$B$11-Inputs!$B$11),0))))/100+(Inputs!$B$23+0+(IF(ArtifactsInput!$M$15,CHOOSE(ArtifactsInput!$N$15+1,25,30,35,40,45,50)/100*(Inputs!$B$11-Inputs!$B$11),0)))/100)/2</f>
        <v/>
      </c>
      <c r="M1046">
        <f>L1046*(1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6">
        <f>L1046*(1-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1046*(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6">
        <f>(1-Summary!$B$11)*T1046+Summary!$B$11*V1046</f>
        <v/>
      </c>
      <c r="P1046">
        <f>IF(B1080=0,0,O1046/B1080)</f>
        <v/>
      </c>
      <c r="Q1046">
        <f>IFERROR(1/(IF(Inputs!$B$38="pvp",15,MAX(0.1,Skills!D7-IF(Skills!E7=TRUE,Inputs!$B$32,0)))*(1-IF(AND(ArtifactsInput!$M$27,Inputs!$B$4="Chapter Hunt"),CHOOSE(ArtifactsInput!$N$27+1,20,24,28,32,36,40),0)/100)),0)</f>
        <v/>
      </c>
      <c r="R1046">
        <f>IF(AND(Inputs!$B$38&lt;&gt;"pvp",Inputs!$B$43&gt;0),IF(MAX(0,Inputs!$B$43-B1077)&lt;=0,0,(INT(MAX(0,Inputs!$B$43-B1077)/(IF(Inputs!$B$38="pvp",15,MAX(0.1,Skills!D7-IF(Skills!E7=TRUE,Inputs!$B$32,0)))*(1-IF(AND(ArtifactsInput!$M$27,Inputs!$B$4="Chapter Hunt"),CHOOSE(ArtifactsInput!$N$27+1,20,24,28,32,36,40),0)/100)))+1)),0)</f>
        <v/>
      </c>
      <c r="S1046">
        <f>IFERROR(O1046/N1046,0)</f>
        <v/>
      </c>
      <c r="T1046">
        <f>IF(C1046,(H1046*N1046*IF(AND(Inputs!$B$38&lt;&gt;"pvp",Inputs!$B$43&gt;0),((Skills!G7*((R1046-1)*IF(Skills!H7&gt;0,Skills!I7/Skills!H7,1)+IF(Skills!H7&gt;0,MIN(Skills!I7,MAX(0,MAX(0,Inputs!$B$43-B1077)-((R1046-1)*(IF(Inputs!$B$38="pvp",15,MAX(0.1,Skills!D7-IF(Skills!E7=TRUE,Inputs!$B$32,0)))*(1-IF(AND(ArtifactsInput!$M$27,Inputs!$B$4="Chapter Hunt"),CHOOSE(ArtifactsInput!$N$27+1,20,24,28,32,36,40),0)/100)))))/Skills!H7,1)))/Inputs!$B$43),G1046*Q1046)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1046*(1-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1046*(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1046*(1-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1046*(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6">
        <f>IF(C1046,(H1046*N1046*IF(AND(Inputs!$B$38&lt;&gt;"pvp",Inputs!$B$43&gt;0),((Skills!G7*((R1046-1)*IF(Skills!H7&gt;0,Skills!I7/Skills!H7,1)+IF(Skills!H7&gt;0,MIN(Skills!I7,MAX(0,MAX(0,Inputs!$B$43-B1077)-((R1046-1)*(IF(Inputs!$B$38="pvp",15,MAX(0.1,Skills!D7-IF(Skills!E7=TRUE,Inputs!$B$32,0)))*(1-IF(AND(ArtifactsInput!$M$27,Inputs!$B$4="Chapter Hunt"),CHOOSE(ArtifactsInput!$N$27+1,20,24,28,32,36,40),0)/100)))))/Skills!H7,1)))/Inputs!$B$43),G1046*Q1046))*IF(Inputs!$B$38="pvp",1,(1+(Inputs!$B$21+Skills!Q7+(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7">
      <c r="A1047">
        <f>Skills!A8</f>
        <v/>
      </c>
      <c r="B1047">
        <f>Skills!B8</f>
        <v/>
      </c>
      <c r="C1047">
        <f>Inputs!$B$3&gt;=100</f>
        <v/>
      </c>
      <c r="D1047">
        <f>IF(Skills!C8=1,60+Inputs!$B$25+Inputs!$B$29,IF(Skills!C8=2,90+Inputs!$B$26+Inputs!$B$29,IF(Skills!C8=3,120+Inputs!$B$27+Inputs!$B$29,MAX(0,(Inputs!$B$3-100)*3)+Inputs!$B$28+Inputs!$B$29)))</f>
        <v/>
      </c>
      <c r="E1047">
        <f>INDEX(FactorTable!$B$2:$Y$301, MATCH(ROUND(MIN(300,MAX(1,D1047)),0), FactorTable!$A$2:$A$301,0), Skills!M8+1)</f>
        <v/>
      </c>
      <c r="F1047">
        <f>IF(Skills!N8=TRUE,(Skills!L8/10)*(E1047/1000),Skills!L8/10)+Skills!O8</f>
        <v/>
      </c>
      <c r="G1047">
        <f>Skills!G8*IF(Skills!H8&gt;0,Skills!I8/Skills!H8,1)</f>
        <v/>
      </c>
      <c r="H1047">
        <f>1-(1-Skills!J8/100)^Skills!K8</f>
        <v/>
      </c>
      <c r="I1047" t="inlineStr">
        <is>
          <t>1</t>
        </is>
      </c>
      <c r="J1047">
        <f>((Inputs!$B$6*(1+(Inputs!$B$7+1)/100))+(((Inputs!$B$12*(1+Inputs!$B$13/100))-(Inputs!$B$12*(1+Inputs!$B$13/100)))+0.25*(Inputs!$B$14-Inputs!$B$14))*(1+(Inputs!$B$7+1)/100))*(F1047/100)</f>
        <v/>
      </c>
      <c r="K1047">
        <f>J1047*(1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1047)</f>
        <v/>
      </c>
      <c r="L1047">
        <f>K1047*(MIN(Inputs!$B$22+((C1061=TRUE)*(F1061-Calc!F22)),(Inputs!$B$23+0+(IF(ArtifactsInput!$M$15,CHOOSE(ArtifactsInput!$N$15+1,25,30,35,40,45,50)/100*(Inputs!$B$11-Inputs!$B$11),0))))/100+(Inputs!$B$23+0+(IF(ArtifactsInput!$M$15,CHOOSE(ArtifactsInput!$N$15+1,25,30,35,40,45,50)/100*(Inputs!$B$11-Inputs!$B$11),0)))/100)/2</f>
        <v/>
      </c>
      <c r="M1047">
        <f>L1047*(1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7">
        <f>L1047*(1-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1047*(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7">
        <f>(1-Summary!$B$11)*T1047+Summary!$B$11*V1047</f>
        <v/>
      </c>
      <c r="P1047">
        <f>IF(B1080=0,0,O1047/B1080)</f>
        <v/>
      </c>
      <c r="Q1047">
        <f>IFERROR(1/(IF(Inputs!$B$38="pvp",15,MAX(0.1,Skills!D8-IF(Skills!E8=TRUE,Inputs!$B$32,0)))*(1-IF(AND(ArtifactsInput!$M$27,Inputs!$B$4="Chapter Hunt"),CHOOSE(ArtifactsInput!$N$27+1,20,24,28,32,36,40),0)/100)),0)</f>
        <v/>
      </c>
      <c r="R1047">
        <f>IF(AND(Inputs!$B$38&lt;&gt;"pvp",Inputs!$B$43&gt;0),IF(MAX(0,Inputs!$B$43-B1077)&lt;=0,0,(INT(MAX(0,Inputs!$B$43-B1077)/(IF(Inputs!$B$38="pvp",15,MAX(0.1,Skills!D8-IF(Skills!E8=TRUE,Inputs!$B$32,0)))*(1-IF(AND(ArtifactsInput!$M$27,Inputs!$B$4="Chapter Hunt"),CHOOSE(ArtifactsInput!$N$27+1,20,24,28,32,36,40),0)/100)))+1)),0)</f>
        <v/>
      </c>
      <c r="S1047">
        <f>IFERROR(O1047/N1047,0)</f>
        <v/>
      </c>
      <c r="T1047">
        <f>IF(C1047,(H1047*N1047*IF(AND(Inputs!$B$38&lt;&gt;"pvp",Inputs!$B$43&gt;0),((Skills!G8*((R1047-1)*IF(Skills!H8&gt;0,Skills!I8/Skills!H8,1)+IF(Skills!H8&gt;0,MIN(Skills!I8,MAX(0,MAX(0,Inputs!$B$43-B1077)-((R1047-1)*(IF(Inputs!$B$38="pvp",15,MAX(0.1,Skills!D8-IF(Skills!E8=TRUE,Inputs!$B$32,0)))*(1-IF(AND(ArtifactsInput!$M$27,Inputs!$B$4="Chapter Hunt"),CHOOSE(ArtifactsInput!$N$27+1,20,24,28,32,36,40),0)/100)))))/Skills!H8,1)))/Inputs!$B$43),G1047*Q1047)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1047*(1-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1047*(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1047*(1-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1047*(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7">
        <f>IF(C1047,(H1047*N1047*IF(AND(Inputs!$B$38&lt;&gt;"pvp",Inputs!$B$43&gt;0),((Skills!G8*((R1047-1)*IF(Skills!H8&gt;0,Skills!I8/Skills!H8,1)+IF(Skills!H8&gt;0,MIN(Skills!I8,MAX(0,MAX(0,Inputs!$B$43-B1077)-((R1047-1)*(IF(Inputs!$B$38="pvp",15,MAX(0.1,Skills!D8-IF(Skills!E8=TRUE,Inputs!$B$32,0)))*(1-IF(AND(ArtifactsInput!$M$27,Inputs!$B$4="Chapter Hunt"),CHOOSE(ArtifactsInput!$N$27+1,20,24,28,32,36,40),0)/100)))))/Skills!H8,1)))/Inputs!$B$43),G1047*Q1047))*IF(Inputs!$B$38="pvp",1,(1+(Inputs!$B$21+Skills!Q8+(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8">
      <c r="A1048">
        <f>Skills!A9</f>
        <v/>
      </c>
      <c r="B1048">
        <f>Skills!B9</f>
        <v/>
      </c>
      <c r="C1048">
        <f>Inputs!$B$3&gt;=103</f>
        <v/>
      </c>
      <c r="D1048">
        <f>IF(Skills!C9=1,60+Inputs!$B$25+Inputs!$B$29,IF(Skills!C9=2,90+Inputs!$B$26+Inputs!$B$29,IF(Skills!C9=3,120+Inputs!$B$27+Inputs!$B$29,MAX(0,(Inputs!$B$3-100)*3)+Inputs!$B$28+Inputs!$B$29)))</f>
        <v/>
      </c>
      <c r="E1048">
        <f>INDEX(FactorTable!$B$2:$Y$301, MATCH(ROUND(MIN(300,MAX(1,D1048)),0), FactorTable!$A$2:$A$301,0), Skills!M9+1)</f>
        <v/>
      </c>
      <c r="F1048">
        <f>IF(Skills!N9=TRUE,(Skills!L9/10)*(E1048/1000),Skills!L9/10)+Skills!O9</f>
        <v/>
      </c>
      <c r="G1048">
        <f>Skills!G9*IF(Skills!H9&gt;0,Skills!I9/Skills!H9,1)</f>
        <v/>
      </c>
      <c r="H1048">
        <f>1-(1-Skills!J9/100)^Skills!K9</f>
        <v/>
      </c>
      <c r="I1048" t="inlineStr">
        <is>
          <t>1</t>
        </is>
      </c>
      <c r="J1048">
        <f>((Inputs!$B$6*(1+(Inputs!$B$7+1)/100))+(((Inputs!$B$12*(1+Inputs!$B$13/100))-(Inputs!$B$12*(1+Inputs!$B$13/100)))+0.25*(Inputs!$B$14-Inputs!$B$14))*(1+(Inputs!$B$7+1)/100))*(F1048/100)</f>
        <v/>
      </c>
      <c r="K1048">
        <f>J1048*(1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1048)</f>
        <v/>
      </c>
      <c r="L1048">
        <f>K1048*(MIN(Inputs!$B$22+((C1061=TRUE)*(F1061-Calc!F22)),(Inputs!$B$23+0+(IF(ArtifactsInput!$M$15,CHOOSE(ArtifactsInput!$N$15+1,25,30,35,40,45,50)/100*(Inputs!$B$11-Inputs!$B$11),0))))/100+(Inputs!$B$23+0+(IF(ArtifactsInput!$M$15,CHOOSE(ArtifactsInput!$N$15+1,25,30,35,40,45,50)/100*(Inputs!$B$11-Inputs!$B$11),0)))/100)/2</f>
        <v/>
      </c>
      <c r="M1048">
        <f>L1048*(1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8">
        <f>L1048*(1-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1048*(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8">
        <f>(1-Summary!$B$11)*T1048+Summary!$B$11*V1048</f>
        <v/>
      </c>
      <c r="P1048">
        <f>IF(B1080=0,0,O1048/B1080)</f>
        <v/>
      </c>
      <c r="Q1048">
        <f>IFERROR(1/(IF(Inputs!$B$38="pvp",15,MAX(0.1,Skills!D9-IF(Skills!E9=TRUE,Inputs!$B$32,0)))*(1-IF(AND(ArtifactsInput!$M$27,Inputs!$B$4="Chapter Hunt"),CHOOSE(ArtifactsInput!$N$27+1,20,24,28,32,36,40),0)/100)),0)</f>
        <v/>
      </c>
      <c r="R1048">
        <f>IF(AND(Inputs!$B$38&lt;&gt;"pvp",Inputs!$B$43&gt;0),IF(MAX(0,Inputs!$B$43-B1077)&lt;=0,0,(INT(MAX(0,Inputs!$B$43-B1077)/(IF(Inputs!$B$38="pvp",15,MAX(0.1,Skills!D9-IF(Skills!E9=TRUE,Inputs!$B$32,0)))*(1-IF(AND(ArtifactsInput!$M$27,Inputs!$B$4="Chapter Hunt"),CHOOSE(ArtifactsInput!$N$27+1,20,24,28,32,36,40),0)/100)))+1)),0)</f>
        <v/>
      </c>
      <c r="S1048">
        <f>IFERROR(O1048/N1048,0)</f>
        <v/>
      </c>
      <c r="T1048">
        <f>IF(C1048,(H1048*N1048*IF(AND(Inputs!$B$38&lt;&gt;"pvp",Inputs!$B$43&gt;0),((Skills!G9*((R1048-1)*IF(Skills!H9&gt;0,Skills!I9/Skills!H9,1)+IF(Skills!H9&gt;0,MIN(Skills!I9,MAX(0,MAX(0,Inputs!$B$43-B1077)-((R1048-1)*(IF(Inputs!$B$38="pvp",15,MAX(0.1,Skills!D9-IF(Skills!E9=TRUE,Inputs!$B$32,0)))*(1-IF(AND(ArtifactsInput!$M$27,Inputs!$B$4="Chapter Hunt"),CHOOSE(ArtifactsInput!$N$27+1,20,24,28,32,36,40),0)/100)))))/Skills!H9,1)))/Inputs!$B$43),G1048*Q1048)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1048*(1-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1048*(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1048*(1-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1048*(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8">
        <f>IF(C1048,(H1048*N1048*IF(AND(Inputs!$B$38&lt;&gt;"pvp",Inputs!$B$43&gt;0),((Skills!G9*((R1048-1)*IF(Skills!H9&gt;0,Skills!I9/Skills!H9,1)+IF(Skills!H9&gt;0,MIN(Skills!I9,MAX(0,MAX(0,Inputs!$B$43-B1077)-((R1048-1)*(IF(Inputs!$B$38="pvp",15,MAX(0.1,Skills!D9-IF(Skills!E9=TRUE,Inputs!$B$32,0)))*(1-IF(AND(ArtifactsInput!$M$27,Inputs!$B$4="Chapter Hunt"),CHOOSE(ArtifactsInput!$N$27+1,20,24,28,32,36,40),0)/100)))))/Skills!H9,1)))/Inputs!$B$43),G1048*Q1048))*IF(Inputs!$B$38="pvp",1,(1+(Inputs!$B$21+Skills!Q9+(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9">
      <c r="A1049">
        <f>Skills!A10</f>
        <v/>
      </c>
      <c r="B1049">
        <f>Skills!B10</f>
        <v/>
      </c>
      <c r="C1049">
        <f>Inputs!$B$3&gt;=113</f>
        <v/>
      </c>
      <c r="D1049">
        <f>IF(Skills!C10=1,60+Inputs!$B$25+Inputs!$B$29,IF(Skills!C10=2,90+Inputs!$B$26+Inputs!$B$29,IF(Skills!C10=3,120+Inputs!$B$27+Inputs!$B$29,MAX(0,(Inputs!$B$3-100)*3)+Inputs!$B$28+Inputs!$B$29)))</f>
        <v/>
      </c>
      <c r="E1049">
        <f>INDEX(FactorTable!$B$2:$Y$301, MATCH(ROUND(MIN(300,MAX(1,D1049)),0), FactorTable!$A$2:$A$301,0), Skills!M10+1)</f>
        <v/>
      </c>
      <c r="F1049">
        <f>IF(Skills!N10=TRUE,(Skills!L10/10)*(E1049/1000),Skills!L10/10)+Skills!O10</f>
        <v/>
      </c>
      <c r="G1049">
        <f>Skills!G10*IF(Skills!H10&gt;0,Skills!I10/Skills!H10,1)</f>
        <v/>
      </c>
      <c r="H1049">
        <f>1-(1-Skills!J10/100)^Skills!K10</f>
        <v/>
      </c>
      <c r="I1049" t="inlineStr">
        <is>
          <t>1</t>
        </is>
      </c>
      <c r="J1049">
        <f>((Inputs!$B$6*(1+(Inputs!$B$7+1)/100))+(((Inputs!$B$12*(1+Inputs!$B$13/100))-(Inputs!$B$12*(1+Inputs!$B$13/100)))+0.25*(Inputs!$B$14-Inputs!$B$14))*(1+(Inputs!$B$7+1)/100))*(F1049/100)</f>
        <v/>
      </c>
      <c r="K1049">
        <f>J1049*(1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1049)</f>
        <v/>
      </c>
      <c r="L1049">
        <f>K1049*(MIN(Inputs!$B$22+((C1061=TRUE)*(F1061-Calc!F22)),(Inputs!$B$23+0+(IF(ArtifactsInput!$M$15,CHOOSE(ArtifactsInput!$N$15+1,25,30,35,40,45,50)/100*(Inputs!$B$11-Inputs!$B$11),0))))/100+(Inputs!$B$23+0+(IF(ArtifactsInput!$M$15,CHOOSE(ArtifactsInput!$N$15+1,25,30,35,40,45,50)/100*(Inputs!$B$11-Inputs!$B$11),0)))/100)/2</f>
        <v/>
      </c>
      <c r="M1049">
        <f>L1049*(1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9">
        <f>L1049*(1-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1049*(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9">
        <f>(1-Summary!$B$11)*T1049+Summary!$B$11*V1049</f>
        <v/>
      </c>
      <c r="P1049">
        <f>IF(B1080=0,0,O1049/B1080)</f>
        <v/>
      </c>
      <c r="Q1049">
        <f>IFERROR(1/(IF(Inputs!$B$38="pvp",15,MAX(0.1,Skills!D10-IF(Skills!E10=TRUE,Inputs!$B$32,0)))*(1-IF(AND(ArtifactsInput!$M$27,Inputs!$B$4="Chapter Hunt"),CHOOSE(ArtifactsInput!$N$27+1,20,24,28,32,36,40),0)/100)),0)</f>
        <v/>
      </c>
      <c r="R1049">
        <f>IF(AND(Inputs!$B$38&lt;&gt;"pvp",Inputs!$B$43&gt;0),IF(MAX(0,Inputs!$B$43-B1077)&lt;=0,0,(INT(MAX(0,Inputs!$B$43-B1077)/(IF(Inputs!$B$38="pvp",15,MAX(0.1,Skills!D10-IF(Skills!E10=TRUE,Inputs!$B$32,0)))*(1-IF(AND(ArtifactsInput!$M$27,Inputs!$B$4="Chapter Hunt"),CHOOSE(ArtifactsInput!$N$27+1,20,24,28,32,36,40),0)/100)))+1)),0)</f>
        <v/>
      </c>
      <c r="S1049">
        <f>IFERROR(O1049/N1049,0)</f>
        <v/>
      </c>
      <c r="T1049">
        <f>IF(C1049,(H1049*N1049*IF(AND(Inputs!$B$38&lt;&gt;"pvp",Inputs!$B$43&gt;0),((Skills!G10*((R1049-1)*IF(Skills!H10&gt;0,Skills!I10/Skills!H10,1)+IF(Skills!H10&gt;0,MIN(Skills!I10,MAX(0,MAX(0,Inputs!$B$43-B1077)-((R1049-1)*(IF(Inputs!$B$38="pvp",15,MAX(0.1,Skills!D10-IF(Skills!E10=TRUE,Inputs!$B$32,0)))*(1-IF(AND(ArtifactsInput!$M$27,Inputs!$B$4="Chapter Hunt"),CHOOSE(ArtifactsInput!$N$27+1,20,24,28,32,36,40),0)/100)))))/Skills!H10,1)))/Inputs!$B$43),G1049*Q1049)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1049*(1-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1049*(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1049*(1-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1049*(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9">
        <f>IF(C1049,(H1049*N1049*IF(AND(Inputs!$B$38&lt;&gt;"pvp",Inputs!$B$43&gt;0),((Skills!G10*((R1049-1)*IF(Skills!H10&gt;0,Skills!I10/Skills!H10,1)+IF(Skills!H10&gt;0,MIN(Skills!I10,MAX(0,MAX(0,Inputs!$B$43-B1077)-((R1049-1)*(IF(Inputs!$B$38="pvp",15,MAX(0.1,Skills!D10-IF(Skills!E10=TRUE,Inputs!$B$32,0)))*(1-IF(AND(ArtifactsInput!$M$27,Inputs!$B$4="Chapter Hunt"),CHOOSE(ArtifactsInput!$N$27+1,20,24,28,32,36,40),0)/100)))))/Skills!H10,1)))/Inputs!$B$43),G1049*Q1049))*IF(Inputs!$B$38="pvp",1,(1+(Inputs!$B$21+Skills!Q10+(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0">
      <c r="A1050">
        <f>Skills!A11</f>
        <v/>
      </c>
      <c r="B1050">
        <f>Skills!B11</f>
        <v/>
      </c>
      <c r="C1050">
        <f>Inputs!$B$3&gt;=107</f>
        <v/>
      </c>
      <c r="D1050">
        <f>IF(Skills!C11=1,60+Inputs!$B$25+Inputs!$B$29,IF(Skills!C11=2,90+Inputs!$B$26+Inputs!$B$29,IF(Skills!C11=3,120+Inputs!$B$27+Inputs!$B$29,MAX(0,(Inputs!$B$3-100)*3)+Inputs!$B$28+Inputs!$B$29)))</f>
        <v/>
      </c>
      <c r="E1050">
        <f>INDEX(FactorTable!$B$2:$Y$301, MATCH(ROUND(MIN(300,MAX(1,D1050)),0), FactorTable!$A$2:$A$301,0), Skills!M11+1)</f>
        <v/>
      </c>
      <c r="F1050">
        <f>IF(Skills!N11=TRUE,(Skills!L11/10)*(E1050/1000),Skills!L11/10)+Skills!O11</f>
        <v/>
      </c>
      <c r="G1050">
        <f>Skills!G11*IF(Skills!H11&gt;0,Skills!I11/Skills!H11,1)</f>
        <v/>
      </c>
      <c r="H1050">
        <f>1-(1-Skills!J11/100)^Skills!K11</f>
        <v/>
      </c>
      <c r="I1050" t="inlineStr">
        <is>
          <t>1</t>
        </is>
      </c>
      <c r="J1050">
        <f>((Inputs!$B$6*(1+(Inputs!$B$7+1)/100))+(((Inputs!$B$12*(1+Inputs!$B$13/100))-(Inputs!$B$12*(1+Inputs!$B$13/100)))+0.25*(Inputs!$B$14-Inputs!$B$14))*(1+(Inputs!$B$7+1)/100))*(F1050/100)</f>
        <v/>
      </c>
      <c r="K1050">
        <f>J1050*(1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1050)</f>
        <v/>
      </c>
      <c r="L1050">
        <f>K1050*(MIN(Inputs!$B$22+((C1061=TRUE)*(F1061-Calc!F22)),(Inputs!$B$23+0+(IF(ArtifactsInput!$M$15,CHOOSE(ArtifactsInput!$N$15+1,25,30,35,40,45,50)/100*(Inputs!$B$11-Inputs!$B$11),0))))/100+(Inputs!$B$23+0+(IF(ArtifactsInput!$M$15,CHOOSE(ArtifactsInput!$N$15+1,25,30,35,40,45,50)/100*(Inputs!$B$11-Inputs!$B$11),0)))/100)/2</f>
        <v/>
      </c>
      <c r="M1050">
        <f>L1050*(1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0">
        <f>L1050*(1-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1050*(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0">
        <f>(1-Summary!$B$11)*T1050+Summary!$B$11*V1050</f>
        <v/>
      </c>
      <c r="P1050">
        <f>IF(B1080=0,0,O1050/B1080)</f>
        <v/>
      </c>
      <c r="Q1050">
        <f>IFERROR(1/(IF(Inputs!$B$38="pvp",15,MAX(0.1,Skills!D11-IF(Skills!E11=TRUE,Inputs!$B$32,0)))*(1-IF(AND(ArtifactsInput!$M$27,Inputs!$B$4="Chapter Hunt"),CHOOSE(ArtifactsInput!$N$27+1,20,24,28,32,36,40),0)/100)),0)</f>
        <v/>
      </c>
      <c r="R1050">
        <f>IF(AND(Inputs!$B$38&lt;&gt;"pvp",Inputs!$B$43&gt;0),IF(MAX(0,Inputs!$B$43-B1077)&lt;=0,0,(INT(MAX(0,Inputs!$B$43-B1077)/(IF(Inputs!$B$38="pvp",15,MAX(0.1,Skills!D11-IF(Skills!E11=TRUE,Inputs!$B$32,0)))*(1-IF(AND(ArtifactsInput!$M$27,Inputs!$B$4="Chapter Hunt"),CHOOSE(ArtifactsInput!$N$27+1,20,24,28,32,36,40),0)/100)))+1)),0)</f>
        <v/>
      </c>
      <c r="S1050">
        <f>IFERROR(O1050/N1050,0)</f>
        <v/>
      </c>
      <c r="T1050">
        <f>IF(C1050,(H1050*N1050*IF(AND(Inputs!$B$38&lt;&gt;"pvp",Inputs!$B$43&gt;0),((Skills!G11*((R1050-1)*IF(Skills!H11&gt;0,Skills!I11/Skills!H11,1)+IF(Skills!H11&gt;0,MIN(Skills!I11,MAX(0,MAX(0,Inputs!$B$43-B1077)-((R1050-1)*(IF(Inputs!$B$38="pvp",15,MAX(0.1,Skills!D11-IF(Skills!E11=TRUE,Inputs!$B$32,0)))*(1-IF(AND(ArtifactsInput!$M$27,Inputs!$B$4="Chapter Hunt"),CHOOSE(ArtifactsInput!$N$27+1,20,24,28,32,36,40),0)/100)))))/Skills!H11,1)))/Inputs!$B$43),G1050*Q1050)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1050*(1-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1050*(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1050*(1-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1050*(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0">
        <f>IF(C1050,(H1050*N1050*IF(AND(Inputs!$B$38&lt;&gt;"pvp",Inputs!$B$43&gt;0),((Skills!G11*((R1050-1)*IF(Skills!H11&gt;0,Skills!I11/Skills!H11,1)+IF(Skills!H11&gt;0,MIN(Skills!I11,MAX(0,MAX(0,Inputs!$B$43-B1077)-((R1050-1)*(IF(Inputs!$B$38="pvp",15,MAX(0.1,Skills!D11-IF(Skills!E11=TRUE,Inputs!$B$32,0)))*(1-IF(AND(ArtifactsInput!$M$27,Inputs!$B$4="Chapter Hunt"),CHOOSE(ArtifactsInput!$N$27+1,20,24,28,32,36,40),0)/100)))))/Skills!H11,1)))/Inputs!$B$43),G1050*Q1050))*IF(Inputs!$B$38="pvp",1,(1+(Inputs!$B$21+Skills!Q11+(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1">
      <c r="A1051">
        <f>Skills!A12</f>
        <v/>
      </c>
      <c r="B1051">
        <f>Skills!B12</f>
        <v/>
      </c>
      <c r="C1051">
        <f>Inputs!$B$3&gt;=110</f>
        <v/>
      </c>
      <c r="D1051">
        <f>IF(Skills!C12=1,60+Inputs!$B$25+Inputs!$B$29,IF(Skills!C12=2,90+Inputs!$B$26+Inputs!$B$29,IF(Skills!C12=3,120+Inputs!$B$27+Inputs!$B$29,MAX(0,(Inputs!$B$3-100)*3)+Inputs!$B$28+Inputs!$B$29)))</f>
        <v/>
      </c>
      <c r="E1051">
        <f>INDEX(FactorTable!$B$2:$Y$301, MATCH(ROUND(MIN(300,MAX(1,D1051)),0), FactorTable!$A$2:$A$301,0), Skills!M12+1)</f>
        <v/>
      </c>
      <c r="F1051">
        <f>IF(Skills!N12=TRUE,(Skills!L12/10)*(E1051/1000),Skills!L12/10)+Skills!O12</f>
        <v/>
      </c>
      <c r="G1051">
        <f>Skills!G12*IF(Skills!H12&gt;0,Skills!I12/Skills!H12,1)</f>
        <v/>
      </c>
      <c r="H1051">
        <f>1-(1-Skills!J12/100)^Skills!K12</f>
        <v/>
      </c>
      <c r="I1051" t="inlineStr">
        <is>
          <t>1</t>
        </is>
      </c>
      <c r="J1051">
        <f>((Inputs!$B$6*(1+(Inputs!$B$7+1)/100))+(((Inputs!$B$12*(1+Inputs!$B$13/100))-(Inputs!$B$12*(1+Inputs!$B$13/100)))+0.25*(Inputs!$B$14-Inputs!$B$14))*(1+(Inputs!$B$7+1)/100))*(F1051/100)</f>
        <v/>
      </c>
      <c r="K1051">
        <f>J1051*(1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1051)</f>
        <v/>
      </c>
      <c r="L1051">
        <f>K1051*(MIN(Inputs!$B$22+((C1061=TRUE)*(F1061-Calc!F22)),(Inputs!$B$23+0+(IF(ArtifactsInput!$M$15,CHOOSE(ArtifactsInput!$N$15+1,25,30,35,40,45,50)/100*(Inputs!$B$11-Inputs!$B$11),0))))/100+(Inputs!$B$23+0+(IF(ArtifactsInput!$M$15,CHOOSE(ArtifactsInput!$N$15+1,25,30,35,40,45,50)/100*(Inputs!$B$11-Inputs!$B$11),0)))/100)/2</f>
        <v/>
      </c>
      <c r="M1051">
        <f>L1051*(1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1">
        <f>L1051*(1-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1">
        <f>(1-Summary!$B$11)*T1051+Summary!$B$11*V1051</f>
        <v/>
      </c>
      <c r="P1051">
        <f>IF(B1080=0,0,O1051/B1080)</f>
        <v/>
      </c>
      <c r="Q1051">
        <f>IFERROR(1/(IF(Inputs!$B$38="pvp",15,MAX(0.1,Skills!D12-IF(Skills!E12=TRUE,Inputs!$B$32,0)))*(1-IF(AND(ArtifactsInput!$M$27,Inputs!$B$4="Chapter Hunt"),CHOOSE(ArtifactsInput!$N$27+1,20,24,28,32,36,40),0)/100)),0)</f>
        <v/>
      </c>
      <c r="R1051">
        <f>IF(AND(Inputs!$B$38&lt;&gt;"pvp",Inputs!$B$43&gt;0),IF(MAX(0,Inputs!$B$43-B1077)&lt;=0,0,(INT(MAX(0,Inputs!$B$43-B1077)/(IF(Inputs!$B$38="pvp",15,MAX(0.1,Skills!D12-IF(Skills!E12=TRUE,Inputs!$B$32,0)))*(1-IF(AND(ArtifactsInput!$M$27,Inputs!$B$4="Chapter Hunt"),CHOOSE(ArtifactsInput!$N$27+1,20,24,28,32,36,40),0)/100)))+1)),0)</f>
        <v/>
      </c>
      <c r="S1051">
        <f>IFERROR(O1051/N1051,0)</f>
        <v/>
      </c>
      <c r="T1051">
        <f>IF(C1051,(H1051*N1051*IF(AND(Inputs!$B$38&lt;&gt;"pvp",Inputs!$B$43&gt;0),((Skills!G12*((R1051-1)*IF(Skills!H12&gt;0,Skills!I12/Skills!H12,1)+IF(Skills!H12&gt;0,MIN(Skills!I12,MAX(0,MAX(0,Inputs!$B$43-B1077)-((R1051-1)*(IF(Inputs!$B$38="pvp",15,MAX(0.1,Skills!D12-IF(Skills!E12=TRUE,Inputs!$B$32,0)))*(1-IF(AND(ArtifactsInput!$M$27,Inputs!$B$4="Chapter Hunt"),CHOOSE(ArtifactsInput!$N$27+1,20,24,28,32,36,40),0)/100)))))/Skills!H12,1)))/Inputs!$B$43),G1051*Q1051)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1051*(1-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1051*(1-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1">
        <f>IF(C1051,(H1051*N1051*IF(AND(Inputs!$B$38&lt;&gt;"pvp",Inputs!$B$43&gt;0),((Skills!G12*((R1051-1)*IF(Skills!H12&gt;0,Skills!I12/Skills!H12,1)+IF(Skills!H12&gt;0,MIN(Skills!I12,MAX(0,MAX(0,Inputs!$B$43-B1077)-((R1051-1)*(IF(Inputs!$B$38="pvp",15,MAX(0.1,Skills!D12-IF(Skills!E12=TRUE,Inputs!$B$32,0)))*(1-IF(AND(ArtifactsInput!$M$27,Inputs!$B$4="Chapter Hunt"),CHOOSE(ArtifactsInput!$N$27+1,20,24,28,32,36,40),0)/100)))))/Skills!H12,1)))/Inputs!$B$43),G1051*Q1051))*IF(Inputs!$B$38="pvp",1,(1+(Inputs!$B$21+Skills!Q12+(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2">
      <c r="A1052">
        <f>Skills!A13</f>
        <v/>
      </c>
      <c r="B1052">
        <f>Skills!B13</f>
        <v/>
      </c>
      <c r="C1052">
        <f>Inputs!$B$3&gt;=110</f>
        <v/>
      </c>
      <c r="D1052">
        <f>IF(Skills!C13=1,60+Inputs!$B$25+Inputs!$B$29,IF(Skills!C13=2,90+Inputs!$B$26+Inputs!$B$29,IF(Skills!C13=3,120+Inputs!$B$27+Inputs!$B$29,MAX(0,(Inputs!$B$3-100)*3)+Inputs!$B$28+Inputs!$B$29)))</f>
        <v/>
      </c>
      <c r="E1052">
        <f>INDEX(FactorTable!$B$2:$Y$301, MATCH(ROUND(MIN(300,MAX(1,D1052)),0), FactorTable!$A$2:$A$301,0), Skills!M13+1)</f>
        <v/>
      </c>
      <c r="F1052">
        <f>IF(Skills!N13=TRUE,(Skills!L13/10)*(E1052/1000),Skills!L13/10)+Skills!O13</f>
        <v/>
      </c>
      <c r="G1052">
        <f>Skills!G13*IF(Skills!H13&gt;0,Skills!I13/Skills!H13,1)</f>
        <v/>
      </c>
      <c r="H1052">
        <f>1-(1-Skills!J13/100)^Skills!K13</f>
        <v/>
      </c>
      <c r="I1052" t="inlineStr">
        <is>
          <t>1</t>
        </is>
      </c>
      <c r="J1052">
        <f>((Inputs!$B$6*(1+(Inputs!$B$7+1)/100))+(((Inputs!$B$12*(1+Inputs!$B$13/100))-(Inputs!$B$12*(1+Inputs!$B$13/100)))+0.25*(Inputs!$B$14-Inputs!$B$14))*(1+(Inputs!$B$7+1)/100))*(F1052/100)</f>
        <v/>
      </c>
      <c r="K1052">
        <f>J1052*(1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1052)</f>
        <v/>
      </c>
      <c r="L1052">
        <f>K1052*(MIN(Inputs!$B$22+((C1061=TRUE)*(F1061-Calc!F22)),(Inputs!$B$23+0+(IF(ArtifactsInput!$M$15,CHOOSE(ArtifactsInput!$N$15+1,25,30,35,40,45,50)/100*(Inputs!$B$11-Inputs!$B$11),0))))/100+(Inputs!$B$23+0+(IF(ArtifactsInput!$M$15,CHOOSE(ArtifactsInput!$N$15+1,25,30,35,40,45,50)/100*(Inputs!$B$11-Inputs!$B$11),0)))/100)/2</f>
        <v/>
      </c>
      <c r="M1052">
        <f>L1052*(1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2">
        <f>L1052*(1-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1052*(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2">
        <f>(1-Summary!$B$11)*T1052+Summary!$B$11*V1052</f>
        <v/>
      </c>
      <c r="P1052">
        <f>IF(B1080=0,0,O1052/B1080)</f>
        <v/>
      </c>
      <c r="Q1052">
        <f>IFERROR(1/(IF(Inputs!$B$38="pvp",15,MAX(0.1,Skills!D13-IF(Skills!E13=TRUE,Inputs!$B$32,0)))*(1-IF(AND(ArtifactsInput!$M$27,Inputs!$B$4="Chapter Hunt"),CHOOSE(ArtifactsInput!$N$27+1,20,24,28,32,36,40),0)/100)),0)</f>
        <v/>
      </c>
      <c r="R1052">
        <f>IF(AND(Inputs!$B$38&lt;&gt;"pvp",Inputs!$B$43&gt;0),IF(MAX(0,Inputs!$B$43-B1077)&lt;=0,0,(INT(MAX(0,Inputs!$B$43-B1077)/(IF(Inputs!$B$38="pvp",15,MAX(0.1,Skills!D13-IF(Skills!E13=TRUE,Inputs!$B$32,0)))*(1-IF(AND(ArtifactsInput!$M$27,Inputs!$B$4="Chapter Hunt"),CHOOSE(ArtifactsInput!$N$27+1,20,24,28,32,36,40),0)/100)))+1)),0)</f>
        <v/>
      </c>
      <c r="S1052">
        <f>IFERROR(O1052/N1052,0)</f>
        <v/>
      </c>
      <c r="T1052">
        <f>IF(C1052,(H1052*N1052*IF(AND(Inputs!$B$38&lt;&gt;"pvp",Inputs!$B$43&gt;0),((Skills!G13*((R1052-1)*IF(Skills!H13&gt;0,Skills!I13/Skills!H13,1)+IF(Skills!H13&gt;0,MIN(Skills!I13,MAX(0,MAX(0,Inputs!$B$43-B1077)-((R1052-1)*(IF(Inputs!$B$38="pvp",15,MAX(0.1,Skills!D13-IF(Skills!E13=TRUE,Inputs!$B$32,0)))*(1-IF(AND(ArtifactsInput!$M$27,Inputs!$B$4="Chapter Hunt"),CHOOSE(ArtifactsInput!$N$27+1,20,24,28,32,36,40),0)/100)))))/Skills!H13,1)))/Inputs!$B$43),G1052*Q1052)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1052*(1-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1052*(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1052*(1-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1052*(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2">
        <f>IF(C1052,(H1052*N1052*IF(AND(Inputs!$B$38&lt;&gt;"pvp",Inputs!$B$43&gt;0),((Skills!G13*((R1052-1)*IF(Skills!H13&gt;0,Skills!I13/Skills!H13,1)+IF(Skills!H13&gt;0,MIN(Skills!I13,MAX(0,MAX(0,Inputs!$B$43-B1077)-((R1052-1)*(IF(Inputs!$B$38="pvp",15,MAX(0.1,Skills!D13-IF(Skills!E13=TRUE,Inputs!$B$32,0)))*(1-IF(AND(ArtifactsInput!$M$27,Inputs!$B$4="Chapter Hunt"),CHOOSE(ArtifactsInput!$N$27+1,20,24,28,32,36,40),0)/100)))))/Skills!H13,1)))/Inputs!$B$43),G1052*Q1052))*IF(Inputs!$B$38="pvp",1,(1+(Inputs!$B$21+Skills!Q13+(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3">
      <c r="A1053">
        <f>Skills!A14</f>
        <v/>
      </c>
      <c r="B1053">
        <f>Skills!B14</f>
        <v/>
      </c>
      <c r="C1053">
        <f>Inputs!$B$3&gt;=125</f>
        <v/>
      </c>
      <c r="D1053">
        <f>IF(Skills!C14=1,60+Inputs!$B$25+Inputs!$B$29,IF(Skills!C14=2,90+Inputs!$B$26+Inputs!$B$29,IF(Skills!C14=3,120+Inputs!$B$27+Inputs!$B$29,MAX(0,(Inputs!$B$3-100)*3)+Inputs!$B$28+Inputs!$B$29)))</f>
        <v/>
      </c>
      <c r="E1053">
        <f>INDEX(FactorTable!$B$2:$Y$301, MATCH(ROUND(MIN(300,MAX(1,D1053)),0), FactorTable!$A$2:$A$301,0), Skills!M14+1)</f>
        <v/>
      </c>
      <c r="F1053">
        <f>IF(Skills!N14=TRUE,(Skills!L14/10)*(E1053/1000),Skills!L14/10)+Skills!O14</f>
        <v/>
      </c>
      <c r="G1053">
        <f>Skills!G14*IF(Skills!H14&gt;0,Skills!I14/Skills!H14,1)</f>
        <v/>
      </c>
      <c r="H1053">
        <f>1-(1-Skills!J14/100)^Skills!K14</f>
        <v/>
      </c>
      <c r="I1053" t="inlineStr">
        <is>
          <t>1</t>
        </is>
      </c>
      <c r="J1053">
        <f>((Inputs!$B$6*(1+(Inputs!$B$7+1)/100))+(((Inputs!$B$12*(1+Inputs!$B$13/100))-(Inputs!$B$12*(1+Inputs!$B$13/100)))+0.25*(Inputs!$B$14-Inputs!$B$14))*(1+(Inputs!$B$7+1)/100))*(F1053/100)</f>
        <v/>
      </c>
      <c r="K1053">
        <f>J1053*(1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1053)</f>
        <v/>
      </c>
      <c r="L1053">
        <f>K1053*(MIN(Inputs!$B$22+((C1061=TRUE)*(F1061-Calc!F22)),(Inputs!$B$23+0+(IF(ArtifactsInput!$M$15,CHOOSE(ArtifactsInput!$N$15+1,25,30,35,40,45,50)/100*(Inputs!$B$11-Inputs!$B$11),0))))/100+(Inputs!$B$23+0+(IF(ArtifactsInput!$M$15,CHOOSE(ArtifactsInput!$N$15+1,25,30,35,40,45,50)/100*(Inputs!$B$11-Inputs!$B$11),0)))/100)/2</f>
        <v/>
      </c>
      <c r="M1053">
        <f>L1053*(1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3">
        <f>L1053*(1-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1053*(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3">
        <f>(1-Summary!$B$11)*T1053+Summary!$B$11*V1053</f>
        <v/>
      </c>
      <c r="P1053">
        <f>IF(B1080=0,0,O1053/B1080)</f>
        <v/>
      </c>
      <c r="Q1053" t="n">
        <v>0</v>
      </c>
      <c r="R1053" t="n">
        <v>0</v>
      </c>
      <c r="S1053">
        <f>IFERROR(O1053/N1053,0)</f>
        <v/>
      </c>
      <c r="T1053">
        <f>IF(C1053,(H1053*N1053*(B1074+IF(AND(Inputs!$B$38&lt;&gt;"pvp",Inputs!$B$43&gt;0),((Skills!G8*((R1047-1)*IF(Skills!H8&gt;0,Skills!I8/Skills!H8,1)+IF(Skills!H8&gt;0,MIN(Skills!I8,MAX(0,MAX(0,Inputs!$B$43-B1077)-((R1047-1)*(IF(Inputs!$B$38="pvp",15,MAX(0.1,Skills!D8-IF(Skills!E8=TRUE,Inputs!$B$32,0)))*(1-IF(AND(ArtifactsInput!$M$27,Inputs!$B$4="Chapter Hunt"),CHOOSE(ArtifactsInput!$N$27+1,20,24,28,32,36,40),0)/100)))))/Skills!H8,1)))/Inputs!$B$43),G1047*Q1047)+IF(AND(Inputs!$B$38&lt;&gt;"pvp",Inputs!$B$43&gt;0),((Skills!G11*((R1050-1)*IF(Skills!H11&gt;0,Skills!I11/Skills!H11,1)+IF(Skills!H11&gt;0,MIN(Skills!I11,MAX(0,MAX(0,Inputs!$B$43-B1077)-((R1050-1)*(IF(Inputs!$B$38="pvp",15,MAX(0.1,Skills!D11-IF(Skills!E11=TRUE,Inputs!$B$32,0)))*(1-IF(AND(ArtifactsInput!$M$27,Inputs!$B$4="Chapter Hunt"),CHOOSE(ArtifactsInput!$N$27+1,20,24,28,32,36,40),0)/100)))))/Skills!H11,1)))/Inputs!$B$43),G1050*Q1050)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1053*(1-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1053*(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1053*(1-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1053*(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3">
        <f>IF(C1053,(H1053*N1053*(B1074+IF(AND(Inputs!$B$38&lt;&gt;"pvp",Inputs!$B$43&gt;0),((Skills!G8*((R1047-1)*IF(Skills!H8&gt;0,Skills!I8/Skills!H8,1)+IF(Skills!H8&gt;0,MIN(Skills!I8,MAX(0,MAX(0,Inputs!$B$43-B1077)-((R1047-1)*(IF(Inputs!$B$38="pvp",15,MAX(0.1,Skills!D8-IF(Skills!E8=TRUE,Inputs!$B$32,0)))*(1-IF(AND(ArtifactsInput!$M$27,Inputs!$B$4="Chapter Hunt"),CHOOSE(ArtifactsInput!$N$27+1,20,24,28,32,36,40),0)/100)))))/Skills!H8,1)))/Inputs!$B$43),G1047*Q1047)+IF(AND(Inputs!$B$38&lt;&gt;"pvp",Inputs!$B$43&gt;0),((Skills!G11*((R1050-1)*IF(Skills!H11&gt;0,Skills!I11/Skills!H11,1)+IF(Skills!H11&gt;0,MIN(Skills!I11,MAX(0,MAX(0,Inputs!$B$43-B1077)-((R1050-1)*(IF(Inputs!$B$38="pvp",15,MAX(0.1,Skills!D11-IF(Skills!E11=TRUE,Inputs!$B$32,0)))*(1-IF(AND(ArtifactsInput!$M$27,Inputs!$B$4="Chapter Hunt"),CHOOSE(ArtifactsInput!$N$27+1,20,24,28,32,36,40),0)/100)))))/Skills!H11,1)))/Inputs!$B$43),G1050*Q1050)))*IF(Inputs!$B$38="pvp",1,(1+(Inputs!$B$21+Skills!Q14+(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4">
      <c r="A1054">
        <f>Skills!A15</f>
        <v/>
      </c>
      <c r="B1054">
        <f>Skills!B15</f>
        <v/>
      </c>
      <c r="C1054">
        <f>Inputs!$B$3&gt;=100</f>
        <v/>
      </c>
      <c r="D1054">
        <f>IF(Skills!C15=1,60+Inputs!$B$25+Inputs!$B$29,IF(Skills!C15=2,90+Inputs!$B$26+Inputs!$B$29,IF(Skills!C15=3,120+Inputs!$B$27+Inputs!$B$29,MAX(0,(Inputs!$B$3-100)*3)+Inputs!$B$28+Inputs!$B$29)))</f>
        <v/>
      </c>
      <c r="E1054">
        <f>INDEX(FactorTable!$B$2:$Y$301, MATCH(ROUND(MIN(300,MAX(1,D1054)),0), FactorTable!$A$2:$A$301,0), Skills!M15+1)</f>
        <v/>
      </c>
      <c r="F1054">
        <f>IF(Skills!N15=TRUE,(Skills!L15/10)*(E1054/1000),Skills!L15/10)+Skills!O15</f>
        <v/>
      </c>
      <c r="G1054" t="inlineStr"/>
      <c r="H1054" t="inlineStr"/>
      <c r="I1054" t="inlineStr">
        <is>
          <t>1</t>
        </is>
      </c>
      <c r="J1054" t="inlineStr"/>
      <c r="K1054" t="inlineStr"/>
      <c r="L1054" t="inlineStr"/>
      <c r="M1054" t="inlineStr"/>
      <c r="N1054" t="inlineStr"/>
      <c r="O1054" t="inlineStr"/>
      <c r="P1054" t="inlineStr"/>
      <c r="Q1054" t="inlineStr"/>
      <c r="R1054" t="inlineStr"/>
      <c r="S1054" t="inlineStr"/>
    </row>
    <row r="1055">
      <c r="A1055">
        <f>Skills!A16</f>
        <v/>
      </c>
      <c r="B1055">
        <f>Skills!B16</f>
        <v/>
      </c>
      <c r="C1055">
        <f>Inputs!$B$3&gt;=120</f>
        <v/>
      </c>
      <c r="D1055">
        <f>IF(Skills!C16=1,60+Inputs!$B$25+Inputs!$B$29,IF(Skills!C16=2,90+Inputs!$B$26+Inputs!$B$29,IF(Skills!C16=3,120+Inputs!$B$27+Inputs!$B$29,MAX(0,(Inputs!$B$3-100)*3)+Inputs!$B$28+Inputs!$B$29)))</f>
        <v/>
      </c>
      <c r="E1055">
        <f>INDEX(FactorTable!$B$2:$Y$301, MATCH(ROUND(MIN(300,MAX(1,D1055)),0), FactorTable!$A$2:$A$301,0), Skills!M16+1)</f>
        <v/>
      </c>
      <c r="F1055">
        <f>IF(Skills!N16=TRUE,(Skills!L16/10)*(E1055/1000),Skills!L16/10)+Skills!O16</f>
        <v/>
      </c>
      <c r="G1055" t="inlineStr"/>
      <c r="H1055" t="inlineStr"/>
      <c r="I1055" t="inlineStr">
        <is>
          <t>1</t>
        </is>
      </c>
      <c r="J1055" t="inlineStr"/>
      <c r="K1055" t="inlineStr"/>
      <c r="L1055" t="inlineStr"/>
      <c r="M1055" t="inlineStr"/>
      <c r="N1055" t="inlineStr"/>
      <c r="O1055" t="inlineStr"/>
      <c r="P1055" t="inlineStr"/>
      <c r="Q1055" t="inlineStr"/>
      <c r="R1055" t="inlineStr"/>
      <c r="S1055" t="inlineStr"/>
    </row>
    <row r="1056">
      <c r="A1056">
        <f>Skills!A17</f>
        <v/>
      </c>
      <c r="B1056">
        <f>Skills!B17</f>
        <v/>
      </c>
      <c r="C1056">
        <f>Inputs!$B$3&gt;=66</f>
        <v/>
      </c>
      <c r="D1056">
        <f>IF(Skills!C17=1,60+Inputs!$B$25+Inputs!$B$29,IF(Skills!C17=2,90+Inputs!$B$26+Inputs!$B$29,IF(Skills!C17=3,120+Inputs!$B$27+Inputs!$B$29,MAX(0,(Inputs!$B$3-100)*3)+Inputs!$B$28+Inputs!$B$29)))</f>
        <v/>
      </c>
      <c r="E1056">
        <f>INDEX(FactorTable!$B$2:$Y$301, MATCH(ROUND(MIN(300,MAX(1,D1056)),0), FactorTable!$A$2:$A$301,0), Skills!M17+1)</f>
        <v/>
      </c>
      <c r="F1056">
        <f>IF(Skills!N17=TRUE,(Skills!L17/10)*(E1056/1000),Skills!L17/10)+Skills!O17</f>
        <v/>
      </c>
      <c r="G1056">
        <f>Skills!G17*IF(Skills!H17&gt;0,Skills!I17/Skills!H17,1)</f>
        <v/>
      </c>
      <c r="H1056">
        <f>1-(1-Skills!J17/100)^Skills!K17</f>
        <v/>
      </c>
      <c r="I1056" t="inlineStr">
        <is>
          <t>1</t>
        </is>
      </c>
      <c r="J1056" t="inlineStr"/>
      <c r="K1056" t="inlineStr"/>
      <c r="L1056" t="inlineStr"/>
      <c r="M1056" t="inlineStr"/>
      <c r="N1056" t="inlineStr"/>
      <c r="O1056">
        <f>(1-Summary!$B$11)*T1056+Summary!$B$11*V1056</f>
        <v/>
      </c>
      <c r="P1056">
        <f>IF(B1080=0,0,O1056/B1080)</f>
        <v/>
      </c>
      <c r="Q1056" t="n">
        <v>0</v>
      </c>
      <c r="R1056" t="n">
        <v>0</v>
      </c>
      <c r="S1056">
        <f>IFERROR(O1056/N1056,0)</f>
        <v/>
      </c>
      <c r="T1056" t="n">
        <v>0</v>
      </c>
      <c r="V1056" t="n">
        <v>0</v>
      </c>
    </row>
    <row r="1057">
      <c r="A1057">
        <f>Skills!A18</f>
        <v/>
      </c>
      <c r="B1057">
        <f>Skills!B18</f>
        <v/>
      </c>
      <c r="C1057">
        <f>Inputs!$B$3&gt;=115</f>
        <v/>
      </c>
      <c r="D1057">
        <f>IF(Skills!C18=1,60+Inputs!$B$25+Inputs!$B$29,IF(Skills!C18=2,90+Inputs!$B$26+Inputs!$B$29,IF(Skills!C18=3,120+Inputs!$B$27+Inputs!$B$29,MAX(0,(Inputs!$B$3-100)*3)+Inputs!$B$28+Inputs!$B$29)))</f>
        <v/>
      </c>
      <c r="E1057">
        <f>INDEX(FactorTable!$B$2:$Y$301, MATCH(ROUND(MIN(300,MAX(1,D1057)),0), FactorTable!$A$2:$A$301,0), Skills!M18+1)</f>
        <v/>
      </c>
      <c r="F1057">
        <f>IF(Skills!N18=TRUE,(Skills!L18/10)*(E1057/1000),Skills!L18/10)+Skills!O18</f>
        <v/>
      </c>
      <c r="G1057">
        <f>Skills!G18*IF(Skills!H18&gt;0,Skills!I18/Skills!H18,1)</f>
        <v/>
      </c>
      <c r="H1057">
        <f>1-(1-Skills!J18/100)^Skills!K18</f>
        <v/>
      </c>
      <c r="I1057" t="inlineStr">
        <is>
          <t>1</t>
        </is>
      </c>
      <c r="J1057" t="inlineStr"/>
      <c r="K1057" t="inlineStr"/>
      <c r="L1057" t="inlineStr"/>
      <c r="M1057" t="inlineStr"/>
      <c r="N1057" t="inlineStr"/>
      <c r="O1057">
        <f>(1-Summary!$B$11)*T1057+Summary!$B$11*V1057</f>
        <v/>
      </c>
      <c r="P1057">
        <f>IF(B1080=0,0,O1057/B1080)</f>
        <v/>
      </c>
      <c r="Q1057">
        <f>IFERROR(1/(IF(Inputs!$B$38="pvp",15,MAX(0.1,Skills!D18-IF(Skills!E18=TRUE,Inputs!$B$32,0)))*(1-IF(AND(ArtifactsInput!$M$27,Inputs!$B$4="Chapter Hunt"),CHOOSE(ArtifactsInput!$N$27+1,20,24,28,32,36,40),0)/100)),0)</f>
        <v/>
      </c>
      <c r="R1057">
        <f>IF(AND(Inputs!$B$38&lt;&gt;"pvp",Inputs!$B$43&gt;0),IF(Inputs!$B$43&lt;=0,0,(INT(Inputs!$B$43/(IF(Inputs!$B$38="pvp",15,MAX(0.1,Skills!D18-IF(Skills!E18=TRUE,Inputs!$B$32,0)))*(1-IF(AND(ArtifactsInput!$M$27,Inputs!$B$4="Chapter Hunt"),CHOOSE(ArtifactsInput!$N$27+1,20,24,28,32,36,40),0)/100)))+1)),0)</f>
        <v/>
      </c>
      <c r="S1057">
        <f>IFERROR(O1057/N1057,0)</f>
        <v/>
      </c>
      <c r="T1057" t="n">
        <v>0</v>
      </c>
      <c r="V1057" t="n">
        <v>0</v>
      </c>
    </row>
    <row r="1058">
      <c r="A1058">
        <f>Skills!A19</f>
        <v/>
      </c>
      <c r="B1058">
        <f>Skills!B19</f>
        <v/>
      </c>
      <c r="C1058">
        <f>Inputs!$B$3&gt;=15</f>
        <v/>
      </c>
      <c r="D1058">
        <f>IF(Skills!C19=1,60+Inputs!$B$25+Inputs!$B$29,IF(Skills!C19=2,90+Inputs!$B$26+Inputs!$B$29,IF(Skills!C19=3,120+Inputs!$B$27+Inputs!$B$29,MAX(0,(Inputs!$B$3-100)*3)+Inputs!$B$28+Inputs!$B$29)))</f>
        <v/>
      </c>
      <c r="E1058">
        <f>INDEX(FactorTable!$B$2:$Y$301, MATCH(ROUND(MIN(300,MAX(1,D1058)),0), FactorTable!$A$2:$A$301,0), Skills!M19+1)</f>
        <v/>
      </c>
      <c r="F1058">
        <f>IF(Skills!N19=TRUE,(Skills!L19/10)*(E1058/1000),Skills!L19/10)+Skills!O19</f>
        <v/>
      </c>
      <c r="G1058">
        <f>Skills!G19*IF(Skills!H19&gt;0,Skills!I19/Skills!H19,1)</f>
        <v/>
      </c>
      <c r="H1058">
        <f>1-(1-Skills!J19/100)^Skills!K19</f>
        <v/>
      </c>
      <c r="I1058" t="inlineStr">
        <is>
          <t>1</t>
        </is>
      </c>
      <c r="J1058" t="inlineStr"/>
      <c r="K1058" t="inlineStr"/>
      <c r="L1058" t="inlineStr"/>
      <c r="M1058" t="inlineStr"/>
      <c r="N1058" t="inlineStr"/>
      <c r="O1058">
        <f>(1-Summary!$B$11)*T1058+Summary!$B$11*V1058</f>
        <v/>
      </c>
      <c r="P1058">
        <f>IF(B1080=0,0,O1058/B1080)</f>
        <v/>
      </c>
      <c r="Q1058" t="n">
        <v>0</v>
      </c>
      <c r="R1058" t="n">
        <v>0</v>
      </c>
      <c r="S1058">
        <f>IFERROR(O1058/N1058,0)</f>
        <v/>
      </c>
      <c r="T1058" t="n">
        <v>0</v>
      </c>
      <c r="V1058" t="n">
        <v>0</v>
      </c>
    </row>
    <row r="1059">
      <c r="A1059">
        <f>Skills!A20</f>
        <v/>
      </c>
      <c r="B1059">
        <f>Skills!B20</f>
        <v/>
      </c>
      <c r="C1059">
        <f>Inputs!$B$3&gt;=10</f>
        <v/>
      </c>
      <c r="D1059">
        <f>IF(Skills!C20=1,60+Inputs!$B$25+Inputs!$B$29,IF(Skills!C20=2,90+Inputs!$B$26+Inputs!$B$29,IF(Skills!C20=3,120+Inputs!$B$27+Inputs!$B$29,MAX(0,(Inputs!$B$3-100)*3)+Inputs!$B$28+Inputs!$B$29)))</f>
        <v/>
      </c>
      <c r="E1059">
        <f>INDEX(FactorTable!$B$2:$Y$301, MATCH(ROUND(MIN(300,MAX(1,D1059)),0), FactorTable!$A$2:$A$301,0), Skills!M20+1)</f>
        <v/>
      </c>
      <c r="F1059">
        <f>IF(Skills!N20=TRUE,(Skills!L20/10)*(E1059/1000),Skills!L20/10)+Skills!O20</f>
        <v/>
      </c>
      <c r="G1059">
        <f>Skills!G20*IF(Skills!H20&gt;0,Skills!I20/Skills!H20,1)</f>
        <v/>
      </c>
      <c r="H1059">
        <f>1-(1-Skills!J20/100)^Skills!K20</f>
        <v/>
      </c>
      <c r="I1059" t="inlineStr">
        <is>
          <t>1</t>
        </is>
      </c>
      <c r="J1059" t="inlineStr"/>
      <c r="K1059" t="inlineStr"/>
      <c r="L1059" t="inlineStr"/>
      <c r="M1059" t="inlineStr"/>
      <c r="N1059" t="inlineStr"/>
      <c r="O1059">
        <f>(1-Summary!$B$11)*T1059+Summary!$B$11*V1059</f>
        <v/>
      </c>
      <c r="P1059">
        <f>IF(B1080=0,0,O1059/B1080)</f>
        <v/>
      </c>
      <c r="Q1059" t="n">
        <v>0</v>
      </c>
      <c r="R1059" t="n">
        <v>0</v>
      </c>
      <c r="S1059">
        <f>IFERROR(O1059/N1059,0)</f>
        <v/>
      </c>
      <c r="T1059" t="n">
        <v>0</v>
      </c>
      <c r="V1059" t="n">
        <v>0</v>
      </c>
    </row>
    <row r="1060">
      <c r="A1060">
        <f>Skills!A21</f>
        <v/>
      </c>
      <c r="B1060">
        <f>Skills!B21</f>
        <v/>
      </c>
      <c r="C1060">
        <f>Inputs!$B$3&gt;=33</f>
        <v/>
      </c>
      <c r="D1060">
        <f>IF(Skills!C21=1,60+Inputs!$B$25+Inputs!$B$29,IF(Skills!C21=2,90+Inputs!$B$26+Inputs!$B$29,IF(Skills!C21=3,120+Inputs!$B$27+Inputs!$B$29,MAX(0,(Inputs!$B$3-100)*3)+Inputs!$B$28+Inputs!$B$29)))</f>
        <v/>
      </c>
      <c r="E1060">
        <f>INDEX(FactorTable!$B$2:$Y$301, MATCH(ROUND(MIN(300,MAX(1,D1060)),0), FactorTable!$A$2:$A$301,0), Skills!M21+1)</f>
        <v/>
      </c>
      <c r="F1060">
        <f>IF(Skills!N21=TRUE,(Skills!L21/10)*(E1060/1000),Skills!L21/10)+Skills!O21</f>
        <v/>
      </c>
      <c r="G1060">
        <f>Skills!G21*IF(Skills!H21&gt;0,Skills!I21/Skills!H21,1)</f>
        <v/>
      </c>
      <c r="H1060">
        <f>1-(1-Skills!J21/100)^Skills!K21</f>
        <v/>
      </c>
      <c r="I1060" t="inlineStr">
        <is>
          <t>1</t>
        </is>
      </c>
      <c r="J1060" t="inlineStr"/>
      <c r="K1060" t="inlineStr"/>
      <c r="L1060" t="inlineStr"/>
      <c r="M1060" t="inlineStr"/>
      <c r="N1060" t="inlineStr"/>
      <c r="O1060">
        <f>(1-Summary!$B$11)*T1060+Summary!$B$11*V1060</f>
        <v/>
      </c>
      <c r="P1060">
        <f>IF(B1080=0,0,O1060/B1080)</f>
        <v/>
      </c>
      <c r="Q1060" t="n">
        <v>0</v>
      </c>
      <c r="R1060" t="n">
        <v>0</v>
      </c>
      <c r="S1060">
        <f>IFERROR(O1060/N1060,0)</f>
        <v/>
      </c>
      <c r="T1060" t="n">
        <v>0</v>
      </c>
      <c r="V1060" t="n">
        <v>0</v>
      </c>
    </row>
    <row r="1061">
      <c r="A1061">
        <f>Skills!A22</f>
        <v/>
      </c>
      <c r="B1061">
        <f>Skills!B22</f>
        <v/>
      </c>
      <c r="C1061">
        <f>Inputs!$B$3&gt;=43</f>
        <v/>
      </c>
      <c r="D1061">
        <f>IF(Skills!C22=1,60+Inputs!$B$25+Inputs!$B$29,IF(Skills!C22=2,90+Inputs!$B$26+Inputs!$B$29,IF(Skills!C22=3,120+Inputs!$B$27+Inputs!$B$29,MAX(0,(Inputs!$B$3-100)*3)+Inputs!$B$28+Inputs!$B$29)))</f>
        <v/>
      </c>
      <c r="E1061">
        <f>INDEX(FactorTable!$B$2:$Y$301, MATCH(ROUND(MIN(300,MAX(1,D1061)),0), FactorTable!$A$2:$A$301,0), Skills!M22+1)</f>
        <v/>
      </c>
      <c r="F1061">
        <f>IF(Skills!N22=TRUE,(Skills!L22/10)*(E1061/1000),Skills!L22/10)+Skills!O22</f>
        <v/>
      </c>
      <c r="G1061">
        <f>Skills!G22*IF(Skills!H22&gt;0,Skills!I22/Skills!H22,1)</f>
        <v/>
      </c>
      <c r="H1061">
        <f>1-(1-Skills!J22/100)^Skills!K22</f>
        <v/>
      </c>
      <c r="I1061" t="inlineStr">
        <is>
          <t>1</t>
        </is>
      </c>
      <c r="J1061" t="inlineStr"/>
      <c r="K1061" t="inlineStr"/>
      <c r="L1061" t="inlineStr"/>
      <c r="M1061" t="inlineStr"/>
      <c r="N1061" t="inlineStr"/>
      <c r="O1061">
        <f>(1-Summary!$B$11)*T1061+Summary!$B$11*V1061</f>
        <v/>
      </c>
      <c r="P1061">
        <f>IF(B1080=0,0,O1061/B1080)</f>
        <v/>
      </c>
      <c r="Q1061" t="n">
        <v>0</v>
      </c>
      <c r="R1061" t="n">
        <v>0</v>
      </c>
      <c r="S1061">
        <f>IFERROR(O1061/N1061,0)</f>
        <v/>
      </c>
      <c r="T1061" t="n">
        <v>0</v>
      </c>
      <c r="V1061" t="n">
        <v>0</v>
      </c>
    </row>
    <row r="1062">
      <c r="A1062">
        <f>Skills!A23</f>
        <v/>
      </c>
      <c r="B1062">
        <f>Skills!B23</f>
        <v/>
      </c>
      <c r="C1062">
        <f>Inputs!$B$3&gt;=38</f>
        <v/>
      </c>
      <c r="D1062">
        <f>IF(Skills!C23=1,60+Inputs!$B$25+Inputs!$B$29,IF(Skills!C23=2,90+Inputs!$B$26+Inputs!$B$29,IF(Skills!C23=3,120+Inputs!$B$27+Inputs!$B$29,MAX(0,(Inputs!$B$3-100)*3)+Inputs!$B$28+Inputs!$B$29)))</f>
        <v/>
      </c>
      <c r="E1062">
        <f>INDEX(FactorTable!$B$2:$Y$301, MATCH(ROUND(MIN(300,MAX(1,D1062)),0), FactorTable!$A$2:$A$301,0), Skills!M23+1)</f>
        <v/>
      </c>
      <c r="F1062">
        <f>IF(Skills!N23=TRUE,(Skills!L23/10)*(E1062/1000),Skills!L23/10)+Skills!O23</f>
        <v/>
      </c>
      <c r="G1062">
        <f>Skills!G23*IF(Skills!H23&gt;0,Skills!I23/Skills!H23,1)</f>
        <v/>
      </c>
      <c r="H1062">
        <f>1-(1-Skills!J23/100)^Skills!K23</f>
        <v/>
      </c>
      <c r="I1062" t="inlineStr">
        <is>
          <t>1</t>
        </is>
      </c>
      <c r="J1062" t="inlineStr"/>
      <c r="K1062" t="inlineStr"/>
      <c r="L1062" t="inlineStr"/>
      <c r="M1062" t="inlineStr"/>
      <c r="N1062" t="inlineStr"/>
      <c r="O1062">
        <f>(1-Summary!$B$11)*T1062+Summary!$B$11*V1062</f>
        <v/>
      </c>
      <c r="P1062">
        <f>IF(B1080=0,0,O1062/B1080)</f>
        <v/>
      </c>
      <c r="Q1062" t="n">
        <v>0</v>
      </c>
      <c r="R1062" t="n">
        <v>0</v>
      </c>
      <c r="S1062">
        <f>IFERROR(O1062/N1062,0)</f>
        <v/>
      </c>
      <c r="T1062" t="n">
        <v>0</v>
      </c>
      <c r="V1062" t="n">
        <v>0</v>
      </c>
    </row>
    <row r="1063">
      <c r="A1063">
        <f>Skills!A24</f>
        <v/>
      </c>
      <c r="B1063">
        <f>Skills!B24</f>
        <v/>
      </c>
      <c r="C1063">
        <f>Inputs!$B$3&gt;=40</f>
        <v/>
      </c>
      <c r="D1063">
        <f>IF(Skills!C24=1,60+Inputs!$B$25+Inputs!$B$29,IF(Skills!C24=2,90+Inputs!$B$26+Inputs!$B$29,IF(Skills!C24=3,120+Inputs!$B$27+Inputs!$B$29,MAX(0,(Inputs!$B$3-100)*3)+Inputs!$B$28+Inputs!$B$29)))</f>
        <v/>
      </c>
      <c r="E1063">
        <f>INDEX(FactorTable!$B$2:$Y$301, MATCH(ROUND(MIN(300,MAX(1,D1063)),0), FactorTable!$A$2:$A$301,0), Skills!M24+1)</f>
        <v/>
      </c>
      <c r="F1063">
        <f>IF(Skills!N24=TRUE,(Skills!L24/10)*(E1063/1000),Skills!L24/10)+Skills!O24</f>
        <v/>
      </c>
      <c r="G1063">
        <f>Skills!G24*IF(Skills!H24&gt;0,Skills!I24/Skills!H24,1)</f>
        <v/>
      </c>
      <c r="H1063">
        <f>1-(1-Skills!J24/100)^Skills!K24</f>
        <v/>
      </c>
      <c r="I1063" t="inlineStr">
        <is>
          <t>1</t>
        </is>
      </c>
      <c r="J1063" t="inlineStr"/>
      <c r="K1063" t="inlineStr"/>
      <c r="L1063" t="inlineStr"/>
      <c r="M1063" t="inlineStr"/>
      <c r="N1063" t="inlineStr"/>
      <c r="O1063">
        <f>(1-Summary!$B$11)*T1063+Summary!$B$11*V1063</f>
        <v/>
      </c>
      <c r="P1063">
        <f>IF(B1080=0,0,O1063/B1080)</f>
        <v/>
      </c>
      <c r="Q1063" t="n">
        <v>0</v>
      </c>
      <c r="R1063" t="n">
        <v>0</v>
      </c>
      <c r="S1063">
        <f>IFERROR(O1063/N1063,0)</f>
        <v/>
      </c>
      <c r="T1063" t="n">
        <v>0</v>
      </c>
      <c r="V1063" t="n">
        <v>0</v>
      </c>
    </row>
    <row r="1064">
      <c r="A1064">
        <f>Skills!A25</f>
        <v/>
      </c>
      <c r="B1064">
        <f>Skills!B25</f>
        <v/>
      </c>
      <c r="C1064">
        <f>Inputs!$B$3&gt;=72</f>
        <v/>
      </c>
      <c r="D1064">
        <f>IF(Skills!C25=1,60+Inputs!$B$25+Inputs!$B$29,IF(Skills!C25=2,90+Inputs!$B$26+Inputs!$B$29,IF(Skills!C25=3,120+Inputs!$B$27+Inputs!$B$29,MAX(0,(Inputs!$B$3-100)*3)+Inputs!$B$28+Inputs!$B$29)))</f>
        <v/>
      </c>
      <c r="E1064">
        <f>INDEX(FactorTable!$B$2:$Y$301, MATCH(ROUND(MIN(300,MAX(1,D1064)),0), FactorTable!$A$2:$A$301,0), Skills!M25+1)</f>
        <v/>
      </c>
      <c r="F1064">
        <f>IF(Skills!N25=TRUE,(Skills!L25/10)*(E1064/1000),Skills!L25/10)+Skills!O25</f>
        <v/>
      </c>
      <c r="G1064">
        <f>Skills!G25*IF(Skills!H25&gt;0,Skills!I25/Skills!H25,1)</f>
        <v/>
      </c>
      <c r="H1064">
        <f>1-(1-Skills!J25/100)^Skills!K25</f>
        <v/>
      </c>
      <c r="I1064" t="inlineStr">
        <is>
          <t>1</t>
        </is>
      </c>
      <c r="J1064" t="inlineStr"/>
      <c r="K1064" t="inlineStr"/>
      <c r="L1064" t="inlineStr"/>
      <c r="M1064" t="inlineStr"/>
      <c r="N1064" t="inlineStr"/>
      <c r="O1064">
        <f>(1-Summary!$B$11)*T1064+Summary!$B$11*V1064</f>
        <v/>
      </c>
      <c r="P1064">
        <f>IF(B1080=0,0,O1064/B1080)</f>
        <v/>
      </c>
      <c r="Q1064" t="n">
        <v>0</v>
      </c>
      <c r="R1064" t="n">
        <v>0</v>
      </c>
      <c r="S1064">
        <f>IFERROR(O1064/N1064,0)</f>
        <v/>
      </c>
      <c r="T1064" t="n">
        <v>0</v>
      </c>
      <c r="V1064" t="n">
        <v>0</v>
      </c>
    </row>
    <row r="1065">
      <c r="A1065">
        <f>Skills!A26</f>
        <v/>
      </c>
      <c r="B1065">
        <f>Skills!B26</f>
        <v/>
      </c>
      <c r="C1065">
        <f>Inputs!$B$3&gt;=75</f>
        <v/>
      </c>
      <c r="D1065">
        <f>IF(Skills!C26=1,60+Inputs!$B$25+Inputs!$B$29,IF(Skills!C26=2,90+Inputs!$B$26+Inputs!$B$29,IF(Skills!C26=3,120+Inputs!$B$27+Inputs!$B$29,MAX(0,(Inputs!$B$3-100)*3)+Inputs!$B$28+Inputs!$B$29)))</f>
        <v/>
      </c>
      <c r="E1065">
        <f>INDEX(FactorTable!$B$2:$Y$301, MATCH(ROUND(MIN(300,MAX(1,D1065)),0), FactorTable!$A$2:$A$301,0), Skills!M26+1)</f>
        <v/>
      </c>
      <c r="F1065">
        <f>IF(Skills!N26=TRUE,(Skills!L26/10)*(E1065/1000),Skills!L26/10)+Skills!O26</f>
        <v/>
      </c>
      <c r="G1065">
        <f>Skills!G26*IF(Skills!H26&gt;0,Skills!I26/Skills!H26,1)</f>
        <v/>
      </c>
      <c r="H1065">
        <f>1-(1-Skills!J26/100)^Skills!K26</f>
        <v/>
      </c>
      <c r="I1065" t="inlineStr">
        <is>
          <t>1</t>
        </is>
      </c>
      <c r="J1065" t="inlineStr"/>
      <c r="K1065" t="inlineStr"/>
      <c r="L1065" t="inlineStr"/>
      <c r="M1065" t="inlineStr"/>
      <c r="N1065" t="inlineStr"/>
      <c r="O1065">
        <f>(1-Summary!$B$11)*T1065+Summary!$B$11*V1065</f>
        <v/>
      </c>
      <c r="P1065">
        <f>IF(B1080=0,0,O1065/B1080)</f>
        <v/>
      </c>
      <c r="Q1065" t="n">
        <v>0</v>
      </c>
      <c r="R1065" t="n">
        <v>0</v>
      </c>
      <c r="S1065">
        <f>IFERROR(O1065/N1065,0)</f>
        <v/>
      </c>
      <c r="T1065" t="n">
        <v>0</v>
      </c>
      <c r="V1065" t="n">
        <v>0</v>
      </c>
    </row>
    <row r="1066">
      <c r="A1066">
        <f>Skills!A27</f>
        <v/>
      </c>
      <c r="B1066">
        <f>Skills!B27</f>
        <v/>
      </c>
      <c r="C1066">
        <f>Inputs!$B$3&gt;=117</f>
        <v/>
      </c>
      <c r="D1066">
        <f>IF(Skills!C27=1,60+Inputs!$B$25+Inputs!$B$29,IF(Skills!C27=2,90+Inputs!$B$26+Inputs!$B$29,IF(Skills!C27=3,120+Inputs!$B$27+Inputs!$B$29,MAX(0,(Inputs!$B$3-100)*3)+Inputs!$B$28+Inputs!$B$29)))</f>
        <v/>
      </c>
      <c r="E1066">
        <f>INDEX(FactorTable!$B$2:$Y$301, MATCH(ROUND(MIN(300,MAX(1,D1066)),0), FactorTable!$A$2:$A$301,0), Skills!M27+1)</f>
        <v/>
      </c>
      <c r="F1066">
        <f>IF(Skills!N27=TRUE,(Skills!L27/10)*(E1066/1000),Skills!L27/10)+Skills!O27</f>
        <v/>
      </c>
      <c r="G1066">
        <f>Skills!G27*IF(Skills!H27&gt;0,Skills!I27/Skills!H27,1)</f>
        <v/>
      </c>
      <c r="H1066">
        <f>1-(1-Skills!J27/100)^Skills!K27</f>
        <v/>
      </c>
      <c r="I1066" t="inlineStr">
        <is>
          <t>1</t>
        </is>
      </c>
      <c r="J1066" t="inlineStr"/>
      <c r="K1066" t="inlineStr"/>
      <c r="L1066" t="inlineStr"/>
      <c r="M1066" t="inlineStr"/>
      <c r="N1066" t="inlineStr"/>
      <c r="O1066">
        <f>(1-Summary!$B$11)*T1066+Summary!$B$11*V1066</f>
        <v/>
      </c>
      <c r="P1066">
        <f>IF(B1080=0,0,O1066/B1080)</f>
        <v/>
      </c>
      <c r="Q1066" t="n">
        <v>0</v>
      </c>
      <c r="R1066" t="n">
        <v>0</v>
      </c>
      <c r="S1066">
        <f>IFERROR(O1066/N1066,0)</f>
        <v/>
      </c>
      <c r="T1066" t="n">
        <v>0</v>
      </c>
      <c r="V1066" t="n">
        <v>0</v>
      </c>
    </row>
    <row r="1067">
      <c r="A1067">
        <f>Skills!A28</f>
        <v/>
      </c>
      <c r="B1067">
        <f>Skills!B28</f>
        <v/>
      </c>
      <c r="C1067">
        <f>TRUE</f>
        <v/>
      </c>
      <c r="D1067">
        <f>IF(Skills!C28=1,60+Inputs!$B$25+Inputs!$B$29,IF(Skills!C28=2,90+Inputs!$B$26+Inputs!$B$29,IF(Skills!C28=3,120+Inputs!$B$27+Inputs!$B$29,MAX(0,(Inputs!$B$3-100)*3)+Inputs!$B$28+Inputs!$B$29)))</f>
        <v/>
      </c>
      <c r="E1067">
        <f>INDEX(FactorTable!$B$2:$Y$301, MATCH(ROUND(MIN(300,MAX(1,D1067)),0), FactorTable!$A$2:$A$301,0), Skills!M28+1)</f>
        <v/>
      </c>
      <c r="F1067">
        <f>IF(Skills!N28=TRUE,(Skills!L28/10)*(E1067/1000),Skills!L28/10)+Skills!O28</f>
        <v/>
      </c>
      <c r="G1067">
        <f>Skills!G28*IF(Skills!H28&gt;0,Skills!I28/Skills!H28,1)</f>
        <v/>
      </c>
      <c r="H1067">
        <f>1-(1-Skills!J28/100)^Skills!K28</f>
        <v/>
      </c>
      <c r="I1067" t="inlineStr">
        <is>
          <t>1</t>
        </is>
      </c>
      <c r="J1067" t="inlineStr"/>
      <c r="K1067" t="inlineStr"/>
      <c r="L1067" t="inlineStr"/>
      <c r="M1067" t="inlineStr"/>
      <c r="N1067" t="inlineStr"/>
      <c r="O1067">
        <f>(1-Summary!$B$11)*T1067+Summary!$B$11*V1067</f>
        <v/>
      </c>
      <c r="P1067">
        <f>IF(B1080=0,0,O1067/B1080)</f>
        <v/>
      </c>
      <c r="Q1067">
        <f>IFERROR(1/(IF(Inputs!$B$38="pvp",15,MAX(0.1,Skills!D28-IF(Skills!E28=TRUE,Inputs!$B$32,0)))*(1-IF(AND(ArtifactsInput!$M$27,Inputs!$B$4="Chapter Hunt"),CHOOSE(ArtifactsInput!$N$27+1,20,24,28,32,36,40),0)/100)),0)</f>
        <v/>
      </c>
      <c r="R1067">
        <f>IF(AND(Inputs!$B$38&lt;&gt;"pvp",Inputs!$B$43&gt;0),IF(Inputs!$B$43&lt;=0,0,(INT(Inputs!$B$43/(IF(Inputs!$B$38="pvp",15,MAX(0.1,Skills!D28-IF(Skills!E28=TRUE,Inputs!$B$32,0)))*(1-IF(AND(ArtifactsInput!$M$27,Inputs!$B$4="Chapter Hunt"),CHOOSE(ArtifactsInput!$N$27+1,20,24,28,32,36,40),0)/100)))+1)),0)</f>
        <v/>
      </c>
      <c r="S1067">
        <f>IFERROR(O1067/N1067,0)</f>
        <v/>
      </c>
      <c r="T1067" t="n">
        <v>0</v>
      </c>
      <c r="V1067" t="n">
        <v>0</v>
      </c>
    </row>
    <row r="1069">
      <c r="A1069" t="inlineStr">
        <is>
          <t>Attack% Bucket Multiplier</t>
        </is>
      </c>
      <c r="B1069">
        <f>(1+(((C1056=TRUE)*F1056*5/7)+((C1063=TRUE)*(F1063-Calc!F24))+(IF(ArtifactsInput!$M$21,CHOOSE(ArtifactsInput!$N$21+1,25,30,35,40,45,50)*(IF(OR(Inputs!$B$4="Chapter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70">
      <c r="A1070" t="inlineStr">
        <is>
          <t>Global Crit Rate Bonus %</t>
        </is>
      </c>
      <c r="B1070" t="n">
        <v>0</v>
      </c>
    </row>
    <row r="1071">
      <c r="A1071" t="inlineStr">
        <is>
          <t>Attack Speed Buff Bonus % (Nimble Feet, duty-cycle averaged)</t>
        </is>
      </c>
      <c r="B1071">
        <f>((C1067=TRUE)*F1067*IF(AND(Inputs!$B$38&lt;&gt;"pvp",Inputs!$B$43&gt;0),(((R1067-1)*(Skills!T28*(1+Inputs!$B$34/100))+MIN((Skills!T28*(1+Inputs!$B$34/100)),MAX(0,Inputs!$B$43-((R1067-1)*Skills!D28))))/Inputs!$B$43),IF(Inputs!$B$38="pvp",MIN((Skills!T28*(1+Inputs!$B$34/100)),15)/15,(Skills!T28*(1+Inputs!$B$34/100))/Skills!D28)))</f>
        <v/>
      </c>
    </row>
    <row r="1072">
      <c r="A1072" t="inlineStr">
        <is>
          <t>Actions Per Second</t>
        </is>
      </c>
      <c r="B1072">
        <f>1+MIN(150,150*(1-(1-(Inputs!$B$11+((C1059=TRUE)*(F1059-Calc!F20))+((C1060=TRUE)*(F1060-Calc!F21)))/150)*(1-B1071/150)))/100</f>
        <v/>
      </c>
    </row>
    <row r="1073">
      <c r="A1073" t="inlineStr">
        <is>
          <t>Skill + Buff Cast Rate</t>
        </is>
      </c>
      <c r="B1073">
        <f>IF(AND(Inputs!$B$38&lt;&gt;"pvp",Inputs!$B$43&gt;0),SUMPRODUCT((Skills!E2:E28=TRUE)*(C1041:C1067=TRUE)*R1041:R1067*Skills!F2:F28)/Inputs!$B$43,SUMPRODUCT((Skills!E2:E28=TRUE)*(C1041:C1067=TRUE)*Q1041:Q1067*Skills!F2:F28))</f>
        <v/>
      </c>
    </row>
    <row r="1074">
      <c r="A1074" t="inlineStr">
        <is>
          <t>Eight-Legs Easton Casts Per Second</t>
        </is>
      </c>
      <c r="B1074">
        <f>MAX(0,B1072-B1073)</f>
        <v/>
      </c>
    </row>
    <row r="1075">
      <c r="A1075" t="inlineStr">
        <is>
          <t>Global Critical Damage Bonus % (unused)</t>
        </is>
      </c>
      <c r="B1075" t="n">
        <v>0</v>
      </c>
    </row>
    <row r="1076">
      <c r="A1076" t="inlineStr">
        <is>
          <t>Global Final Damage Bonus % (Jolly Roger + Ahoy Mateys - Final Damage proc)</t>
        </is>
      </c>
      <c r="B1076">
        <f>((C1057=TRUE)*F1057*IF(AND(Inputs!$B$38&lt;&gt;"pvp",Inputs!$B$43&gt;0),(((R1057-1)*(Skills!T18*(1+Inputs!$B$34/100))+MIN((Skills!T18*(1+Inputs!$B$34/100)),MAX(0,Inputs!$B$43-((R1057-1)*Skills!D18))))/Inputs!$B$43),IF(Inputs!$B$38="pvp",MIN((Skills!T18*(1+Inputs!$B$34/100)),15)/15,(Skills!T18*(1+Inputs!$B$34/100))/Skills!D18)))+IF(Inputs!$B$3&gt;=122,20*IF(Inputs!$B$38="pvp",MIN((20*(1+Inputs!$B$34/100)),15)/15,(20*(1+Inputs!$B$34/100))/Skills!D4),0)</f>
        <v/>
      </c>
    </row>
    <row r="1077">
      <c r="A1077" t="inlineStr">
        <is>
          <t>Buff-Casting Startup Delay (s, fixed-duration only)</t>
        </is>
      </c>
      <c r="B1077">
        <f>IF(AND(Inputs!$B$38&lt;&gt;"pvp",Inputs!$B$43&gt;0),SUMPRODUCT((Skills!T2:T28&gt;0)*(Skills!E2:E28=TRUE)*(C1041:C1067=TRUE))/B1072,0)</f>
        <v/>
      </c>
    </row>
    <row r="1078">
      <c r="A1078" t="inlineStr">
        <is>
          <t>Boss-Only Total DPS (this block's swept value)</t>
        </is>
      </c>
      <c r="B1078">
        <f>SUM(T1041:T1067)</f>
        <v/>
      </c>
    </row>
    <row r="1079">
      <c r="A1079" t="inlineStr">
        <is>
          <t>Normal-Only Total DPS (this block's swept value)</t>
        </is>
      </c>
      <c r="B1079">
        <f>SUM(V1041:V1067)</f>
        <v/>
      </c>
    </row>
    <row r="1080">
      <c r="A1080" s="6" t="inlineStr">
        <is>
          <t>TOTAL DPS</t>
        </is>
      </c>
      <c r="B1080" s="6">
        <f>SUM(O1041:O1067)</f>
        <v/>
      </c>
    </row>
    <row r="1083">
      <c r="A1083" s="6" t="inlineStr">
        <is>
          <t>Stat: Skill Cooldown Decrease (seconds)</t>
        </is>
      </c>
    </row>
    <row r="1084">
      <c r="A1084" s="5" t="inlineStr">
        <is>
          <t>Key</t>
        </is>
      </c>
      <c r="B1084" s="5" t="inlineStr">
        <is>
          <t>Name</t>
        </is>
      </c>
      <c r="C1084" s="5" t="inlineStr">
        <is>
          <t>Unlocked</t>
        </is>
      </c>
      <c r="D1084" s="5" t="inlineStr">
        <is>
          <t>InputLevel</t>
        </is>
      </c>
      <c r="E1084" s="5" t="inlineStr">
        <is>
          <t>Factor</t>
        </is>
      </c>
      <c r="F1084" s="5" t="inlineStr">
        <is>
          <t>CoefficientPercent</t>
        </is>
      </c>
      <c r="G1084" s="5" t="inlineStr">
        <is>
          <t>EffectiveHits</t>
        </is>
      </c>
      <c r="H1084" s="5" t="inlineStr">
        <is>
          <t>ProcProbability</t>
        </is>
      </c>
      <c r="I1084" s="5" t="inlineStr">
        <is>
          <t>MapleHeroMultiplier</t>
        </is>
      </c>
      <c r="J1084" s="5" t="inlineStr">
        <is>
          <t>BaseDamage</t>
        </is>
      </c>
      <c r="K1084" s="5" t="inlineStr">
        <is>
          <t>BaseHitDamage</t>
        </is>
      </c>
      <c r="L1084" s="5" t="inlineStr">
        <is>
          <t>NonCritAvg</t>
        </is>
      </c>
      <c r="M1084" s="5" t="inlineStr">
        <is>
          <t>CritAvg</t>
        </is>
      </c>
      <c r="N1084" s="5" t="inlineStr">
        <is>
          <t>ExpectedDamage(perHit)</t>
        </is>
      </c>
      <c r="O1084" s="5" t="inlineStr">
        <is>
          <t>DPS</t>
        </is>
      </c>
      <c r="P1084" s="5" t="inlineStr">
        <is>
          <t>% of Total</t>
        </is>
      </c>
      <c r="Q1084" s="5" t="inlineStr">
        <is>
          <t>InvCooldown</t>
        </is>
      </c>
      <c r="R1084" s="5" t="inlineStr">
        <is>
          <t>CastsInFight</t>
        </is>
      </c>
      <c r="S1084" s="5" t="inlineStr">
        <is>
          <t>HitRate(perSec)</t>
        </is>
      </c>
      <c r="U1084" t="inlineStr">
        <is>
          <t>helpers</t>
        </is>
      </c>
    </row>
    <row r="1085">
      <c r="A1085">
        <f>Skills!A2</f>
        <v/>
      </c>
      <c r="B1085">
        <f>Skills!B2</f>
        <v/>
      </c>
      <c r="C1085">
        <f>Inputs!$B$3&gt;=100</f>
        <v/>
      </c>
      <c r="D1085" t="inlineStr"/>
      <c r="E1085" t="inlineStr"/>
      <c r="F1085">
        <f>U1087+Skills!O2</f>
        <v/>
      </c>
      <c r="G1085">
        <f>Skills!G2*IF(Skills!H2&gt;0,Skills!I2/Skills!H2,1)</f>
        <v/>
      </c>
      <c r="H1085">
        <f>1-(1-Skills!J2/100)^Skills!K2</f>
        <v/>
      </c>
      <c r="I1085" t="inlineStr">
        <is>
          <t>1</t>
        </is>
      </c>
      <c r="J1085">
        <f>((Inputs!$B$6*(1+Inputs!$B$7/100))+(((Inputs!$B$12*(1+Inputs!$B$13/100))-(Inputs!$B$12*(1+Inputs!$B$13/100)))+0.25*(Inputs!$B$14-Inputs!$B$14))*(1+Inputs!$B$7/100))*(F1085/100)</f>
        <v/>
      </c>
      <c r="K1085">
        <f>J1085*(1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1085)</f>
        <v/>
      </c>
      <c r="L1085">
        <f>K1085*(MIN(Inputs!$B$22+((C1105=TRUE)*(F1105-Calc!F22)),(Inputs!$B$23+0+(IF(ArtifactsInput!$M$15,CHOOSE(ArtifactsInput!$N$15+1,25,30,35,40,45,50)/100*(Inputs!$B$11-Inputs!$B$11),0))))/100+(Inputs!$B$23+0+(IF(ArtifactsInput!$M$15,CHOOSE(ArtifactsInput!$N$15+1,25,30,35,40,45,50)/100*(Inputs!$B$11-Inputs!$B$11),0)))/100)/2</f>
        <v/>
      </c>
      <c r="M1085">
        <f>L1085*(1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5">
        <f>L1085*(1-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1085*(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5">
        <f>(1-Summary!$B$11)*T1085+Summary!$B$11*V1085</f>
        <v/>
      </c>
      <c r="P1085">
        <f>IF(B1124=0,0,O1085/B1124)</f>
        <v/>
      </c>
      <c r="Q1085" t="n">
        <v>0</v>
      </c>
      <c r="R1085" t="n">
        <v>0</v>
      </c>
      <c r="S1085">
        <f>IFERROR(O1085/N1085,0)</f>
        <v/>
      </c>
      <c r="T1085">
        <f>IF(C1085,(Skills!G2*N1085*B1118)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1085*(1-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1085*(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1085*(1-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1085*(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5">
        <f>MAX(0,(Inputs!$B$3-100)*3)+Inputs!$B$28+Inputs!$B$29</f>
        <v/>
      </c>
      <c r="V1085">
        <f>IF(C1085,(Skills!G2*N1085*B1118)*IF(Inputs!$B$38="pvp",1,(1+(Inputs!$B$21+Skills!Q2+(IF(ArtifactsInput!$M$33,CHOOSE(ArtifactsInput!$N$33+1,30,36,42,48,54,60),0))+(IF(AND(ArtifactsInput!$M$35,Inputs!$B$4&lt;&gt;"Chapter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6">
      <c r="A1086">
        <f>Skills!A3</f>
        <v/>
      </c>
      <c r="B1086">
        <f>Skills!B3</f>
        <v/>
      </c>
      <c r="C1086">
        <f>Inputs!$B$3&gt;=35</f>
        <v/>
      </c>
      <c r="D1086">
        <f>IF(Skills!C3=1,60+Inputs!$B$25+Inputs!$B$29,IF(Skills!C3=2,90+Inputs!$B$26+Inputs!$B$29,IF(Skills!C3=3,120+Inputs!$B$27+Inputs!$B$29,MAX(0,(Inputs!$B$3-100)*3)+Inputs!$B$28+Inputs!$B$29)))</f>
        <v/>
      </c>
      <c r="E1086">
        <f>INDEX(FactorTable!$B$2:$Y$301, MATCH(ROUND(MIN(300,MAX(1,D1086)),0), FactorTable!$A$2:$A$301,0), Skills!M3+1)</f>
        <v/>
      </c>
      <c r="F1086">
        <f>IF(Skills!N3=TRUE,(Skills!L3/10)*(E1086/1000),Skills!L3/10)+Skills!O3</f>
        <v/>
      </c>
      <c r="G1086">
        <f>Skills!G3*IF(Skills!H3&gt;0,Skills!I3/Skills!H3,1)</f>
        <v/>
      </c>
      <c r="H1086">
        <f>1-(1-Skills!J3/100)^Skills!K3</f>
        <v/>
      </c>
      <c r="I1086" t="inlineStr">
        <is>
          <t>1</t>
        </is>
      </c>
      <c r="J1086">
        <f>((Inputs!$B$6*(1+Inputs!$B$7/100))+(((Inputs!$B$12*(1+Inputs!$B$13/100))-(Inputs!$B$12*(1+Inputs!$B$13/100)))+0.25*(Inputs!$B$14-Inputs!$B$14))*(1+Inputs!$B$7/100))*(F1086/100)</f>
        <v/>
      </c>
      <c r="K1086">
        <f>J1086*(1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1098=TRUE,F1098,0)/100)*(1+(IF(Skills!A3="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1086)</f>
        <v/>
      </c>
      <c r="L1086">
        <f>K1086*(MIN(Inputs!$B$22+((C1105=TRUE)*(F1105-Calc!F22)),(Inputs!$B$23+0+(IF(ArtifactsInput!$M$15,CHOOSE(ArtifactsInput!$N$15+1,25,30,35,40,45,50)/100*(Inputs!$B$11-Inputs!$B$11),0))))/100+(Inputs!$B$23+0+(IF(ArtifactsInput!$M$15,CHOOSE(ArtifactsInput!$N$15+1,25,30,35,40,45,50)/100*(Inputs!$B$11-Inputs!$B$11),0)))/100)/2</f>
        <v/>
      </c>
      <c r="M1086">
        <f>L1086*(1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6">
        <f>L1086*(1-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1086*(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6">
        <f>(1-Summary!$B$11)*T1086+Summary!$B$11*V1086</f>
        <v/>
      </c>
      <c r="P1086">
        <f>IF(B1124=0,0,O1086/B1124)</f>
        <v/>
      </c>
      <c r="Q1086">
        <f>IFERROR(1/(IF(Inputs!$B$38="pvp",15,MAX(0.1,Skills!D3-IF(Skills!E3=TRUE,(Inputs!$B$32+1),0)))*(1-IF(AND(ArtifactsInput!$M$27,Inputs!$B$4="Chapter Hunt"),CHOOSE(ArtifactsInput!$N$27+1,20,24,28,32,36,40),0)/100)),0)</f>
        <v/>
      </c>
      <c r="R1086">
        <f>IF(AND(Inputs!$B$38&lt;&gt;"pvp",Inputs!$B$43&gt;0),IF(MAX(0,Inputs!$B$43-B1121)&lt;=0,0,(INT(MAX(0,Inputs!$B$43-B1121)/(IF(Inputs!$B$38="pvp",15,MAX(0.1,Skills!D3-IF(Skills!E3=TRUE,(Inputs!$B$32+1),0)))*(1-IF(AND(ArtifactsInput!$M$27,Inputs!$B$4="Chapter Hunt"),CHOOSE(ArtifactsInput!$N$27+1,20,24,28,32,36,40),0)/100)))+1)),0)</f>
        <v/>
      </c>
      <c r="S1086">
        <f>IFERROR(O1086/N1086,0)</f>
        <v/>
      </c>
      <c r="T1086">
        <f>IF(C1086,(H1086*N1086*IF(AND(Inputs!$B$38&lt;&gt;"pvp",Inputs!$B$43&gt;0),((Skills!G3*((R1086-1)*IF(Skills!H3&gt;0,Skills!I3/Skills!H3,1)+IF(Skills!H3&gt;0,MIN(Skills!I3,MAX(0,MAX(0,Inputs!$B$43-B1121)-((R1086-1)*(IF(Inputs!$B$38="pvp",15,MAX(0.1,Skills!D3-IF(Skills!E3=TRUE,(Inputs!$B$32+1),0)))*(1-IF(AND(ArtifactsInput!$M$27,Inputs!$B$4="Chapter Hunt"),CHOOSE(ArtifactsInput!$N$27+1,20,24,28,32,36,40),0)/100)))))/Skills!H3,1)))/Inputs!$B$43),G1086*Q1086)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1086*(1-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1086*(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1086*(1-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1086*(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6">
        <f>INDEX(FactorTable!$B$2:$Y$301, MATCH(ROUND(MIN(300,MAX(1,U1085)),0), FactorTable!$A$2:$A$301,0), 22)</f>
        <v/>
      </c>
      <c r="V1086">
        <f>IF(C1086,(H1086*N1086*IF(AND(Inputs!$B$38&lt;&gt;"pvp",Inputs!$B$43&gt;0),((Skills!G3*((R1086-1)*IF(Skills!H3&gt;0,Skills!I3/Skills!H3,1)+IF(Skills!H3&gt;0,MIN(Skills!I3,MAX(0,MAX(0,Inputs!$B$43-B1121)-((R1086-1)*(IF(Inputs!$B$38="pvp",15,MAX(0.1,Skills!D3-IF(Skills!E3=TRUE,(Inputs!$B$32+1),0)))*(1-IF(AND(ArtifactsInput!$M$27,Inputs!$B$4="Chapter Hunt"),CHOOSE(ArtifactsInput!$N$27+1,20,24,28,32,36,40),0)/100)))))/Skills!H3,1)))/Inputs!$B$43),G1086*Q1086))*IF(Inputs!$B$38="pvp",1,(1+(Inputs!$B$21+Skills!Q3+(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7">
      <c r="A1087">
        <f>Skills!A4</f>
        <v/>
      </c>
      <c r="B1087">
        <f>Skills!B4</f>
        <v/>
      </c>
      <c r="C1087">
        <f>Inputs!$B$3&gt;=40</f>
        <v/>
      </c>
      <c r="D1087">
        <f>IF(Skills!C4=1,60+Inputs!$B$25+Inputs!$B$29,IF(Skills!C4=2,90+Inputs!$B$26+Inputs!$B$29,IF(Skills!C4=3,120+Inputs!$B$27+Inputs!$B$29,MAX(0,(Inputs!$B$3-100)*3)+Inputs!$B$28+Inputs!$B$29)))</f>
        <v/>
      </c>
      <c r="E1087">
        <f>INDEX(FactorTable!$B$2:$Y$301, MATCH(ROUND(MIN(300,MAX(1,D1087)),0), FactorTable!$A$2:$A$301,0), Skills!M4+1)</f>
        <v/>
      </c>
      <c r="F1087">
        <f>IF(Skills!N4=TRUE,(Skills!L4/10)*(E1087/1000),Skills!L4/10)+Skills!O4</f>
        <v/>
      </c>
      <c r="G1087">
        <f>Skills!G4*IF(Skills!H4&gt;0,Skills!I4/Skills!H4,1)</f>
        <v/>
      </c>
      <c r="H1087">
        <f>1-(1-Skills!J4/100)^Skills!K4</f>
        <v/>
      </c>
      <c r="I1087" t="inlineStr">
        <is>
          <t>1</t>
        </is>
      </c>
      <c r="J1087">
        <f>((Inputs!$B$6*(1+Inputs!$B$7/100))+(((Inputs!$B$12*(1+Inputs!$B$13/100))-(Inputs!$B$12*(1+Inputs!$B$13/100)))+0.25*(Inputs!$B$14-Inputs!$B$14))*(1+Inputs!$B$7/100))*(F1087/100)</f>
        <v/>
      </c>
      <c r="K1087">
        <f>J1087*(1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1099=TRUE,F1099,0)/100)*(1+(IF(Skills!A4="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1087)</f>
        <v/>
      </c>
      <c r="L1087">
        <f>K1087*(MIN(Inputs!$B$22+((C1105=TRUE)*(F1105-Calc!F22)),(Inputs!$B$23+0+(IF(ArtifactsInput!$M$15,CHOOSE(ArtifactsInput!$N$15+1,25,30,35,40,45,50)/100*(Inputs!$B$11-Inputs!$B$11),0))))/100+(Inputs!$B$23+0+(IF(ArtifactsInput!$M$15,CHOOSE(ArtifactsInput!$N$15+1,25,30,35,40,45,50)/100*(Inputs!$B$11-Inputs!$B$11),0)))/100)/2</f>
        <v/>
      </c>
      <c r="M1087">
        <f>L1087*(1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7">
        <f>L1087*(1-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1087*(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7">
        <f>(1-Summary!$B$11)*T1087+Summary!$B$11*V1087</f>
        <v/>
      </c>
      <c r="P1087">
        <f>IF(B1124=0,0,O1087/B1124)</f>
        <v/>
      </c>
      <c r="Q1087">
        <f>IFERROR(1/(IF(Inputs!$B$38="pvp",15,MAX(0.1,Skills!D4-IF(Skills!E4=TRUE,(Inputs!$B$32+1),0)))*(1-IF(AND(ArtifactsInput!$M$27,Inputs!$B$4="Chapter Hunt"),CHOOSE(ArtifactsInput!$N$27+1,20,24,28,32,36,40),0)/100)),0)</f>
        <v/>
      </c>
      <c r="R1087">
        <f>IF(AND(Inputs!$B$38&lt;&gt;"pvp",Inputs!$B$43&gt;0),IF(MAX(0,Inputs!$B$43-B1121)&lt;=0,0,(INT(MAX(0,Inputs!$B$43-B1121)/(IF(Inputs!$B$38="pvp",15,MAX(0.1,Skills!D4-IF(Skills!E4=TRUE,(Inputs!$B$32+1),0)))*(1-IF(AND(ArtifactsInput!$M$27,Inputs!$B$4="Chapter Hunt"),CHOOSE(ArtifactsInput!$N$27+1,20,24,28,32,36,40),0)/100)))+1)),0)</f>
        <v/>
      </c>
      <c r="S1087">
        <f>IFERROR(O1087/N1087,0)</f>
        <v/>
      </c>
      <c r="T1087">
        <f>IF(C1087,(H1087*N1087*IF(AND(Inputs!$B$38&lt;&gt;"pvp",Inputs!$B$43&gt;0),((Skills!G4*((R1087-1)*IF(Skills!H4&gt;0,Skills!I4/Skills!H4,1)+IF(Skills!H4&gt;0,MIN(Skills!I4,MAX(0,MAX(0,Inputs!$B$43-B1121)-((R1087-1)*(IF(Inputs!$B$38="pvp",15,MAX(0.1,Skills!D4-IF(Skills!E4=TRUE,(Inputs!$B$32+1),0)))*(1-IF(AND(ArtifactsInput!$M$27,Inputs!$B$4="Chapter Hunt"),CHOOSE(ArtifactsInput!$N$27+1,20,24,28,32,36,40),0)/100)))))/Skills!H4,1)))/Inputs!$B$43),G1087*Q1087)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1087*(1-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1087*(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1087*(1-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1087*(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7">
        <f>290*U1086/1000</f>
        <v/>
      </c>
      <c r="V1087">
        <f>IF(C1087,(H1087*N1087*IF(AND(Inputs!$B$38&lt;&gt;"pvp",Inputs!$B$43&gt;0),((Skills!G4*((R1087-1)*IF(Skills!H4&gt;0,Skills!I4/Skills!H4,1)+IF(Skills!H4&gt;0,MIN(Skills!I4,MAX(0,MAX(0,Inputs!$B$43-B1121)-((R1087-1)*(IF(Inputs!$B$38="pvp",15,MAX(0.1,Skills!D4-IF(Skills!E4=TRUE,(Inputs!$B$32+1),0)))*(1-IF(AND(ArtifactsInput!$M$27,Inputs!$B$4="Chapter Hunt"),CHOOSE(ArtifactsInput!$N$27+1,20,24,28,32,36,40),0)/100)))))/Skills!H4,1)))/Inputs!$B$43),G1087*Q1087))*IF(Inputs!$B$38="pvp",1,(1+(Inputs!$B$21+Skills!Q4+(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8">
      <c r="A1088">
        <f>Skills!A5</f>
        <v/>
      </c>
      <c r="B1088">
        <f>Skills!B5</f>
        <v/>
      </c>
      <c r="C1088">
        <f>Inputs!$B$3&gt;=45</f>
        <v/>
      </c>
      <c r="D1088">
        <f>IF(Skills!C5=1,60+Inputs!$B$25+Inputs!$B$29,IF(Skills!C5=2,90+Inputs!$B$26+Inputs!$B$29,IF(Skills!C5=3,120+Inputs!$B$27+Inputs!$B$29,MAX(0,(Inputs!$B$3-100)*3)+Inputs!$B$28+Inputs!$B$29)))</f>
        <v/>
      </c>
      <c r="E1088">
        <f>INDEX(FactorTable!$B$2:$Y$301, MATCH(ROUND(MIN(300,MAX(1,D1088)),0), FactorTable!$A$2:$A$301,0), Skills!M5+1)</f>
        <v/>
      </c>
      <c r="F1088">
        <f>IF(Skills!N5=TRUE,(Skills!L5/10)*(E1088/1000),Skills!L5/10)+Skills!O5</f>
        <v/>
      </c>
      <c r="G1088">
        <f>Skills!G5*IF(Skills!H5&gt;0,Skills!I5/Skills!H5,1)</f>
        <v/>
      </c>
      <c r="H1088">
        <f>1-(1-Skills!J5/100)^Skills!K5</f>
        <v/>
      </c>
      <c r="I1088" t="inlineStr">
        <is>
          <t>1</t>
        </is>
      </c>
      <c r="J1088">
        <f>((Inputs!$B$6*(1+Inputs!$B$7/100))+(((Inputs!$B$12*(1+Inputs!$B$13/100))-(Inputs!$B$12*(1+Inputs!$B$13/100)))+0.25*(Inputs!$B$14-Inputs!$B$14))*(1+Inputs!$B$7/100))*(F1088/100)</f>
        <v/>
      </c>
      <c r="K1088">
        <f>J1088*(1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1099=TRUE,F1099,0)/100)*(1+(IF(Skills!A5="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1088)</f>
        <v/>
      </c>
      <c r="L1088">
        <f>K1088*(MIN(Inputs!$B$22+((C1105=TRUE)*(F1105-Calc!F22)),(Inputs!$B$23+0+(IF(ArtifactsInput!$M$15,CHOOSE(ArtifactsInput!$N$15+1,25,30,35,40,45,50)/100*(Inputs!$B$11-Inputs!$B$11),0))))/100+(Inputs!$B$23+0+(IF(ArtifactsInput!$M$15,CHOOSE(ArtifactsInput!$N$15+1,25,30,35,40,45,50)/100*(Inputs!$B$11-Inputs!$B$11),0)))/100)/2</f>
        <v/>
      </c>
      <c r="M1088">
        <f>L1088*(1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8">
        <f>L1088*(1-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1088*(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8">
        <f>(1-Summary!$B$11)*T1088+Summary!$B$11*V1088</f>
        <v/>
      </c>
      <c r="P1088">
        <f>IF(B1124=0,0,O1088/B1124)</f>
        <v/>
      </c>
      <c r="Q1088">
        <f>IFERROR(1/(IF(Inputs!$B$38="pvp",15,MAX(0.1,Skills!D5-IF(Skills!E5=TRUE,(Inputs!$B$32+1),0)))*(1-IF(AND(ArtifactsInput!$M$27,Inputs!$B$4="Chapter Hunt"),CHOOSE(ArtifactsInput!$N$27+1,20,24,28,32,36,40),0)/100)),0)</f>
        <v/>
      </c>
      <c r="R1088">
        <f>IF(AND(Inputs!$B$38&lt;&gt;"pvp",Inputs!$B$43&gt;0),IF(MAX(0,Inputs!$B$43-B1121)&lt;=0,0,(INT(MAX(0,Inputs!$B$43-B1121)/(IF(Inputs!$B$38="pvp",15,MAX(0.1,Skills!D5-IF(Skills!E5=TRUE,(Inputs!$B$32+1),0)))*(1-IF(AND(ArtifactsInput!$M$27,Inputs!$B$4="Chapter Hunt"),CHOOSE(ArtifactsInput!$N$27+1,20,24,28,32,36,40),0)/100)))+1)),0)</f>
        <v/>
      </c>
      <c r="S1088">
        <f>IFERROR(O1088/N1088,0)</f>
        <v/>
      </c>
      <c r="T1088">
        <f>IF(C1088,(H1088*N1088*IF(AND(Inputs!$B$38&lt;&gt;"pvp",Inputs!$B$43&gt;0),((Skills!G5*((R1088-1)*IF(Skills!H5&gt;0,Skills!I5/Skills!H5,1)+IF(Skills!H5&gt;0,MIN(Skills!I5,MAX(0,MAX(0,Inputs!$B$43-B1121)-((R1088-1)*(IF(Inputs!$B$38="pvp",15,MAX(0.1,Skills!D5-IF(Skills!E5=TRUE,(Inputs!$B$32+1),0)))*(1-IF(AND(ArtifactsInput!$M$27,Inputs!$B$4="Chapter Hunt"),CHOOSE(ArtifactsInput!$N$27+1,20,24,28,32,36,40),0)/100)))))/Skills!H5,1)))/Inputs!$B$43),G1088*Q1088)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1088*(1-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1088*(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1088*(1-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1088*(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8">
        <f>IF(C1088,(H1088*N1088*IF(AND(Inputs!$B$38&lt;&gt;"pvp",Inputs!$B$43&gt;0),((Skills!G5*((R1088-1)*IF(Skills!H5&gt;0,Skills!I5/Skills!H5,1)+IF(Skills!H5&gt;0,MIN(Skills!I5,MAX(0,MAX(0,Inputs!$B$43-B1121)-((R1088-1)*(IF(Inputs!$B$38="pvp",15,MAX(0.1,Skills!D5-IF(Skills!E5=TRUE,(Inputs!$B$32+1),0)))*(1-IF(AND(ArtifactsInput!$M$27,Inputs!$B$4="Chapter Hunt"),CHOOSE(ArtifactsInput!$N$27+1,20,24,28,32,36,40),0)/100)))))/Skills!H5,1)))/Inputs!$B$43),G1088*Q1088))*IF(Inputs!$B$38="pvp",1,(1+(Inputs!$B$21+Skills!Q5+(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9">
      <c r="A1089">
        <f>Skills!A6</f>
        <v/>
      </c>
      <c r="B1089">
        <f>Skills!B6</f>
        <v/>
      </c>
      <c r="C1089">
        <f>Inputs!$B$3&gt;=63</f>
        <v/>
      </c>
      <c r="D1089">
        <f>IF(Skills!C6=1,60+Inputs!$B$25+Inputs!$B$29,IF(Skills!C6=2,90+Inputs!$B$26+Inputs!$B$29,IF(Skills!C6=3,120+Inputs!$B$27+Inputs!$B$29,MAX(0,(Inputs!$B$3-100)*3)+Inputs!$B$28+Inputs!$B$29)))</f>
        <v/>
      </c>
      <c r="E1089">
        <f>INDEX(FactorTable!$B$2:$Y$301, MATCH(ROUND(MIN(300,MAX(1,D1089)),0), FactorTable!$A$2:$A$301,0), Skills!M6+1)</f>
        <v/>
      </c>
      <c r="F1089">
        <f>IF(Skills!N6=TRUE,(Skills!L6/10)*(E1089/1000),Skills!L6/10)+Skills!O6</f>
        <v/>
      </c>
      <c r="G1089">
        <f>Skills!G6*IF(Skills!H6&gt;0,Skills!I6/Skills!H6,1)</f>
        <v/>
      </c>
      <c r="H1089">
        <f>1-(1-Skills!J6/100)^Skills!K6</f>
        <v/>
      </c>
      <c r="I1089" t="inlineStr">
        <is>
          <t>1</t>
        </is>
      </c>
      <c r="J1089">
        <f>((Inputs!$B$6*(1+Inputs!$B$7/100))+(((Inputs!$B$12*(1+Inputs!$B$13/100))-(Inputs!$B$12*(1+Inputs!$B$13/100)))+0.25*(Inputs!$B$14-Inputs!$B$14))*(1+Inputs!$B$7/100))*(F1089/100)</f>
        <v/>
      </c>
      <c r="K1089">
        <f>J1089*(1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1098=TRUE,F1098,0)/100)*(1+(IF(Skills!A6="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1089)</f>
        <v/>
      </c>
      <c r="L1089">
        <f>K1089*(MIN(Inputs!$B$22+((C1105=TRUE)*(F1105-Calc!F22)),(Inputs!$B$23+0+(IF(ArtifactsInput!$M$15,CHOOSE(ArtifactsInput!$N$15+1,25,30,35,40,45,50)/100*(Inputs!$B$11-Inputs!$B$11),0))))/100+(Inputs!$B$23+0+(IF(ArtifactsInput!$M$15,CHOOSE(ArtifactsInput!$N$15+1,25,30,35,40,45,50)/100*(Inputs!$B$11-Inputs!$B$11),0)))/100)/2</f>
        <v/>
      </c>
      <c r="M1089">
        <f>L1089*(1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9">
        <f>L1089*(1-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1089*(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9">
        <f>(1-Summary!$B$11)*T1089+Summary!$B$11*V1089</f>
        <v/>
      </c>
      <c r="P1089">
        <f>IF(B1124=0,0,O1089/B1124)</f>
        <v/>
      </c>
      <c r="Q1089">
        <f>IFERROR(1/(IF(Inputs!$B$38="pvp",15,MAX(0.1,Skills!D6-IF(Skills!E6=TRUE,(Inputs!$B$32+1),0)))*(1-IF(AND(ArtifactsInput!$M$27,Inputs!$B$4="Chapter Hunt"),CHOOSE(ArtifactsInput!$N$27+1,20,24,28,32,36,40),0)/100)),0)</f>
        <v/>
      </c>
      <c r="R1089">
        <f>IF(AND(Inputs!$B$38&lt;&gt;"pvp",Inputs!$B$43&gt;0),IF(MAX(0,Inputs!$B$43-B1121)&lt;=0,0,(INT(MAX(0,Inputs!$B$43-B1121)/(IF(Inputs!$B$38="pvp",15,MAX(0.1,Skills!D6-IF(Skills!E6=TRUE,(Inputs!$B$32+1),0)))*(1-IF(AND(ArtifactsInput!$M$27,Inputs!$B$4="Chapter Hunt"),CHOOSE(ArtifactsInput!$N$27+1,20,24,28,32,36,40),0)/100)))+1)),0)</f>
        <v/>
      </c>
      <c r="S1089">
        <f>IFERROR(O1089/N1089,0)</f>
        <v/>
      </c>
      <c r="T1089">
        <f>IF(C1089,(H1089*N1089*IF(AND(Inputs!$B$38&lt;&gt;"pvp",Inputs!$B$43&gt;0),((Skills!G6*((R1089-1)*IF(Skills!H6&gt;0,Skills!I6/Skills!H6,1)+IF(Skills!H6&gt;0,MIN(Skills!I6,MAX(0,MAX(0,Inputs!$B$43-B1121)-((R1089-1)*(IF(Inputs!$B$38="pvp",15,MAX(0.1,Skills!D6-IF(Skills!E6=TRUE,(Inputs!$B$32+1),0)))*(1-IF(AND(ArtifactsInput!$M$27,Inputs!$B$4="Chapter Hunt"),CHOOSE(ArtifactsInput!$N$27+1,20,24,28,32,36,40),0)/100)))))/Skills!H6,1)))/Inputs!$B$43),G1089*Q1089)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1089*(1-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1089*(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1089*(1-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1089*(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9">
        <f>IF(C1089,(H1089*N1089*IF(AND(Inputs!$B$38&lt;&gt;"pvp",Inputs!$B$43&gt;0),((Skills!G6*((R1089-1)*IF(Skills!H6&gt;0,Skills!I6/Skills!H6,1)+IF(Skills!H6&gt;0,MIN(Skills!I6,MAX(0,MAX(0,Inputs!$B$43-B1121)-((R1089-1)*(IF(Inputs!$B$38="pvp",15,MAX(0.1,Skills!D6-IF(Skills!E6=TRUE,(Inputs!$B$32+1),0)))*(1-IF(AND(ArtifactsInput!$M$27,Inputs!$B$4="Chapter Hunt"),CHOOSE(ArtifactsInput!$N$27+1,20,24,28,32,36,40),0)/100)))))/Skills!H6,1)))/Inputs!$B$43),G1089*Q1089))*IF(Inputs!$B$38="pvp",1,(1+(Inputs!$B$21+Skills!Q6+(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0">
      <c r="A1090">
        <f>Skills!A7</f>
        <v/>
      </c>
      <c r="B1090">
        <f>Skills!B7</f>
        <v/>
      </c>
      <c r="C1090">
        <f>Inputs!$B$3&gt;=66</f>
        <v/>
      </c>
      <c r="D1090">
        <f>IF(Skills!C7=1,60+Inputs!$B$25+Inputs!$B$29,IF(Skills!C7=2,90+Inputs!$B$26+Inputs!$B$29,IF(Skills!C7=3,120+Inputs!$B$27+Inputs!$B$29,MAX(0,(Inputs!$B$3-100)*3)+Inputs!$B$28+Inputs!$B$29)))</f>
        <v/>
      </c>
      <c r="E1090">
        <f>INDEX(FactorTable!$B$2:$Y$301, MATCH(ROUND(MIN(300,MAX(1,D1090)),0), FactorTable!$A$2:$A$301,0), Skills!M7+1)</f>
        <v/>
      </c>
      <c r="F1090">
        <f>IF(Skills!N7=TRUE,(Skills!L7/10)*(E1090/1000),Skills!L7/10)+Skills!O7</f>
        <v/>
      </c>
      <c r="G1090">
        <f>Skills!G7*IF(Skills!H7&gt;0,Skills!I7/Skills!H7,1)</f>
        <v/>
      </c>
      <c r="H1090">
        <f>1-(1-Skills!J7/100)^Skills!K7</f>
        <v/>
      </c>
      <c r="I1090" t="inlineStr">
        <is>
          <t>1</t>
        </is>
      </c>
      <c r="J1090">
        <f>((Inputs!$B$6*(1+Inputs!$B$7/100))+(((Inputs!$B$12*(1+Inputs!$B$13/100))-(Inputs!$B$12*(1+Inputs!$B$13/100)))+0.25*(Inputs!$B$14-Inputs!$B$14))*(1+Inputs!$B$7/100))*(F1090/100)</f>
        <v/>
      </c>
      <c r="K1090">
        <f>J1090*(1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1098=TRUE,F1098,0)/100)*(1+(IF(Skills!A7="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1090)</f>
        <v/>
      </c>
      <c r="L1090">
        <f>K1090*(MIN(Inputs!$B$22+((C1105=TRUE)*(F1105-Calc!F22)),(Inputs!$B$23+0+(IF(ArtifactsInput!$M$15,CHOOSE(ArtifactsInput!$N$15+1,25,30,35,40,45,50)/100*(Inputs!$B$11-Inputs!$B$11),0))))/100+(Inputs!$B$23+0+(IF(ArtifactsInput!$M$15,CHOOSE(ArtifactsInput!$N$15+1,25,30,35,40,45,50)/100*(Inputs!$B$11-Inputs!$B$11),0)))/100)/2</f>
        <v/>
      </c>
      <c r="M1090">
        <f>L1090*(1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0">
        <f>L1090*(1-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1090*(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0">
        <f>(1-Summary!$B$11)*T1090+Summary!$B$11*V1090</f>
        <v/>
      </c>
      <c r="P1090">
        <f>IF(B1124=0,0,O1090/B1124)</f>
        <v/>
      </c>
      <c r="Q1090">
        <f>IFERROR(1/(IF(Inputs!$B$38="pvp",15,MAX(0.1,Skills!D7-IF(Skills!E7=TRUE,(Inputs!$B$32+1),0)))*(1-IF(AND(ArtifactsInput!$M$27,Inputs!$B$4="Chapter Hunt"),CHOOSE(ArtifactsInput!$N$27+1,20,24,28,32,36,40),0)/100)),0)</f>
        <v/>
      </c>
      <c r="R1090">
        <f>IF(AND(Inputs!$B$38&lt;&gt;"pvp",Inputs!$B$43&gt;0),IF(MAX(0,Inputs!$B$43-B1121)&lt;=0,0,(INT(MAX(0,Inputs!$B$43-B1121)/(IF(Inputs!$B$38="pvp",15,MAX(0.1,Skills!D7-IF(Skills!E7=TRUE,(Inputs!$B$32+1),0)))*(1-IF(AND(ArtifactsInput!$M$27,Inputs!$B$4="Chapter Hunt"),CHOOSE(ArtifactsInput!$N$27+1,20,24,28,32,36,40),0)/100)))+1)),0)</f>
        <v/>
      </c>
      <c r="S1090">
        <f>IFERROR(O1090/N1090,0)</f>
        <v/>
      </c>
      <c r="T1090">
        <f>IF(C1090,(H1090*N1090*IF(AND(Inputs!$B$38&lt;&gt;"pvp",Inputs!$B$43&gt;0),((Skills!G7*((R1090-1)*IF(Skills!H7&gt;0,Skills!I7/Skills!H7,1)+IF(Skills!H7&gt;0,MIN(Skills!I7,MAX(0,MAX(0,Inputs!$B$43-B1121)-((R1090-1)*(IF(Inputs!$B$38="pvp",15,MAX(0.1,Skills!D7-IF(Skills!E7=TRUE,(Inputs!$B$32+1),0)))*(1-IF(AND(ArtifactsInput!$M$27,Inputs!$B$4="Chapter Hunt"),CHOOSE(ArtifactsInput!$N$27+1,20,24,28,32,36,40),0)/100)))))/Skills!H7,1)))/Inputs!$B$43),G1090*Q1090)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1090*(1-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1090*(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1090*(1-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1090*(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0">
        <f>IF(C1090,(H1090*N1090*IF(AND(Inputs!$B$38&lt;&gt;"pvp",Inputs!$B$43&gt;0),((Skills!G7*((R1090-1)*IF(Skills!H7&gt;0,Skills!I7/Skills!H7,1)+IF(Skills!H7&gt;0,MIN(Skills!I7,MAX(0,MAX(0,Inputs!$B$43-B1121)-((R1090-1)*(IF(Inputs!$B$38="pvp",15,MAX(0.1,Skills!D7-IF(Skills!E7=TRUE,(Inputs!$B$32+1),0)))*(1-IF(AND(ArtifactsInput!$M$27,Inputs!$B$4="Chapter Hunt"),CHOOSE(ArtifactsInput!$N$27+1,20,24,28,32,36,40),0)/100)))))/Skills!H7,1)))/Inputs!$B$43),G1090*Q1090))*IF(Inputs!$B$38="pvp",1,(1+(Inputs!$B$21+Skills!Q7+(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1">
      <c r="A1091">
        <f>Skills!A8</f>
        <v/>
      </c>
      <c r="B1091">
        <f>Skills!B8</f>
        <v/>
      </c>
      <c r="C1091">
        <f>Inputs!$B$3&gt;=100</f>
        <v/>
      </c>
      <c r="D1091">
        <f>IF(Skills!C8=1,60+Inputs!$B$25+Inputs!$B$29,IF(Skills!C8=2,90+Inputs!$B$26+Inputs!$B$29,IF(Skills!C8=3,120+Inputs!$B$27+Inputs!$B$29,MAX(0,(Inputs!$B$3-100)*3)+Inputs!$B$28+Inputs!$B$29)))</f>
        <v/>
      </c>
      <c r="E1091">
        <f>INDEX(FactorTable!$B$2:$Y$301, MATCH(ROUND(MIN(300,MAX(1,D1091)),0), FactorTable!$A$2:$A$301,0), Skills!M8+1)</f>
        <v/>
      </c>
      <c r="F1091">
        <f>IF(Skills!N8=TRUE,(Skills!L8/10)*(E1091/1000),Skills!L8/10)+Skills!O8</f>
        <v/>
      </c>
      <c r="G1091">
        <f>Skills!G8*IF(Skills!H8&gt;0,Skills!I8/Skills!H8,1)</f>
        <v/>
      </c>
      <c r="H1091">
        <f>1-(1-Skills!J8/100)^Skills!K8</f>
        <v/>
      </c>
      <c r="I1091" t="inlineStr">
        <is>
          <t>1</t>
        </is>
      </c>
      <c r="J1091">
        <f>((Inputs!$B$6*(1+Inputs!$B$7/100))+(((Inputs!$B$12*(1+Inputs!$B$13/100))-(Inputs!$B$12*(1+Inputs!$B$13/100)))+0.25*(Inputs!$B$14-Inputs!$B$14))*(1+Inputs!$B$7/100))*(F1091/100)</f>
        <v/>
      </c>
      <c r="K1091">
        <f>J1091*(1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1091)</f>
        <v/>
      </c>
      <c r="L1091">
        <f>K1091*(MIN(Inputs!$B$22+((C1105=TRUE)*(F1105-Calc!F22)),(Inputs!$B$23+0+(IF(ArtifactsInput!$M$15,CHOOSE(ArtifactsInput!$N$15+1,25,30,35,40,45,50)/100*(Inputs!$B$11-Inputs!$B$11),0))))/100+(Inputs!$B$23+0+(IF(ArtifactsInput!$M$15,CHOOSE(ArtifactsInput!$N$15+1,25,30,35,40,45,50)/100*(Inputs!$B$11-Inputs!$B$11),0)))/100)/2</f>
        <v/>
      </c>
      <c r="M1091">
        <f>L1091*(1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1">
        <f>L1091*(1-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1">
        <f>(1-Summary!$B$11)*T1091+Summary!$B$11*V1091</f>
        <v/>
      </c>
      <c r="P1091">
        <f>IF(B1124=0,0,O1091/B1124)</f>
        <v/>
      </c>
      <c r="Q1091">
        <f>IFERROR(1/(IF(Inputs!$B$38="pvp",15,MAX(0.1,Skills!D8-IF(Skills!E8=TRUE,(Inputs!$B$32+1),0)))*(1-IF(AND(ArtifactsInput!$M$27,Inputs!$B$4="Chapter Hunt"),CHOOSE(ArtifactsInput!$N$27+1,20,24,28,32,36,40),0)/100)),0)</f>
        <v/>
      </c>
      <c r="R1091">
        <f>IF(AND(Inputs!$B$38&lt;&gt;"pvp",Inputs!$B$43&gt;0),IF(MAX(0,Inputs!$B$43-B1121)&lt;=0,0,(INT(MAX(0,Inputs!$B$43-B1121)/(IF(Inputs!$B$38="pvp",15,MAX(0.1,Skills!D8-IF(Skills!E8=TRUE,(Inputs!$B$32+1),0)))*(1-IF(AND(ArtifactsInput!$M$27,Inputs!$B$4="Chapter Hunt"),CHOOSE(ArtifactsInput!$N$27+1,20,24,28,32,36,40),0)/100)))+1)),0)</f>
        <v/>
      </c>
      <c r="S1091">
        <f>IFERROR(O1091/N1091,0)</f>
        <v/>
      </c>
      <c r="T1091">
        <f>IF(C1091,(H1091*N1091*IF(AND(Inputs!$B$38&lt;&gt;"pvp",Inputs!$B$43&gt;0),((Skills!G8*((R1091-1)*IF(Skills!H8&gt;0,Skills!I8/Skills!H8,1)+IF(Skills!H8&gt;0,MIN(Skills!I8,MAX(0,MAX(0,Inputs!$B$43-B1121)-((R1091-1)*(IF(Inputs!$B$38="pvp",15,MAX(0.1,Skills!D8-IF(Skills!E8=TRUE,(Inputs!$B$32+1),0)))*(1-IF(AND(ArtifactsInput!$M$27,Inputs!$B$4="Chapter Hunt"),CHOOSE(ArtifactsInput!$N$27+1,20,24,28,32,36,40),0)/100)))))/Skills!H8,1)))/Inputs!$B$43),G1091*Q1091)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1091*(1-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1091*(1-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1">
        <f>IF(C1091,(H1091*N1091*IF(AND(Inputs!$B$38&lt;&gt;"pvp",Inputs!$B$43&gt;0),((Skills!G8*((R1091-1)*IF(Skills!H8&gt;0,Skills!I8/Skills!H8,1)+IF(Skills!H8&gt;0,MIN(Skills!I8,MAX(0,MAX(0,Inputs!$B$43-B1121)-((R1091-1)*(IF(Inputs!$B$38="pvp",15,MAX(0.1,Skills!D8-IF(Skills!E8=TRUE,(Inputs!$B$32+1),0)))*(1-IF(AND(ArtifactsInput!$M$27,Inputs!$B$4="Chapter Hunt"),CHOOSE(ArtifactsInput!$N$27+1,20,24,28,32,36,40),0)/100)))))/Skills!H8,1)))/Inputs!$B$43),G1091*Q1091))*IF(Inputs!$B$38="pvp",1,(1+(Inputs!$B$21+Skills!Q8+(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2">
      <c r="A1092">
        <f>Skills!A9</f>
        <v/>
      </c>
      <c r="B1092">
        <f>Skills!B9</f>
        <v/>
      </c>
      <c r="C1092">
        <f>Inputs!$B$3&gt;=103</f>
        <v/>
      </c>
      <c r="D1092">
        <f>IF(Skills!C9=1,60+Inputs!$B$25+Inputs!$B$29,IF(Skills!C9=2,90+Inputs!$B$26+Inputs!$B$29,IF(Skills!C9=3,120+Inputs!$B$27+Inputs!$B$29,MAX(0,(Inputs!$B$3-100)*3)+Inputs!$B$28+Inputs!$B$29)))</f>
        <v/>
      </c>
      <c r="E1092">
        <f>INDEX(FactorTable!$B$2:$Y$301, MATCH(ROUND(MIN(300,MAX(1,D1092)),0), FactorTable!$A$2:$A$301,0), Skills!M9+1)</f>
        <v/>
      </c>
      <c r="F1092">
        <f>IF(Skills!N9=TRUE,(Skills!L9/10)*(E1092/1000),Skills!L9/10)+Skills!O9</f>
        <v/>
      </c>
      <c r="G1092">
        <f>Skills!G9*IF(Skills!H9&gt;0,Skills!I9/Skills!H9,1)</f>
        <v/>
      </c>
      <c r="H1092">
        <f>1-(1-Skills!J9/100)^Skills!K9</f>
        <v/>
      </c>
      <c r="I1092" t="inlineStr">
        <is>
          <t>1</t>
        </is>
      </c>
      <c r="J1092">
        <f>((Inputs!$B$6*(1+Inputs!$B$7/100))+(((Inputs!$B$12*(1+Inputs!$B$13/100))-(Inputs!$B$12*(1+Inputs!$B$13/100)))+0.25*(Inputs!$B$14-Inputs!$B$14))*(1+Inputs!$B$7/100))*(F1092/100)</f>
        <v/>
      </c>
      <c r="K1092">
        <f>J1092*(1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1092)</f>
        <v/>
      </c>
      <c r="L1092">
        <f>K1092*(MIN(Inputs!$B$22+((C1105=TRUE)*(F1105-Calc!F22)),(Inputs!$B$23+0+(IF(ArtifactsInput!$M$15,CHOOSE(ArtifactsInput!$N$15+1,25,30,35,40,45,50)/100*(Inputs!$B$11-Inputs!$B$11),0))))/100+(Inputs!$B$23+0+(IF(ArtifactsInput!$M$15,CHOOSE(ArtifactsInput!$N$15+1,25,30,35,40,45,50)/100*(Inputs!$B$11-Inputs!$B$11),0)))/100)/2</f>
        <v/>
      </c>
      <c r="M1092">
        <f>L1092*(1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2">
        <f>L1092*(1-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1092*(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2">
        <f>(1-Summary!$B$11)*T1092+Summary!$B$11*V1092</f>
        <v/>
      </c>
      <c r="P1092">
        <f>IF(B1124=0,0,O1092/B1124)</f>
        <v/>
      </c>
      <c r="Q1092">
        <f>IFERROR(1/(IF(Inputs!$B$38="pvp",15,MAX(0.1,Skills!D9-IF(Skills!E9=TRUE,(Inputs!$B$32+1),0)))*(1-IF(AND(ArtifactsInput!$M$27,Inputs!$B$4="Chapter Hunt"),CHOOSE(ArtifactsInput!$N$27+1,20,24,28,32,36,40),0)/100)),0)</f>
        <v/>
      </c>
      <c r="R1092">
        <f>IF(AND(Inputs!$B$38&lt;&gt;"pvp",Inputs!$B$43&gt;0),IF(MAX(0,Inputs!$B$43-B1121)&lt;=0,0,(INT(MAX(0,Inputs!$B$43-B1121)/(IF(Inputs!$B$38="pvp",15,MAX(0.1,Skills!D9-IF(Skills!E9=TRUE,(Inputs!$B$32+1),0)))*(1-IF(AND(ArtifactsInput!$M$27,Inputs!$B$4="Chapter Hunt"),CHOOSE(ArtifactsInput!$N$27+1,20,24,28,32,36,40),0)/100)))+1)),0)</f>
        <v/>
      </c>
      <c r="S1092">
        <f>IFERROR(O1092/N1092,0)</f>
        <v/>
      </c>
      <c r="T1092">
        <f>IF(C1092,(H1092*N1092*IF(AND(Inputs!$B$38&lt;&gt;"pvp",Inputs!$B$43&gt;0),((Skills!G9*((R1092-1)*IF(Skills!H9&gt;0,Skills!I9/Skills!H9,1)+IF(Skills!H9&gt;0,MIN(Skills!I9,MAX(0,MAX(0,Inputs!$B$43-B1121)-((R1092-1)*(IF(Inputs!$B$38="pvp",15,MAX(0.1,Skills!D9-IF(Skills!E9=TRUE,(Inputs!$B$32+1),0)))*(1-IF(AND(ArtifactsInput!$M$27,Inputs!$B$4="Chapter Hunt"),CHOOSE(ArtifactsInput!$N$27+1,20,24,28,32,36,40),0)/100)))))/Skills!H9,1)))/Inputs!$B$43),G1092*Q1092)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1092*(1-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1092*(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1092*(1-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1092*(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2">
        <f>IF(C1092,(H1092*N1092*IF(AND(Inputs!$B$38&lt;&gt;"pvp",Inputs!$B$43&gt;0),((Skills!G9*((R1092-1)*IF(Skills!H9&gt;0,Skills!I9/Skills!H9,1)+IF(Skills!H9&gt;0,MIN(Skills!I9,MAX(0,MAX(0,Inputs!$B$43-B1121)-((R1092-1)*(IF(Inputs!$B$38="pvp",15,MAX(0.1,Skills!D9-IF(Skills!E9=TRUE,(Inputs!$B$32+1),0)))*(1-IF(AND(ArtifactsInput!$M$27,Inputs!$B$4="Chapter Hunt"),CHOOSE(ArtifactsInput!$N$27+1,20,24,28,32,36,40),0)/100)))))/Skills!H9,1)))/Inputs!$B$43),G1092*Q1092))*IF(Inputs!$B$38="pvp",1,(1+(Inputs!$B$21+Skills!Q9+(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3">
      <c r="A1093">
        <f>Skills!A10</f>
        <v/>
      </c>
      <c r="B1093">
        <f>Skills!B10</f>
        <v/>
      </c>
      <c r="C1093">
        <f>Inputs!$B$3&gt;=113</f>
        <v/>
      </c>
      <c r="D1093">
        <f>IF(Skills!C10=1,60+Inputs!$B$25+Inputs!$B$29,IF(Skills!C10=2,90+Inputs!$B$26+Inputs!$B$29,IF(Skills!C10=3,120+Inputs!$B$27+Inputs!$B$29,MAX(0,(Inputs!$B$3-100)*3)+Inputs!$B$28+Inputs!$B$29)))</f>
        <v/>
      </c>
      <c r="E1093">
        <f>INDEX(FactorTable!$B$2:$Y$301, MATCH(ROUND(MIN(300,MAX(1,D1093)),0), FactorTable!$A$2:$A$301,0), Skills!M10+1)</f>
        <v/>
      </c>
      <c r="F1093">
        <f>IF(Skills!N10=TRUE,(Skills!L10/10)*(E1093/1000),Skills!L10/10)+Skills!O10</f>
        <v/>
      </c>
      <c r="G1093">
        <f>Skills!G10*IF(Skills!H10&gt;0,Skills!I10/Skills!H10,1)</f>
        <v/>
      </c>
      <c r="H1093">
        <f>1-(1-Skills!J10/100)^Skills!K10</f>
        <v/>
      </c>
      <c r="I1093" t="inlineStr">
        <is>
          <t>1</t>
        </is>
      </c>
      <c r="J1093">
        <f>((Inputs!$B$6*(1+Inputs!$B$7/100))+(((Inputs!$B$12*(1+Inputs!$B$13/100))-(Inputs!$B$12*(1+Inputs!$B$13/100)))+0.25*(Inputs!$B$14-Inputs!$B$14))*(1+Inputs!$B$7/100))*(F1093/100)</f>
        <v/>
      </c>
      <c r="K1093">
        <f>J1093*(1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1093)</f>
        <v/>
      </c>
      <c r="L1093">
        <f>K1093*(MIN(Inputs!$B$22+((C1105=TRUE)*(F1105-Calc!F22)),(Inputs!$B$23+0+(IF(ArtifactsInput!$M$15,CHOOSE(ArtifactsInput!$N$15+1,25,30,35,40,45,50)/100*(Inputs!$B$11-Inputs!$B$11),0))))/100+(Inputs!$B$23+0+(IF(ArtifactsInput!$M$15,CHOOSE(ArtifactsInput!$N$15+1,25,30,35,40,45,50)/100*(Inputs!$B$11-Inputs!$B$11),0)))/100)/2</f>
        <v/>
      </c>
      <c r="M1093">
        <f>L1093*(1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3">
        <f>L1093*(1-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1093*(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3">
        <f>(1-Summary!$B$11)*T1093+Summary!$B$11*V1093</f>
        <v/>
      </c>
      <c r="P1093">
        <f>IF(B1124=0,0,O1093/B1124)</f>
        <v/>
      </c>
      <c r="Q1093">
        <f>IFERROR(1/(IF(Inputs!$B$38="pvp",15,MAX(0.1,Skills!D10-IF(Skills!E10=TRUE,(Inputs!$B$32+1),0)))*(1-IF(AND(ArtifactsInput!$M$27,Inputs!$B$4="Chapter Hunt"),CHOOSE(ArtifactsInput!$N$27+1,20,24,28,32,36,40),0)/100)),0)</f>
        <v/>
      </c>
      <c r="R1093">
        <f>IF(AND(Inputs!$B$38&lt;&gt;"pvp",Inputs!$B$43&gt;0),IF(MAX(0,Inputs!$B$43-B1121)&lt;=0,0,(INT(MAX(0,Inputs!$B$43-B1121)/(IF(Inputs!$B$38="pvp",15,MAX(0.1,Skills!D10-IF(Skills!E10=TRUE,(Inputs!$B$32+1),0)))*(1-IF(AND(ArtifactsInput!$M$27,Inputs!$B$4="Chapter Hunt"),CHOOSE(ArtifactsInput!$N$27+1,20,24,28,32,36,40),0)/100)))+1)),0)</f>
        <v/>
      </c>
      <c r="S1093">
        <f>IFERROR(O1093/N1093,0)</f>
        <v/>
      </c>
      <c r="T1093">
        <f>IF(C1093,(H1093*N1093*IF(AND(Inputs!$B$38&lt;&gt;"pvp",Inputs!$B$43&gt;0),((Skills!G10*((R1093-1)*IF(Skills!H10&gt;0,Skills!I10/Skills!H10,1)+IF(Skills!H10&gt;0,MIN(Skills!I10,MAX(0,MAX(0,Inputs!$B$43-B1121)-((R1093-1)*(IF(Inputs!$B$38="pvp",15,MAX(0.1,Skills!D10-IF(Skills!E10=TRUE,(Inputs!$B$32+1),0)))*(1-IF(AND(ArtifactsInput!$M$27,Inputs!$B$4="Chapter Hunt"),CHOOSE(ArtifactsInput!$N$27+1,20,24,28,32,36,40),0)/100)))))/Skills!H10,1)))/Inputs!$B$43),G1093*Q1093)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1093*(1-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1093*(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1093*(1-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1093*(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3">
        <f>IF(C1093,(H1093*N1093*IF(AND(Inputs!$B$38&lt;&gt;"pvp",Inputs!$B$43&gt;0),((Skills!G10*((R1093-1)*IF(Skills!H10&gt;0,Skills!I10/Skills!H10,1)+IF(Skills!H10&gt;0,MIN(Skills!I10,MAX(0,MAX(0,Inputs!$B$43-B1121)-((R1093-1)*(IF(Inputs!$B$38="pvp",15,MAX(0.1,Skills!D10-IF(Skills!E10=TRUE,(Inputs!$B$32+1),0)))*(1-IF(AND(ArtifactsInput!$M$27,Inputs!$B$4="Chapter Hunt"),CHOOSE(ArtifactsInput!$N$27+1,20,24,28,32,36,40),0)/100)))))/Skills!H10,1)))/Inputs!$B$43),G1093*Q1093))*IF(Inputs!$B$38="pvp",1,(1+(Inputs!$B$21+Skills!Q10+(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4">
      <c r="A1094">
        <f>Skills!A11</f>
        <v/>
      </c>
      <c r="B1094">
        <f>Skills!B11</f>
        <v/>
      </c>
      <c r="C1094">
        <f>Inputs!$B$3&gt;=107</f>
        <v/>
      </c>
      <c r="D1094">
        <f>IF(Skills!C11=1,60+Inputs!$B$25+Inputs!$B$29,IF(Skills!C11=2,90+Inputs!$B$26+Inputs!$B$29,IF(Skills!C11=3,120+Inputs!$B$27+Inputs!$B$29,MAX(0,(Inputs!$B$3-100)*3)+Inputs!$B$28+Inputs!$B$29)))</f>
        <v/>
      </c>
      <c r="E1094">
        <f>INDEX(FactorTable!$B$2:$Y$301, MATCH(ROUND(MIN(300,MAX(1,D1094)),0), FactorTable!$A$2:$A$301,0), Skills!M11+1)</f>
        <v/>
      </c>
      <c r="F1094">
        <f>IF(Skills!N11=TRUE,(Skills!L11/10)*(E1094/1000),Skills!L11/10)+Skills!O11</f>
        <v/>
      </c>
      <c r="G1094">
        <f>Skills!G11*IF(Skills!H11&gt;0,Skills!I11/Skills!H11,1)</f>
        <v/>
      </c>
      <c r="H1094">
        <f>1-(1-Skills!J11/100)^Skills!K11</f>
        <v/>
      </c>
      <c r="I1094" t="inlineStr">
        <is>
          <t>1</t>
        </is>
      </c>
      <c r="J1094">
        <f>((Inputs!$B$6*(1+Inputs!$B$7/100))+(((Inputs!$B$12*(1+Inputs!$B$13/100))-(Inputs!$B$12*(1+Inputs!$B$13/100)))+0.25*(Inputs!$B$14-Inputs!$B$14))*(1+Inputs!$B$7/100))*(F1094/100)</f>
        <v/>
      </c>
      <c r="K1094">
        <f>J1094*(1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1094)</f>
        <v/>
      </c>
      <c r="L1094">
        <f>K1094*(MIN(Inputs!$B$22+((C1105=TRUE)*(F1105-Calc!F22)),(Inputs!$B$23+0+(IF(ArtifactsInput!$M$15,CHOOSE(ArtifactsInput!$N$15+1,25,30,35,40,45,50)/100*(Inputs!$B$11-Inputs!$B$11),0))))/100+(Inputs!$B$23+0+(IF(ArtifactsInput!$M$15,CHOOSE(ArtifactsInput!$N$15+1,25,30,35,40,45,50)/100*(Inputs!$B$11-Inputs!$B$11),0)))/100)/2</f>
        <v/>
      </c>
      <c r="M1094">
        <f>L1094*(1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4">
        <f>L1094*(1-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1094*(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4">
        <f>(1-Summary!$B$11)*T1094+Summary!$B$11*V1094</f>
        <v/>
      </c>
      <c r="P1094">
        <f>IF(B1124=0,0,O1094/B1124)</f>
        <v/>
      </c>
      <c r="Q1094">
        <f>IFERROR(1/(IF(Inputs!$B$38="pvp",15,MAX(0.1,Skills!D11-IF(Skills!E11=TRUE,(Inputs!$B$32+1),0)))*(1-IF(AND(ArtifactsInput!$M$27,Inputs!$B$4="Chapter Hunt"),CHOOSE(ArtifactsInput!$N$27+1,20,24,28,32,36,40),0)/100)),0)</f>
        <v/>
      </c>
      <c r="R1094">
        <f>IF(AND(Inputs!$B$38&lt;&gt;"pvp",Inputs!$B$43&gt;0),IF(MAX(0,Inputs!$B$43-B1121)&lt;=0,0,(INT(MAX(0,Inputs!$B$43-B1121)/(IF(Inputs!$B$38="pvp",15,MAX(0.1,Skills!D11-IF(Skills!E11=TRUE,(Inputs!$B$32+1),0)))*(1-IF(AND(ArtifactsInput!$M$27,Inputs!$B$4="Chapter Hunt"),CHOOSE(ArtifactsInput!$N$27+1,20,24,28,32,36,40),0)/100)))+1)),0)</f>
        <v/>
      </c>
      <c r="S1094">
        <f>IFERROR(O1094/N1094,0)</f>
        <v/>
      </c>
      <c r="T1094">
        <f>IF(C1094,(H1094*N1094*IF(AND(Inputs!$B$38&lt;&gt;"pvp",Inputs!$B$43&gt;0),((Skills!G11*((R1094-1)*IF(Skills!H11&gt;0,Skills!I11/Skills!H11,1)+IF(Skills!H11&gt;0,MIN(Skills!I11,MAX(0,MAX(0,Inputs!$B$43-B1121)-((R1094-1)*(IF(Inputs!$B$38="pvp",15,MAX(0.1,Skills!D11-IF(Skills!E11=TRUE,(Inputs!$B$32+1),0)))*(1-IF(AND(ArtifactsInput!$M$27,Inputs!$B$4="Chapter Hunt"),CHOOSE(ArtifactsInput!$N$27+1,20,24,28,32,36,40),0)/100)))))/Skills!H11,1)))/Inputs!$B$43),G1094*Q1094)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1094*(1-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1094*(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1094*(1-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1094*(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4">
        <f>IF(C1094,(H1094*N1094*IF(AND(Inputs!$B$38&lt;&gt;"pvp",Inputs!$B$43&gt;0),((Skills!G11*((R1094-1)*IF(Skills!H11&gt;0,Skills!I11/Skills!H11,1)+IF(Skills!H11&gt;0,MIN(Skills!I11,MAX(0,MAX(0,Inputs!$B$43-B1121)-((R1094-1)*(IF(Inputs!$B$38="pvp",15,MAX(0.1,Skills!D11-IF(Skills!E11=TRUE,(Inputs!$B$32+1),0)))*(1-IF(AND(ArtifactsInput!$M$27,Inputs!$B$4="Chapter Hunt"),CHOOSE(ArtifactsInput!$N$27+1,20,24,28,32,36,40),0)/100)))))/Skills!H11,1)))/Inputs!$B$43),G1094*Q1094))*IF(Inputs!$B$38="pvp",1,(1+(Inputs!$B$21+Skills!Q11+(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5">
      <c r="A1095">
        <f>Skills!A12</f>
        <v/>
      </c>
      <c r="B1095">
        <f>Skills!B12</f>
        <v/>
      </c>
      <c r="C1095">
        <f>Inputs!$B$3&gt;=110</f>
        <v/>
      </c>
      <c r="D1095">
        <f>IF(Skills!C12=1,60+Inputs!$B$25+Inputs!$B$29,IF(Skills!C12=2,90+Inputs!$B$26+Inputs!$B$29,IF(Skills!C12=3,120+Inputs!$B$27+Inputs!$B$29,MAX(0,(Inputs!$B$3-100)*3)+Inputs!$B$28+Inputs!$B$29)))</f>
        <v/>
      </c>
      <c r="E1095">
        <f>INDEX(FactorTable!$B$2:$Y$301, MATCH(ROUND(MIN(300,MAX(1,D1095)),0), FactorTable!$A$2:$A$301,0), Skills!M12+1)</f>
        <v/>
      </c>
      <c r="F1095">
        <f>IF(Skills!N12=TRUE,(Skills!L12/10)*(E1095/1000),Skills!L12/10)+Skills!O12</f>
        <v/>
      </c>
      <c r="G1095">
        <f>Skills!G12*IF(Skills!H12&gt;0,Skills!I12/Skills!H12,1)</f>
        <v/>
      </c>
      <c r="H1095">
        <f>1-(1-Skills!J12/100)^Skills!K12</f>
        <v/>
      </c>
      <c r="I1095" t="inlineStr">
        <is>
          <t>1</t>
        </is>
      </c>
      <c r="J1095">
        <f>((Inputs!$B$6*(1+Inputs!$B$7/100))+(((Inputs!$B$12*(1+Inputs!$B$13/100))-(Inputs!$B$12*(1+Inputs!$B$13/100)))+0.25*(Inputs!$B$14-Inputs!$B$14))*(1+Inputs!$B$7/100))*(F1095/100)</f>
        <v/>
      </c>
      <c r="K1095">
        <f>J1095*(1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1095)</f>
        <v/>
      </c>
      <c r="L1095">
        <f>K1095*(MIN(Inputs!$B$22+((C1105=TRUE)*(F1105-Calc!F22)),(Inputs!$B$23+0+(IF(ArtifactsInput!$M$15,CHOOSE(ArtifactsInput!$N$15+1,25,30,35,40,45,50)/100*(Inputs!$B$11-Inputs!$B$11),0))))/100+(Inputs!$B$23+0+(IF(ArtifactsInput!$M$15,CHOOSE(ArtifactsInput!$N$15+1,25,30,35,40,45,50)/100*(Inputs!$B$11-Inputs!$B$11),0)))/100)/2</f>
        <v/>
      </c>
      <c r="M1095">
        <f>L1095*(1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5">
        <f>L1095*(1-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1095*(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5">
        <f>(1-Summary!$B$11)*T1095+Summary!$B$11*V1095</f>
        <v/>
      </c>
      <c r="P1095">
        <f>IF(B1124=0,0,O1095/B1124)</f>
        <v/>
      </c>
      <c r="Q1095">
        <f>IFERROR(1/(IF(Inputs!$B$38="pvp",15,MAX(0.1,Skills!D12-IF(Skills!E12=TRUE,(Inputs!$B$32+1),0)))*(1-IF(AND(ArtifactsInput!$M$27,Inputs!$B$4="Chapter Hunt"),CHOOSE(ArtifactsInput!$N$27+1,20,24,28,32,36,40),0)/100)),0)</f>
        <v/>
      </c>
      <c r="R1095">
        <f>IF(AND(Inputs!$B$38&lt;&gt;"pvp",Inputs!$B$43&gt;0),IF(MAX(0,Inputs!$B$43-B1121)&lt;=0,0,(INT(MAX(0,Inputs!$B$43-B1121)/(IF(Inputs!$B$38="pvp",15,MAX(0.1,Skills!D12-IF(Skills!E12=TRUE,(Inputs!$B$32+1),0)))*(1-IF(AND(ArtifactsInput!$M$27,Inputs!$B$4="Chapter Hunt"),CHOOSE(ArtifactsInput!$N$27+1,20,24,28,32,36,40),0)/100)))+1)),0)</f>
        <v/>
      </c>
      <c r="S1095">
        <f>IFERROR(O1095/N1095,0)</f>
        <v/>
      </c>
      <c r="T1095">
        <f>IF(C1095,(H1095*N1095*IF(AND(Inputs!$B$38&lt;&gt;"pvp",Inputs!$B$43&gt;0),((Skills!G12*((R1095-1)*IF(Skills!H12&gt;0,Skills!I12/Skills!H12,1)+IF(Skills!H12&gt;0,MIN(Skills!I12,MAX(0,MAX(0,Inputs!$B$43-B1121)-((R1095-1)*(IF(Inputs!$B$38="pvp",15,MAX(0.1,Skills!D12-IF(Skills!E12=TRUE,(Inputs!$B$32+1),0)))*(1-IF(AND(ArtifactsInput!$M$27,Inputs!$B$4="Chapter Hunt"),CHOOSE(ArtifactsInput!$N$27+1,20,24,28,32,36,40),0)/100)))))/Skills!H12,1)))/Inputs!$B$43),G1095*Q1095)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1095*(1-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1095*(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1095*(1-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1095*(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5">
        <f>IF(C1095,(H1095*N1095*IF(AND(Inputs!$B$38&lt;&gt;"pvp",Inputs!$B$43&gt;0),((Skills!G12*((R1095-1)*IF(Skills!H12&gt;0,Skills!I12/Skills!H12,1)+IF(Skills!H12&gt;0,MIN(Skills!I12,MAX(0,MAX(0,Inputs!$B$43-B1121)-((R1095-1)*(IF(Inputs!$B$38="pvp",15,MAX(0.1,Skills!D12-IF(Skills!E12=TRUE,(Inputs!$B$32+1),0)))*(1-IF(AND(ArtifactsInput!$M$27,Inputs!$B$4="Chapter Hunt"),CHOOSE(ArtifactsInput!$N$27+1,20,24,28,32,36,40),0)/100)))))/Skills!H12,1)))/Inputs!$B$43),G1095*Q1095))*IF(Inputs!$B$38="pvp",1,(1+(Inputs!$B$21+Skills!Q12+(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6">
      <c r="A1096">
        <f>Skills!A13</f>
        <v/>
      </c>
      <c r="B1096">
        <f>Skills!B13</f>
        <v/>
      </c>
      <c r="C1096">
        <f>Inputs!$B$3&gt;=110</f>
        <v/>
      </c>
      <c r="D1096">
        <f>IF(Skills!C13=1,60+Inputs!$B$25+Inputs!$B$29,IF(Skills!C13=2,90+Inputs!$B$26+Inputs!$B$29,IF(Skills!C13=3,120+Inputs!$B$27+Inputs!$B$29,MAX(0,(Inputs!$B$3-100)*3)+Inputs!$B$28+Inputs!$B$29)))</f>
        <v/>
      </c>
      <c r="E1096">
        <f>INDEX(FactorTable!$B$2:$Y$301, MATCH(ROUND(MIN(300,MAX(1,D1096)),0), FactorTable!$A$2:$A$301,0), Skills!M13+1)</f>
        <v/>
      </c>
      <c r="F1096">
        <f>IF(Skills!N13=TRUE,(Skills!L13/10)*(E1096/1000),Skills!L13/10)+Skills!O13</f>
        <v/>
      </c>
      <c r="G1096">
        <f>Skills!G13*IF(Skills!H13&gt;0,Skills!I13/Skills!H13,1)</f>
        <v/>
      </c>
      <c r="H1096">
        <f>1-(1-Skills!J13/100)^Skills!K13</f>
        <v/>
      </c>
      <c r="I1096" t="inlineStr">
        <is>
          <t>1</t>
        </is>
      </c>
      <c r="J1096">
        <f>((Inputs!$B$6*(1+Inputs!$B$7/100))+(((Inputs!$B$12*(1+Inputs!$B$13/100))-(Inputs!$B$12*(1+Inputs!$B$13/100)))+0.25*(Inputs!$B$14-Inputs!$B$14))*(1+Inputs!$B$7/100))*(F1096/100)</f>
        <v/>
      </c>
      <c r="K1096">
        <f>J1096*(1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1096)</f>
        <v/>
      </c>
      <c r="L1096">
        <f>K1096*(MIN(Inputs!$B$22+((C1105=TRUE)*(F1105-Calc!F22)),(Inputs!$B$23+0+(IF(ArtifactsInput!$M$15,CHOOSE(ArtifactsInput!$N$15+1,25,30,35,40,45,50)/100*(Inputs!$B$11-Inputs!$B$11),0))))/100+(Inputs!$B$23+0+(IF(ArtifactsInput!$M$15,CHOOSE(ArtifactsInput!$N$15+1,25,30,35,40,45,50)/100*(Inputs!$B$11-Inputs!$B$11),0)))/100)/2</f>
        <v/>
      </c>
      <c r="M1096">
        <f>L1096*(1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6">
        <f>L1096*(1-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1096*(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6">
        <f>(1-Summary!$B$11)*T1096+Summary!$B$11*V1096</f>
        <v/>
      </c>
      <c r="P1096">
        <f>IF(B1124=0,0,O1096/B1124)</f>
        <v/>
      </c>
      <c r="Q1096">
        <f>IFERROR(1/(IF(Inputs!$B$38="pvp",15,MAX(0.1,Skills!D13-IF(Skills!E13=TRUE,(Inputs!$B$32+1),0)))*(1-IF(AND(ArtifactsInput!$M$27,Inputs!$B$4="Chapter Hunt"),CHOOSE(ArtifactsInput!$N$27+1,20,24,28,32,36,40),0)/100)),0)</f>
        <v/>
      </c>
      <c r="R1096">
        <f>IF(AND(Inputs!$B$38&lt;&gt;"pvp",Inputs!$B$43&gt;0),IF(MAX(0,Inputs!$B$43-B1121)&lt;=0,0,(INT(MAX(0,Inputs!$B$43-B1121)/(IF(Inputs!$B$38="pvp",15,MAX(0.1,Skills!D13-IF(Skills!E13=TRUE,(Inputs!$B$32+1),0)))*(1-IF(AND(ArtifactsInput!$M$27,Inputs!$B$4="Chapter Hunt"),CHOOSE(ArtifactsInput!$N$27+1,20,24,28,32,36,40),0)/100)))+1)),0)</f>
        <v/>
      </c>
      <c r="S1096">
        <f>IFERROR(O1096/N1096,0)</f>
        <v/>
      </c>
      <c r="T1096">
        <f>IF(C1096,(H1096*N1096*IF(AND(Inputs!$B$38&lt;&gt;"pvp",Inputs!$B$43&gt;0),((Skills!G13*((R1096-1)*IF(Skills!H13&gt;0,Skills!I13/Skills!H13,1)+IF(Skills!H13&gt;0,MIN(Skills!I13,MAX(0,MAX(0,Inputs!$B$43-B1121)-((R1096-1)*(IF(Inputs!$B$38="pvp",15,MAX(0.1,Skills!D13-IF(Skills!E13=TRUE,(Inputs!$B$32+1),0)))*(1-IF(AND(ArtifactsInput!$M$27,Inputs!$B$4="Chapter Hunt"),CHOOSE(ArtifactsInput!$N$27+1,20,24,28,32,36,40),0)/100)))))/Skills!H13,1)))/Inputs!$B$43),G1096*Q1096)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1096*(1-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1096*(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1096*(1-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1096*(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6">
        <f>IF(C1096,(H1096*N1096*IF(AND(Inputs!$B$38&lt;&gt;"pvp",Inputs!$B$43&gt;0),((Skills!G13*((R1096-1)*IF(Skills!H13&gt;0,Skills!I13/Skills!H13,1)+IF(Skills!H13&gt;0,MIN(Skills!I13,MAX(0,MAX(0,Inputs!$B$43-B1121)-((R1096-1)*(IF(Inputs!$B$38="pvp",15,MAX(0.1,Skills!D13-IF(Skills!E13=TRUE,(Inputs!$B$32+1),0)))*(1-IF(AND(ArtifactsInput!$M$27,Inputs!$B$4="Chapter Hunt"),CHOOSE(ArtifactsInput!$N$27+1,20,24,28,32,36,40),0)/100)))))/Skills!H13,1)))/Inputs!$B$43),G1096*Q1096))*IF(Inputs!$B$38="pvp",1,(1+(Inputs!$B$21+Skills!Q13+(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7">
      <c r="A1097">
        <f>Skills!A14</f>
        <v/>
      </c>
      <c r="B1097">
        <f>Skills!B14</f>
        <v/>
      </c>
      <c r="C1097">
        <f>Inputs!$B$3&gt;=125</f>
        <v/>
      </c>
      <c r="D1097">
        <f>IF(Skills!C14=1,60+Inputs!$B$25+Inputs!$B$29,IF(Skills!C14=2,90+Inputs!$B$26+Inputs!$B$29,IF(Skills!C14=3,120+Inputs!$B$27+Inputs!$B$29,MAX(0,(Inputs!$B$3-100)*3)+Inputs!$B$28+Inputs!$B$29)))</f>
        <v/>
      </c>
      <c r="E1097">
        <f>INDEX(FactorTable!$B$2:$Y$301, MATCH(ROUND(MIN(300,MAX(1,D1097)),0), FactorTable!$A$2:$A$301,0), Skills!M14+1)</f>
        <v/>
      </c>
      <c r="F1097">
        <f>IF(Skills!N14=TRUE,(Skills!L14/10)*(E1097/1000),Skills!L14/10)+Skills!O14</f>
        <v/>
      </c>
      <c r="G1097">
        <f>Skills!G14*IF(Skills!H14&gt;0,Skills!I14/Skills!H14,1)</f>
        <v/>
      </c>
      <c r="H1097">
        <f>1-(1-Skills!J14/100)^Skills!K14</f>
        <v/>
      </c>
      <c r="I1097" t="inlineStr">
        <is>
          <t>1</t>
        </is>
      </c>
      <c r="J1097">
        <f>((Inputs!$B$6*(1+Inputs!$B$7/100))+(((Inputs!$B$12*(1+Inputs!$B$13/100))-(Inputs!$B$12*(1+Inputs!$B$13/100)))+0.25*(Inputs!$B$14-Inputs!$B$14))*(1+Inputs!$B$7/100))*(F1097/100)</f>
        <v/>
      </c>
      <c r="K1097">
        <f>J1097*(1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1097)</f>
        <v/>
      </c>
      <c r="L1097">
        <f>K1097*(MIN(Inputs!$B$22+((C1105=TRUE)*(F1105-Calc!F22)),(Inputs!$B$23+0+(IF(ArtifactsInput!$M$15,CHOOSE(ArtifactsInput!$N$15+1,25,30,35,40,45,50)/100*(Inputs!$B$11-Inputs!$B$11),0))))/100+(Inputs!$B$23+0+(IF(ArtifactsInput!$M$15,CHOOSE(ArtifactsInput!$N$15+1,25,30,35,40,45,50)/100*(Inputs!$B$11-Inputs!$B$11),0)))/100)/2</f>
        <v/>
      </c>
      <c r="M1097">
        <f>L1097*(1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7">
        <f>L1097*(1-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1097*(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7">
        <f>(1-Summary!$B$11)*T1097+Summary!$B$11*V1097</f>
        <v/>
      </c>
      <c r="P1097">
        <f>IF(B1124=0,0,O1097/B1124)</f>
        <v/>
      </c>
      <c r="Q1097" t="n">
        <v>0</v>
      </c>
      <c r="R1097" t="n">
        <v>0</v>
      </c>
      <c r="S1097">
        <f>IFERROR(O1097/N1097,0)</f>
        <v/>
      </c>
      <c r="T1097">
        <f>IF(C1097,(H1097*N1097*(B1118+IF(AND(Inputs!$B$38&lt;&gt;"pvp",Inputs!$B$43&gt;0),((Skills!G8*((R1091-1)*IF(Skills!H8&gt;0,Skills!I8/Skills!H8,1)+IF(Skills!H8&gt;0,MIN(Skills!I8,MAX(0,MAX(0,Inputs!$B$43-B1121)-((R1091-1)*(IF(Inputs!$B$38="pvp",15,MAX(0.1,Skills!D8-IF(Skills!E8=TRUE,(Inputs!$B$32+1),0)))*(1-IF(AND(ArtifactsInput!$M$27,Inputs!$B$4="Chapter Hunt"),CHOOSE(ArtifactsInput!$N$27+1,20,24,28,32,36,40),0)/100)))))/Skills!H8,1)))/Inputs!$B$43),G1091*Q1091)+IF(AND(Inputs!$B$38&lt;&gt;"pvp",Inputs!$B$43&gt;0),((Skills!G11*((R1094-1)*IF(Skills!H11&gt;0,Skills!I11/Skills!H11,1)+IF(Skills!H11&gt;0,MIN(Skills!I11,MAX(0,MAX(0,Inputs!$B$43-B1121)-((R1094-1)*(IF(Inputs!$B$38="pvp",15,MAX(0.1,Skills!D11-IF(Skills!E11=TRUE,(Inputs!$B$32+1),0)))*(1-IF(AND(ArtifactsInput!$M$27,Inputs!$B$4="Chapter Hunt"),CHOOSE(ArtifactsInput!$N$27+1,20,24,28,32,36,40),0)/100)))))/Skills!H11,1)))/Inputs!$B$43),G1094*Q1094)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1097*(1-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1097*(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1097*(1-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1097*(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7">
        <f>IF(C1097,(H1097*N1097*(B1118+IF(AND(Inputs!$B$38&lt;&gt;"pvp",Inputs!$B$43&gt;0),((Skills!G8*((R1091-1)*IF(Skills!H8&gt;0,Skills!I8/Skills!H8,1)+IF(Skills!H8&gt;0,MIN(Skills!I8,MAX(0,MAX(0,Inputs!$B$43-B1121)-((R1091-1)*(IF(Inputs!$B$38="pvp",15,MAX(0.1,Skills!D8-IF(Skills!E8=TRUE,(Inputs!$B$32+1),0)))*(1-IF(AND(ArtifactsInput!$M$27,Inputs!$B$4="Chapter Hunt"),CHOOSE(ArtifactsInput!$N$27+1,20,24,28,32,36,40),0)/100)))))/Skills!H8,1)))/Inputs!$B$43),G1091*Q1091)+IF(AND(Inputs!$B$38&lt;&gt;"pvp",Inputs!$B$43&gt;0),((Skills!G11*((R1094-1)*IF(Skills!H11&gt;0,Skills!I11/Skills!H11,1)+IF(Skills!H11&gt;0,MIN(Skills!I11,MAX(0,MAX(0,Inputs!$B$43-B1121)-((R1094-1)*(IF(Inputs!$B$38="pvp",15,MAX(0.1,Skills!D11-IF(Skills!E11=TRUE,(Inputs!$B$32+1),0)))*(1-IF(AND(ArtifactsInput!$M$27,Inputs!$B$4="Chapter Hunt"),CHOOSE(ArtifactsInput!$N$27+1,20,24,28,32,36,40),0)/100)))))/Skills!H11,1)))/Inputs!$B$43),G1094*Q1094)))*IF(Inputs!$B$38="pvp",1,(1+(Inputs!$B$21+Skills!Q14+(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8">
      <c r="A1098">
        <f>Skills!A15</f>
        <v/>
      </c>
      <c r="B1098">
        <f>Skills!B15</f>
        <v/>
      </c>
      <c r="C1098">
        <f>Inputs!$B$3&gt;=100</f>
        <v/>
      </c>
      <c r="D1098">
        <f>IF(Skills!C15=1,60+Inputs!$B$25+Inputs!$B$29,IF(Skills!C15=2,90+Inputs!$B$26+Inputs!$B$29,IF(Skills!C15=3,120+Inputs!$B$27+Inputs!$B$29,MAX(0,(Inputs!$B$3-100)*3)+Inputs!$B$28+Inputs!$B$29)))</f>
        <v/>
      </c>
      <c r="E1098">
        <f>INDEX(FactorTable!$B$2:$Y$301, MATCH(ROUND(MIN(300,MAX(1,D1098)),0), FactorTable!$A$2:$A$301,0), Skills!M15+1)</f>
        <v/>
      </c>
      <c r="F1098">
        <f>IF(Skills!N15=TRUE,(Skills!L15/10)*(E1098/1000),Skills!L15/10)+Skills!O15</f>
        <v/>
      </c>
      <c r="G1098" t="inlineStr"/>
      <c r="H1098" t="inlineStr"/>
      <c r="I1098" t="inlineStr">
        <is>
          <t>1</t>
        </is>
      </c>
      <c r="J1098" t="inlineStr"/>
      <c r="K1098" t="inlineStr"/>
      <c r="L1098" t="inlineStr"/>
      <c r="M1098" t="inlineStr"/>
      <c r="N1098" t="inlineStr"/>
      <c r="O1098" t="inlineStr"/>
      <c r="P1098" t="inlineStr"/>
      <c r="Q1098" t="inlineStr"/>
      <c r="R1098" t="inlineStr"/>
      <c r="S1098" t="inlineStr"/>
    </row>
    <row r="1099">
      <c r="A1099">
        <f>Skills!A16</f>
        <v/>
      </c>
      <c r="B1099">
        <f>Skills!B16</f>
        <v/>
      </c>
      <c r="C1099">
        <f>Inputs!$B$3&gt;=120</f>
        <v/>
      </c>
      <c r="D1099">
        <f>IF(Skills!C16=1,60+Inputs!$B$25+Inputs!$B$29,IF(Skills!C16=2,90+Inputs!$B$26+Inputs!$B$29,IF(Skills!C16=3,120+Inputs!$B$27+Inputs!$B$29,MAX(0,(Inputs!$B$3-100)*3)+Inputs!$B$28+Inputs!$B$29)))</f>
        <v/>
      </c>
      <c r="E1099">
        <f>INDEX(FactorTable!$B$2:$Y$301, MATCH(ROUND(MIN(300,MAX(1,D1099)),0), FactorTable!$A$2:$A$301,0), Skills!M16+1)</f>
        <v/>
      </c>
      <c r="F1099">
        <f>IF(Skills!N16=TRUE,(Skills!L16/10)*(E1099/1000),Skills!L16/10)+Skills!O16</f>
        <v/>
      </c>
      <c r="G1099" t="inlineStr"/>
      <c r="H1099" t="inlineStr"/>
      <c r="I1099" t="inlineStr">
        <is>
          <t>1</t>
        </is>
      </c>
      <c r="J1099" t="inlineStr"/>
      <c r="K1099" t="inlineStr"/>
      <c r="L1099" t="inlineStr"/>
      <c r="M1099" t="inlineStr"/>
      <c r="N1099" t="inlineStr"/>
      <c r="O1099" t="inlineStr"/>
      <c r="P1099" t="inlineStr"/>
      <c r="Q1099" t="inlineStr"/>
      <c r="R1099" t="inlineStr"/>
      <c r="S1099" t="inlineStr"/>
    </row>
    <row r="1100">
      <c r="A1100">
        <f>Skills!A17</f>
        <v/>
      </c>
      <c r="B1100">
        <f>Skills!B17</f>
        <v/>
      </c>
      <c r="C1100">
        <f>Inputs!$B$3&gt;=66</f>
        <v/>
      </c>
      <c r="D1100">
        <f>IF(Skills!C17=1,60+Inputs!$B$25+Inputs!$B$29,IF(Skills!C17=2,90+Inputs!$B$26+Inputs!$B$29,IF(Skills!C17=3,120+Inputs!$B$27+Inputs!$B$29,MAX(0,(Inputs!$B$3-100)*3)+Inputs!$B$28+Inputs!$B$29)))</f>
        <v/>
      </c>
      <c r="E1100">
        <f>INDEX(FactorTable!$B$2:$Y$301, MATCH(ROUND(MIN(300,MAX(1,D1100)),0), FactorTable!$A$2:$A$301,0), Skills!M17+1)</f>
        <v/>
      </c>
      <c r="F1100">
        <f>IF(Skills!N17=TRUE,(Skills!L17/10)*(E1100/1000),Skills!L17/10)+Skills!O17</f>
        <v/>
      </c>
      <c r="G1100">
        <f>Skills!G17*IF(Skills!H17&gt;0,Skills!I17/Skills!H17,1)</f>
        <v/>
      </c>
      <c r="H1100">
        <f>1-(1-Skills!J17/100)^Skills!K17</f>
        <v/>
      </c>
      <c r="I1100" t="inlineStr">
        <is>
          <t>1</t>
        </is>
      </c>
      <c r="J1100" t="inlineStr"/>
      <c r="K1100" t="inlineStr"/>
      <c r="L1100" t="inlineStr"/>
      <c r="M1100" t="inlineStr"/>
      <c r="N1100" t="inlineStr"/>
      <c r="O1100">
        <f>(1-Summary!$B$11)*T1100+Summary!$B$11*V1100</f>
        <v/>
      </c>
      <c r="P1100">
        <f>IF(B1124=0,0,O1100/B1124)</f>
        <v/>
      </c>
      <c r="Q1100" t="n">
        <v>0</v>
      </c>
      <c r="R1100" t="n">
        <v>0</v>
      </c>
      <c r="S1100">
        <f>IFERROR(O1100/N1100,0)</f>
        <v/>
      </c>
      <c r="T1100" t="n">
        <v>0</v>
      </c>
      <c r="V1100" t="n">
        <v>0</v>
      </c>
    </row>
    <row r="1101">
      <c r="A1101">
        <f>Skills!A18</f>
        <v/>
      </c>
      <c r="B1101">
        <f>Skills!B18</f>
        <v/>
      </c>
      <c r="C1101">
        <f>Inputs!$B$3&gt;=115</f>
        <v/>
      </c>
      <c r="D1101">
        <f>IF(Skills!C18=1,60+Inputs!$B$25+Inputs!$B$29,IF(Skills!C18=2,90+Inputs!$B$26+Inputs!$B$29,IF(Skills!C18=3,120+Inputs!$B$27+Inputs!$B$29,MAX(0,(Inputs!$B$3-100)*3)+Inputs!$B$28+Inputs!$B$29)))</f>
        <v/>
      </c>
      <c r="E1101">
        <f>INDEX(FactorTable!$B$2:$Y$301, MATCH(ROUND(MIN(300,MAX(1,D1101)),0), FactorTable!$A$2:$A$301,0), Skills!M18+1)</f>
        <v/>
      </c>
      <c r="F1101">
        <f>IF(Skills!N18=TRUE,(Skills!L18/10)*(E1101/1000),Skills!L18/10)+Skills!O18</f>
        <v/>
      </c>
      <c r="G1101">
        <f>Skills!G18*IF(Skills!H18&gt;0,Skills!I18/Skills!H18,1)</f>
        <v/>
      </c>
      <c r="H1101">
        <f>1-(1-Skills!J18/100)^Skills!K18</f>
        <v/>
      </c>
      <c r="I1101" t="inlineStr">
        <is>
          <t>1</t>
        </is>
      </c>
      <c r="J1101" t="inlineStr"/>
      <c r="K1101" t="inlineStr"/>
      <c r="L1101" t="inlineStr"/>
      <c r="M1101" t="inlineStr"/>
      <c r="N1101" t="inlineStr"/>
      <c r="O1101">
        <f>(1-Summary!$B$11)*T1101+Summary!$B$11*V1101</f>
        <v/>
      </c>
      <c r="P1101">
        <f>IF(B1124=0,0,O1101/B1124)</f>
        <v/>
      </c>
      <c r="Q1101">
        <f>IFERROR(1/(IF(Inputs!$B$38="pvp",15,MAX(0.1,Skills!D18-IF(Skills!E18=TRUE,(Inputs!$B$32+1),0)))*(1-IF(AND(ArtifactsInput!$M$27,Inputs!$B$4="Chapter Hunt"),CHOOSE(ArtifactsInput!$N$27+1,20,24,28,32,36,40),0)/100)),0)</f>
        <v/>
      </c>
      <c r="R1101">
        <f>IF(AND(Inputs!$B$38&lt;&gt;"pvp",Inputs!$B$43&gt;0),IF(Inputs!$B$43&lt;=0,0,(INT(Inputs!$B$43/(IF(Inputs!$B$38="pvp",15,MAX(0.1,Skills!D18-IF(Skills!E18=TRUE,(Inputs!$B$32+1),0)))*(1-IF(AND(ArtifactsInput!$M$27,Inputs!$B$4="Chapter Hunt"),CHOOSE(ArtifactsInput!$N$27+1,20,24,28,32,36,40),0)/100)))+1)),0)</f>
        <v/>
      </c>
      <c r="S1101">
        <f>IFERROR(O1101/N1101,0)</f>
        <v/>
      </c>
      <c r="T1101" t="n">
        <v>0</v>
      </c>
      <c r="V1101" t="n">
        <v>0</v>
      </c>
    </row>
    <row r="1102">
      <c r="A1102">
        <f>Skills!A19</f>
        <v/>
      </c>
      <c r="B1102">
        <f>Skills!B19</f>
        <v/>
      </c>
      <c r="C1102">
        <f>Inputs!$B$3&gt;=15</f>
        <v/>
      </c>
      <c r="D1102">
        <f>IF(Skills!C19=1,60+Inputs!$B$25+Inputs!$B$29,IF(Skills!C19=2,90+Inputs!$B$26+Inputs!$B$29,IF(Skills!C19=3,120+Inputs!$B$27+Inputs!$B$29,MAX(0,(Inputs!$B$3-100)*3)+Inputs!$B$28+Inputs!$B$29)))</f>
        <v/>
      </c>
      <c r="E1102">
        <f>INDEX(FactorTable!$B$2:$Y$301, MATCH(ROUND(MIN(300,MAX(1,D1102)),0), FactorTable!$A$2:$A$301,0), Skills!M19+1)</f>
        <v/>
      </c>
      <c r="F1102">
        <f>IF(Skills!N19=TRUE,(Skills!L19/10)*(E1102/1000),Skills!L19/10)+Skills!O19</f>
        <v/>
      </c>
      <c r="G1102">
        <f>Skills!G19*IF(Skills!H19&gt;0,Skills!I19/Skills!H19,1)</f>
        <v/>
      </c>
      <c r="H1102">
        <f>1-(1-Skills!J19/100)^Skills!K19</f>
        <v/>
      </c>
      <c r="I1102" t="inlineStr">
        <is>
          <t>1</t>
        </is>
      </c>
      <c r="J1102" t="inlineStr"/>
      <c r="K1102" t="inlineStr"/>
      <c r="L1102" t="inlineStr"/>
      <c r="M1102" t="inlineStr"/>
      <c r="N1102" t="inlineStr"/>
      <c r="O1102">
        <f>(1-Summary!$B$11)*T1102+Summary!$B$11*V1102</f>
        <v/>
      </c>
      <c r="P1102">
        <f>IF(B1124=0,0,O1102/B1124)</f>
        <v/>
      </c>
      <c r="Q1102" t="n">
        <v>0</v>
      </c>
      <c r="R1102" t="n">
        <v>0</v>
      </c>
      <c r="S1102">
        <f>IFERROR(O1102/N1102,0)</f>
        <v/>
      </c>
      <c r="T1102" t="n">
        <v>0</v>
      </c>
      <c r="V1102" t="n">
        <v>0</v>
      </c>
    </row>
    <row r="1103">
      <c r="A1103">
        <f>Skills!A20</f>
        <v/>
      </c>
      <c r="B1103">
        <f>Skills!B20</f>
        <v/>
      </c>
      <c r="C1103">
        <f>Inputs!$B$3&gt;=10</f>
        <v/>
      </c>
      <c r="D1103">
        <f>IF(Skills!C20=1,60+Inputs!$B$25+Inputs!$B$29,IF(Skills!C20=2,90+Inputs!$B$26+Inputs!$B$29,IF(Skills!C20=3,120+Inputs!$B$27+Inputs!$B$29,MAX(0,(Inputs!$B$3-100)*3)+Inputs!$B$28+Inputs!$B$29)))</f>
        <v/>
      </c>
      <c r="E1103">
        <f>INDEX(FactorTable!$B$2:$Y$301, MATCH(ROUND(MIN(300,MAX(1,D1103)),0), FactorTable!$A$2:$A$301,0), Skills!M20+1)</f>
        <v/>
      </c>
      <c r="F1103">
        <f>IF(Skills!N20=TRUE,(Skills!L20/10)*(E1103/1000),Skills!L20/10)+Skills!O20</f>
        <v/>
      </c>
      <c r="G1103">
        <f>Skills!G20*IF(Skills!H20&gt;0,Skills!I20/Skills!H20,1)</f>
        <v/>
      </c>
      <c r="H1103">
        <f>1-(1-Skills!J20/100)^Skills!K20</f>
        <v/>
      </c>
      <c r="I1103" t="inlineStr">
        <is>
          <t>1</t>
        </is>
      </c>
      <c r="J1103" t="inlineStr"/>
      <c r="K1103" t="inlineStr"/>
      <c r="L1103" t="inlineStr"/>
      <c r="M1103" t="inlineStr"/>
      <c r="N1103" t="inlineStr"/>
      <c r="O1103">
        <f>(1-Summary!$B$11)*T1103+Summary!$B$11*V1103</f>
        <v/>
      </c>
      <c r="P1103">
        <f>IF(B1124=0,0,O1103/B1124)</f>
        <v/>
      </c>
      <c r="Q1103" t="n">
        <v>0</v>
      </c>
      <c r="R1103" t="n">
        <v>0</v>
      </c>
      <c r="S1103">
        <f>IFERROR(O1103/N1103,0)</f>
        <v/>
      </c>
      <c r="T1103" t="n">
        <v>0</v>
      </c>
      <c r="V1103" t="n">
        <v>0</v>
      </c>
    </row>
    <row r="1104">
      <c r="A1104">
        <f>Skills!A21</f>
        <v/>
      </c>
      <c r="B1104">
        <f>Skills!B21</f>
        <v/>
      </c>
      <c r="C1104">
        <f>Inputs!$B$3&gt;=33</f>
        <v/>
      </c>
      <c r="D1104">
        <f>IF(Skills!C21=1,60+Inputs!$B$25+Inputs!$B$29,IF(Skills!C21=2,90+Inputs!$B$26+Inputs!$B$29,IF(Skills!C21=3,120+Inputs!$B$27+Inputs!$B$29,MAX(0,(Inputs!$B$3-100)*3)+Inputs!$B$28+Inputs!$B$29)))</f>
        <v/>
      </c>
      <c r="E1104">
        <f>INDEX(FactorTable!$B$2:$Y$301, MATCH(ROUND(MIN(300,MAX(1,D1104)),0), FactorTable!$A$2:$A$301,0), Skills!M21+1)</f>
        <v/>
      </c>
      <c r="F1104">
        <f>IF(Skills!N21=TRUE,(Skills!L21/10)*(E1104/1000),Skills!L21/10)+Skills!O21</f>
        <v/>
      </c>
      <c r="G1104">
        <f>Skills!G21*IF(Skills!H21&gt;0,Skills!I21/Skills!H21,1)</f>
        <v/>
      </c>
      <c r="H1104">
        <f>1-(1-Skills!J21/100)^Skills!K21</f>
        <v/>
      </c>
      <c r="I1104" t="inlineStr">
        <is>
          <t>1</t>
        </is>
      </c>
      <c r="J1104" t="inlineStr"/>
      <c r="K1104" t="inlineStr"/>
      <c r="L1104" t="inlineStr"/>
      <c r="M1104" t="inlineStr"/>
      <c r="N1104" t="inlineStr"/>
      <c r="O1104">
        <f>(1-Summary!$B$11)*T1104+Summary!$B$11*V1104</f>
        <v/>
      </c>
      <c r="P1104">
        <f>IF(B1124=0,0,O1104/B1124)</f>
        <v/>
      </c>
      <c r="Q1104" t="n">
        <v>0</v>
      </c>
      <c r="R1104" t="n">
        <v>0</v>
      </c>
      <c r="S1104">
        <f>IFERROR(O1104/N1104,0)</f>
        <v/>
      </c>
      <c r="T1104" t="n">
        <v>0</v>
      </c>
      <c r="V1104" t="n">
        <v>0</v>
      </c>
    </row>
    <row r="1105">
      <c r="A1105">
        <f>Skills!A22</f>
        <v/>
      </c>
      <c r="B1105">
        <f>Skills!B22</f>
        <v/>
      </c>
      <c r="C1105">
        <f>Inputs!$B$3&gt;=43</f>
        <v/>
      </c>
      <c r="D1105">
        <f>IF(Skills!C22=1,60+Inputs!$B$25+Inputs!$B$29,IF(Skills!C22=2,90+Inputs!$B$26+Inputs!$B$29,IF(Skills!C22=3,120+Inputs!$B$27+Inputs!$B$29,MAX(0,(Inputs!$B$3-100)*3)+Inputs!$B$28+Inputs!$B$29)))</f>
        <v/>
      </c>
      <c r="E1105">
        <f>INDEX(FactorTable!$B$2:$Y$301, MATCH(ROUND(MIN(300,MAX(1,D1105)),0), FactorTable!$A$2:$A$301,0), Skills!M22+1)</f>
        <v/>
      </c>
      <c r="F1105">
        <f>IF(Skills!N22=TRUE,(Skills!L22/10)*(E1105/1000),Skills!L22/10)+Skills!O22</f>
        <v/>
      </c>
      <c r="G1105">
        <f>Skills!G22*IF(Skills!H22&gt;0,Skills!I22/Skills!H22,1)</f>
        <v/>
      </c>
      <c r="H1105">
        <f>1-(1-Skills!J22/100)^Skills!K22</f>
        <v/>
      </c>
      <c r="I1105" t="inlineStr">
        <is>
          <t>1</t>
        </is>
      </c>
      <c r="J1105" t="inlineStr"/>
      <c r="K1105" t="inlineStr"/>
      <c r="L1105" t="inlineStr"/>
      <c r="M1105" t="inlineStr"/>
      <c r="N1105" t="inlineStr"/>
      <c r="O1105">
        <f>(1-Summary!$B$11)*T1105+Summary!$B$11*V1105</f>
        <v/>
      </c>
      <c r="P1105">
        <f>IF(B1124=0,0,O1105/B1124)</f>
        <v/>
      </c>
      <c r="Q1105" t="n">
        <v>0</v>
      </c>
      <c r="R1105" t="n">
        <v>0</v>
      </c>
      <c r="S1105">
        <f>IFERROR(O1105/N1105,0)</f>
        <v/>
      </c>
      <c r="T1105" t="n">
        <v>0</v>
      </c>
      <c r="V1105" t="n">
        <v>0</v>
      </c>
    </row>
    <row r="1106">
      <c r="A1106">
        <f>Skills!A23</f>
        <v/>
      </c>
      <c r="B1106">
        <f>Skills!B23</f>
        <v/>
      </c>
      <c r="C1106">
        <f>Inputs!$B$3&gt;=38</f>
        <v/>
      </c>
      <c r="D1106">
        <f>IF(Skills!C23=1,60+Inputs!$B$25+Inputs!$B$29,IF(Skills!C23=2,90+Inputs!$B$26+Inputs!$B$29,IF(Skills!C23=3,120+Inputs!$B$27+Inputs!$B$29,MAX(0,(Inputs!$B$3-100)*3)+Inputs!$B$28+Inputs!$B$29)))</f>
        <v/>
      </c>
      <c r="E1106">
        <f>INDEX(FactorTable!$B$2:$Y$301, MATCH(ROUND(MIN(300,MAX(1,D1106)),0), FactorTable!$A$2:$A$301,0), Skills!M23+1)</f>
        <v/>
      </c>
      <c r="F1106">
        <f>IF(Skills!N23=TRUE,(Skills!L23/10)*(E1106/1000),Skills!L23/10)+Skills!O23</f>
        <v/>
      </c>
      <c r="G1106">
        <f>Skills!G23*IF(Skills!H23&gt;0,Skills!I23/Skills!H23,1)</f>
        <v/>
      </c>
      <c r="H1106">
        <f>1-(1-Skills!J23/100)^Skills!K23</f>
        <v/>
      </c>
      <c r="I1106" t="inlineStr">
        <is>
          <t>1</t>
        </is>
      </c>
      <c r="J1106" t="inlineStr"/>
      <c r="K1106" t="inlineStr"/>
      <c r="L1106" t="inlineStr"/>
      <c r="M1106" t="inlineStr"/>
      <c r="N1106" t="inlineStr"/>
      <c r="O1106">
        <f>(1-Summary!$B$11)*T1106+Summary!$B$11*V1106</f>
        <v/>
      </c>
      <c r="P1106">
        <f>IF(B1124=0,0,O1106/B1124)</f>
        <v/>
      </c>
      <c r="Q1106" t="n">
        <v>0</v>
      </c>
      <c r="R1106" t="n">
        <v>0</v>
      </c>
      <c r="S1106">
        <f>IFERROR(O1106/N1106,0)</f>
        <v/>
      </c>
      <c r="T1106" t="n">
        <v>0</v>
      </c>
      <c r="V1106" t="n">
        <v>0</v>
      </c>
    </row>
    <row r="1107">
      <c r="A1107">
        <f>Skills!A24</f>
        <v/>
      </c>
      <c r="B1107">
        <f>Skills!B24</f>
        <v/>
      </c>
      <c r="C1107">
        <f>Inputs!$B$3&gt;=40</f>
        <v/>
      </c>
      <c r="D1107">
        <f>IF(Skills!C24=1,60+Inputs!$B$25+Inputs!$B$29,IF(Skills!C24=2,90+Inputs!$B$26+Inputs!$B$29,IF(Skills!C24=3,120+Inputs!$B$27+Inputs!$B$29,MAX(0,(Inputs!$B$3-100)*3)+Inputs!$B$28+Inputs!$B$29)))</f>
        <v/>
      </c>
      <c r="E1107">
        <f>INDEX(FactorTable!$B$2:$Y$301, MATCH(ROUND(MIN(300,MAX(1,D1107)),0), FactorTable!$A$2:$A$301,0), Skills!M24+1)</f>
        <v/>
      </c>
      <c r="F1107">
        <f>IF(Skills!N24=TRUE,(Skills!L24/10)*(E1107/1000),Skills!L24/10)+Skills!O24</f>
        <v/>
      </c>
      <c r="G1107">
        <f>Skills!G24*IF(Skills!H24&gt;0,Skills!I24/Skills!H24,1)</f>
        <v/>
      </c>
      <c r="H1107">
        <f>1-(1-Skills!J24/100)^Skills!K24</f>
        <v/>
      </c>
      <c r="I1107" t="inlineStr">
        <is>
          <t>1</t>
        </is>
      </c>
      <c r="J1107" t="inlineStr"/>
      <c r="K1107" t="inlineStr"/>
      <c r="L1107" t="inlineStr"/>
      <c r="M1107" t="inlineStr"/>
      <c r="N1107" t="inlineStr"/>
      <c r="O1107">
        <f>(1-Summary!$B$11)*T1107+Summary!$B$11*V1107</f>
        <v/>
      </c>
      <c r="P1107">
        <f>IF(B1124=0,0,O1107/B1124)</f>
        <v/>
      </c>
      <c r="Q1107" t="n">
        <v>0</v>
      </c>
      <c r="R1107" t="n">
        <v>0</v>
      </c>
      <c r="S1107">
        <f>IFERROR(O1107/N1107,0)</f>
        <v/>
      </c>
      <c r="T1107" t="n">
        <v>0</v>
      </c>
      <c r="V1107" t="n">
        <v>0</v>
      </c>
    </row>
    <row r="1108">
      <c r="A1108">
        <f>Skills!A25</f>
        <v/>
      </c>
      <c r="B1108">
        <f>Skills!B25</f>
        <v/>
      </c>
      <c r="C1108">
        <f>Inputs!$B$3&gt;=72</f>
        <v/>
      </c>
      <c r="D1108">
        <f>IF(Skills!C25=1,60+Inputs!$B$25+Inputs!$B$29,IF(Skills!C25=2,90+Inputs!$B$26+Inputs!$B$29,IF(Skills!C25=3,120+Inputs!$B$27+Inputs!$B$29,MAX(0,(Inputs!$B$3-100)*3)+Inputs!$B$28+Inputs!$B$29)))</f>
        <v/>
      </c>
      <c r="E1108">
        <f>INDEX(FactorTable!$B$2:$Y$301, MATCH(ROUND(MIN(300,MAX(1,D1108)),0), FactorTable!$A$2:$A$301,0), Skills!M25+1)</f>
        <v/>
      </c>
      <c r="F1108">
        <f>IF(Skills!N25=TRUE,(Skills!L25/10)*(E1108/1000),Skills!L25/10)+Skills!O25</f>
        <v/>
      </c>
      <c r="G1108">
        <f>Skills!G25*IF(Skills!H25&gt;0,Skills!I25/Skills!H25,1)</f>
        <v/>
      </c>
      <c r="H1108">
        <f>1-(1-Skills!J25/100)^Skills!K25</f>
        <v/>
      </c>
      <c r="I1108" t="inlineStr">
        <is>
          <t>1</t>
        </is>
      </c>
      <c r="J1108" t="inlineStr"/>
      <c r="K1108" t="inlineStr"/>
      <c r="L1108" t="inlineStr"/>
      <c r="M1108" t="inlineStr"/>
      <c r="N1108" t="inlineStr"/>
      <c r="O1108">
        <f>(1-Summary!$B$11)*T1108+Summary!$B$11*V1108</f>
        <v/>
      </c>
      <c r="P1108">
        <f>IF(B1124=0,0,O1108/B1124)</f>
        <v/>
      </c>
      <c r="Q1108" t="n">
        <v>0</v>
      </c>
      <c r="R1108" t="n">
        <v>0</v>
      </c>
      <c r="S1108">
        <f>IFERROR(O1108/N1108,0)</f>
        <v/>
      </c>
      <c r="T1108" t="n">
        <v>0</v>
      </c>
      <c r="V1108" t="n">
        <v>0</v>
      </c>
    </row>
    <row r="1109">
      <c r="A1109">
        <f>Skills!A26</f>
        <v/>
      </c>
      <c r="B1109">
        <f>Skills!B26</f>
        <v/>
      </c>
      <c r="C1109">
        <f>Inputs!$B$3&gt;=75</f>
        <v/>
      </c>
      <c r="D1109">
        <f>IF(Skills!C26=1,60+Inputs!$B$25+Inputs!$B$29,IF(Skills!C26=2,90+Inputs!$B$26+Inputs!$B$29,IF(Skills!C26=3,120+Inputs!$B$27+Inputs!$B$29,MAX(0,(Inputs!$B$3-100)*3)+Inputs!$B$28+Inputs!$B$29)))</f>
        <v/>
      </c>
      <c r="E1109">
        <f>INDEX(FactorTable!$B$2:$Y$301, MATCH(ROUND(MIN(300,MAX(1,D1109)),0), FactorTable!$A$2:$A$301,0), Skills!M26+1)</f>
        <v/>
      </c>
      <c r="F1109">
        <f>IF(Skills!N26=TRUE,(Skills!L26/10)*(E1109/1000),Skills!L26/10)+Skills!O26</f>
        <v/>
      </c>
      <c r="G1109">
        <f>Skills!G26*IF(Skills!H26&gt;0,Skills!I26/Skills!H26,1)</f>
        <v/>
      </c>
      <c r="H1109">
        <f>1-(1-Skills!J26/100)^Skills!K26</f>
        <v/>
      </c>
      <c r="I1109" t="inlineStr">
        <is>
          <t>1</t>
        </is>
      </c>
      <c r="J1109" t="inlineStr"/>
      <c r="K1109" t="inlineStr"/>
      <c r="L1109" t="inlineStr"/>
      <c r="M1109" t="inlineStr"/>
      <c r="N1109" t="inlineStr"/>
      <c r="O1109">
        <f>(1-Summary!$B$11)*T1109+Summary!$B$11*V1109</f>
        <v/>
      </c>
      <c r="P1109">
        <f>IF(B1124=0,0,O1109/B1124)</f>
        <v/>
      </c>
      <c r="Q1109" t="n">
        <v>0</v>
      </c>
      <c r="R1109" t="n">
        <v>0</v>
      </c>
      <c r="S1109">
        <f>IFERROR(O1109/N1109,0)</f>
        <v/>
      </c>
      <c r="T1109" t="n">
        <v>0</v>
      </c>
      <c r="V1109" t="n">
        <v>0</v>
      </c>
    </row>
    <row r="1110">
      <c r="A1110">
        <f>Skills!A27</f>
        <v/>
      </c>
      <c r="B1110">
        <f>Skills!B27</f>
        <v/>
      </c>
      <c r="C1110">
        <f>Inputs!$B$3&gt;=117</f>
        <v/>
      </c>
      <c r="D1110">
        <f>IF(Skills!C27=1,60+Inputs!$B$25+Inputs!$B$29,IF(Skills!C27=2,90+Inputs!$B$26+Inputs!$B$29,IF(Skills!C27=3,120+Inputs!$B$27+Inputs!$B$29,MAX(0,(Inputs!$B$3-100)*3)+Inputs!$B$28+Inputs!$B$29)))</f>
        <v/>
      </c>
      <c r="E1110">
        <f>INDEX(FactorTable!$B$2:$Y$301, MATCH(ROUND(MIN(300,MAX(1,D1110)),0), FactorTable!$A$2:$A$301,0), Skills!M27+1)</f>
        <v/>
      </c>
      <c r="F1110">
        <f>IF(Skills!N27=TRUE,(Skills!L27/10)*(E1110/1000),Skills!L27/10)+Skills!O27</f>
        <v/>
      </c>
      <c r="G1110">
        <f>Skills!G27*IF(Skills!H27&gt;0,Skills!I27/Skills!H27,1)</f>
        <v/>
      </c>
      <c r="H1110">
        <f>1-(1-Skills!J27/100)^Skills!K27</f>
        <v/>
      </c>
      <c r="I1110" t="inlineStr">
        <is>
          <t>1</t>
        </is>
      </c>
      <c r="J1110" t="inlineStr"/>
      <c r="K1110" t="inlineStr"/>
      <c r="L1110" t="inlineStr"/>
      <c r="M1110" t="inlineStr"/>
      <c r="N1110" t="inlineStr"/>
      <c r="O1110">
        <f>(1-Summary!$B$11)*T1110+Summary!$B$11*V1110</f>
        <v/>
      </c>
      <c r="P1110">
        <f>IF(B1124=0,0,O1110/B1124)</f>
        <v/>
      </c>
      <c r="Q1110" t="n">
        <v>0</v>
      </c>
      <c r="R1110" t="n">
        <v>0</v>
      </c>
      <c r="S1110">
        <f>IFERROR(O1110/N1110,0)</f>
        <v/>
      </c>
      <c r="T1110" t="n">
        <v>0</v>
      </c>
      <c r="V1110" t="n">
        <v>0</v>
      </c>
    </row>
    <row r="1111">
      <c r="A1111">
        <f>Skills!A28</f>
        <v/>
      </c>
      <c r="B1111">
        <f>Skills!B28</f>
        <v/>
      </c>
      <c r="C1111">
        <f>TRUE</f>
        <v/>
      </c>
      <c r="D1111">
        <f>IF(Skills!C28=1,60+Inputs!$B$25+Inputs!$B$29,IF(Skills!C28=2,90+Inputs!$B$26+Inputs!$B$29,IF(Skills!C28=3,120+Inputs!$B$27+Inputs!$B$29,MAX(0,(Inputs!$B$3-100)*3)+Inputs!$B$28+Inputs!$B$29)))</f>
        <v/>
      </c>
      <c r="E1111">
        <f>INDEX(FactorTable!$B$2:$Y$301, MATCH(ROUND(MIN(300,MAX(1,D1111)),0), FactorTable!$A$2:$A$301,0), Skills!M28+1)</f>
        <v/>
      </c>
      <c r="F1111">
        <f>IF(Skills!N28=TRUE,(Skills!L28/10)*(E1111/1000),Skills!L28/10)+Skills!O28</f>
        <v/>
      </c>
      <c r="G1111">
        <f>Skills!G28*IF(Skills!H28&gt;0,Skills!I28/Skills!H28,1)</f>
        <v/>
      </c>
      <c r="H1111">
        <f>1-(1-Skills!J28/100)^Skills!K28</f>
        <v/>
      </c>
      <c r="I1111" t="inlineStr">
        <is>
          <t>1</t>
        </is>
      </c>
      <c r="J1111" t="inlineStr"/>
      <c r="K1111" t="inlineStr"/>
      <c r="L1111" t="inlineStr"/>
      <c r="M1111" t="inlineStr"/>
      <c r="N1111" t="inlineStr"/>
      <c r="O1111">
        <f>(1-Summary!$B$11)*T1111+Summary!$B$11*V1111</f>
        <v/>
      </c>
      <c r="P1111">
        <f>IF(B1124=0,0,O1111/B1124)</f>
        <v/>
      </c>
      <c r="Q1111">
        <f>IFERROR(1/(IF(Inputs!$B$38="pvp",15,MAX(0.1,Skills!D28-IF(Skills!E28=TRUE,(Inputs!$B$32+1),0)))*(1-IF(AND(ArtifactsInput!$M$27,Inputs!$B$4="Chapter Hunt"),CHOOSE(ArtifactsInput!$N$27+1,20,24,28,32,36,40),0)/100)),0)</f>
        <v/>
      </c>
      <c r="R1111">
        <f>IF(AND(Inputs!$B$38&lt;&gt;"pvp",Inputs!$B$43&gt;0),IF(Inputs!$B$43&lt;=0,0,(INT(Inputs!$B$43/(IF(Inputs!$B$38="pvp",15,MAX(0.1,Skills!D28-IF(Skills!E28=TRUE,(Inputs!$B$32+1),0)))*(1-IF(AND(ArtifactsInput!$M$27,Inputs!$B$4="Chapter Hunt"),CHOOSE(ArtifactsInput!$N$27+1,20,24,28,32,36,40),0)/100)))+1)),0)</f>
        <v/>
      </c>
      <c r="S1111">
        <f>IFERROR(O1111/N1111,0)</f>
        <v/>
      </c>
      <c r="T1111" t="n">
        <v>0</v>
      </c>
      <c r="V1111" t="n">
        <v>0</v>
      </c>
    </row>
    <row r="1113">
      <c r="A1113" t="inlineStr">
        <is>
          <t>Attack% Bucket Multiplier</t>
        </is>
      </c>
      <c r="B1113">
        <f>(1+(((C1100=TRUE)*F1100*5/7)+((C1107=TRUE)*(F1107-Calc!F24))+(IF(ArtifactsInput!$M$21,CHOOSE(ArtifactsInput!$N$21+1,25,30,35,40,45,50)*(IF(OR(Inputs!$B$4="Chapter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14">
      <c r="A1114" t="inlineStr">
        <is>
          <t>Global Crit Rate Bonus %</t>
        </is>
      </c>
      <c r="B1114" t="n">
        <v>0</v>
      </c>
    </row>
    <row r="1115">
      <c r="A1115" t="inlineStr">
        <is>
          <t>Attack Speed Buff Bonus % (Nimble Feet, duty-cycle averaged)</t>
        </is>
      </c>
      <c r="B1115">
        <f>((C1111=TRUE)*F1111*IF(AND(Inputs!$B$38&lt;&gt;"pvp",Inputs!$B$43&gt;0),(((R1111-1)*(Skills!T28*(1+Inputs!$B$34/100))+MIN((Skills!T28*(1+Inputs!$B$34/100)),MAX(0,Inputs!$B$43-((R1111-1)*Skills!D28))))/Inputs!$B$43),IF(Inputs!$B$38="pvp",MIN((Skills!T28*(1+Inputs!$B$34/100)),15)/15,(Skills!T28*(1+Inputs!$B$34/100))/Skills!D28)))</f>
        <v/>
      </c>
    </row>
    <row r="1116">
      <c r="A1116" t="inlineStr">
        <is>
          <t>Actions Per Second</t>
        </is>
      </c>
      <c r="B1116">
        <f>1+MIN(150,150*(1-(1-(Inputs!$B$11+((C1103=TRUE)*(F1103-Calc!F20))+((C1104=TRUE)*(F1104-Calc!F21)))/150)*(1-B1115/150)))/100</f>
        <v/>
      </c>
    </row>
    <row r="1117">
      <c r="A1117" t="inlineStr">
        <is>
          <t>Skill + Buff Cast Rate</t>
        </is>
      </c>
      <c r="B1117">
        <f>IF(AND(Inputs!$B$38&lt;&gt;"pvp",Inputs!$B$43&gt;0),SUMPRODUCT((Skills!E2:E28=TRUE)*(C1085:C1111=TRUE)*R1085:R1111*Skills!F2:F28)/Inputs!$B$43,SUMPRODUCT((Skills!E2:E28=TRUE)*(C1085:C1111=TRUE)*Q1085:Q1111*Skills!F2:F28))</f>
        <v/>
      </c>
    </row>
    <row r="1118">
      <c r="A1118" t="inlineStr">
        <is>
          <t>Eight-Legs Easton Casts Per Second</t>
        </is>
      </c>
      <c r="B1118">
        <f>MAX(0,B1116-B1117)</f>
        <v/>
      </c>
    </row>
    <row r="1119">
      <c r="A1119" t="inlineStr">
        <is>
          <t>Global Critical Damage Bonus % (unused)</t>
        </is>
      </c>
      <c r="B1119" t="n">
        <v>0</v>
      </c>
    </row>
    <row r="1120">
      <c r="A1120" t="inlineStr">
        <is>
          <t>Global Final Damage Bonus % (Jolly Roger + Ahoy Mateys - Final Damage proc)</t>
        </is>
      </c>
      <c r="B1120">
        <f>((C1101=TRUE)*F1101*IF(AND(Inputs!$B$38&lt;&gt;"pvp",Inputs!$B$43&gt;0),(((R1101-1)*(Skills!T18*(1+Inputs!$B$34/100))+MIN((Skills!T18*(1+Inputs!$B$34/100)),MAX(0,Inputs!$B$43-((R1101-1)*Skills!D18))))/Inputs!$B$43),IF(Inputs!$B$38="pvp",MIN((Skills!T18*(1+Inputs!$B$34/100)),15)/15,(Skills!T18*(1+Inputs!$B$34/100))/Skills!D18)))+IF(Inputs!$B$3&gt;=122,20*IF(Inputs!$B$38="pvp",MIN((20*(1+Inputs!$B$34/100)),15)/15,(20*(1+Inputs!$B$34/100))/Skills!D4),0)</f>
        <v/>
      </c>
    </row>
    <row r="1121">
      <c r="A1121" t="inlineStr">
        <is>
          <t>Buff-Casting Startup Delay (s, fixed-duration only)</t>
        </is>
      </c>
      <c r="B1121">
        <f>IF(AND(Inputs!$B$38&lt;&gt;"pvp",Inputs!$B$43&gt;0),SUMPRODUCT((Skills!T2:T28&gt;0)*(Skills!E2:E28=TRUE)*(C1085:C1111=TRUE))/B1116,0)</f>
        <v/>
      </c>
    </row>
    <row r="1122">
      <c r="A1122" t="inlineStr">
        <is>
          <t>Boss-Only Total DPS (this block's swept value)</t>
        </is>
      </c>
      <c r="B1122">
        <f>SUM(T1085:T1111)</f>
        <v/>
      </c>
    </row>
    <row r="1123">
      <c r="A1123" t="inlineStr">
        <is>
          <t>Normal-Only Total DPS (this block's swept value)</t>
        </is>
      </c>
      <c r="B1123">
        <f>SUM(V1085:V1111)</f>
        <v/>
      </c>
    </row>
    <row r="1124">
      <c r="A1124" s="6" t="inlineStr">
        <is>
          <t>TOTAL DPS</t>
        </is>
      </c>
      <c r="B1124" s="6">
        <f>SUM(O1085:O1111)</f>
        <v/>
      </c>
    </row>
    <row r="1127">
      <c r="A1127" s="6" t="inlineStr">
        <is>
          <t>Stat: Basic Attack Target Increase (flat)</t>
        </is>
      </c>
    </row>
    <row r="1128">
      <c r="A1128" s="5" t="inlineStr">
        <is>
          <t>Key</t>
        </is>
      </c>
      <c r="B1128" s="5" t="inlineStr">
        <is>
          <t>Name</t>
        </is>
      </c>
      <c r="C1128" s="5" t="inlineStr">
        <is>
          <t>Unlocked</t>
        </is>
      </c>
      <c r="D1128" s="5" t="inlineStr">
        <is>
          <t>InputLevel</t>
        </is>
      </c>
      <c r="E1128" s="5" t="inlineStr">
        <is>
          <t>Factor</t>
        </is>
      </c>
      <c r="F1128" s="5" t="inlineStr">
        <is>
          <t>CoefficientPercent</t>
        </is>
      </c>
      <c r="G1128" s="5" t="inlineStr">
        <is>
          <t>EffectiveHits</t>
        </is>
      </c>
      <c r="H1128" s="5" t="inlineStr">
        <is>
          <t>ProcProbability</t>
        </is>
      </c>
      <c r="I1128" s="5" t="inlineStr">
        <is>
          <t>MapleHeroMultiplier</t>
        </is>
      </c>
      <c r="J1128" s="5" t="inlineStr">
        <is>
          <t>BaseDamage</t>
        </is>
      </c>
      <c r="K1128" s="5" t="inlineStr">
        <is>
          <t>BaseHitDamage</t>
        </is>
      </c>
      <c r="L1128" s="5" t="inlineStr">
        <is>
          <t>NonCritAvg</t>
        </is>
      </c>
      <c r="M1128" s="5" t="inlineStr">
        <is>
          <t>CritAvg</t>
        </is>
      </c>
      <c r="N1128" s="5" t="inlineStr">
        <is>
          <t>ExpectedDamage(perHit)</t>
        </is>
      </c>
      <c r="O1128" s="5" t="inlineStr">
        <is>
          <t>DPS</t>
        </is>
      </c>
      <c r="P1128" s="5" t="inlineStr">
        <is>
          <t>% of Total</t>
        </is>
      </c>
      <c r="Q1128" s="5" t="inlineStr">
        <is>
          <t>InvCooldown</t>
        </is>
      </c>
      <c r="R1128" s="5" t="inlineStr">
        <is>
          <t>CastsInFight</t>
        </is>
      </c>
      <c r="S1128" s="5" t="inlineStr">
        <is>
          <t>HitRate(perSec)</t>
        </is>
      </c>
      <c r="U1128" t="inlineStr">
        <is>
          <t>helpers</t>
        </is>
      </c>
    </row>
    <row r="1129">
      <c r="A1129">
        <f>Skills!A2</f>
        <v/>
      </c>
      <c r="B1129">
        <f>Skills!B2</f>
        <v/>
      </c>
      <c r="C1129">
        <f>Inputs!$B$3&gt;=100</f>
        <v/>
      </c>
      <c r="D1129" t="inlineStr"/>
      <c r="E1129" t="inlineStr"/>
      <c r="F1129">
        <f>U1131+Skills!O2</f>
        <v/>
      </c>
      <c r="G1129">
        <f>Skills!G2*IF(Skills!H2&gt;0,Skills!I2/Skills!H2,1)</f>
        <v/>
      </c>
      <c r="H1129">
        <f>1-(1-Skills!J2/100)^Skills!K2</f>
        <v/>
      </c>
      <c r="I1129" t="inlineStr">
        <is>
          <t>1</t>
        </is>
      </c>
      <c r="J1129">
        <f>((Inputs!$B$6*(1+Inputs!$B$7/100))+(((Inputs!$B$12*(1+Inputs!$B$13/100))-(Inputs!$B$12*(1+Inputs!$B$13/100)))+0.25*(Inputs!$B$14-Inputs!$B$14))*(1+Inputs!$B$7/100))*(F1129/100)</f>
        <v/>
      </c>
      <c r="K1129">
        <f>J1129*(1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1129)</f>
        <v/>
      </c>
      <c r="L1129">
        <f>K1129*(MIN(Inputs!$B$22+((C1149=TRUE)*(F1149-Calc!F22)),(Inputs!$B$23+0+(IF(ArtifactsInput!$M$15,CHOOSE(ArtifactsInput!$N$15+1,25,30,35,40,45,50)/100*(Inputs!$B$11-Inputs!$B$11),0))))/100+(Inputs!$B$23+0+(IF(ArtifactsInput!$M$15,CHOOSE(ArtifactsInput!$N$15+1,25,30,35,40,45,50)/100*(Inputs!$B$11-Inputs!$B$11),0)))/100)/2</f>
        <v/>
      </c>
      <c r="M1129">
        <f>L1129*(1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9">
        <f>L1129*(1-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1129*(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9">
        <f>(1-Summary!$B$11)*T1129+Summary!$B$11*V1129</f>
        <v/>
      </c>
      <c r="P1129">
        <f>IF(B1168=0,0,O1129/B1168)</f>
        <v/>
      </c>
      <c r="Q1129" t="n">
        <v>0</v>
      </c>
      <c r="R1129" t="n">
        <v>0</v>
      </c>
      <c r="S1129">
        <f>IFERROR(O1129/N1129,0)</f>
        <v/>
      </c>
      <c r="T1129">
        <f>IF(C1129,(Skills!G2*N1129*B1162)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1129*(1-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1129*(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1129*(1-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1129*(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9">
        <f>MAX(0,(Inputs!$B$3-100)*3)+Inputs!$B$28+Inputs!$B$29</f>
        <v/>
      </c>
      <c r="V1129">
        <f>IF(C1129,(Skills!G2*N1129*B1162)*IF(Inputs!$B$38="pvp",1,(1+(Inputs!$B$21+Skills!Q2+(IF(ArtifactsInput!$M$33,CHOOSE(ArtifactsInput!$N$33+1,30,36,42,48,54,60),0))+(IF(AND(ArtifactsInput!$M$35,Inputs!$B$4&lt;&gt;"Chapter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0">
      <c r="A1130">
        <f>Skills!A3</f>
        <v/>
      </c>
      <c r="B1130">
        <f>Skills!B3</f>
        <v/>
      </c>
      <c r="C1130">
        <f>Inputs!$B$3&gt;=35</f>
        <v/>
      </c>
      <c r="D1130">
        <f>IF(Skills!C3=1,60+Inputs!$B$25+Inputs!$B$29,IF(Skills!C3=2,90+Inputs!$B$26+Inputs!$B$29,IF(Skills!C3=3,120+Inputs!$B$27+Inputs!$B$29,MAX(0,(Inputs!$B$3-100)*3)+Inputs!$B$28+Inputs!$B$29)))</f>
        <v/>
      </c>
      <c r="E1130">
        <f>INDEX(FactorTable!$B$2:$Y$301, MATCH(ROUND(MIN(300,MAX(1,D1130)),0), FactorTable!$A$2:$A$301,0), Skills!M3+1)</f>
        <v/>
      </c>
      <c r="F1130">
        <f>IF(Skills!N3=TRUE,(Skills!L3/10)*(E1130/1000),Skills!L3/10)+Skills!O3</f>
        <v/>
      </c>
      <c r="G1130">
        <f>Skills!G3*IF(Skills!H3&gt;0,Skills!I3/Skills!H3,1)</f>
        <v/>
      </c>
      <c r="H1130">
        <f>1-(1-Skills!J3/100)^Skills!K3</f>
        <v/>
      </c>
      <c r="I1130" t="inlineStr">
        <is>
          <t>1</t>
        </is>
      </c>
      <c r="J1130">
        <f>((Inputs!$B$6*(1+Inputs!$B$7/100))+(((Inputs!$B$12*(1+Inputs!$B$13/100))-(Inputs!$B$12*(1+Inputs!$B$13/100)))+0.25*(Inputs!$B$14-Inputs!$B$14))*(1+Inputs!$B$7/100))*(F1130/100)</f>
        <v/>
      </c>
      <c r="K1130">
        <f>J1130*(1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1142=TRUE,F1142,0)/100)*(1+(IF(Skills!A3="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1130)</f>
        <v/>
      </c>
      <c r="L1130">
        <f>K1130*(MIN(Inputs!$B$22+((C1149=TRUE)*(F1149-Calc!F22)),(Inputs!$B$23+0+(IF(ArtifactsInput!$M$15,CHOOSE(ArtifactsInput!$N$15+1,25,30,35,40,45,50)/100*(Inputs!$B$11-Inputs!$B$11),0))))/100+(Inputs!$B$23+0+(IF(ArtifactsInput!$M$15,CHOOSE(ArtifactsInput!$N$15+1,25,30,35,40,45,50)/100*(Inputs!$B$11-Inputs!$B$11),0)))/100)/2</f>
        <v/>
      </c>
      <c r="M1130">
        <f>L1130*(1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0">
        <f>L1130*(1-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1130*(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0">
        <f>(1-Summary!$B$11)*T1130+Summary!$B$11*V1130</f>
        <v/>
      </c>
      <c r="P1130">
        <f>IF(B1168=0,0,O1130/B1168)</f>
        <v/>
      </c>
      <c r="Q1130">
        <f>IFERROR(1/(IF(Inputs!$B$38="pvp",15,MAX(0.1,Skills!D3-IF(Skills!E3=TRUE,Inputs!$B$32,0)))*(1-IF(AND(ArtifactsInput!$M$27,Inputs!$B$4="Chapter Hunt"),CHOOSE(ArtifactsInput!$N$27+1,20,24,28,32,36,40),0)/100)),0)</f>
        <v/>
      </c>
      <c r="R1130">
        <f>IF(AND(Inputs!$B$38&lt;&gt;"pvp",Inputs!$B$43&gt;0),IF(MAX(0,Inputs!$B$43-B1165)&lt;=0,0,(INT(MAX(0,Inputs!$B$43-B1165)/(IF(Inputs!$B$38="pvp",15,MAX(0.1,Skills!D3-IF(Skills!E3=TRUE,Inputs!$B$32,0)))*(1-IF(AND(ArtifactsInput!$M$27,Inputs!$B$4="Chapter Hunt"),CHOOSE(ArtifactsInput!$N$27+1,20,24,28,32,36,40),0)/100)))+1)),0)</f>
        <v/>
      </c>
      <c r="S1130">
        <f>IFERROR(O1130/N1130,0)</f>
        <v/>
      </c>
      <c r="T1130">
        <f>IF(C1130,(H1130*N1130*IF(AND(Inputs!$B$38&lt;&gt;"pvp",Inputs!$B$43&gt;0),((Skills!G3*((R1130-1)*IF(Skills!H3&gt;0,Skills!I3/Skills!H3,1)+IF(Skills!H3&gt;0,MIN(Skills!I3,MAX(0,MAX(0,Inputs!$B$43-B1165)-((R1130-1)*(IF(Inputs!$B$38="pvp",15,MAX(0.1,Skills!D3-IF(Skills!E3=TRUE,Inputs!$B$32,0)))*(1-IF(AND(ArtifactsInput!$M$27,Inputs!$B$4="Chapter Hunt"),CHOOSE(ArtifactsInput!$N$27+1,20,24,28,32,36,40),0)/100)))))/Skills!H3,1)))/Inputs!$B$43),G1130*Q1130)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1130*(1-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1130*(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1130*(1-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1130*(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0">
        <f>INDEX(FactorTable!$B$2:$Y$301, MATCH(ROUND(MIN(300,MAX(1,U1129)),0), FactorTable!$A$2:$A$301,0), 22)</f>
        <v/>
      </c>
      <c r="V1130">
        <f>IF(C1130,(H1130*N1130*IF(AND(Inputs!$B$38&lt;&gt;"pvp",Inputs!$B$43&gt;0),((Skills!G3*((R1130-1)*IF(Skills!H3&gt;0,Skills!I3/Skills!H3,1)+IF(Skills!H3&gt;0,MIN(Skills!I3,MAX(0,MAX(0,Inputs!$B$43-B1165)-((R1130-1)*(IF(Inputs!$B$38="pvp",15,MAX(0.1,Skills!D3-IF(Skills!E3=TRUE,Inputs!$B$32,0)))*(1-IF(AND(ArtifactsInput!$M$27,Inputs!$B$4="Chapter Hunt"),CHOOSE(ArtifactsInput!$N$27+1,20,24,28,32,36,40),0)/100)))))/Skills!H3,1)))/Inputs!$B$43),G1130*Q1130))*IF(Inputs!$B$38="pvp",1,(1+(Inputs!$B$21+Skills!Q3+(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1">
      <c r="A1131">
        <f>Skills!A4</f>
        <v/>
      </c>
      <c r="B1131">
        <f>Skills!B4</f>
        <v/>
      </c>
      <c r="C1131">
        <f>Inputs!$B$3&gt;=40</f>
        <v/>
      </c>
      <c r="D1131">
        <f>IF(Skills!C4=1,60+Inputs!$B$25+Inputs!$B$29,IF(Skills!C4=2,90+Inputs!$B$26+Inputs!$B$29,IF(Skills!C4=3,120+Inputs!$B$27+Inputs!$B$29,MAX(0,(Inputs!$B$3-100)*3)+Inputs!$B$28+Inputs!$B$29)))</f>
        <v/>
      </c>
      <c r="E1131">
        <f>INDEX(FactorTable!$B$2:$Y$301, MATCH(ROUND(MIN(300,MAX(1,D1131)),0), FactorTable!$A$2:$A$301,0), Skills!M4+1)</f>
        <v/>
      </c>
      <c r="F1131">
        <f>IF(Skills!N4=TRUE,(Skills!L4/10)*(E1131/1000),Skills!L4/10)+Skills!O4</f>
        <v/>
      </c>
      <c r="G1131">
        <f>Skills!G4*IF(Skills!H4&gt;0,Skills!I4/Skills!H4,1)</f>
        <v/>
      </c>
      <c r="H1131">
        <f>1-(1-Skills!J4/100)^Skills!K4</f>
        <v/>
      </c>
      <c r="I1131" t="inlineStr">
        <is>
          <t>1</t>
        </is>
      </c>
      <c r="J1131">
        <f>((Inputs!$B$6*(1+Inputs!$B$7/100))+(((Inputs!$B$12*(1+Inputs!$B$13/100))-(Inputs!$B$12*(1+Inputs!$B$13/100)))+0.25*(Inputs!$B$14-Inputs!$B$14))*(1+Inputs!$B$7/100))*(F1131/100)</f>
        <v/>
      </c>
      <c r="K1131">
        <f>J1131*(1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1143=TRUE,F1143,0)/100)*(1+(IF(Skills!A4="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1131)</f>
        <v/>
      </c>
      <c r="L1131">
        <f>K1131*(MIN(Inputs!$B$22+((C1149=TRUE)*(F1149-Calc!F22)),(Inputs!$B$23+0+(IF(ArtifactsInput!$M$15,CHOOSE(ArtifactsInput!$N$15+1,25,30,35,40,45,50)/100*(Inputs!$B$11-Inputs!$B$11),0))))/100+(Inputs!$B$23+0+(IF(ArtifactsInput!$M$15,CHOOSE(ArtifactsInput!$N$15+1,25,30,35,40,45,50)/100*(Inputs!$B$11-Inputs!$B$11),0)))/100)/2</f>
        <v/>
      </c>
      <c r="M1131">
        <f>L1131*(1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1">
        <f>L1131*(1-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1">
        <f>(1-Summary!$B$11)*T1131+Summary!$B$11*V1131</f>
        <v/>
      </c>
      <c r="P1131">
        <f>IF(B1168=0,0,O1131/B1168)</f>
        <v/>
      </c>
      <c r="Q1131">
        <f>IFERROR(1/(IF(Inputs!$B$38="pvp",15,MAX(0.1,Skills!D4-IF(Skills!E4=TRUE,Inputs!$B$32,0)))*(1-IF(AND(ArtifactsInput!$M$27,Inputs!$B$4="Chapter Hunt"),CHOOSE(ArtifactsInput!$N$27+1,20,24,28,32,36,40),0)/100)),0)</f>
        <v/>
      </c>
      <c r="R1131">
        <f>IF(AND(Inputs!$B$38&lt;&gt;"pvp",Inputs!$B$43&gt;0),IF(MAX(0,Inputs!$B$43-B1165)&lt;=0,0,(INT(MAX(0,Inputs!$B$43-B1165)/(IF(Inputs!$B$38="pvp",15,MAX(0.1,Skills!D4-IF(Skills!E4=TRUE,Inputs!$B$32,0)))*(1-IF(AND(ArtifactsInput!$M$27,Inputs!$B$4="Chapter Hunt"),CHOOSE(ArtifactsInput!$N$27+1,20,24,28,32,36,40),0)/100)))+1)),0)</f>
        <v/>
      </c>
      <c r="S1131">
        <f>IFERROR(O1131/N1131,0)</f>
        <v/>
      </c>
      <c r="T1131">
        <f>IF(C1131,(H1131*N1131*IF(AND(Inputs!$B$38&lt;&gt;"pvp",Inputs!$B$43&gt;0),((Skills!G4*((R1131-1)*IF(Skills!H4&gt;0,Skills!I4/Skills!H4,1)+IF(Skills!H4&gt;0,MIN(Skills!I4,MAX(0,MAX(0,Inputs!$B$43-B1165)-((R1131-1)*(IF(Inputs!$B$38="pvp",15,MAX(0.1,Skills!D4-IF(Skills!E4=TRUE,Inputs!$B$32,0)))*(1-IF(AND(ArtifactsInput!$M$27,Inputs!$B$4="Chapter Hunt"),CHOOSE(ArtifactsInput!$N$27+1,20,24,28,32,36,40),0)/100)))))/Skills!H4,1)))/Inputs!$B$43),G1131*Q1131)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1131*(1-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1">
        <f>290*U1130/1000</f>
        <v/>
      </c>
      <c r="V1131">
        <f>IF(C1131,(H1131*N1131*IF(AND(Inputs!$B$38&lt;&gt;"pvp",Inputs!$B$43&gt;0),((Skills!G4*((R1131-1)*IF(Skills!H4&gt;0,Skills!I4/Skills!H4,1)+IF(Skills!H4&gt;0,MIN(Skills!I4,MAX(0,MAX(0,Inputs!$B$43-B1165)-((R1131-1)*(IF(Inputs!$B$38="pvp",15,MAX(0.1,Skills!D4-IF(Skills!E4=TRUE,Inputs!$B$32,0)))*(1-IF(AND(ArtifactsInput!$M$27,Inputs!$B$4="Chapter Hunt"),CHOOSE(ArtifactsInput!$N$27+1,20,24,28,32,36,40),0)/100)))))/Skills!H4,1)))/Inputs!$B$43),G1131*Q1131))*IF(Inputs!$B$38="pvp",1,(1+(Inputs!$B$21+Skills!Q4+(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2">
      <c r="A1132">
        <f>Skills!A5</f>
        <v/>
      </c>
      <c r="B1132">
        <f>Skills!B5</f>
        <v/>
      </c>
      <c r="C1132">
        <f>Inputs!$B$3&gt;=45</f>
        <v/>
      </c>
      <c r="D1132">
        <f>IF(Skills!C5=1,60+Inputs!$B$25+Inputs!$B$29,IF(Skills!C5=2,90+Inputs!$B$26+Inputs!$B$29,IF(Skills!C5=3,120+Inputs!$B$27+Inputs!$B$29,MAX(0,(Inputs!$B$3-100)*3)+Inputs!$B$28+Inputs!$B$29)))</f>
        <v/>
      </c>
      <c r="E1132">
        <f>INDEX(FactorTable!$B$2:$Y$301, MATCH(ROUND(MIN(300,MAX(1,D1132)),0), FactorTable!$A$2:$A$301,0), Skills!M5+1)</f>
        <v/>
      </c>
      <c r="F1132">
        <f>IF(Skills!N5=TRUE,(Skills!L5/10)*(E1132/1000),Skills!L5/10)+Skills!O5</f>
        <v/>
      </c>
      <c r="G1132">
        <f>Skills!G5*IF(Skills!H5&gt;0,Skills!I5/Skills!H5,1)</f>
        <v/>
      </c>
      <c r="H1132">
        <f>1-(1-Skills!J5/100)^Skills!K5</f>
        <v/>
      </c>
      <c r="I1132" t="inlineStr">
        <is>
          <t>1</t>
        </is>
      </c>
      <c r="J1132">
        <f>((Inputs!$B$6*(1+Inputs!$B$7/100))+(((Inputs!$B$12*(1+Inputs!$B$13/100))-(Inputs!$B$12*(1+Inputs!$B$13/100)))+0.25*(Inputs!$B$14-Inputs!$B$14))*(1+Inputs!$B$7/100))*(F1132/100)</f>
        <v/>
      </c>
      <c r="K1132">
        <f>J1132*(1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1143=TRUE,F1143,0)/100)*(1+(IF(Skills!A5="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1132)</f>
        <v/>
      </c>
      <c r="L1132">
        <f>K1132*(MIN(Inputs!$B$22+((C1149=TRUE)*(F1149-Calc!F22)),(Inputs!$B$23+0+(IF(ArtifactsInput!$M$15,CHOOSE(ArtifactsInput!$N$15+1,25,30,35,40,45,50)/100*(Inputs!$B$11-Inputs!$B$11),0))))/100+(Inputs!$B$23+0+(IF(ArtifactsInput!$M$15,CHOOSE(ArtifactsInput!$N$15+1,25,30,35,40,45,50)/100*(Inputs!$B$11-Inputs!$B$11),0)))/100)/2</f>
        <v/>
      </c>
      <c r="M1132">
        <f>L1132*(1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2">
        <f>L1132*(1-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1132*(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2">
        <f>(1-Summary!$B$11)*T1132+Summary!$B$11*V1132</f>
        <v/>
      </c>
      <c r="P1132">
        <f>IF(B1168=0,0,O1132/B1168)</f>
        <v/>
      </c>
      <c r="Q1132">
        <f>IFERROR(1/(IF(Inputs!$B$38="pvp",15,MAX(0.1,Skills!D5-IF(Skills!E5=TRUE,Inputs!$B$32,0)))*(1-IF(AND(ArtifactsInput!$M$27,Inputs!$B$4="Chapter Hunt"),CHOOSE(ArtifactsInput!$N$27+1,20,24,28,32,36,40),0)/100)),0)</f>
        <v/>
      </c>
      <c r="R1132">
        <f>IF(AND(Inputs!$B$38&lt;&gt;"pvp",Inputs!$B$43&gt;0),IF(MAX(0,Inputs!$B$43-B1165)&lt;=0,0,(INT(MAX(0,Inputs!$B$43-B1165)/(IF(Inputs!$B$38="pvp",15,MAX(0.1,Skills!D5-IF(Skills!E5=TRUE,Inputs!$B$32,0)))*(1-IF(AND(ArtifactsInput!$M$27,Inputs!$B$4="Chapter Hunt"),CHOOSE(ArtifactsInput!$N$27+1,20,24,28,32,36,40),0)/100)))+1)),0)</f>
        <v/>
      </c>
      <c r="S1132">
        <f>IFERROR(O1132/N1132,0)</f>
        <v/>
      </c>
      <c r="T1132">
        <f>IF(C1132,(H1132*N1132*IF(AND(Inputs!$B$38&lt;&gt;"pvp",Inputs!$B$43&gt;0),((Skills!G5*((R1132-1)*IF(Skills!H5&gt;0,Skills!I5/Skills!H5,1)+IF(Skills!H5&gt;0,MIN(Skills!I5,MAX(0,MAX(0,Inputs!$B$43-B1165)-((R1132-1)*(IF(Inputs!$B$38="pvp",15,MAX(0.1,Skills!D5-IF(Skills!E5=TRUE,Inputs!$B$32,0)))*(1-IF(AND(ArtifactsInput!$M$27,Inputs!$B$4="Chapter Hunt"),CHOOSE(ArtifactsInput!$N$27+1,20,24,28,32,36,40),0)/100)))))/Skills!H5,1)))/Inputs!$B$43),G1132*Q1132)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1132*(1-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1132*(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1132*(1-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1132*(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2">
        <f>IF(C1132,(H1132*N1132*IF(AND(Inputs!$B$38&lt;&gt;"pvp",Inputs!$B$43&gt;0),((Skills!G5*((R1132-1)*IF(Skills!H5&gt;0,Skills!I5/Skills!H5,1)+IF(Skills!H5&gt;0,MIN(Skills!I5,MAX(0,MAX(0,Inputs!$B$43-B1165)-((R1132-1)*(IF(Inputs!$B$38="pvp",15,MAX(0.1,Skills!D5-IF(Skills!E5=TRUE,Inputs!$B$32,0)))*(1-IF(AND(ArtifactsInput!$M$27,Inputs!$B$4="Chapter Hunt"),CHOOSE(ArtifactsInput!$N$27+1,20,24,28,32,36,40),0)/100)))))/Skills!H5,1)))/Inputs!$B$43),G1132*Q1132))*IF(Inputs!$B$38="pvp",1,(1+(Inputs!$B$21+Skills!Q5+(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3">
      <c r="A1133">
        <f>Skills!A6</f>
        <v/>
      </c>
      <c r="B1133">
        <f>Skills!B6</f>
        <v/>
      </c>
      <c r="C1133">
        <f>Inputs!$B$3&gt;=63</f>
        <v/>
      </c>
      <c r="D1133">
        <f>IF(Skills!C6=1,60+Inputs!$B$25+Inputs!$B$29,IF(Skills!C6=2,90+Inputs!$B$26+Inputs!$B$29,IF(Skills!C6=3,120+Inputs!$B$27+Inputs!$B$29,MAX(0,(Inputs!$B$3-100)*3)+Inputs!$B$28+Inputs!$B$29)))</f>
        <v/>
      </c>
      <c r="E1133">
        <f>INDEX(FactorTable!$B$2:$Y$301, MATCH(ROUND(MIN(300,MAX(1,D1133)),0), FactorTable!$A$2:$A$301,0), Skills!M6+1)</f>
        <v/>
      </c>
      <c r="F1133">
        <f>IF(Skills!N6=TRUE,(Skills!L6/10)*(E1133/1000),Skills!L6/10)+Skills!O6</f>
        <v/>
      </c>
      <c r="G1133">
        <f>Skills!G6*IF(Skills!H6&gt;0,Skills!I6/Skills!H6,1)</f>
        <v/>
      </c>
      <c r="H1133">
        <f>1-(1-Skills!J6/100)^Skills!K6</f>
        <v/>
      </c>
      <c r="I1133" t="inlineStr">
        <is>
          <t>1</t>
        </is>
      </c>
      <c r="J1133">
        <f>((Inputs!$B$6*(1+Inputs!$B$7/100))+(((Inputs!$B$12*(1+Inputs!$B$13/100))-(Inputs!$B$12*(1+Inputs!$B$13/100)))+0.25*(Inputs!$B$14-Inputs!$B$14))*(1+Inputs!$B$7/100))*(F1133/100)</f>
        <v/>
      </c>
      <c r="K1133">
        <f>J1133*(1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1142=TRUE,F1142,0)/100)*(1+(IF(Skills!A6="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1133)</f>
        <v/>
      </c>
      <c r="L1133">
        <f>K1133*(MIN(Inputs!$B$22+((C1149=TRUE)*(F1149-Calc!F22)),(Inputs!$B$23+0+(IF(ArtifactsInput!$M$15,CHOOSE(ArtifactsInput!$N$15+1,25,30,35,40,45,50)/100*(Inputs!$B$11-Inputs!$B$11),0))))/100+(Inputs!$B$23+0+(IF(ArtifactsInput!$M$15,CHOOSE(ArtifactsInput!$N$15+1,25,30,35,40,45,50)/100*(Inputs!$B$11-Inputs!$B$11),0)))/100)/2</f>
        <v/>
      </c>
      <c r="M1133">
        <f>L1133*(1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3">
        <f>L1133*(1-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1133*(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3">
        <f>(1-Summary!$B$11)*T1133+Summary!$B$11*V1133</f>
        <v/>
      </c>
      <c r="P1133">
        <f>IF(B1168=0,0,O1133/B1168)</f>
        <v/>
      </c>
      <c r="Q1133">
        <f>IFERROR(1/(IF(Inputs!$B$38="pvp",15,MAX(0.1,Skills!D6-IF(Skills!E6=TRUE,Inputs!$B$32,0)))*(1-IF(AND(ArtifactsInput!$M$27,Inputs!$B$4="Chapter Hunt"),CHOOSE(ArtifactsInput!$N$27+1,20,24,28,32,36,40),0)/100)),0)</f>
        <v/>
      </c>
      <c r="R1133">
        <f>IF(AND(Inputs!$B$38&lt;&gt;"pvp",Inputs!$B$43&gt;0),IF(MAX(0,Inputs!$B$43-B1165)&lt;=0,0,(INT(MAX(0,Inputs!$B$43-B1165)/(IF(Inputs!$B$38="pvp",15,MAX(0.1,Skills!D6-IF(Skills!E6=TRUE,Inputs!$B$32,0)))*(1-IF(AND(ArtifactsInput!$M$27,Inputs!$B$4="Chapter Hunt"),CHOOSE(ArtifactsInput!$N$27+1,20,24,28,32,36,40),0)/100)))+1)),0)</f>
        <v/>
      </c>
      <c r="S1133">
        <f>IFERROR(O1133/N1133,0)</f>
        <v/>
      </c>
      <c r="T1133">
        <f>IF(C1133,(H1133*N1133*IF(AND(Inputs!$B$38&lt;&gt;"pvp",Inputs!$B$43&gt;0),((Skills!G6*((R1133-1)*IF(Skills!H6&gt;0,Skills!I6/Skills!H6,1)+IF(Skills!H6&gt;0,MIN(Skills!I6,MAX(0,MAX(0,Inputs!$B$43-B1165)-((R1133-1)*(IF(Inputs!$B$38="pvp",15,MAX(0.1,Skills!D6-IF(Skills!E6=TRUE,Inputs!$B$32,0)))*(1-IF(AND(ArtifactsInput!$M$27,Inputs!$B$4="Chapter Hunt"),CHOOSE(ArtifactsInput!$N$27+1,20,24,28,32,36,40),0)/100)))))/Skills!H6,1)))/Inputs!$B$43),G1133*Q1133)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1133*(1-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1133*(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1133*(1-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1133*(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3">
        <f>IF(C1133,(H1133*N1133*IF(AND(Inputs!$B$38&lt;&gt;"pvp",Inputs!$B$43&gt;0),((Skills!G6*((R1133-1)*IF(Skills!H6&gt;0,Skills!I6/Skills!H6,1)+IF(Skills!H6&gt;0,MIN(Skills!I6,MAX(0,MAX(0,Inputs!$B$43-B1165)-((R1133-1)*(IF(Inputs!$B$38="pvp",15,MAX(0.1,Skills!D6-IF(Skills!E6=TRUE,Inputs!$B$32,0)))*(1-IF(AND(ArtifactsInput!$M$27,Inputs!$B$4="Chapter Hunt"),CHOOSE(ArtifactsInput!$N$27+1,20,24,28,32,36,40),0)/100)))))/Skills!H6,1)))/Inputs!$B$43),G1133*Q1133))*IF(Inputs!$B$38="pvp",1,(1+(Inputs!$B$21+Skills!Q6+(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4">
      <c r="A1134">
        <f>Skills!A7</f>
        <v/>
      </c>
      <c r="B1134">
        <f>Skills!B7</f>
        <v/>
      </c>
      <c r="C1134">
        <f>Inputs!$B$3&gt;=66</f>
        <v/>
      </c>
      <c r="D1134">
        <f>IF(Skills!C7=1,60+Inputs!$B$25+Inputs!$B$29,IF(Skills!C7=2,90+Inputs!$B$26+Inputs!$B$29,IF(Skills!C7=3,120+Inputs!$B$27+Inputs!$B$29,MAX(0,(Inputs!$B$3-100)*3)+Inputs!$B$28+Inputs!$B$29)))</f>
        <v/>
      </c>
      <c r="E1134">
        <f>INDEX(FactorTable!$B$2:$Y$301, MATCH(ROUND(MIN(300,MAX(1,D1134)),0), FactorTable!$A$2:$A$301,0), Skills!M7+1)</f>
        <v/>
      </c>
      <c r="F1134">
        <f>IF(Skills!N7=TRUE,(Skills!L7/10)*(E1134/1000),Skills!L7/10)+Skills!O7</f>
        <v/>
      </c>
      <c r="G1134">
        <f>Skills!G7*IF(Skills!H7&gt;0,Skills!I7/Skills!H7,1)</f>
        <v/>
      </c>
      <c r="H1134">
        <f>1-(1-Skills!J7/100)^Skills!K7</f>
        <v/>
      </c>
      <c r="I1134" t="inlineStr">
        <is>
          <t>1</t>
        </is>
      </c>
      <c r="J1134">
        <f>((Inputs!$B$6*(1+Inputs!$B$7/100))+(((Inputs!$B$12*(1+Inputs!$B$13/100))-(Inputs!$B$12*(1+Inputs!$B$13/100)))+0.25*(Inputs!$B$14-Inputs!$B$14))*(1+Inputs!$B$7/100))*(F1134/100)</f>
        <v/>
      </c>
      <c r="K1134">
        <f>J1134*(1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1142=TRUE,F1142,0)/100)*(1+(IF(Skills!A7="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1134)</f>
        <v/>
      </c>
      <c r="L1134">
        <f>K1134*(MIN(Inputs!$B$22+((C1149=TRUE)*(F1149-Calc!F22)),(Inputs!$B$23+0+(IF(ArtifactsInput!$M$15,CHOOSE(ArtifactsInput!$N$15+1,25,30,35,40,45,50)/100*(Inputs!$B$11-Inputs!$B$11),0))))/100+(Inputs!$B$23+0+(IF(ArtifactsInput!$M$15,CHOOSE(ArtifactsInput!$N$15+1,25,30,35,40,45,50)/100*(Inputs!$B$11-Inputs!$B$11),0)))/100)/2</f>
        <v/>
      </c>
      <c r="M1134">
        <f>L1134*(1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4">
        <f>L1134*(1-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1134*(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4">
        <f>(1-Summary!$B$11)*T1134+Summary!$B$11*V1134</f>
        <v/>
      </c>
      <c r="P1134">
        <f>IF(B1168=0,0,O1134/B1168)</f>
        <v/>
      </c>
      <c r="Q1134">
        <f>IFERROR(1/(IF(Inputs!$B$38="pvp",15,MAX(0.1,Skills!D7-IF(Skills!E7=TRUE,Inputs!$B$32,0)))*(1-IF(AND(ArtifactsInput!$M$27,Inputs!$B$4="Chapter Hunt"),CHOOSE(ArtifactsInput!$N$27+1,20,24,28,32,36,40),0)/100)),0)</f>
        <v/>
      </c>
      <c r="R1134">
        <f>IF(AND(Inputs!$B$38&lt;&gt;"pvp",Inputs!$B$43&gt;0),IF(MAX(0,Inputs!$B$43-B1165)&lt;=0,0,(INT(MAX(0,Inputs!$B$43-B1165)/(IF(Inputs!$B$38="pvp",15,MAX(0.1,Skills!D7-IF(Skills!E7=TRUE,Inputs!$B$32,0)))*(1-IF(AND(ArtifactsInput!$M$27,Inputs!$B$4="Chapter Hunt"),CHOOSE(ArtifactsInput!$N$27+1,20,24,28,32,36,40),0)/100)))+1)),0)</f>
        <v/>
      </c>
      <c r="S1134">
        <f>IFERROR(O1134/N1134,0)</f>
        <v/>
      </c>
      <c r="T1134">
        <f>IF(C1134,(H1134*N1134*IF(AND(Inputs!$B$38&lt;&gt;"pvp",Inputs!$B$43&gt;0),((Skills!G7*((R1134-1)*IF(Skills!H7&gt;0,Skills!I7/Skills!H7,1)+IF(Skills!H7&gt;0,MIN(Skills!I7,MAX(0,MAX(0,Inputs!$B$43-B1165)-((R1134-1)*(IF(Inputs!$B$38="pvp",15,MAX(0.1,Skills!D7-IF(Skills!E7=TRUE,Inputs!$B$32,0)))*(1-IF(AND(ArtifactsInput!$M$27,Inputs!$B$4="Chapter Hunt"),CHOOSE(ArtifactsInput!$N$27+1,20,24,28,32,36,40),0)/100)))))/Skills!H7,1)))/Inputs!$B$43),G1134*Q1134)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1134*(1-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1134*(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1134*(1-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1134*(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4">
        <f>IF(C1134,(H1134*N1134*IF(AND(Inputs!$B$38&lt;&gt;"pvp",Inputs!$B$43&gt;0),((Skills!G7*((R1134-1)*IF(Skills!H7&gt;0,Skills!I7/Skills!H7,1)+IF(Skills!H7&gt;0,MIN(Skills!I7,MAX(0,MAX(0,Inputs!$B$43-B1165)-((R1134-1)*(IF(Inputs!$B$38="pvp",15,MAX(0.1,Skills!D7-IF(Skills!E7=TRUE,Inputs!$B$32,0)))*(1-IF(AND(ArtifactsInput!$M$27,Inputs!$B$4="Chapter Hunt"),CHOOSE(ArtifactsInput!$N$27+1,20,24,28,32,36,40),0)/100)))))/Skills!H7,1)))/Inputs!$B$43),G1134*Q1134))*IF(Inputs!$B$38="pvp",1,(1+(Inputs!$B$21+Skills!Q7+(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5">
      <c r="A1135">
        <f>Skills!A8</f>
        <v/>
      </c>
      <c r="B1135">
        <f>Skills!B8</f>
        <v/>
      </c>
      <c r="C1135">
        <f>Inputs!$B$3&gt;=100</f>
        <v/>
      </c>
      <c r="D1135">
        <f>IF(Skills!C8=1,60+Inputs!$B$25+Inputs!$B$29,IF(Skills!C8=2,90+Inputs!$B$26+Inputs!$B$29,IF(Skills!C8=3,120+Inputs!$B$27+Inputs!$B$29,MAX(0,(Inputs!$B$3-100)*3)+Inputs!$B$28+Inputs!$B$29)))</f>
        <v/>
      </c>
      <c r="E1135">
        <f>INDEX(FactorTable!$B$2:$Y$301, MATCH(ROUND(MIN(300,MAX(1,D1135)),0), FactorTable!$A$2:$A$301,0), Skills!M8+1)</f>
        <v/>
      </c>
      <c r="F1135">
        <f>IF(Skills!N8=TRUE,(Skills!L8/10)*(E1135/1000),Skills!L8/10)+Skills!O8</f>
        <v/>
      </c>
      <c r="G1135">
        <f>Skills!G8*IF(Skills!H8&gt;0,Skills!I8/Skills!H8,1)</f>
        <v/>
      </c>
      <c r="H1135">
        <f>1-(1-Skills!J8/100)^Skills!K8</f>
        <v/>
      </c>
      <c r="I1135" t="inlineStr">
        <is>
          <t>1</t>
        </is>
      </c>
      <c r="J1135">
        <f>((Inputs!$B$6*(1+Inputs!$B$7/100))+(((Inputs!$B$12*(1+Inputs!$B$13/100))-(Inputs!$B$12*(1+Inputs!$B$13/100)))+0.25*(Inputs!$B$14-Inputs!$B$14))*(1+Inputs!$B$7/100))*(F1135/100)</f>
        <v/>
      </c>
      <c r="K1135">
        <f>J1135*(1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1135)</f>
        <v/>
      </c>
      <c r="L1135">
        <f>K1135*(MIN(Inputs!$B$22+((C1149=TRUE)*(F1149-Calc!F22)),(Inputs!$B$23+0+(IF(ArtifactsInput!$M$15,CHOOSE(ArtifactsInput!$N$15+1,25,30,35,40,45,50)/100*(Inputs!$B$11-Inputs!$B$11),0))))/100+(Inputs!$B$23+0+(IF(ArtifactsInput!$M$15,CHOOSE(ArtifactsInput!$N$15+1,25,30,35,40,45,50)/100*(Inputs!$B$11-Inputs!$B$11),0)))/100)/2</f>
        <v/>
      </c>
      <c r="M1135">
        <f>L1135*(1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5">
        <f>L1135*(1-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1135*(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5">
        <f>(1-Summary!$B$11)*T1135+Summary!$B$11*V1135</f>
        <v/>
      </c>
      <c r="P1135">
        <f>IF(B1168=0,0,O1135/B1168)</f>
        <v/>
      </c>
      <c r="Q1135">
        <f>IFERROR(1/(IF(Inputs!$B$38="pvp",15,MAX(0.1,Skills!D8-IF(Skills!E8=TRUE,Inputs!$B$32,0)))*(1-IF(AND(ArtifactsInput!$M$27,Inputs!$B$4="Chapter Hunt"),CHOOSE(ArtifactsInput!$N$27+1,20,24,28,32,36,40),0)/100)),0)</f>
        <v/>
      </c>
      <c r="R1135">
        <f>IF(AND(Inputs!$B$38&lt;&gt;"pvp",Inputs!$B$43&gt;0),IF(MAX(0,Inputs!$B$43-B1165)&lt;=0,0,(INT(MAX(0,Inputs!$B$43-B1165)/(IF(Inputs!$B$38="pvp",15,MAX(0.1,Skills!D8-IF(Skills!E8=TRUE,Inputs!$B$32,0)))*(1-IF(AND(ArtifactsInput!$M$27,Inputs!$B$4="Chapter Hunt"),CHOOSE(ArtifactsInput!$N$27+1,20,24,28,32,36,40),0)/100)))+1)),0)</f>
        <v/>
      </c>
      <c r="S1135">
        <f>IFERROR(O1135/N1135,0)</f>
        <v/>
      </c>
      <c r="T1135">
        <f>IF(C1135,(H1135*N1135*IF(AND(Inputs!$B$38&lt;&gt;"pvp",Inputs!$B$43&gt;0),((Skills!G8*((R1135-1)*IF(Skills!H8&gt;0,Skills!I8/Skills!H8,1)+IF(Skills!H8&gt;0,MIN(Skills!I8,MAX(0,MAX(0,Inputs!$B$43-B1165)-((R1135-1)*(IF(Inputs!$B$38="pvp",15,MAX(0.1,Skills!D8-IF(Skills!E8=TRUE,Inputs!$B$32,0)))*(1-IF(AND(ArtifactsInput!$M$27,Inputs!$B$4="Chapter Hunt"),CHOOSE(ArtifactsInput!$N$27+1,20,24,28,32,36,40),0)/100)))))/Skills!H8,1)))/Inputs!$B$43),G1135*Q1135)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1135*(1-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1135*(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1135*(1-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1135*(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5">
        <f>IF(C1135,(H1135*N1135*IF(AND(Inputs!$B$38&lt;&gt;"pvp",Inputs!$B$43&gt;0),((Skills!G8*((R1135-1)*IF(Skills!H8&gt;0,Skills!I8/Skills!H8,1)+IF(Skills!H8&gt;0,MIN(Skills!I8,MAX(0,MAX(0,Inputs!$B$43-B1165)-((R1135-1)*(IF(Inputs!$B$38="pvp",15,MAX(0.1,Skills!D8-IF(Skills!E8=TRUE,Inputs!$B$32,0)))*(1-IF(AND(ArtifactsInput!$M$27,Inputs!$B$4="Chapter Hunt"),CHOOSE(ArtifactsInput!$N$27+1,20,24,28,32,36,40),0)/100)))))/Skills!H8,1)))/Inputs!$B$43),G1135*Q1135))*IF(Inputs!$B$38="pvp",1,(1+(Inputs!$B$21+Skills!Q8+(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6">
      <c r="A1136">
        <f>Skills!A9</f>
        <v/>
      </c>
      <c r="B1136">
        <f>Skills!B9</f>
        <v/>
      </c>
      <c r="C1136">
        <f>Inputs!$B$3&gt;=103</f>
        <v/>
      </c>
      <c r="D1136">
        <f>IF(Skills!C9=1,60+Inputs!$B$25+Inputs!$B$29,IF(Skills!C9=2,90+Inputs!$B$26+Inputs!$B$29,IF(Skills!C9=3,120+Inputs!$B$27+Inputs!$B$29,MAX(0,(Inputs!$B$3-100)*3)+Inputs!$B$28+Inputs!$B$29)))</f>
        <v/>
      </c>
      <c r="E1136">
        <f>INDEX(FactorTable!$B$2:$Y$301, MATCH(ROUND(MIN(300,MAX(1,D1136)),0), FactorTable!$A$2:$A$301,0), Skills!M9+1)</f>
        <v/>
      </c>
      <c r="F1136">
        <f>IF(Skills!N9=TRUE,(Skills!L9/10)*(E1136/1000),Skills!L9/10)+Skills!O9</f>
        <v/>
      </c>
      <c r="G1136">
        <f>Skills!G9*IF(Skills!H9&gt;0,Skills!I9/Skills!H9,1)</f>
        <v/>
      </c>
      <c r="H1136">
        <f>1-(1-Skills!J9/100)^Skills!K9</f>
        <v/>
      </c>
      <c r="I1136" t="inlineStr">
        <is>
          <t>1</t>
        </is>
      </c>
      <c r="J1136">
        <f>((Inputs!$B$6*(1+Inputs!$B$7/100))+(((Inputs!$B$12*(1+Inputs!$B$13/100))-(Inputs!$B$12*(1+Inputs!$B$13/100)))+0.25*(Inputs!$B$14-Inputs!$B$14))*(1+Inputs!$B$7/100))*(F1136/100)</f>
        <v/>
      </c>
      <c r="K1136">
        <f>J1136*(1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1136)</f>
        <v/>
      </c>
      <c r="L1136">
        <f>K1136*(MIN(Inputs!$B$22+((C1149=TRUE)*(F1149-Calc!F22)),(Inputs!$B$23+0+(IF(ArtifactsInput!$M$15,CHOOSE(ArtifactsInput!$N$15+1,25,30,35,40,45,50)/100*(Inputs!$B$11-Inputs!$B$11),0))))/100+(Inputs!$B$23+0+(IF(ArtifactsInput!$M$15,CHOOSE(ArtifactsInput!$N$15+1,25,30,35,40,45,50)/100*(Inputs!$B$11-Inputs!$B$11),0)))/100)/2</f>
        <v/>
      </c>
      <c r="M1136">
        <f>L1136*(1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6">
        <f>L1136*(1-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1136*(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6">
        <f>(1-Summary!$B$11)*T1136+Summary!$B$11*V1136</f>
        <v/>
      </c>
      <c r="P1136">
        <f>IF(B1168=0,0,O1136/B1168)</f>
        <v/>
      </c>
      <c r="Q1136">
        <f>IFERROR(1/(IF(Inputs!$B$38="pvp",15,MAX(0.1,Skills!D9-IF(Skills!E9=TRUE,Inputs!$B$32,0)))*(1-IF(AND(ArtifactsInput!$M$27,Inputs!$B$4="Chapter Hunt"),CHOOSE(ArtifactsInput!$N$27+1,20,24,28,32,36,40),0)/100)),0)</f>
        <v/>
      </c>
      <c r="R1136">
        <f>IF(AND(Inputs!$B$38&lt;&gt;"pvp",Inputs!$B$43&gt;0),IF(MAX(0,Inputs!$B$43-B1165)&lt;=0,0,(INT(MAX(0,Inputs!$B$43-B1165)/(IF(Inputs!$B$38="pvp",15,MAX(0.1,Skills!D9-IF(Skills!E9=TRUE,Inputs!$B$32,0)))*(1-IF(AND(ArtifactsInput!$M$27,Inputs!$B$4="Chapter Hunt"),CHOOSE(ArtifactsInput!$N$27+1,20,24,28,32,36,40),0)/100)))+1)),0)</f>
        <v/>
      </c>
      <c r="S1136">
        <f>IFERROR(O1136/N1136,0)</f>
        <v/>
      </c>
      <c r="T1136">
        <f>IF(C1136,(H1136*N1136*IF(AND(Inputs!$B$38&lt;&gt;"pvp",Inputs!$B$43&gt;0),((Skills!G9*((R1136-1)*IF(Skills!H9&gt;0,Skills!I9/Skills!H9,1)+IF(Skills!H9&gt;0,MIN(Skills!I9,MAX(0,MAX(0,Inputs!$B$43-B1165)-((R1136-1)*(IF(Inputs!$B$38="pvp",15,MAX(0.1,Skills!D9-IF(Skills!E9=TRUE,Inputs!$B$32,0)))*(1-IF(AND(ArtifactsInput!$M$27,Inputs!$B$4="Chapter Hunt"),CHOOSE(ArtifactsInput!$N$27+1,20,24,28,32,36,40),0)/100)))))/Skills!H9,1)))/Inputs!$B$43),G1136*Q1136)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1136*(1-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1136*(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1136*(1-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1136*(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6">
        <f>IF(C1136,(H1136*N1136*IF(AND(Inputs!$B$38&lt;&gt;"pvp",Inputs!$B$43&gt;0),((Skills!G9*((R1136-1)*IF(Skills!H9&gt;0,Skills!I9/Skills!H9,1)+IF(Skills!H9&gt;0,MIN(Skills!I9,MAX(0,MAX(0,Inputs!$B$43-B1165)-((R1136-1)*(IF(Inputs!$B$38="pvp",15,MAX(0.1,Skills!D9-IF(Skills!E9=TRUE,Inputs!$B$32,0)))*(1-IF(AND(ArtifactsInput!$M$27,Inputs!$B$4="Chapter Hunt"),CHOOSE(ArtifactsInput!$N$27+1,20,24,28,32,36,40),0)/100)))))/Skills!H9,1)))/Inputs!$B$43),G1136*Q1136))*IF(Inputs!$B$38="pvp",1,(1+(Inputs!$B$21+Skills!Q9+(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7">
      <c r="A1137">
        <f>Skills!A10</f>
        <v/>
      </c>
      <c r="B1137">
        <f>Skills!B10</f>
        <v/>
      </c>
      <c r="C1137">
        <f>Inputs!$B$3&gt;=113</f>
        <v/>
      </c>
      <c r="D1137">
        <f>IF(Skills!C10=1,60+Inputs!$B$25+Inputs!$B$29,IF(Skills!C10=2,90+Inputs!$B$26+Inputs!$B$29,IF(Skills!C10=3,120+Inputs!$B$27+Inputs!$B$29,MAX(0,(Inputs!$B$3-100)*3)+Inputs!$B$28+Inputs!$B$29)))</f>
        <v/>
      </c>
      <c r="E1137">
        <f>INDEX(FactorTable!$B$2:$Y$301, MATCH(ROUND(MIN(300,MAX(1,D1137)),0), FactorTable!$A$2:$A$301,0), Skills!M10+1)</f>
        <v/>
      </c>
      <c r="F1137">
        <f>IF(Skills!N10=TRUE,(Skills!L10/10)*(E1137/1000),Skills!L10/10)+Skills!O10</f>
        <v/>
      </c>
      <c r="G1137">
        <f>Skills!G10*IF(Skills!H10&gt;0,Skills!I10/Skills!H10,1)</f>
        <v/>
      </c>
      <c r="H1137">
        <f>1-(1-Skills!J10/100)^Skills!K10</f>
        <v/>
      </c>
      <c r="I1137" t="inlineStr">
        <is>
          <t>1</t>
        </is>
      </c>
      <c r="J1137">
        <f>((Inputs!$B$6*(1+Inputs!$B$7/100))+(((Inputs!$B$12*(1+Inputs!$B$13/100))-(Inputs!$B$12*(1+Inputs!$B$13/100)))+0.25*(Inputs!$B$14-Inputs!$B$14))*(1+Inputs!$B$7/100))*(F1137/100)</f>
        <v/>
      </c>
      <c r="K1137">
        <f>J1137*(1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1137)</f>
        <v/>
      </c>
      <c r="L1137">
        <f>K1137*(MIN(Inputs!$B$22+((C1149=TRUE)*(F1149-Calc!F22)),(Inputs!$B$23+0+(IF(ArtifactsInput!$M$15,CHOOSE(ArtifactsInput!$N$15+1,25,30,35,40,45,50)/100*(Inputs!$B$11-Inputs!$B$11),0))))/100+(Inputs!$B$23+0+(IF(ArtifactsInput!$M$15,CHOOSE(ArtifactsInput!$N$15+1,25,30,35,40,45,50)/100*(Inputs!$B$11-Inputs!$B$11),0)))/100)/2</f>
        <v/>
      </c>
      <c r="M1137">
        <f>L1137*(1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7">
        <f>L1137*(1-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1137*(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7">
        <f>(1-Summary!$B$11)*T1137+Summary!$B$11*V1137</f>
        <v/>
      </c>
      <c r="P1137">
        <f>IF(B1168=0,0,O1137/B1168)</f>
        <v/>
      </c>
      <c r="Q1137">
        <f>IFERROR(1/(IF(Inputs!$B$38="pvp",15,MAX(0.1,Skills!D10-IF(Skills!E10=TRUE,Inputs!$B$32,0)))*(1-IF(AND(ArtifactsInput!$M$27,Inputs!$B$4="Chapter Hunt"),CHOOSE(ArtifactsInput!$N$27+1,20,24,28,32,36,40),0)/100)),0)</f>
        <v/>
      </c>
      <c r="R1137">
        <f>IF(AND(Inputs!$B$38&lt;&gt;"pvp",Inputs!$B$43&gt;0),IF(MAX(0,Inputs!$B$43-B1165)&lt;=0,0,(INT(MAX(0,Inputs!$B$43-B1165)/(IF(Inputs!$B$38="pvp",15,MAX(0.1,Skills!D10-IF(Skills!E10=TRUE,Inputs!$B$32,0)))*(1-IF(AND(ArtifactsInput!$M$27,Inputs!$B$4="Chapter Hunt"),CHOOSE(ArtifactsInput!$N$27+1,20,24,28,32,36,40),0)/100)))+1)),0)</f>
        <v/>
      </c>
      <c r="S1137">
        <f>IFERROR(O1137/N1137,0)</f>
        <v/>
      </c>
      <c r="T1137">
        <f>IF(C1137,(H1137*N1137*IF(AND(Inputs!$B$38&lt;&gt;"pvp",Inputs!$B$43&gt;0),((Skills!G10*((R1137-1)*IF(Skills!H10&gt;0,Skills!I10/Skills!H10,1)+IF(Skills!H10&gt;0,MIN(Skills!I10,MAX(0,MAX(0,Inputs!$B$43-B1165)-((R1137-1)*(IF(Inputs!$B$38="pvp",15,MAX(0.1,Skills!D10-IF(Skills!E10=TRUE,Inputs!$B$32,0)))*(1-IF(AND(ArtifactsInput!$M$27,Inputs!$B$4="Chapter Hunt"),CHOOSE(ArtifactsInput!$N$27+1,20,24,28,32,36,40),0)/100)))))/Skills!H10,1)))/Inputs!$B$43),G1137*Q1137)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1137*(1-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1137*(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1137*(1-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1137*(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7">
        <f>IF(C1137,(H1137*N1137*IF(AND(Inputs!$B$38&lt;&gt;"pvp",Inputs!$B$43&gt;0),((Skills!G10*((R1137-1)*IF(Skills!H10&gt;0,Skills!I10/Skills!H10,1)+IF(Skills!H10&gt;0,MIN(Skills!I10,MAX(0,MAX(0,Inputs!$B$43-B1165)-((R1137-1)*(IF(Inputs!$B$38="pvp",15,MAX(0.1,Skills!D10-IF(Skills!E10=TRUE,Inputs!$B$32,0)))*(1-IF(AND(ArtifactsInput!$M$27,Inputs!$B$4="Chapter Hunt"),CHOOSE(ArtifactsInput!$N$27+1,20,24,28,32,36,40),0)/100)))))/Skills!H10,1)))/Inputs!$B$43),G1137*Q1137))*IF(Inputs!$B$38="pvp",1,(1+(Inputs!$B$21+Skills!Q10+(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8">
      <c r="A1138">
        <f>Skills!A11</f>
        <v/>
      </c>
      <c r="B1138">
        <f>Skills!B11</f>
        <v/>
      </c>
      <c r="C1138">
        <f>Inputs!$B$3&gt;=107</f>
        <v/>
      </c>
      <c r="D1138">
        <f>IF(Skills!C11=1,60+Inputs!$B$25+Inputs!$B$29,IF(Skills!C11=2,90+Inputs!$B$26+Inputs!$B$29,IF(Skills!C11=3,120+Inputs!$B$27+Inputs!$B$29,MAX(0,(Inputs!$B$3-100)*3)+Inputs!$B$28+Inputs!$B$29)))</f>
        <v/>
      </c>
      <c r="E1138">
        <f>INDEX(FactorTable!$B$2:$Y$301, MATCH(ROUND(MIN(300,MAX(1,D1138)),0), FactorTable!$A$2:$A$301,0), Skills!M11+1)</f>
        <v/>
      </c>
      <c r="F1138">
        <f>IF(Skills!N11=TRUE,(Skills!L11/10)*(E1138/1000),Skills!L11/10)+Skills!O11</f>
        <v/>
      </c>
      <c r="G1138">
        <f>Skills!G11*IF(Skills!H11&gt;0,Skills!I11/Skills!H11,1)</f>
        <v/>
      </c>
      <c r="H1138">
        <f>1-(1-Skills!J11/100)^Skills!K11</f>
        <v/>
      </c>
      <c r="I1138" t="inlineStr">
        <is>
          <t>1</t>
        </is>
      </c>
      <c r="J1138">
        <f>((Inputs!$B$6*(1+Inputs!$B$7/100))+(((Inputs!$B$12*(1+Inputs!$B$13/100))-(Inputs!$B$12*(1+Inputs!$B$13/100)))+0.25*(Inputs!$B$14-Inputs!$B$14))*(1+Inputs!$B$7/100))*(F1138/100)</f>
        <v/>
      </c>
      <c r="K1138">
        <f>J1138*(1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1138)</f>
        <v/>
      </c>
      <c r="L1138">
        <f>K1138*(MIN(Inputs!$B$22+((C1149=TRUE)*(F1149-Calc!F22)),(Inputs!$B$23+0+(IF(ArtifactsInput!$M$15,CHOOSE(ArtifactsInput!$N$15+1,25,30,35,40,45,50)/100*(Inputs!$B$11-Inputs!$B$11),0))))/100+(Inputs!$B$23+0+(IF(ArtifactsInput!$M$15,CHOOSE(ArtifactsInput!$N$15+1,25,30,35,40,45,50)/100*(Inputs!$B$11-Inputs!$B$11),0)))/100)/2</f>
        <v/>
      </c>
      <c r="M1138">
        <f>L1138*(1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8">
        <f>L1138*(1-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1138*(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8">
        <f>(1-Summary!$B$11)*T1138+Summary!$B$11*V1138</f>
        <v/>
      </c>
      <c r="P1138">
        <f>IF(B1168=0,0,O1138/B1168)</f>
        <v/>
      </c>
      <c r="Q1138">
        <f>IFERROR(1/(IF(Inputs!$B$38="pvp",15,MAX(0.1,Skills!D11-IF(Skills!E11=TRUE,Inputs!$B$32,0)))*(1-IF(AND(ArtifactsInput!$M$27,Inputs!$B$4="Chapter Hunt"),CHOOSE(ArtifactsInput!$N$27+1,20,24,28,32,36,40),0)/100)),0)</f>
        <v/>
      </c>
      <c r="R1138">
        <f>IF(AND(Inputs!$B$38&lt;&gt;"pvp",Inputs!$B$43&gt;0),IF(MAX(0,Inputs!$B$43-B1165)&lt;=0,0,(INT(MAX(0,Inputs!$B$43-B1165)/(IF(Inputs!$B$38="pvp",15,MAX(0.1,Skills!D11-IF(Skills!E11=TRUE,Inputs!$B$32,0)))*(1-IF(AND(ArtifactsInput!$M$27,Inputs!$B$4="Chapter Hunt"),CHOOSE(ArtifactsInput!$N$27+1,20,24,28,32,36,40),0)/100)))+1)),0)</f>
        <v/>
      </c>
      <c r="S1138">
        <f>IFERROR(O1138/N1138,0)</f>
        <v/>
      </c>
      <c r="T1138">
        <f>IF(C1138,(H1138*N1138*IF(AND(Inputs!$B$38&lt;&gt;"pvp",Inputs!$B$43&gt;0),((Skills!G11*((R1138-1)*IF(Skills!H11&gt;0,Skills!I11/Skills!H11,1)+IF(Skills!H11&gt;0,MIN(Skills!I11,MAX(0,MAX(0,Inputs!$B$43-B1165)-((R1138-1)*(IF(Inputs!$B$38="pvp",15,MAX(0.1,Skills!D11-IF(Skills!E11=TRUE,Inputs!$B$32,0)))*(1-IF(AND(ArtifactsInput!$M$27,Inputs!$B$4="Chapter Hunt"),CHOOSE(ArtifactsInput!$N$27+1,20,24,28,32,36,40),0)/100)))))/Skills!H11,1)))/Inputs!$B$43),G1138*Q1138)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1138*(1-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1138*(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1138*(1-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1138*(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8">
        <f>IF(C1138,(H1138*N1138*IF(AND(Inputs!$B$38&lt;&gt;"pvp",Inputs!$B$43&gt;0),((Skills!G11*((R1138-1)*IF(Skills!H11&gt;0,Skills!I11/Skills!H11,1)+IF(Skills!H11&gt;0,MIN(Skills!I11,MAX(0,MAX(0,Inputs!$B$43-B1165)-((R1138-1)*(IF(Inputs!$B$38="pvp",15,MAX(0.1,Skills!D11-IF(Skills!E11=TRUE,Inputs!$B$32,0)))*(1-IF(AND(ArtifactsInput!$M$27,Inputs!$B$4="Chapter Hunt"),CHOOSE(ArtifactsInput!$N$27+1,20,24,28,32,36,40),0)/100)))))/Skills!H11,1)))/Inputs!$B$43),G1138*Q1138))*IF(Inputs!$B$38="pvp",1,(1+(Inputs!$B$21+Skills!Q11+(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9">
      <c r="A1139">
        <f>Skills!A12</f>
        <v/>
      </c>
      <c r="B1139">
        <f>Skills!B12</f>
        <v/>
      </c>
      <c r="C1139">
        <f>Inputs!$B$3&gt;=110</f>
        <v/>
      </c>
      <c r="D1139">
        <f>IF(Skills!C12=1,60+Inputs!$B$25+Inputs!$B$29,IF(Skills!C12=2,90+Inputs!$B$26+Inputs!$B$29,IF(Skills!C12=3,120+Inputs!$B$27+Inputs!$B$29,MAX(0,(Inputs!$B$3-100)*3)+Inputs!$B$28+Inputs!$B$29)))</f>
        <v/>
      </c>
      <c r="E1139">
        <f>INDEX(FactorTable!$B$2:$Y$301, MATCH(ROUND(MIN(300,MAX(1,D1139)),0), FactorTable!$A$2:$A$301,0), Skills!M12+1)</f>
        <v/>
      </c>
      <c r="F1139">
        <f>IF(Skills!N12=TRUE,(Skills!L12/10)*(E1139/1000),Skills!L12/10)+Skills!O12</f>
        <v/>
      </c>
      <c r="G1139">
        <f>Skills!G12*IF(Skills!H12&gt;0,Skills!I12/Skills!H12,1)</f>
        <v/>
      </c>
      <c r="H1139">
        <f>1-(1-Skills!J12/100)^Skills!K12</f>
        <v/>
      </c>
      <c r="I1139" t="inlineStr">
        <is>
          <t>1</t>
        </is>
      </c>
      <c r="J1139">
        <f>((Inputs!$B$6*(1+Inputs!$B$7/100))+(((Inputs!$B$12*(1+Inputs!$B$13/100))-(Inputs!$B$12*(1+Inputs!$B$13/100)))+0.25*(Inputs!$B$14-Inputs!$B$14))*(1+Inputs!$B$7/100))*(F1139/100)</f>
        <v/>
      </c>
      <c r="K1139">
        <f>J1139*(1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1139)</f>
        <v/>
      </c>
      <c r="L1139">
        <f>K1139*(MIN(Inputs!$B$22+((C1149=TRUE)*(F1149-Calc!F22)),(Inputs!$B$23+0+(IF(ArtifactsInput!$M$15,CHOOSE(ArtifactsInput!$N$15+1,25,30,35,40,45,50)/100*(Inputs!$B$11-Inputs!$B$11),0))))/100+(Inputs!$B$23+0+(IF(ArtifactsInput!$M$15,CHOOSE(ArtifactsInput!$N$15+1,25,30,35,40,45,50)/100*(Inputs!$B$11-Inputs!$B$11),0)))/100)/2</f>
        <v/>
      </c>
      <c r="M1139">
        <f>L1139*(1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9">
        <f>L1139*(1-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1139*(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9">
        <f>(1-Summary!$B$11)*T1139+Summary!$B$11*V1139</f>
        <v/>
      </c>
      <c r="P1139">
        <f>IF(B1168=0,0,O1139/B1168)</f>
        <v/>
      </c>
      <c r="Q1139">
        <f>IFERROR(1/(IF(Inputs!$B$38="pvp",15,MAX(0.1,Skills!D12-IF(Skills!E12=TRUE,Inputs!$B$32,0)))*(1-IF(AND(ArtifactsInput!$M$27,Inputs!$B$4="Chapter Hunt"),CHOOSE(ArtifactsInput!$N$27+1,20,24,28,32,36,40),0)/100)),0)</f>
        <v/>
      </c>
      <c r="R1139">
        <f>IF(AND(Inputs!$B$38&lt;&gt;"pvp",Inputs!$B$43&gt;0),IF(MAX(0,Inputs!$B$43-B1165)&lt;=0,0,(INT(MAX(0,Inputs!$B$43-B1165)/(IF(Inputs!$B$38="pvp",15,MAX(0.1,Skills!D12-IF(Skills!E12=TRUE,Inputs!$B$32,0)))*(1-IF(AND(ArtifactsInput!$M$27,Inputs!$B$4="Chapter Hunt"),CHOOSE(ArtifactsInput!$N$27+1,20,24,28,32,36,40),0)/100)))+1)),0)</f>
        <v/>
      </c>
      <c r="S1139">
        <f>IFERROR(O1139/N1139,0)</f>
        <v/>
      </c>
      <c r="T1139">
        <f>IF(C1139,(H1139*N1139*IF(AND(Inputs!$B$38&lt;&gt;"pvp",Inputs!$B$43&gt;0),((Skills!G12*((R1139-1)*IF(Skills!H12&gt;0,Skills!I12/Skills!H12,1)+IF(Skills!H12&gt;0,MIN(Skills!I12,MAX(0,MAX(0,Inputs!$B$43-B1165)-((R1139-1)*(IF(Inputs!$B$38="pvp",15,MAX(0.1,Skills!D12-IF(Skills!E12=TRUE,Inputs!$B$32,0)))*(1-IF(AND(ArtifactsInput!$M$27,Inputs!$B$4="Chapter Hunt"),CHOOSE(ArtifactsInput!$N$27+1,20,24,28,32,36,40),0)/100)))))/Skills!H12,1)))/Inputs!$B$43),G1139*Q1139)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1139*(1-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1139*(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1139*(1-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1139*(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9">
        <f>IF(C1139,(H1139*N1139*IF(AND(Inputs!$B$38&lt;&gt;"pvp",Inputs!$B$43&gt;0),((Skills!G12*((R1139-1)*IF(Skills!H12&gt;0,Skills!I12/Skills!H12,1)+IF(Skills!H12&gt;0,MIN(Skills!I12,MAX(0,MAX(0,Inputs!$B$43-B1165)-((R1139-1)*(IF(Inputs!$B$38="pvp",15,MAX(0.1,Skills!D12-IF(Skills!E12=TRUE,Inputs!$B$32,0)))*(1-IF(AND(ArtifactsInput!$M$27,Inputs!$B$4="Chapter Hunt"),CHOOSE(ArtifactsInput!$N$27+1,20,24,28,32,36,40),0)/100)))))/Skills!H12,1)))/Inputs!$B$43),G1139*Q1139))*IF(Inputs!$B$38="pvp",1,(1+(Inputs!$B$21+Skills!Q12+(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0">
      <c r="A1140">
        <f>Skills!A13</f>
        <v/>
      </c>
      <c r="B1140">
        <f>Skills!B13</f>
        <v/>
      </c>
      <c r="C1140">
        <f>Inputs!$B$3&gt;=110</f>
        <v/>
      </c>
      <c r="D1140">
        <f>IF(Skills!C13=1,60+Inputs!$B$25+Inputs!$B$29,IF(Skills!C13=2,90+Inputs!$B$26+Inputs!$B$29,IF(Skills!C13=3,120+Inputs!$B$27+Inputs!$B$29,MAX(0,(Inputs!$B$3-100)*3)+Inputs!$B$28+Inputs!$B$29)))</f>
        <v/>
      </c>
      <c r="E1140">
        <f>INDEX(FactorTable!$B$2:$Y$301, MATCH(ROUND(MIN(300,MAX(1,D1140)),0), FactorTable!$A$2:$A$301,0), Skills!M13+1)</f>
        <v/>
      </c>
      <c r="F1140">
        <f>IF(Skills!N13=TRUE,(Skills!L13/10)*(E1140/1000),Skills!L13/10)+Skills!O13</f>
        <v/>
      </c>
      <c r="G1140">
        <f>Skills!G13*IF(Skills!H13&gt;0,Skills!I13/Skills!H13,1)</f>
        <v/>
      </c>
      <c r="H1140">
        <f>1-(1-Skills!J13/100)^Skills!K13</f>
        <v/>
      </c>
      <c r="I1140" t="inlineStr">
        <is>
          <t>1</t>
        </is>
      </c>
      <c r="J1140">
        <f>((Inputs!$B$6*(1+Inputs!$B$7/100))+(((Inputs!$B$12*(1+Inputs!$B$13/100))-(Inputs!$B$12*(1+Inputs!$B$13/100)))+0.25*(Inputs!$B$14-Inputs!$B$14))*(1+Inputs!$B$7/100))*(F1140/100)</f>
        <v/>
      </c>
      <c r="K1140">
        <f>J1140*(1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1140)</f>
        <v/>
      </c>
      <c r="L1140">
        <f>K1140*(MIN(Inputs!$B$22+((C1149=TRUE)*(F1149-Calc!F22)),(Inputs!$B$23+0+(IF(ArtifactsInput!$M$15,CHOOSE(ArtifactsInput!$N$15+1,25,30,35,40,45,50)/100*(Inputs!$B$11-Inputs!$B$11),0))))/100+(Inputs!$B$23+0+(IF(ArtifactsInput!$M$15,CHOOSE(ArtifactsInput!$N$15+1,25,30,35,40,45,50)/100*(Inputs!$B$11-Inputs!$B$11),0)))/100)/2</f>
        <v/>
      </c>
      <c r="M1140">
        <f>L1140*(1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0">
        <f>L1140*(1-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1140*(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0">
        <f>(1-Summary!$B$11)*T1140+Summary!$B$11*V1140</f>
        <v/>
      </c>
      <c r="P1140">
        <f>IF(B1168=0,0,O1140/B1168)</f>
        <v/>
      </c>
      <c r="Q1140">
        <f>IFERROR(1/(IF(Inputs!$B$38="pvp",15,MAX(0.1,Skills!D13-IF(Skills!E13=TRUE,Inputs!$B$32,0)))*(1-IF(AND(ArtifactsInput!$M$27,Inputs!$B$4="Chapter Hunt"),CHOOSE(ArtifactsInput!$N$27+1,20,24,28,32,36,40),0)/100)),0)</f>
        <v/>
      </c>
      <c r="R1140">
        <f>IF(AND(Inputs!$B$38&lt;&gt;"pvp",Inputs!$B$43&gt;0),IF(MAX(0,Inputs!$B$43-B1165)&lt;=0,0,(INT(MAX(0,Inputs!$B$43-B1165)/(IF(Inputs!$B$38="pvp",15,MAX(0.1,Skills!D13-IF(Skills!E13=TRUE,Inputs!$B$32,0)))*(1-IF(AND(ArtifactsInput!$M$27,Inputs!$B$4="Chapter Hunt"),CHOOSE(ArtifactsInput!$N$27+1,20,24,28,32,36,40),0)/100)))+1)),0)</f>
        <v/>
      </c>
      <c r="S1140">
        <f>IFERROR(O1140/N1140,0)</f>
        <v/>
      </c>
      <c r="T1140">
        <f>IF(C1140,(H1140*N1140*IF(AND(Inputs!$B$38&lt;&gt;"pvp",Inputs!$B$43&gt;0),((Skills!G13*((R1140-1)*IF(Skills!H13&gt;0,Skills!I13/Skills!H13,1)+IF(Skills!H13&gt;0,MIN(Skills!I13,MAX(0,MAX(0,Inputs!$B$43-B1165)-((R1140-1)*(IF(Inputs!$B$38="pvp",15,MAX(0.1,Skills!D13-IF(Skills!E13=TRUE,Inputs!$B$32,0)))*(1-IF(AND(ArtifactsInput!$M$27,Inputs!$B$4="Chapter Hunt"),CHOOSE(ArtifactsInput!$N$27+1,20,24,28,32,36,40),0)/100)))))/Skills!H13,1)))/Inputs!$B$43),G1140*Q1140)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1140*(1-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1140*(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1140*(1-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1140*(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40">
        <f>IF(C1140,(H1140*N1140*IF(AND(Inputs!$B$38&lt;&gt;"pvp",Inputs!$B$43&gt;0),((Skills!G13*((R1140-1)*IF(Skills!H13&gt;0,Skills!I13/Skills!H13,1)+IF(Skills!H13&gt;0,MIN(Skills!I13,MAX(0,MAX(0,Inputs!$B$43-B1165)-((R1140-1)*(IF(Inputs!$B$38="pvp",15,MAX(0.1,Skills!D13-IF(Skills!E13=TRUE,Inputs!$B$32,0)))*(1-IF(AND(ArtifactsInput!$M$27,Inputs!$B$4="Chapter Hunt"),CHOOSE(ArtifactsInput!$N$27+1,20,24,28,32,36,40),0)/100)))))/Skills!H13,1)))/Inputs!$B$43),G1140*Q1140))*IF(Inputs!$B$38="pvp",1,(1+(Inputs!$B$21+Skills!Q13+(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1">
      <c r="A1141">
        <f>Skills!A14</f>
        <v/>
      </c>
      <c r="B1141">
        <f>Skills!B14</f>
        <v/>
      </c>
      <c r="C1141">
        <f>Inputs!$B$3&gt;=125</f>
        <v/>
      </c>
      <c r="D1141">
        <f>IF(Skills!C14=1,60+Inputs!$B$25+Inputs!$B$29,IF(Skills!C14=2,90+Inputs!$B$26+Inputs!$B$29,IF(Skills!C14=3,120+Inputs!$B$27+Inputs!$B$29,MAX(0,(Inputs!$B$3-100)*3)+Inputs!$B$28+Inputs!$B$29)))</f>
        <v/>
      </c>
      <c r="E1141">
        <f>INDEX(FactorTable!$B$2:$Y$301, MATCH(ROUND(MIN(300,MAX(1,D1141)),0), FactorTable!$A$2:$A$301,0), Skills!M14+1)</f>
        <v/>
      </c>
      <c r="F1141">
        <f>IF(Skills!N14=TRUE,(Skills!L14/10)*(E1141/1000),Skills!L14/10)+Skills!O14</f>
        <v/>
      </c>
      <c r="G1141">
        <f>Skills!G14*IF(Skills!H14&gt;0,Skills!I14/Skills!H14,1)</f>
        <v/>
      </c>
      <c r="H1141">
        <f>1-(1-Skills!J14/100)^Skills!K14</f>
        <v/>
      </c>
      <c r="I1141" t="inlineStr">
        <is>
          <t>1</t>
        </is>
      </c>
      <c r="J1141">
        <f>((Inputs!$B$6*(1+Inputs!$B$7/100))+(((Inputs!$B$12*(1+Inputs!$B$13/100))-(Inputs!$B$12*(1+Inputs!$B$13/100)))+0.25*(Inputs!$B$14-Inputs!$B$14))*(1+Inputs!$B$7/100))*(F1141/100)</f>
        <v/>
      </c>
      <c r="K1141">
        <f>J1141*(1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1141)</f>
        <v/>
      </c>
      <c r="L1141">
        <f>K1141*(MIN(Inputs!$B$22+((C1149=TRUE)*(F1149-Calc!F22)),(Inputs!$B$23+0+(IF(ArtifactsInput!$M$15,CHOOSE(ArtifactsInput!$N$15+1,25,30,35,40,45,50)/100*(Inputs!$B$11-Inputs!$B$11),0))))/100+(Inputs!$B$23+0+(IF(ArtifactsInput!$M$15,CHOOSE(ArtifactsInput!$N$15+1,25,30,35,40,45,50)/100*(Inputs!$B$11-Inputs!$B$11),0)))/100)/2</f>
        <v/>
      </c>
      <c r="M1141">
        <f>L1141*(1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1">
        <f>L1141*(1-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1">
        <f>(1-Summary!$B$11)*T1141+Summary!$B$11*V1141</f>
        <v/>
      </c>
      <c r="P1141">
        <f>IF(B1168=0,0,O1141/B1168)</f>
        <v/>
      </c>
      <c r="Q1141" t="n">
        <v>0</v>
      </c>
      <c r="R1141" t="n">
        <v>0</v>
      </c>
      <c r="S1141">
        <f>IFERROR(O1141/N1141,0)</f>
        <v/>
      </c>
      <c r="T1141">
        <f>IF(C1141,(H1141*N1141*(B1162+IF(AND(Inputs!$B$38&lt;&gt;"pvp",Inputs!$B$43&gt;0),((Skills!G8*((R1135-1)*IF(Skills!H8&gt;0,Skills!I8/Skills!H8,1)+IF(Skills!H8&gt;0,MIN(Skills!I8,MAX(0,MAX(0,Inputs!$B$43-B1165)-((R1135-1)*(IF(Inputs!$B$38="pvp",15,MAX(0.1,Skills!D8-IF(Skills!E8=TRUE,Inputs!$B$32,0)))*(1-IF(AND(ArtifactsInput!$M$27,Inputs!$B$4="Chapter Hunt"),CHOOSE(ArtifactsInput!$N$27+1,20,24,28,32,36,40),0)/100)))))/Skills!H8,1)))/Inputs!$B$43),G1135*Q1135)+IF(AND(Inputs!$B$38&lt;&gt;"pvp",Inputs!$B$43&gt;0),((Skills!G11*((R1138-1)*IF(Skills!H11&gt;0,Skills!I11/Skills!H11,1)+IF(Skills!H11&gt;0,MIN(Skills!I11,MAX(0,MAX(0,Inputs!$B$43-B1165)-((R1138-1)*(IF(Inputs!$B$38="pvp",15,MAX(0.1,Skills!D11-IF(Skills!E11=TRUE,Inputs!$B$32,0)))*(1-IF(AND(ArtifactsInput!$M$27,Inputs!$B$4="Chapter Hunt"),CHOOSE(ArtifactsInput!$N$27+1,20,24,28,32,36,40),0)/100)))))/Skills!H11,1)))/Inputs!$B$43),G1138*Q1138)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1141*(1-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1141*(1-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41">
        <f>IF(C1141,(H1141*N1141*(B1162+IF(AND(Inputs!$B$38&lt;&gt;"pvp",Inputs!$B$43&gt;0),((Skills!G8*((R1135-1)*IF(Skills!H8&gt;0,Skills!I8/Skills!H8,1)+IF(Skills!H8&gt;0,MIN(Skills!I8,MAX(0,MAX(0,Inputs!$B$43-B1165)-((R1135-1)*(IF(Inputs!$B$38="pvp",15,MAX(0.1,Skills!D8-IF(Skills!E8=TRUE,Inputs!$B$32,0)))*(1-IF(AND(ArtifactsInput!$M$27,Inputs!$B$4="Chapter Hunt"),CHOOSE(ArtifactsInput!$N$27+1,20,24,28,32,36,40),0)/100)))))/Skills!H8,1)))/Inputs!$B$43),G1135*Q1135)+IF(AND(Inputs!$B$38&lt;&gt;"pvp",Inputs!$B$43&gt;0),((Skills!G11*((R1138-1)*IF(Skills!H11&gt;0,Skills!I11/Skills!H11,1)+IF(Skills!H11&gt;0,MIN(Skills!I11,MAX(0,MAX(0,Inputs!$B$43-B1165)-((R1138-1)*(IF(Inputs!$B$38="pvp",15,MAX(0.1,Skills!D11-IF(Skills!E11=TRUE,Inputs!$B$32,0)))*(1-IF(AND(ArtifactsInput!$M$27,Inputs!$B$4="Chapter Hunt"),CHOOSE(ArtifactsInput!$N$27+1,20,24,28,32,36,40),0)/100)))))/Skills!H11,1)))/Inputs!$B$43),G1138*Q1138)))*IF(Inputs!$B$38="pvp",1,(1+(Inputs!$B$21+Skills!Q14+(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2">
      <c r="A1142">
        <f>Skills!A15</f>
        <v/>
      </c>
      <c r="B1142">
        <f>Skills!B15</f>
        <v/>
      </c>
      <c r="C1142">
        <f>Inputs!$B$3&gt;=100</f>
        <v/>
      </c>
      <c r="D1142">
        <f>IF(Skills!C15=1,60+Inputs!$B$25+Inputs!$B$29,IF(Skills!C15=2,90+Inputs!$B$26+Inputs!$B$29,IF(Skills!C15=3,120+Inputs!$B$27+Inputs!$B$29,MAX(0,(Inputs!$B$3-100)*3)+Inputs!$B$28+Inputs!$B$29)))</f>
        <v/>
      </c>
      <c r="E1142">
        <f>INDEX(FactorTable!$B$2:$Y$301, MATCH(ROUND(MIN(300,MAX(1,D1142)),0), FactorTable!$A$2:$A$301,0), Skills!M15+1)</f>
        <v/>
      </c>
      <c r="F1142">
        <f>IF(Skills!N15=TRUE,(Skills!L15/10)*(E1142/1000),Skills!L15/10)+Skills!O15</f>
        <v/>
      </c>
      <c r="G1142" t="inlineStr"/>
      <c r="H1142" t="inlineStr"/>
      <c r="I1142" t="inlineStr">
        <is>
          <t>1</t>
        </is>
      </c>
      <c r="J1142" t="inlineStr"/>
      <c r="K1142" t="inlineStr"/>
      <c r="L1142" t="inlineStr"/>
      <c r="M1142" t="inlineStr"/>
      <c r="N1142" t="inlineStr"/>
      <c r="O1142" t="inlineStr"/>
      <c r="P1142" t="inlineStr"/>
      <c r="Q1142" t="inlineStr"/>
      <c r="R1142" t="inlineStr"/>
      <c r="S1142" t="inlineStr"/>
    </row>
    <row r="1143">
      <c r="A1143">
        <f>Skills!A16</f>
        <v/>
      </c>
      <c r="B1143">
        <f>Skills!B16</f>
        <v/>
      </c>
      <c r="C1143">
        <f>Inputs!$B$3&gt;=120</f>
        <v/>
      </c>
      <c r="D1143">
        <f>IF(Skills!C16=1,60+Inputs!$B$25+Inputs!$B$29,IF(Skills!C16=2,90+Inputs!$B$26+Inputs!$B$29,IF(Skills!C16=3,120+Inputs!$B$27+Inputs!$B$29,MAX(0,(Inputs!$B$3-100)*3)+Inputs!$B$28+Inputs!$B$29)))</f>
        <v/>
      </c>
      <c r="E1143">
        <f>INDEX(FactorTable!$B$2:$Y$301, MATCH(ROUND(MIN(300,MAX(1,D1143)),0), FactorTable!$A$2:$A$301,0), Skills!M16+1)</f>
        <v/>
      </c>
      <c r="F1143">
        <f>IF(Skills!N16=TRUE,(Skills!L16/10)*(E1143/1000),Skills!L16/10)+Skills!O16</f>
        <v/>
      </c>
      <c r="G1143" t="inlineStr"/>
      <c r="H1143" t="inlineStr"/>
      <c r="I1143" t="inlineStr">
        <is>
          <t>1</t>
        </is>
      </c>
      <c r="J1143" t="inlineStr"/>
      <c r="K1143" t="inlineStr"/>
      <c r="L1143" t="inlineStr"/>
      <c r="M1143" t="inlineStr"/>
      <c r="N1143" t="inlineStr"/>
      <c r="O1143" t="inlineStr"/>
      <c r="P1143" t="inlineStr"/>
      <c r="Q1143" t="inlineStr"/>
      <c r="R1143" t="inlineStr"/>
      <c r="S1143" t="inlineStr"/>
    </row>
    <row r="1144">
      <c r="A1144">
        <f>Skills!A17</f>
        <v/>
      </c>
      <c r="B1144">
        <f>Skills!B17</f>
        <v/>
      </c>
      <c r="C1144">
        <f>Inputs!$B$3&gt;=66</f>
        <v/>
      </c>
      <c r="D1144">
        <f>IF(Skills!C17=1,60+Inputs!$B$25+Inputs!$B$29,IF(Skills!C17=2,90+Inputs!$B$26+Inputs!$B$29,IF(Skills!C17=3,120+Inputs!$B$27+Inputs!$B$29,MAX(0,(Inputs!$B$3-100)*3)+Inputs!$B$28+Inputs!$B$29)))</f>
        <v/>
      </c>
      <c r="E1144">
        <f>INDEX(FactorTable!$B$2:$Y$301, MATCH(ROUND(MIN(300,MAX(1,D1144)),0), FactorTable!$A$2:$A$301,0), Skills!M17+1)</f>
        <v/>
      </c>
      <c r="F1144">
        <f>IF(Skills!N17=TRUE,(Skills!L17/10)*(E1144/1000),Skills!L17/10)+Skills!O17</f>
        <v/>
      </c>
      <c r="G1144">
        <f>Skills!G17*IF(Skills!H17&gt;0,Skills!I17/Skills!H17,1)</f>
        <v/>
      </c>
      <c r="H1144">
        <f>1-(1-Skills!J17/100)^Skills!K17</f>
        <v/>
      </c>
      <c r="I1144" t="inlineStr">
        <is>
          <t>1</t>
        </is>
      </c>
      <c r="J1144" t="inlineStr"/>
      <c r="K1144" t="inlineStr"/>
      <c r="L1144" t="inlineStr"/>
      <c r="M1144" t="inlineStr"/>
      <c r="N1144" t="inlineStr"/>
      <c r="O1144">
        <f>(1-Summary!$B$11)*T1144+Summary!$B$11*V1144</f>
        <v/>
      </c>
      <c r="P1144">
        <f>IF(B1168=0,0,O1144/B1168)</f>
        <v/>
      </c>
      <c r="Q1144" t="n">
        <v>0</v>
      </c>
      <c r="R1144" t="n">
        <v>0</v>
      </c>
      <c r="S1144">
        <f>IFERROR(O1144/N1144,0)</f>
        <v/>
      </c>
      <c r="T1144" t="n">
        <v>0</v>
      </c>
      <c r="V1144" t="n">
        <v>0</v>
      </c>
    </row>
    <row r="1145">
      <c r="A1145">
        <f>Skills!A18</f>
        <v/>
      </c>
      <c r="B1145">
        <f>Skills!B18</f>
        <v/>
      </c>
      <c r="C1145">
        <f>Inputs!$B$3&gt;=115</f>
        <v/>
      </c>
      <c r="D1145">
        <f>IF(Skills!C18=1,60+Inputs!$B$25+Inputs!$B$29,IF(Skills!C18=2,90+Inputs!$B$26+Inputs!$B$29,IF(Skills!C18=3,120+Inputs!$B$27+Inputs!$B$29,MAX(0,(Inputs!$B$3-100)*3)+Inputs!$B$28+Inputs!$B$29)))</f>
        <v/>
      </c>
      <c r="E1145">
        <f>INDEX(FactorTable!$B$2:$Y$301, MATCH(ROUND(MIN(300,MAX(1,D1145)),0), FactorTable!$A$2:$A$301,0), Skills!M18+1)</f>
        <v/>
      </c>
      <c r="F1145">
        <f>IF(Skills!N18=TRUE,(Skills!L18/10)*(E1145/1000),Skills!L18/10)+Skills!O18</f>
        <v/>
      </c>
      <c r="G1145">
        <f>Skills!G18*IF(Skills!H18&gt;0,Skills!I18/Skills!H18,1)</f>
        <v/>
      </c>
      <c r="H1145">
        <f>1-(1-Skills!J18/100)^Skills!K18</f>
        <v/>
      </c>
      <c r="I1145" t="inlineStr">
        <is>
          <t>1</t>
        </is>
      </c>
      <c r="J1145" t="inlineStr"/>
      <c r="K1145" t="inlineStr"/>
      <c r="L1145" t="inlineStr"/>
      <c r="M1145" t="inlineStr"/>
      <c r="N1145" t="inlineStr"/>
      <c r="O1145">
        <f>(1-Summary!$B$11)*T1145+Summary!$B$11*V1145</f>
        <v/>
      </c>
      <c r="P1145">
        <f>IF(B1168=0,0,O1145/B1168)</f>
        <v/>
      </c>
      <c r="Q1145">
        <f>IFERROR(1/(IF(Inputs!$B$38="pvp",15,MAX(0.1,Skills!D18-IF(Skills!E18=TRUE,Inputs!$B$32,0)))*(1-IF(AND(ArtifactsInput!$M$27,Inputs!$B$4="Chapter Hunt"),CHOOSE(ArtifactsInput!$N$27+1,20,24,28,32,36,40),0)/100)),0)</f>
        <v/>
      </c>
      <c r="R1145">
        <f>IF(AND(Inputs!$B$38&lt;&gt;"pvp",Inputs!$B$43&gt;0),IF(Inputs!$B$43&lt;=0,0,(INT(Inputs!$B$43/(IF(Inputs!$B$38="pvp",15,MAX(0.1,Skills!D18-IF(Skills!E18=TRUE,Inputs!$B$32,0)))*(1-IF(AND(ArtifactsInput!$M$27,Inputs!$B$4="Chapter Hunt"),CHOOSE(ArtifactsInput!$N$27+1,20,24,28,32,36,40),0)/100)))+1)),0)</f>
        <v/>
      </c>
      <c r="S1145">
        <f>IFERROR(O1145/N1145,0)</f>
        <v/>
      </c>
      <c r="T1145" t="n">
        <v>0</v>
      </c>
      <c r="V1145" t="n">
        <v>0</v>
      </c>
    </row>
    <row r="1146">
      <c r="A1146">
        <f>Skills!A19</f>
        <v/>
      </c>
      <c r="B1146">
        <f>Skills!B19</f>
        <v/>
      </c>
      <c r="C1146">
        <f>Inputs!$B$3&gt;=15</f>
        <v/>
      </c>
      <c r="D1146">
        <f>IF(Skills!C19=1,60+Inputs!$B$25+Inputs!$B$29,IF(Skills!C19=2,90+Inputs!$B$26+Inputs!$B$29,IF(Skills!C19=3,120+Inputs!$B$27+Inputs!$B$29,MAX(0,(Inputs!$B$3-100)*3)+Inputs!$B$28+Inputs!$B$29)))</f>
        <v/>
      </c>
      <c r="E1146">
        <f>INDEX(FactorTable!$B$2:$Y$301, MATCH(ROUND(MIN(300,MAX(1,D1146)),0), FactorTable!$A$2:$A$301,0), Skills!M19+1)</f>
        <v/>
      </c>
      <c r="F1146">
        <f>IF(Skills!N19=TRUE,(Skills!L19/10)*(E1146/1000),Skills!L19/10)+Skills!O19</f>
        <v/>
      </c>
      <c r="G1146">
        <f>Skills!G19*IF(Skills!H19&gt;0,Skills!I19/Skills!H19,1)</f>
        <v/>
      </c>
      <c r="H1146">
        <f>1-(1-Skills!J19/100)^Skills!K19</f>
        <v/>
      </c>
      <c r="I1146" t="inlineStr">
        <is>
          <t>1</t>
        </is>
      </c>
      <c r="J1146" t="inlineStr"/>
      <c r="K1146" t="inlineStr"/>
      <c r="L1146" t="inlineStr"/>
      <c r="M1146" t="inlineStr"/>
      <c r="N1146" t="inlineStr"/>
      <c r="O1146">
        <f>(1-Summary!$B$11)*T1146+Summary!$B$11*V1146</f>
        <v/>
      </c>
      <c r="P1146">
        <f>IF(B1168=0,0,O1146/B1168)</f>
        <v/>
      </c>
      <c r="Q1146" t="n">
        <v>0</v>
      </c>
      <c r="R1146" t="n">
        <v>0</v>
      </c>
      <c r="S1146">
        <f>IFERROR(O1146/N1146,0)</f>
        <v/>
      </c>
      <c r="T1146" t="n">
        <v>0</v>
      </c>
      <c r="V1146" t="n">
        <v>0</v>
      </c>
    </row>
    <row r="1147">
      <c r="A1147">
        <f>Skills!A20</f>
        <v/>
      </c>
      <c r="B1147">
        <f>Skills!B20</f>
        <v/>
      </c>
      <c r="C1147">
        <f>Inputs!$B$3&gt;=10</f>
        <v/>
      </c>
      <c r="D1147">
        <f>IF(Skills!C20=1,60+Inputs!$B$25+Inputs!$B$29,IF(Skills!C20=2,90+Inputs!$B$26+Inputs!$B$29,IF(Skills!C20=3,120+Inputs!$B$27+Inputs!$B$29,MAX(0,(Inputs!$B$3-100)*3)+Inputs!$B$28+Inputs!$B$29)))</f>
        <v/>
      </c>
      <c r="E1147">
        <f>INDEX(FactorTable!$B$2:$Y$301, MATCH(ROUND(MIN(300,MAX(1,D1147)),0), FactorTable!$A$2:$A$301,0), Skills!M20+1)</f>
        <v/>
      </c>
      <c r="F1147">
        <f>IF(Skills!N20=TRUE,(Skills!L20/10)*(E1147/1000),Skills!L20/10)+Skills!O20</f>
        <v/>
      </c>
      <c r="G1147">
        <f>Skills!G20*IF(Skills!H20&gt;0,Skills!I20/Skills!H20,1)</f>
        <v/>
      </c>
      <c r="H1147">
        <f>1-(1-Skills!J20/100)^Skills!K20</f>
        <v/>
      </c>
      <c r="I1147" t="inlineStr">
        <is>
          <t>1</t>
        </is>
      </c>
      <c r="J1147" t="inlineStr"/>
      <c r="K1147" t="inlineStr"/>
      <c r="L1147" t="inlineStr"/>
      <c r="M1147" t="inlineStr"/>
      <c r="N1147" t="inlineStr"/>
      <c r="O1147">
        <f>(1-Summary!$B$11)*T1147+Summary!$B$11*V1147</f>
        <v/>
      </c>
      <c r="P1147">
        <f>IF(B1168=0,0,O1147/B1168)</f>
        <v/>
      </c>
      <c r="Q1147" t="n">
        <v>0</v>
      </c>
      <c r="R1147" t="n">
        <v>0</v>
      </c>
      <c r="S1147">
        <f>IFERROR(O1147/N1147,0)</f>
        <v/>
      </c>
      <c r="T1147" t="n">
        <v>0</v>
      </c>
      <c r="V1147" t="n">
        <v>0</v>
      </c>
    </row>
    <row r="1148">
      <c r="A1148">
        <f>Skills!A21</f>
        <v/>
      </c>
      <c r="B1148">
        <f>Skills!B21</f>
        <v/>
      </c>
      <c r="C1148">
        <f>Inputs!$B$3&gt;=33</f>
        <v/>
      </c>
      <c r="D1148">
        <f>IF(Skills!C21=1,60+Inputs!$B$25+Inputs!$B$29,IF(Skills!C21=2,90+Inputs!$B$26+Inputs!$B$29,IF(Skills!C21=3,120+Inputs!$B$27+Inputs!$B$29,MAX(0,(Inputs!$B$3-100)*3)+Inputs!$B$28+Inputs!$B$29)))</f>
        <v/>
      </c>
      <c r="E1148">
        <f>INDEX(FactorTable!$B$2:$Y$301, MATCH(ROUND(MIN(300,MAX(1,D1148)),0), FactorTable!$A$2:$A$301,0), Skills!M21+1)</f>
        <v/>
      </c>
      <c r="F1148">
        <f>IF(Skills!N21=TRUE,(Skills!L21/10)*(E1148/1000),Skills!L21/10)+Skills!O21</f>
        <v/>
      </c>
      <c r="G1148">
        <f>Skills!G21*IF(Skills!H21&gt;0,Skills!I21/Skills!H21,1)</f>
        <v/>
      </c>
      <c r="H1148">
        <f>1-(1-Skills!J21/100)^Skills!K21</f>
        <v/>
      </c>
      <c r="I1148" t="inlineStr">
        <is>
          <t>1</t>
        </is>
      </c>
      <c r="J1148" t="inlineStr"/>
      <c r="K1148" t="inlineStr"/>
      <c r="L1148" t="inlineStr"/>
      <c r="M1148" t="inlineStr"/>
      <c r="N1148" t="inlineStr"/>
      <c r="O1148">
        <f>(1-Summary!$B$11)*T1148+Summary!$B$11*V1148</f>
        <v/>
      </c>
      <c r="P1148">
        <f>IF(B1168=0,0,O1148/B1168)</f>
        <v/>
      </c>
      <c r="Q1148" t="n">
        <v>0</v>
      </c>
      <c r="R1148" t="n">
        <v>0</v>
      </c>
      <c r="S1148">
        <f>IFERROR(O1148/N1148,0)</f>
        <v/>
      </c>
      <c r="T1148" t="n">
        <v>0</v>
      </c>
      <c r="V1148" t="n">
        <v>0</v>
      </c>
    </row>
    <row r="1149">
      <c r="A1149">
        <f>Skills!A22</f>
        <v/>
      </c>
      <c r="B1149">
        <f>Skills!B22</f>
        <v/>
      </c>
      <c r="C1149">
        <f>Inputs!$B$3&gt;=43</f>
        <v/>
      </c>
      <c r="D1149">
        <f>IF(Skills!C22=1,60+Inputs!$B$25+Inputs!$B$29,IF(Skills!C22=2,90+Inputs!$B$26+Inputs!$B$29,IF(Skills!C22=3,120+Inputs!$B$27+Inputs!$B$29,MAX(0,(Inputs!$B$3-100)*3)+Inputs!$B$28+Inputs!$B$29)))</f>
        <v/>
      </c>
      <c r="E1149">
        <f>INDEX(FactorTable!$B$2:$Y$301, MATCH(ROUND(MIN(300,MAX(1,D1149)),0), FactorTable!$A$2:$A$301,0), Skills!M22+1)</f>
        <v/>
      </c>
      <c r="F1149">
        <f>IF(Skills!N22=TRUE,(Skills!L22/10)*(E1149/1000),Skills!L22/10)+Skills!O22</f>
        <v/>
      </c>
      <c r="G1149">
        <f>Skills!G22*IF(Skills!H22&gt;0,Skills!I22/Skills!H22,1)</f>
        <v/>
      </c>
      <c r="H1149">
        <f>1-(1-Skills!J22/100)^Skills!K22</f>
        <v/>
      </c>
      <c r="I1149" t="inlineStr">
        <is>
          <t>1</t>
        </is>
      </c>
      <c r="J1149" t="inlineStr"/>
      <c r="K1149" t="inlineStr"/>
      <c r="L1149" t="inlineStr"/>
      <c r="M1149" t="inlineStr"/>
      <c r="N1149" t="inlineStr"/>
      <c r="O1149">
        <f>(1-Summary!$B$11)*T1149+Summary!$B$11*V1149</f>
        <v/>
      </c>
      <c r="P1149">
        <f>IF(B1168=0,0,O1149/B1168)</f>
        <v/>
      </c>
      <c r="Q1149" t="n">
        <v>0</v>
      </c>
      <c r="R1149" t="n">
        <v>0</v>
      </c>
      <c r="S1149">
        <f>IFERROR(O1149/N1149,0)</f>
        <v/>
      </c>
      <c r="T1149" t="n">
        <v>0</v>
      </c>
      <c r="V1149" t="n">
        <v>0</v>
      </c>
    </row>
    <row r="1150">
      <c r="A1150">
        <f>Skills!A23</f>
        <v/>
      </c>
      <c r="B1150">
        <f>Skills!B23</f>
        <v/>
      </c>
      <c r="C1150">
        <f>Inputs!$B$3&gt;=38</f>
        <v/>
      </c>
      <c r="D1150">
        <f>IF(Skills!C23=1,60+Inputs!$B$25+Inputs!$B$29,IF(Skills!C23=2,90+Inputs!$B$26+Inputs!$B$29,IF(Skills!C23=3,120+Inputs!$B$27+Inputs!$B$29,MAX(0,(Inputs!$B$3-100)*3)+Inputs!$B$28+Inputs!$B$29)))</f>
        <v/>
      </c>
      <c r="E1150">
        <f>INDEX(FactorTable!$B$2:$Y$301, MATCH(ROUND(MIN(300,MAX(1,D1150)),0), FactorTable!$A$2:$A$301,0), Skills!M23+1)</f>
        <v/>
      </c>
      <c r="F1150">
        <f>IF(Skills!N23=TRUE,(Skills!L23/10)*(E1150/1000),Skills!L23/10)+Skills!O23</f>
        <v/>
      </c>
      <c r="G1150">
        <f>Skills!G23*IF(Skills!H23&gt;0,Skills!I23/Skills!H23,1)</f>
        <v/>
      </c>
      <c r="H1150">
        <f>1-(1-Skills!J23/100)^Skills!K23</f>
        <v/>
      </c>
      <c r="I1150" t="inlineStr">
        <is>
          <t>1</t>
        </is>
      </c>
      <c r="J1150" t="inlineStr"/>
      <c r="K1150" t="inlineStr"/>
      <c r="L1150" t="inlineStr"/>
      <c r="M1150" t="inlineStr"/>
      <c r="N1150" t="inlineStr"/>
      <c r="O1150">
        <f>(1-Summary!$B$11)*T1150+Summary!$B$11*V1150</f>
        <v/>
      </c>
      <c r="P1150">
        <f>IF(B1168=0,0,O1150/B1168)</f>
        <v/>
      </c>
      <c r="Q1150" t="n">
        <v>0</v>
      </c>
      <c r="R1150" t="n">
        <v>0</v>
      </c>
      <c r="S1150">
        <f>IFERROR(O1150/N1150,0)</f>
        <v/>
      </c>
      <c r="T1150" t="n">
        <v>0</v>
      </c>
      <c r="V1150" t="n">
        <v>0</v>
      </c>
    </row>
    <row r="1151">
      <c r="A1151">
        <f>Skills!A24</f>
        <v/>
      </c>
      <c r="B1151">
        <f>Skills!B24</f>
        <v/>
      </c>
      <c r="C1151">
        <f>Inputs!$B$3&gt;=40</f>
        <v/>
      </c>
      <c r="D1151">
        <f>IF(Skills!C24=1,60+Inputs!$B$25+Inputs!$B$29,IF(Skills!C24=2,90+Inputs!$B$26+Inputs!$B$29,IF(Skills!C24=3,120+Inputs!$B$27+Inputs!$B$29,MAX(0,(Inputs!$B$3-100)*3)+Inputs!$B$28+Inputs!$B$29)))</f>
        <v/>
      </c>
      <c r="E1151">
        <f>INDEX(FactorTable!$B$2:$Y$301, MATCH(ROUND(MIN(300,MAX(1,D1151)),0), FactorTable!$A$2:$A$301,0), Skills!M24+1)</f>
        <v/>
      </c>
      <c r="F1151">
        <f>IF(Skills!N24=TRUE,(Skills!L24/10)*(E1151/1000),Skills!L24/10)+Skills!O24</f>
        <v/>
      </c>
      <c r="G1151">
        <f>Skills!G24*IF(Skills!H24&gt;0,Skills!I24/Skills!H24,1)</f>
        <v/>
      </c>
      <c r="H1151">
        <f>1-(1-Skills!J24/100)^Skills!K24</f>
        <v/>
      </c>
      <c r="I1151" t="inlineStr">
        <is>
          <t>1</t>
        </is>
      </c>
      <c r="J1151" t="inlineStr"/>
      <c r="K1151" t="inlineStr"/>
      <c r="L1151" t="inlineStr"/>
      <c r="M1151" t="inlineStr"/>
      <c r="N1151" t="inlineStr"/>
      <c r="O1151">
        <f>(1-Summary!$B$11)*T1151+Summary!$B$11*V1151</f>
        <v/>
      </c>
      <c r="P1151">
        <f>IF(B1168=0,0,O1151/B1168)</f>
        <v/>
      </c>
      <c r="Q1151" t="n">
        <v>0</v>
      </c>
      <c r="R1151" t="n">
        <v>0</v>
      </c>
      <c r="S1151">
        <f>IFERROR(O1151/N1151,0)</f>
        <v/>
      </c>
      <c r="T1151" t="n">
        <v>0</v>
      </c>
      <c r="V1151" t="n">
        <v>0</v>
      </c>
    </row>
    <row r="1152">
      <c r="A1152">
        <f>Skills!A25</f>
        <v/>
      </c>
      <c r="B1152">
        <f>Skills!B25</f>
        <v/>
      </c>
      <c r="C1152">
        <f>Inputs!$B$3&gt;=72</f>
        <v/>
      </c>
      <c r="D1152">
        <f>IF(Skills!C25=1,60+Inputs!$B$25+Inputs!$B$29,IF(Skills!C25=2,90+Inputs!$B$26+Inputs!$B$29,IF(Skills!C25=3,120+Inputs!$B$27+Inputs!$B$29,MAX(0,(Inputs!$B$3-100)*3)+Inputs!$B$28+Inputs!$B$29)))</f>
        <v/>
      </c>
      <c r="E1152">
        <f>INDEX(FactorTable!$B$2:$Y$301, MATCH(ROUND(MIN(300,MAX(1,D1152)),0), FactorTable!$A$2:$A$301,0), Skills!M25+1)</f>
        <v/>
      </c>
      <c r="F1152">
        <f>IF(Skills!N25=TRUE,(Skills!L25/10)*(E1152/1000),Skills!L25/10)+Skills!O25</f>
        <v/>
      </c>
      <c r="G1152">
        <f>Skills!G25*IF(Skills!H25&gt;0,Skills!I25/Skills!H25,1)</f>
        <v/>
      </c>
      <c r="H1152">
        <f>1-(1-Skills!J25/100)^Skills!K25</f>
        <v/>
      </c>
      <c r="I1152" t="inlineStr">
        <is>
          <t>1</t>
        </is>
      </c>
      <c r="J1152" t="inlineStr"/>
      <c r="K1152" t="inlineStr"/>
      <c r="L1152" t="inlineStr"/>
      <c r="M1152" t="inlineStr"/>
      <c r="N1152" t="inlineStr"/>
      <c r="O1152">
        <f>(1-Summary!$B$11)*T1152+Summary!$B$11*V1152</f>
        <v/>
      </c>
      <c r="P1152">
        <f>IF(B1168=0,0,O1152/B1168)</f>
        <v/>
      </c>
      <c r="Q1152" t="n">
        <v>0</v>
      </c>
      <c r="R1152" t="n">
        <v>0</v>
      </c>
      <c r="S1152">
        <f>IFERROR(O1152/N1152,0)</f>
        <v/>
      </c>
      <c r="T1152" t="n">
        <v>0</v>
      </c>
      <c r="V1152" t="n">
        <v>0</v>
      </c>
    </row>
    <row r="1153">
      <c r="A1153">
        <f>Skills!A26</f>
        <v/>
      </c>
      <c r="B1153">
        <f>Skills!B26</f>
        <v/>
      </c>
      <c r="C1153">
        <f>Inputs!$B$3&gt;=75</f>
        <v/>
      </c>
      <c r="D1153">
        <f>IF(Skills!C26=1,60+Inputs!$B$25+Inputs!$B$29,IF(Skills!C26=2,90+Inputs!$B$26+Inputs!$B$29,IF(Skills!C26=3,120+Inputs!$B$27+Inputs!$B$29,MAX(0,(Inputs!$B$3-100)*3)+Inputs!$B$28+Inputs!$B$29)))</f>
        <v/>
      </c>
      <c r="E1153">
        <f>INDEX(FactorTable!$B$2:$Y$301, MATCH(ROUND(MIN(300,MAX(1,D1153)),0), FactorTable!$A$2:$A$301,0), Skills!M26+1)</f>
        <v/>
      </c>
      <c r="F1153">
        <f>IF(Skills!N26=TRUE,(Skills!L26/10)*(E1153/1000),Skills!L26/10)+Skills!O26</f>
        <v/>
      </c>
      <c r="G1153">
        <f>Skills!G26*IF(Skills!H26&gt;0,Skills!I26/Skills!H26,1)</f>
        <v/>
      </c>
      <c r="H1153">
        <f>1-(1-Skills!J26/100)^Skills!K26</f>
        <v/>
      </c>
      <c r="I1153" t="inlineStr">
        <is>
          <t>1</t>
        </is>
      </c>
      <c r="J1153" t="inlineStr"/>
      <c r="K1153" t="inlineStr"/>
      <c r="L1153" t="inlineStr"/>
      <c r="M1153" t="inlineStr"/>
      <c r="N1153" t="inlineStr"/>
      <c r="O1153">
        <f>(1-Summary!$B$11)*T1153+Summary!$B$11*V1153</f>
        <v/>
      </c>
      <c r="P1153">
        <f>IF(B1168=0,0,O1153/B1168)</f>
        <v/>
      </c>
      <c r="Q1153" t="n">
        <v>0</v>
      </c>
      <c r="R1153" t="n">
        <v>0</v>
      </c>
      <c r="S1153">
        <f>IFERROR(O1153/N1153,0)</f>
        <v/>
      </c>
      <c r="T1153" t="n">
        <v>0</v>
      </c>
      <c r="V1153" t="n">
        <v>0</v>
      </c>
    </row>
    <row r="1154">
      <c r="A1154">
        <f>Skills!A27</f>
        <v/>
      </c>
      <c r="B1154">
        <f>Skills!B27</f>
        <v/>
      </c>
      <c r="C1154">
        <f>Inputs!$B$3&gt;=117</f>
        <v/>
      </c>
      <c r="D1154">
        <f>IF(Skills!C27=1,60+Inputs!$B$25+Inputs!$B$29,IF(Skills!C27=2,90+Inputs!$B$26+Inputs!$B$29,IF(Skills!C27=3,120+Inputs!$B$27+Inputs!$B$29,MAX(0,(Inputs!$B$3-100)*3)+Inputs!$B$28+Inputs!$B$29)))</f>
        <v/>
      </c>
      <c r="E1154">
        <f>INDEX(FactorTable!$B$2:$Y$301, MATCH(ROUND(MIN(300,MAX(1,D1154)),0), FactorTable!$A$2:$A$301,0), Skills!M27+1)</f>
        <v/>
      </c>
      <c r="F1154">
        <f>IF(Skills!N27=TRUE,(Skills!L27/10)*(E1154/1000),Skills!L27/10)+Skills!O27</f>
        <v/>
      </c>
      <c r="G1154">
        <f>Skills!G27*IF(Skills!H27&gt;0,Skills!I27/Skills!H27,1)</f>
        <v/>
      </c>
      <c r="H1154">
        <f>1-(1-Skills!J27/100)^Skills!K27</f>
        <v/>
      </c>
      <c r="I1154" t="inlineStr">
        <is>
          <t>1</t>
        </is>
      </c>
      <c r="J1154" t="inlineStr"/>
      <c r="K1154" t="inlineStr"/>
      <c r="L1154" t="inlineStr"/>
      <c r="M1154" t="inlineStr"/>
      <c r="N1154" t="inlineStr"/>
      <c r="O1154">
        <f>(1-Summary!$B$11)*T1154+Summary!$B$11*V1154</f>
        <v/>
      </c>
      <c r="P1154">
        <f>IF(B1168=0,0,O1154/B1168)</f>
        <v/>
      </c>
      <c r="Q1154" t="n">
        <v>0</v>
      </c>
      <c r="R1154" t="n">
        <v>0</v>
      </c>
      <c r="S1154">
        <f>IFERROR(O1154/N1154,0)</f>
        <v/>
      </c>
      <c r="T1154" t="n">
        <v>0</v>
      </c>
      <c r="V1154" t="n">
        <v>0</v>
      </c>
    </row>
    <row r="1155">
      <c r="A1155">
        <f>Skills!A28</f>
        <v/>
      </c>
      <c r="B1155">
        <f>Skills!B28</f>
        <v/>
      </c>
      <c r="C1155">
        <f>TRUE</f>
        <v/>
      </c>
      <c r="D1155">
        <f>IF(Skills!C28=1,60+Inputs!$B$25+Inputs!$B$29,IF(Skills!C28=2,90+Inputs!$B$26+Inputs!$B$29,IF(Skills!C28=3,120+Inputs!$B$27+Inputs!$B$29,MAX(0,(Inputs!$B$3-100)*3)+Inputs!$B$28+Inputs!$B$29)))</f>
        <v/>
      </c>
      <c r="E1155">
        <f>INDEX(FactorTable!$B$2:$Y$301, MATCH(ROUND(MIN(300,MAX(1,D1155)),0), FactorTable!$A$2:$A$301,0), Skills!M28+1)</f>
        <v/>
      </c>
      <c r="F1155">
        <f>IF(Skills!N28=TRUE,(Skills!L28/10)*(E1155/1000),Skills!L28/10)+Skills!O28</f>
        <v/>
      </c>
      <c r="G1155">
        <f>Skills!G28*IF(Skills!H28&gt;0,Skills!I28/Skills!H28,1)</f>
        <v/>
      </c>
      <c r="H1155">
        <f>1-(1-Skills!J28/100)^Skills!K28</f>
        <v/>
      </c>
      <c r="I1155" t="inlineStr">
        <is>
          <t>1</t>
        </is>
      </c>
      <c r="J1155" t="inlineStr"/>
      <c r="K1155" t="inlineStr"/>
      <c r="L1155" t="inlineStr"/>
      <c r="M1155" t="inlineStr"/>
      <c r="N1155" t="inlineStr"/>
      <c r="O1155">
        <f>(1-Summary!$B$11)*T1155+Summary!$B$11*V1155</f>
        <v/>
      </c>
      <c r="P1155">
        <f>IF(B1168=0,0,O1155/B1168)</f>
        <v/>
      </c>
      <c r="Q1155">
        <f>IFERROR(1/(IF(Inputs!$B$38="pvp",15,MAX(0.1,Skills!D28-IF(Skills!E28=TRUE,Inputs!$B$32,0)))*(1-IF(AND(ArtifactsInput!$M$27,Inputs!$B$4="Chapter Hunt"),CHOOSE(ArtifactsInput!$N$27+1,20,24,28,32,36,40),0)/100)),0)</f>
        <v/>
      </c>
      <c r="R1155">
        <f>IF(AND(Inputs!$B$38&lt;&gt;"pvp",Inputs!$B$43&gt;0),IF(Inputs!$B$43&lt;=0,0,(INT(Inputs!$B$43/(IF(Inputs!$B$38="pvp",15,MAX(0.1,Skills!D28-IF(Skills!E28=TRUE,Inputs!$B$32,0)))*(1-IF(AND(ArtifactsInput!$M$27,Inputs!$B$4="Chapter Hunt"),CHOOSE(ArtifactsInput!$N$27+1,20,24,28,32,36,40),0)/100)))+1)),0)</f>
        <v/>
      </c>
      <c r="S1155">
        <f>IFERROR(O1155/N1155,0)</f>
        <v/>
      </c>
      <c r="T1155" t="n">
        <v>0</v>
      </c>
      <c r="V1155" t="n">
        <v>0</v>
      </c>
    </row>
    <row r="1157">
      <c r="A1157" t="inlineStr">
        <is>
          <t>Attack% Bucket Multiplier</t>
        </is>
      </c>
      <c r="B1157">
        <f>(1+(((C1144=TRUE)*F1144*5/7)+((C1151=TRUE)*(F1151-Calc!F24))+(IF(ArtifactsInput!$M$21,CHOOSE(ArtifactsInput!$N$21+1,25,30,35,40,45,50)*(IF(OR(Inputs!$B$4="Chapter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58">
      <c r="A1158" t="inlineStr">
        <is>
          <t>Global Crit Rate Bonus %</t>
        </is>
      </c>
      <c r="B1158" t="n">
        <v>0</v>
      </c>
    </row>
    <row r="1159">
      <c r="A1159" t="inlineStr">
        <is>
          <t>Attack Speed Buff Bonus % (Nimble Feet, duty-cycle averaged)</t>
        </is>
      </c>
      <c r="B1159">
        <f>((C1155=TRUE)*F1155*IF(AND(Inputs!$B$38&lt;&gt;"pvp",Inputs!$B$43&gt;0),(((R1155-1)*(Skills!T28*(1+Inputs!$B$34/100))+MIN((Skills!T28*(1+Inputs!$B$34/100)),MAX(0,Inputs!$B$43-((R1155-1)*Skills!D28))))/Inputs!$B$43),IF(Inputs!$B$38="pvp",MIN((Skills!T28*(1+Inputs!$B$34/100)),15)/15,(Skills!T28*(1+Inputs!$B$34/100))/Skills!D28)))</f>
        <v/>
      </c>
    </row>
    <row r="1160">
      <c r="A1160" t="inlineStr">
        <is>
          <t>Actions Per Second</t>
        </is>
      </c>
      <c r="B1160">
        <f>1+MIN(150,150*(1-(1-(Inputs!$B$11+((C1147=TRUE)*(F1147-Calc!F20))+((C1148=TRUE)*(F1148-Calc!F21)))/150)*(1-B1159/150)))/100</f>
        <v/>
      </c>
    </row>
    <row r="1161">
      <c r="A1161" t="inlineStr">
        <is>
          <t>Skill + Buff Cast Rate</t>
        </is>
      </c>
      <c r="B1161">
        <f>IF(AND(Inputs!$B$38&lt;&gt;"pvp",Inputs!$B$43&gt;0),SUMPRODUCT((Skills!E2:E28=TRUE)*(C1129:C1155=TRUE)*R1129:R1155*Skills!F2:F28)/Inputs!$B$43,SUMPRODUCT((Skills!E2:E28=TRUE)*(C1129:C1155=TRUE)*Q1129:Q1155*Skills!F2:F28))</f>
        <v/>
      </c>
    </row>
    <row r="1162">
      <c r="A1162" t="inlineStr">
        <is>
          <t>Eight-Legs Easton Casts Per Second</t>
        </is>
      </c>
      <c r="B1162">
        <f>MAX(0,B1160-B1161)</f>
        <v/>
      </c>
    </row>
    <row r="1163">
      <c r="A1163" t="inlineStr">
        <is>
          <t>Global Critical Damage Bonus % (unused)</t>
        </is>
      </c>
      <c r="B1163" t="n">
        <v>0</v>
      </c>
    </row>
    <row r="1164">
      <c r="A1164" t="inlineStr">
        <is>
          <t>Global Final Damage Bonus % (Jolly Roger + Ahoy Mateys - Final Damage proc)</t>
        </is>
      </c>
      <c r="B1164">
        <f>((C1145=TRUE)*F1145*IF(AND(Inputs!$B$38&lt;&gt;"pvp",Inputs!$B$43&gt;0),(((R1145-1)*(Skills!T18*(1+Inputs!$B$34/100))+MIN((Skills!T18*(1+Inputs!$B$34/100)),MAX(0,Inputs!$B$43-((R1145-1)*Skills!D18))))/Inputs!$B$43),IF(Inputs!$B$38="pvp",MIN((Skills!T18*(1+Inputs!$B$34/100)),15)/15,(Skills!T18*(1+Inputs!$B$34/100))/Skills!D18)))+IF(Inputs!$B$3&gt;=122,20*IF(Inputs!$B$38="pvp",MIN((20*(1+Inputs!$B$34/100)),15)/15,(20*(1+Inputs!$B$34/100))/Skills!D4),0)</f>
        <v/>
      </c>
    </row>
    <row r="1165">
      <c r="A1165" t="inlineStr">
        <is>
          <t>Buff-Casting Startup Delay (s, fixed-duration only)</t>
        </is>
      </c>
      <c r="B1165">
        <f>IF(AND(Inputs!$B$38&lt;&gt;"pvp",Inputs!$B$43&gt;0),SUMPRODUCT((Skills!T2:T28&gt;0)*(Skills!E2:E28=TRUE)*(C1129:C1155=TRUE))/B1160,0)</f>
        <v/>
      </c>
    </row>
    <row r="1166">
      <c r="A1166" t="inlineStr">
        <is>
          <t>Boss-Only Total DPS (this block's swept value)</t>
        </is>
      </c>
      <c r="B1166">
        <f>SUM(T1129:T1155)</f>
        <v/>
      </c>
    </row>
    <row r="1167">
      <c r="A1167" t="inlineStr">
        <is>
          <t>Normal-Only Total DPS (this block's swept value)</t>
        </is>
      </c>
      <c r="B1167">
        <f>SUM(V1129:V1155)</f>
        <v/>
      </c>
    </row>
    <row r="1168">
      <c r="A1168" s="6" t="inlineStr">
        <is>
          <t>TOTAL DPS</t>
        </is>
      </c>
      <c r="B1168" s="6">
        <f>SUM(O1129:O1155)</f>
        <v/>
      </c>
    </row>
    <row r="1171">
      <c r="A1171" s="6" t="inlineStr">
        <is>
          <t>Stat: Buff Duration Increase %</t>
        </is>
      </c>
    </row>
    <row r="1172">
      <c r="A1172" s="5" t="inlineStr">
        <is>
          <t>Key</t>
        </is>
      </c>
      <c r="B1172" s="5" t="inlineStr">
        <is>
          <t>Name</t>
        </is>
      </c>
      <c r="C1172" s="5" t="inlineStr">
        <is>
          <t>Unlocked</t>
        </is>
      </c>
      <c r="D1172" s="5" t="inlineStr">
        <is>
          <t>InputLevel</t>
        </is>
      </c>
      <c r="E1172" s="5" t="inlineStr">
        <is>
          <t>Factor</t>
        </is>
      </c>
      <c r="F1172" s="5" t="inlineStr">
        <is>
          <t>CoefficientPercent</t>
        </is>
      </c>
      <c r="G1172" s="5" t="inlineStr">
        <is>
          <t>EffectiveHits</t>
        </is>
      </c>
      <c r="H1172" s="5" t="inlineStr">
        <is>
          <t>ProcProbability</t>
        </is>
      </c>
      <c r="I1172" s="5" t="inlineStr">
        <is>
          <t>MapleHeroMultiplier</t>
        </is>
      </c>
      <c r="J1172" s="5" t="inlineStr">
        <is>
          <t>BaseDamage</t>
        </is>
      </c>
      <c r="K1172" s="5" t="inlineStr">
        <is>
          <t>BaseHitDamage</t>
        </is>
      </c>
      <c r="L1172" s="5" t="inlineStr">
        <is>
          <t>NonCritAvg</t>
        </is>
      </c>
      <c r="M1172" s="5" t="inlineStr">
        <is>
          <t>CritAvg</t>
        </is>
      </c>
      <c r="N1172" s="5" t="inlineStr">
        <is>
          <t>ExpectedDamage(perHit)</t>
        </is>
      </c>
      <c r="O1172" s="5" t="inlineStr">
        <is>
          <t>DPS</t>
        </is>
      </c>
      <c r="P1172" s="5" t="inlineStr">
        <is>
          <t>% of Total</t>
        </is>
      </c>
      <c r="Q1172" s="5" t="inlineStr">
        <is>
          <t>InvCooldown</t>
        </is>
      </c>
      <c r="R1172" s="5" t="inlineStr">
        <is>
          <t>CastsInFight</t>
        </is>
      </c>
      <c r="S1172" s="5" t="inlineStr">
        <is>
          <t>HitRate(perSec)</t>
        </is>
      </c>
      <c r="U1172" t="inlineStr">
        <is>
          <t>helpers</t>
        </is>
      </c>
    </row>
    <row r="1173">
      <c r="A1173">
        <f>Skills!A2</f>
        <v/>
      </c>
      <c r="B1173">
        <f>Skills!B2</f>
        <v/>
      </c>
      <c r="C1173">
        <f>Inputs!$B$3&gt;=100</f>
        <v/>
      </c>
      <c r="D1173" t="inlineStr"/>
      <c r="E1173" t="inlineStr"/>
      <c r="F1173">
        <f>U1175+Skills!O2</f>
        <v/>
      </c>
      <c r="G1173">
        <f>Skills!G2*IF(Skills!H2&gt;0,Skills!I2/Skills!H2,1)</f>
        <v/>
      </c>
      <c r="H1173">
        <f>1-(1-Skills!J2/100)^Skills!K2</f>
        <v/>
      </c>
      <c r="I1173" t="inlineStr">
        <is>
          <t>1</t>
        </is>
      </c>
      <c r="J1173">
        <f>((Inputs!$B$6*(1+Inputs!$B$7/100))+(((Inputs!$B$12*(1+Inputs!$B$13/100))-(Inputs!$B$12*(1+Inputs!$B$13/100)))+0.25*(Inputs!$B$14-Inputs!$B$14))*(1+Inputs!$B$7/100))*(F1173/100)</f>
        <v/>
      </c>
      <c r="K1173">
        <f>J1173*(1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1173)</f>
        <v/>
      </c>
      <c r="L1173">
        <f>K1173*(MIN(Inputs!$B$22+((C1193=TRUE)*(F1193-Calc!F22)),(Inputs!$B$23+0+(IF(ArtifactsInput!$M$15,CHOOSE(ArtifactsInput!$N$15+1,25,30,35,40,45,50)/100*(Inputs!$B$11-Inputs!$B$11),0))))/100+(Inputs!$B$23+0+(IF(ArtifactsInput!$M$15,CHOOSE(ArtifactsInput!$N$15+1,25,30,35,40,45,50)/100*(Inputs!$B$11-Inputs!$B$11),0)))/100)/2</f>
        <v/>
      </c>
      <c r="M1173">
        <f>L1173*(1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3">
        <f>L1173*(1-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1173*(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3">
        <f>(1-Summary!$B$11)*T1173+Summary!$B$11*V1173</f>
        <v/>
      </c>
      <c r="P1173">
        <f>IF(B1212=0,0,O1173/B1212)</f>
        <v/>
      </c>
      <c r="Q1173" t="n">
        <v>0</v>
      </c>
      <c r="R1173" t="n">
        <v>0</v>
      </c>
      <c r="S1173">
        <f>IFERROR(O1173/N1173,0)</f>
        <v/>
      </c>
      <c r="T1173">
        <f>IF(C1173,(Skills!G2*N1173*B1206)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1173*(1-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1173*(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1173*(1-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1173*(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3">
        <f>MAX(0,(Inputs!$B$3-100)*3)+Inputs!$B$28+Inputs!$B$29</f>
        <v/>
      </c>
      <c r="V1173">
        <f>IF(C1173,(Skills!G2*N1173*B1206)*IF(Inputs!$B$38="pvp",1,(1+(Inputs!$B$21+Skills!Q2+(IF(ArtifactsInput!$M$33,CHOOSE(ArtifactsInput!$N$33+1,30,36,42,48,54,60),0))+(IF(AND(ArtifactsInput!$M$35,Inputs!$B$4&lt;&gt;"Chapter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4">
      <c r="A1174">
        <f>Skills!A3</f>
        <v/>
      </c>
      <c r="B1174">
        <f>Skills!B3</f>
        <v/>
      </c>
      <c r="C1174">
        <f>Inputs!$B$3&gt;=35</f>
        <v/>
      </c>
      <c r="D1174">
        <f>IF(Skills!C3=1,60+Inputs!$B$25+Inputs!$B$29,IF(Skills!C3=2,90+Inputs!$B$26+Inputs!$B$29,IF(Skills!C3=3,120+Inputs!$B$27+Inputs!$B$29,MAX(0,(Inputs!$B$3-100)*3)+Inputs!$B$28+Inputs!$B$29)))</f>
        <v/>
      </c>
      <c r="E1174">
        <f>INDEX(FactorTable!$B$2:$Y$301, MATCH(ROUND(MIN(300,MAX(1,D1174)),0), FactorTable!$A$2:$A$301,0), Skills!M3+1)</f>
        <v/>
      </c>
      <c r="F1174">
        <f>IF(Skills!N3=TRUE,(Skills!L3/10)*(E1174/1000),Skills!L3/10)+Skills!O3</f>
        <v/>
      </c>
      <c r="G1174">
        <f>Skills!G3*IF(Skills!H3&gt;0,Skills!I3/Skills!H3,1)</f>
        <v/>
      </c>
      <c r="H1174">
        <f>1-(1-Skills!J3/100)^Skills!K3</f>
        <v/>
      </c>
      <c r="I1174" t="inlineStr">
        <is>
          <t>1</t>
        </is>
      </c>
      <c r="J1174">
        <f>((Inputs!$B$6*(1+Inputs!$B$7/100))+(((Inputs!$B$12*(1+Inputs!$B$13/100))-(Inputs!$B$12*(1+Inputs!$B$13/100)))+0.25*(Inputs!$B$14-Inputs!$B$14))*(1+Inputs!$B$7/100))*(F1174/100)</f>
        <v/>
      </c>
      <c r="K1174">
        <f>J1174*(1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1186=TRUE,F1186,0)/100)*(1+(IF(Skills!A3="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1174)</f>
        <v/>
      </c>
      <c r="L1174">
        <f>K1174*(MIN(Inputs!$B$22+((C1193=TRUE)*(F1193-Calc!F22)),(Inputs!$B$23+0+(IF(ArtifactsInput!$M$15,CHOOSE(ArtifactsInput!$N$15+1,25,30,35,40,45,50)/100*(Inputs!$B$11-Inputs!$B$11),0))))/100+(Inputs!$B$23+0+(IF(ArtifactsInput!$M$15,CHOOSE(ArtifactsInput!$N$15+1,25,30,35,40,45,50)/100*(Inputs!$B$11-Inputs!$B$11),0)))/100)/2</f>
        <v/>
      </c>
      <c r="M1174">
        <f>L1174*(1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4">
        <f>L1174*(1-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1174*(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4">
        <f>(1-Summary!$B$11)*T1174+Summary!$B$11*V1174</f>
        <v/>
      </c>
      <c r="P1174">
        <f>IF(B1212=0,0,O1174/B1212)</f>
        <v/>
      </c>
      <c r="Q1174">
        <f>IFERROR(1/(IF(Inputs!$B$38="pvp",15,MAX(0.1,Skills!D3-IF(Skills!E3=TRUE,Inputs!$B$32,0)))*(1-IF(AND(ArtifactsInput!$M$27,Inputs!$B$4="Chapter Hunt"),CHOOSE(ArtifactsInput!$N$27+1,20,24,28,32,36,40),0)/100)),0)</f>
        <v/>
      </c>
      <c r="R1174">
        <f>IF(AND(Inputs!$B$38&lt;&gt;"pvp",Inputs!$B$43&gt;0),IF(MAX(0,Inputs!$B$43-B1209)&lt;=0,0,(INT(MAX(0,Inputs!$B$43-B1209)/(IF(Inputs!$B$38="pvp",15,MAX(0.1,Skills!D3-IF(Skills!E3=TRUE,Inputs!$B$32,0)))*(1-IF(AND(ArtifactsInput!$M$27,Inputs!$B$4="Chapter Hunt"),CHOOSE(ArtifactsInput!$N$27+1,20,24,28,32,36,40),0)/100)))+1)),0)</f>
        <v/>
      </c>
      <c r="S1174">
        <f>IFERROR(O1174/N1174,0)</f>
        <v/>
      </c>
      <c r="T1174">
        <f>IF(C1174,(H1174*N1174*IF(AND(Inputs!$B$38&lt;&gt;"pvp",Inputs!$B$43&gt;0),((Skills!G3*((R1174-1)*IF(Skills!H3&gt;0,Skills!I3/Skills!H3,1)+IF(Skills!H3&gt;0,MIN(Skills!I3,MAX(0,MAX(0,Inputs!$B$43-B1209)-((R1174-1)*(IF(Inputs!$B$38="pvp",15,MAX(0.1,Skills!D3-IF(Skills!E3=TRUE,Inputs!$B$32,0)))*(1-IF(AND(ArtifactsInput!$M$27,Inputs!$B$4="Chapter Hunt"),CHOOSE(ArtifactsInput!$N$27+1,20,24,28,32,36,40),0)/100)))))/Skills!H3,1)))/Inputs!$B$43),G1174*Q1174)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1174*(1-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1174*(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1174*(1-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1174*(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4">
        <f>INDEX(FactorTable!$B$2:$Y$301, MATCH(ROUND(MIN(300,MAX(1,U1173)),0), FactorTable!$A$2:$A$301,0), 22)</f>
        <v/>
      </c>
      <c r="V1174">
        <f>IF(C1174,(H1174*N1174*IF(AND(Inputs!$B$38&lt;&gt;"pvp",Inputs!$B$43&gt;0),((Skills!G3*((R1174-1)*IF(Skills!H3&gt;0,Skills!I3/Skills!H3,1)+IF(Skills!H3&gt;0,MIN(Skills!I3,MAX(0,MAX(0,Inputs!$B$43-B1209)-((R1174-1)*(IF(Inputs!$B$38="pvp",15,MAX(0.1,Skills!D3-IF(Skills!E3=TRUE,Inputs!$B$32,0)))*(1-IF(AND(ArtifactsInput!$M$27,Inputs!$B$4="Chapter Hunt"),CHOOSE(ArtifactsInput!$N$27+1,20,24,28,32,36,40),0)/100)))))/Skills!H3,1)))/Inputs!$B$43),G1174*Q1174))*IF(Inputs!$B$38="pvp",1,(1+(Inputs!$B$21+Skills!Q3+(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5">
      <c r="A1175">
        <f>Skills!A4</f>
        <v/>
      </c>
      <c r="B1175">
        <f>Skills!B4</f>
        <v/>
      </c>
      <c r="C1175">
        <f>Inputs!$B$3&gt;=40</f>
        <v/>
      </c>
      <c r="D1175">
        <f>IF(Skills!C4=1,60+Inputs!$B$25+Inputs!$B$29,IF(Skills!C4=2,90+Inputs!$B$26+Inputs!$B$29,IF(Skills!C4=3,120+Inputs!$B$27+Inputs!$B$29,MAX(0,(Inputs!$B$3-100)*3)+Inputs!$B$28+Inputs!$B$29)))</f>
        <v/>
      </c>
      <c r="E1175">
        <f>INDEX(FactorTable!$B$2:$Y$301, MATCH(ROUND(MIN(300,MAX(1,D1175)),0), FactorTable!$A$2:$A$301,0), Skills!M4+1)</f>
        <v/>
      </c>
      <c r="F1175">
        <f>IF(Skills!N4=TRUE,(Skills!L4/10)*(E1175/1000),Skills!L4/10)+Skills!O4</f>
        <v/>
      </c>
      <c r="G1175">
        <f>Skills!G4*IF(Skills!H4&gt;0,Skills!I4/Skills!H4,1)</f>
        <v/>
      </c>
      <c r="H1175">
        <f>1-(1-Skills!J4/100)^Skills!K4</f>
        <v/>
      </c>
      <c r="I1175" t="inlineStr">
        <is>
          <t>1</t>
        </is>
      </c>
      <c r="J1175">
        <f>((Inputs!$B$6*(1+Inputs!$B$7/100))+(((Inputs!$B$12*(1+Inputs!$B$13/100))-(Inputs!$B$12*(1+Inputs!$B$13/100)))+0.25*(Inputs!$B$14-Inputs!$B$14))*(1+Inputs!$B$7/100))*(F1175/100)</f>
        <v/>
      </c>
      <c r="K1175">
        <f>J1175*(1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1187=TRUE,F1187,0)/100)*(1+(IF(Skills!A4="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1175)</f>
        <v/>
      </c>
      <c r="L1175">
        <f>K1175*(MIN(Inputs!$B$22+((C1193=TRUE)*(F1193-Calc!F22)),(Inputs!$B$23+0+(IF(ArtifactsInput!$M$15,CHOOSE(ArtifactsInput!$N$15+1,25,30,35,40,45,50)/100*(Inputs!$B$11-Inputs!$B$11),0))))/100+(Inputs!$B$23+0+(IF(ArtifactsInput!$M$15,CHOOSE(ArtifactsInput!$N$15+1,25,30,35,40,45,50)/100*(Inputs!$B$11-Inputs!$B$11),0)))/100)/2</f>
        <v/>
      </c>
      <c r="M1175">
        <f>L1175*(1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5">
        <f>L1175*(1-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1175*(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5">
        <f>(1-Summary!$B$11)*T1175+Summary!$B$11*V1175</f>
        <v/>
      </c>
      <c r="P1175">
        <f>IF(B1212=0,0,O1175/B1212)</f>
        <v/>
      </c>
      <c r="Q1175">
        <f>IFERROR(1/(IF(Inputs!$B$38="pvp",15,MAX(0.1,Skills!D4-IF(Skills!E4=TRUE,Inputs!$B$32,0)))*(1-IF(AND(ArtifactsInput!$M$27,Inputs!$B$4="Chapter Hunt"),CHOOSE(ArtifactsInput!$N$27+1,20,24,28,32,36,40),0)/100)),0)</f>
        <v/>
      </c>
      <c r="R1175">
        <f>IF(AND(Inputs!$B$38&lt;&gt;"pvp",Inputs!$B$43&gt;0),IF(MAX(0,Inputs!$B$43-B1209)&lt;=0,0,(INT(MAX(0,Inputs!$B$43-B1209)/(IF(Inputs!$B$38="pvp",15,MAX(0.1,Skills!D4-IF(Skills!E4=TRUE,Inputs!$B$32,0)))*(1-IF(AND(ArtifactsInput!$M$27,Inputs!$B$4="Chapter Hunt"),CHOOSE(ArtifactsInput!$N$27+1,20,24,28,32,36,40),0)/100)))+1)),0)</f>
        <v/>
      </c>
      <c r="S1175">
        <f>IFERROR(O1175/N1175,0)</f>
        <v/>
      </c>
      <c r="T1175">
        <f>IF(C1175,(H1175*N1175*IF(AND(Inputs!$B$38&lt;&gt;"pvp",Inputs!$B$43&gt;0),((Skills!G4*((R1175-1)*IF(Skills!H4&gt;0,Skills!I4/Skills!H4,1)+IF(Skills!H4&gt;0,MIN(Skills!I4,MAX(0,MAX(0,Inputs!$B$43-B1209)-((R1175-1)*(IF(Inputs!$B$38="pvp",15,MAX(0.1,Skills!D4-IF(Skills!E4=TRUE,Inputs!$B$32,0)))*(1-IF(AND(ArtifactsInput!$M$27,Inputs!$B$4="Chapter Hunt"),CHOOSE(ArtifactsInput!$N$27+1,20,24,28,32,36,40),0)/100)))))/Skills!H4,1)))/Inputs!$B$43),G1175*Q1175)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1175*(1-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1175*(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1175*(1-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1175*(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5">
        <f>290*U1174/1000</f>
        <v/>
      </c>
      <c r="V1175">
        <f>IF(C1175,(H1175*N1175*IF(AND(Inputs!$B$38&lt;&gt;"pvp",Inputs!$B$43&gt;0),((Skills!G4*((R1175-1)*IF(Skills!H4&gt;0,Skills!I4/Skills!H4,1)+IF(Skills!H4&gt;0,MIN(Skills!I4,MAX(0,MAX(0,Inputs!$B$43-B1209)-((R1175-1)*(IF(Inputs!$B$38="pvp",15,MAX(0.1,Skills!D4-IF(Skills!E4=TRUE,Inputs!$B$32,0)))*(1-IF(AND(ArtifactsInput!$M$27,Inputs!$B$4="Chapter Hunt"),CHOOSE(ArtifactsInput!$N$27+1,20,24,28,32,36,40),0)/100)))))/Skills!H4,1)))/Inputs!$B$43),G1175*Q1175))*IF(Inputs!$B$38="pvp",1,(1+(Inputs!$B$21+Skills!Q4+(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6">
      <c r="A1176">
        <f>Skills!A5</f>
        <v/>
      </c>
      <c r="B1176">
        <f>Skills!B5</f>
        <v/>
      </c>
      <c r="C1176">
        <f>Inputs!$B$3&gt;=45</f>
        <v/>
      </c>
      <c r="D1176">
        <f>IF(Skills!C5=1,60+Inputs!$B$25+Inputs!$B$29,IF(Skills!C5=2,90+Inputs!$B$26+Inputs!$B$29,IF(Skills!C5=3,120+Inputs!$B$27+Inputs!$B$29,MAX(0,(Inputs!$B$3-100)*3)+Inputs!$B$28+Inputs!$B$29)))</f>
        <v/>
      </c>
      <c r="E1176">
        <f>INDEX(FactorTable!$B$2:$Y$301, MATCH(ROUND(MIN(300,MAX(1,D1176)),0), FactorTable!$A$2:$A$301,0), Skills!M5+1)</f>
        <v/>
      </c>
      <c r="F1176">
        <f>IF(Skills!N5=TRUE,(Skills!L5/10)*(E1176/1000),Skills!L5/10)+Skills!O5</f>
        <v/>
      </c>
      <c r="G1176">
        <f>Skills!G5*IF(Skills!H5&gt;0,Skills!I5/Skills!H5,1)</f>
        <v/>
      </c>
      <c r="H1176">
        <f>1-(1-Skills!J5/100)^Skills!K5</f>
        <v/>
      </c>
      <c r="I1176" t="inlineStr">
        <is>
          <t>1</t>
        </is>
      </c>
      <c r="J1176">
        <f>((Inputs!$B$6*(1+Inputs!$B$7/100))+(((Inputs!$B$12*(1+Inputs!$B$13/100))-(Inputs!$B$12*(1+Inputs!$B$13/100)))+0.25*(Inputs!$B$14-Inputs!$B$14))*(1+Inputs!$B$7/100))*(F1176/100)</f>
        <v/>
      </c>
      <c r="K1176">
        <f>J1176*(1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1187=TRUE,F1187,0)/100)*(1+(IF(Skills!A5="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1176)</f>
        <v/>
      </c>
      <c r="L1176">
        <f>K1176*(MIN(Inputs!$B$22+((C1193=TRUE)*(F1193-Calc!F22)),(Inputs!$B$23+0+(IF(ArtifactsInput!$M$15,CHOOSE(ArtifactsInput!$N$15+1,25,30,35,40,45,50)/100*(Inputs!$B$11-Inputs!$B$11),0))))/100+(Inputs!$B$23+0+(IF(ArtifactsInput!$M$15,CHOOSE(ArtifactsInput!$N$15+1,25,30,35,40,45,50)/100*(Inputs!$B$11-Inputs!$B$11),0)))/100)/2</f>
        <v/>
      </c>
      <c r="M1176">
        <f>L1176*(1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6">
        <f>L1176*(1-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1176*(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6">
        <f>(1-Summary!$B$11)*T1176+Summary!$B$11*V1176</f>
        <v/>
      </c>
      <c r="P1176">
        <f>IF(B1212=0,0,O1176/B1212)</f>
        <v/>
      </c>
      <c r="Q1176">
        <f>IFERROR(1/(IF(Inputs!$B$38="pvp",15,MAX(0.1,Skills!D5-IF(Skills!E5=TRUE,Inputs!$B$32,0)))*(1-IF(AND(ArtifactsInput!$M$27,Inputs!$B$4="Chapter Hunt"),CHOOSE(ArtifactsInput!$N$27+1,20,24,28,32,36,40),0)/100)),0)</f>
        <v/>
      </c>
      <c r="R1176">
        <f>IF(AND(Inputs!$B$38&lt;&gt;"pvp",Inputs!$B$43&gt;0),IF(MAX(0,Inputs!$B$43-B1209)&lt;=0,0,(INT(MAX(0,Inputs!$B$43-B1209)/(IF(Inputs!$B$38="pvp",15,MAX(0.1,Skills!D5-IF(Skills!E5=TRUE,Inputs!$B$32,0)))*(1-IF(AND(ArtifactsInput!$M$27,Inputs!$B$4="Chapter Hunt"),CHOOSE(ArtifactsInput!$N$27+1,20,24,28,32,36,40),0)/100)))+1)),0)</f>
        <v/>
      </c>
      <c r="S1176">
        <f>IFERROR(O1176/N1176,0)</f>
        <v/>
      </c>
      <c r="T1176">
        <f>IF(C1176,(H1176*N1176*IF(AND(Inputs!$B$38&lt;&gt;"pvp",Inputs!$B$43&gt;0),((Skills!G5*((R1176-1)*IF(Skills!H5&gt;0,Skills!I5/Skills!H5,1)+IF(Skills!H5&gt;0,MIN(Skills!I5,MAX(0,MAX(0,Inputs!$B$43-B1209)-((R1176-1)*(IF(Inputs!$B$38="pvp",15,MAX(0.1,Skills!D5-IF(Skills!E5=TRUE,Inputs!$B$32,0)))*(1-IF(AND(ArtifactsInput!$M$27,Inputs!$B$4="Chapter Hunt"),CHOOSE(ArtifactsInput!$N$27+1,20,24,28,32,36,40),0)/100)))))/Skills!H5,1)))/Inputs!$B$43),G1176*Q1176)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1176*(1-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1176*(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1176*(1-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1176*(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6">
        <f>IF(C1176,(H1176*N1176*IF(AND(Inputs!$B$38&lt;&gt;"pvp",Inputs!$B$43&gt;0),((Skills!G5*((R1176-1)*IF(Skills!H5&gt;0,Skills!I5/Skills!H5,1)+IF(Skills!H5&gt;0,MIN(Skills!I5,MAX(0,MAX(0,Inputs!$B$43-B1209)-((R1176-1)*(IF(Inputs!$B$38="pvp",15,MAX(0.1,Skills!D5-IF(Skills!E5=TRUE,Inputs!$B$32,0)))*(1-IF(AND(ArtifactsInput!$M$27,Inputs!$B$4="Chapter Hunt"),CHOOSE(ArtifactsInput!$N$27+1,20,24,28,32,36,40),0)/100)))))/Skills!H5,1)))/Inputs!$B$43),G1176*Q1176))*IF(Inputs!$B$38="pvp",1,(1+(Inputs!$B$21+Skills!Q5+(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7">
      <c r="A1177">
        <f>Skills!A6</f>
        <v/>
      </c>
      <c r="B1177">
        <f>Skills!B6</f>
        <v/>
      </c>
      <c r="C1177">
        <f>Inputs!$B$3&gt;=63</f>
        <v/>
      </c>
      <c r="D1177">
        <f>IF(Skills!C6=1,60+Inputs!$B$25+Inputs!$B$29,IF(Skills!C6=2,90+Inputs!$B$26+Inputs!$B$29,IF(Skills!C6=3,120+Inputs!$B$27+Inputs!$B$29,MAX(0,(Inputs!$B$3-100)*3)+Inputs!$B$28+Inputs!$B$29)))</f>
        <v/>
      </c>
      <c r="E1177">
        <f>INDEX(FactorTable!$B$2:$Y$301, MATCH(ROUND(MIN(300,MAX(1,D1177)),0), FactorTable!$A$2:$A$301,0), Skills!M6+1)</f>
        <v/>
      </c>
      <c r="F1177">
        <f>IF(Skills!N6=TRUE,(Skills!L6/10)*(E1177/1000),Skills!L6/10)+Skills!O6</f>
        <v/>
      </c>
      <c r="G1177">
        <f>Skills!G6*IF(Skills!H6&gt;0,Skills!I6/Skills!H6,1)</f>
        <v/>
      </c>
      <c r="H1177">
        <f>1-(1-Skills!J6/100)^Skills!K6</f>
        <v/>
      </c>
      <c r="I1177" t="inlineStr">
        <is>
          <t>1</t>
        </is>
      </c>
      <c r="J1177">
        <f>((Inputs!$B$6*(1+Inputs!$B$7/100))+(((Inputs!$B$12*(1+Inputs!$B$13/100))-(Inputs!$B$12*(1+Inputs!$B$13/100)))+0.25*(Inputs!$B$14-Inputs!$B$14))*(1+Inputs!$B$7/100))*(F1177/100)</f>
        <v/>
      </c>
      <c r="K1177">
        <f>J1177*(1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1186=TRUE,F1186,0)/100)*(1+(IF(Skills!A6="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1177)</f>
        <v/>
      </c>
      <c r="L1177">
        <f>K1177*(MIN(Inputs!$B$22+((C1193=TRUE)*(F1193-Calc!F22)),(Inputs!$B$23+0+(IF(ArtifactsInput!$M$15,CHOOSE(ArtifactsInput!$N$15+1,25,30,35,40,45,50)/100*(Inputs!$B$11-Inputs!$B$11),0))))/100+(Inputs!$B$23+0+(IF(ArtifactsInput!$M$15,CHOOSE(ArtifactsInput!$N$15+1,25,30,35,40,45,50)/100*(Inputs!$B$11-Inputs!$B$11),0)))/100)/2</f>
        <v/>
      </c>
      <c r="M1177">
        <f>L1177*(1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7">
        <f>L1177*(1-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1177*(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7">
        <f>(1-Summary!$B$11)*T1177+Summary!$B$11*V1177</f>
        <v/>
      </c>
      <c r="P1177">
        <f>IF(B1212=0,0,O1177/B1212)</f>
        <v/>
      </c>
      <c r="Q1177">
        <f>IFERROR(1/(IF(Inputs!$B$38="pvp",15,MAX(0.1,Skills!D6-IF(Skills!E6=TRUE,Inputs!$B$32,0)))*(1-IF(AND(ArtifactsInput!$M$27,Inputs!$B$4="Chapter Hunt"),CHOOSE(ArtifactsInput!$N$27+1,20,24,28,32,36,40),0)/100)),0)</f>
        <v/>
      </c>
      <c r="R1177">
        <f>IF(AND(Inputs!$B$38&lt;&gt;"pvp",Inputs!$B$43&gt;0),IF(MAX(0,Inputs!$B$43-B1209)&lt;=0,0,(INT(MAX(0,Inputs!$B$43-B1209)/(IF(Inputs!$B$38="pvp",15,MAX(0.1,Skills!D6-IF(Skills!E6=TRUE,Inputs!$B$32,0)))*(1-IF(AND(ArtifactsInput!$M$27,Inputs!$B$4="Chapter Hunt"),CHOOSE(ArtifactsInput!$N$27+1,20,24,28,32,36,40),0)/100)))+1)),0)</f>
        <v/>
      </c>
      <c r="S1177">
        <f>IFERROR(O1177/N1177,0)</f>
        <v/>
      </c>
      <c r="T1177">
        <f>IF(C1177,(H1177*N1177*IF(AND(Inputs!$B$38&lt;&gt;"pvp",Inputs!$B$43&gt;0),((Skills!G6*((R1177-1)*IF(Skills!H6&gt;0,Skills!I6/Skills!H6,1)+IF(Skills!H6&gt;0,MIN(Skills!I6,MAX(0,MAX(0,Inputs!$B$43-B1209)-((R1177-1)*(IF(Inputs!$B$38="pvp",15,MAX(0.1,Skills!D6-IF(Skills!E6=TRUE,Inputs!$B$32,0)))*(1-IF(AND(ArtifactsInput!$M$27,Inputs!$B$4="Chapter Hunt"),CHOOSE(ArtifactsInput!$N$27+1,20,24,28,32,36,40),0)/100)))))/Skills!H6,1)))/Inputs!$B$43),G1177*Q1177)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1177*(1-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1177*(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1177*(1-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1177*(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7">
        <f>IF(C1177,(H1177*N1177*IF(AND(Inputs!$B$38&lt;&gt;"pvp",Inputs!$B$43&gt;0),((Skills!G6*((R1177-1)*IF(Skills!H6&gt;0,Skills!I6/Skills!H6,1)+IF(Skills!H6&gt;0,MIN(Skills!I6,MAX(0,MAX(0,Inputs!$B$43-B1209)-((R1177-1)*(IF(Inputs!$B$38="pvp",15,MAX(0.1,Skills!D6-IF(Skills!E6=TRUE,Inputs!$B$32,0)))*(1-IF(AND(ArtifactsInput!$M$27,Inputs!$B$4="Chapter Hunt"),CHOOSE(ArtifactsInput!$N$27+1,20,24,28,32,36,40),0)/100)))))/Skills!H6,1)))/Inputs!$B$43),G1177*Q1177))*IF(Inputs!$B$38="pvp",1,(1+(Inputs!$B$21+Skills!Q6+(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8">
      <c r="A1178">
        <f>Skills!A7</f>
        <v/>
      </c>
      <c r="B1178">
        <f>Skills!B7</f>
        <v/>
      </c>
      <c r="C1178">
        <f>Inputs!$B$3&gt;=66</f>
        <v/>
      </c>
      <c r="D1178">
        <f>IF(Skills!C7=1,60+Inputs!$B$25+Inputs!$B$29,IF(Skills!C7=2,90+Inputs!$B$26+Inputs!$B$29,IF(Skills!C7=3,120+Inputs!$B$27+Inputs!$B$29,MAX(0,(Inputs!$B$3-100)*3)+Inputs!$B$28+Inputs!$B$29)))</f>
        <v/>
      </c>
      <c r="E1178">
        <f>INDEX(FactorTable!$B$2:$Y$301, MATCH(ROUND(MIN(300,MAX(1,D1178)),0), FactorTable!$A$2:$A$301,0), Skills!M7+1)</f>
        <v/>
      </c>
      <c r="F1178">
        <f>IF(Skills!N7=TRUE,(Skills!L7/10)*(E1178/1000),Skills!L7/10)+Skills!O7</f>
        <v/>
      </c>
      <c r="G1178">
        <f>Skills!G7*IF(Skills!H7&gt;0,Skills!I7/Skills!H7,1)</f>
        <v/>
      </c>
      <c r="H1178">
        <f>1-(1-Skills!J7/100)^Skills!K7</f>
        <v/>
      </c>
      <c r="I1178" t="inlineStr">
        <is>
          <t>1</t>
        </is>
      </c>
      <c r="J1178">
        <f>((Inputs!$B$6*(1+Inputs!$B$7/100))+(((Inputs!$B$12*(1+Inputs!$B$13/100))-(Inputs!$B$12*(1+Inputs!$B$13/100)))+0.25*(Inputs!$B$14-Inputs!$B$14))*(1+Inputs!$B$7/100))*(F1178/100)</f>
        <v/>
      </c>
      <c r="K1178">
        <f>J1178*(1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1186=TRUE,F1186,0)/100)*(1+(IF(Skills!A7="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1178)</f>
        <v/>
      </c>
      <c r="L1178">
        <f>K1178*(MIN(Inputs!$B$22+((C1193=TRUE)*(F1193-Calc!F22)),(Inputs!$B$23+0+(IF(ArtifactsInput!$M$15,CHOOSE(ArtifactsInput!$N$15+1,25,30,35,40,45,50)/100*(Inputs!$B$11-Inputs!$B$11),0))))/100+(Inputs!$B$23+0+(IF(ArtifactsInput!$M$15,CHOOSE(ArtifactsInput!$N$15+1,25,30,35,40,45,50)/100*(Inputs!$B$11-Inputs!$B$11),0)))/100)/2</f>
        <v/>
      </c>
      <c r="M1178">
        <f>L1178*(1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8">
        <f>L1178*(1-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1178*(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8">
        <f>(1-Summary!$B$11)*T1178+Summary!$B$11*V1178</f>
        <v/>
      </c>
      <c r="P1178">
        <f>IF(B1212=0,0,O1178/B1212)</f>
        <v/>
      </c>
      <c r="Q1178">
        <f>IFERROR(1/(IF(Inputs!$B$38="pvp",15,MAX(0.1,Skills!D7-IF(Skills!E7=TRUE,Inputs!$B$32,0)))*(1-IF(AND(ArtifactsInput!$M$27,Inputs!$B$4="Chapter Hunt"),CHOOSE(ArtifactsInput!$N$27+1,20,24,28,32,36,40),0)/100)),0)</f>
        <v/>
      </c>
      <c r="R1178">
        <f>IF(AND(Inputs!$B$38&lt;&gt;"pvp",Inputs!$B$43&gt;0),IF(MAX(0,Inputs!$B$43-B1209)&lt;=0,0,(INT(MAX(0,Inputs!$B$43-B1209)/(IF(Inputs!$B$38="pvp",15,MAX(0.1,Skills!D7-IF(Skills!E7=TRUE,Inputs!$B$32,0)))*(1-IF(AND(ArtifactsInput!$M$27,Inputs!$B$4="Chapter Hunt"),CHOOSE(ArtifactsInput!$N$27+1,20,24,28,32,36,40),0)/100)))+1)),0)</f>
        <v/>
      </c>
      <c r="S1178">
        <f>IFERROR(O1178/N1178,0)</f>
        <v/>
      </c>
      <c r="T1178">
        <f>IF(C1178,(H1178*N1178*IF(AND(Inputs!$B$38&lt;&gt;"pvp",Inputs!$B$43&gt;0),((Skills!G7*((R1178-1)*IF(Skills!H7&gt;0,Skills!I7/Skills!H7,1)+IF(Skills!H7&gt;0,MIN(Skills!I7,MAX(0,MAX(0,Inputs!$B$43-B1209)-((R1178-1)*(IF(Inputs!$B$38="pvp",15,MAX(0.1,Skills!D7-IF(Skills!E7=TRUE,Inputs!$B$32,0)))*(1-IF(AND(ArtifactsInput!$M$27,Inputs!$B$4="Chapter Hunt"),CHOOSE(ArtifactsInput!$N$27+1,20,24,28,32,36,40),0)/100)))))/Skills!H7,1)))/Inputs!$B$43),G1178*Q1178)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1178*(1-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1178*(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1178*(1-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1178*(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8">
        <f>IF(C1178,(H1178*N1178*IF(AND(Inputs!$B$38&lt;&gt;"pvp",Inputs!$B$43&gt;0),((Skills!G7*((R1178-1)*IF(Skills!H7&gt;0,Skills!I7/Skills!H7,1)+IF(Skills!H7&gt;0,MIN(Skills!I7,MAX(0,MAX(0,Inputs!$B$43-B1209)-((R1178-1)*(IF(Inputs!$B$38="pvp",15,MAX(0.1,Skills!D7-IF(Skills!E7=TRUE,Inputs!$B$32,0)))*(1-IF(AND(ArtifactsInput!$M$27,Inputs!$B$4="Chapter Hunt"),CHOOSE(ArtifactsInput!$N$27+1,20,24,28,32,36,40),0)/100)))))/Skills!H7,1)))/Inputs!$B$43),G1178*Q1178))*IF(Inputs!$B$38="pvp",1,(1+(Inputs!$B$21+Skills!Q7+(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9">
      <c r="A1179">
        <f>Skills!A8</f>
        <v/>
      </c>
      <c r="B1179">
        <f>Skills!B8</f>
        <v/>
      </c>
      <c r="C1179">
        <f>Inputs!$B$3&gt;=100</f>
        <v/>
      </c>
      <c r="D1179">
        <f>IF(Skills!C8=1,60+Inputs!$B$25+Inputs!$B$29,IF(Skills!C8=2,90+Inputs!$B$26+Inputs!$B$29,IF(Skills!C8=3,120+Inputs!$B$27+Inputs!$B$29,MAX(0,(Inputs!$B$3-100)*3)+Inputs!$B$28+Inputs!$B$29)))</f>
        <v/>
      </c>
      <c r="E1179">
        <f>INDEX(FactorTable!$B$2:$Y$301, MATCH(ROUND(MIN(300,MAX(1,D1179)),0), FactorTable!$A$2:$A$301,0), Skills!M8+1)</f>
        <v/>
      </c>
      <c r="F1179">
        <f>IF(Skills!N8=TRUE,(Skills!L8/10)*(E1179/1000),Skills!L8/10)+Skills!O8</f>
        <v/>
      </c>
      <c r="G1179">
        <f>Skills!G8*IF(Skills!H8&gt;0,Skills!I8/Skills!H8,1)</f>
        <v/>
      </c>
      <c r="H1179">
        <f>1-(1-Skills!J8/100)^Skills!K8</f>
        <v/>
      </c>
      <c r="I1179" t="inlineStr">
        <is>
          <t>1</t>
        </is>
      </c>
      <c r="J1179">
        <f>((Inputs!$B$6*(1+Inputs!$B$7/100))+(((Inputs!$B$12*(1+Inputs!$B$13/100))-(Inputs!$B$12*(1+Inputs!$B$13/100)))+0.25*(Inputs!$B$14-Inputs!$B$14))*(1+Inputs!$B$7/100))*(F1179/100)</f>
        <v/>
      </c>
      <c r="K1179">
        <f>J1179*(1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1179)</f>
        <v/>
      </c>
      <c r="L1179">
        <f>K1179*(MIN(Inputs!$B$22+((C1193=TRUE)*(F1193-Calc!F22)),(Inputs!$B$23+0+(IF(ArtifactsInput!$M$15,CHOOSE(ArtifactsInput!$N$15+1,25,30,35,40,45,50)/100*(Inputs!$B$11-Inputs!$B$11),0))))/100+(Inputs!$B$23+0+(IF(ArtifactsInput!$M$15,CHOOSE(ArtifactsInput!$N$15+1,25,30,35,40,45,50)/100*(Inputs!$B$11-Inputs!$B$11),0)))/100)/2</f>
        <v/>
      </c>
      <c r="M1179">
        <f>L1179*(1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9">
        <f>L1179*(1-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1179*(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9">
        <f>(1-Summary!$B$11)*T1179+Summary!$B$11*V1179</f>
        <v/>
      </c>
      <c r="P1179">
        <f>IF(B1212=0,0,O1179/B1212)</f>
        <v/>
      </c>
      <c r="Q1179">
        <f>IFERROR(1/(IF(Inputs!$B$38="pvp",15,MAX(0.1,Skills!D8-IF(Skills!E8=TRUE,Inputs!$B$32,0)))*(1-IF(AND(ArtifactsInput!$M$27,Inputs!$B$4="Chapter Hunt"),CHOOSE(ArtifactsInput!$N$27+1,20,24,28,32,36,40),0)/100)),0)</f>
        <v/>
      </c>
      <c r="R1179">
        <f>IF(AND(Inputs!$B$38&lt;&gt;"pvp",Inputs!$B$43&gt;0),IF(MAX(0,Inputs!$B$43-B1209)&lt;=0,0,(INT(MAX(0,Inputs!$B$43-B1209)/(IF(Inputs!$B$38="pvp",15,MAX(0.1,Skills!D8-IF(Skills!E8=TRUE,Inputs!$B$32,0)))*(1-IF(AND(ArtifactsInput!$M$27,Inputs!$B$4="Chapter Hunt"),CHOOSE(ArtifactsInput!$N$27+1,20,24,28,32,36,40),0)/100)))+1)),0)</f>
        <v/>
      </c>
      <c r="S1179">
        <f>IFERROR(O1179/N1179,0)</f>
        <v/>
      </c>
      <c r="T1179">
        <f>IF(C1179,(H1179*N1179*IF(AND(Inputs!$B$38&lt;&gt;"pvp",Inputs!$B$43&gt;0),((Skills!G8*((R1179-1)*IF(Skills!H8&gt;0,Skills!I8/Skills!H8,1)+IF(Skills!H8&gt;0,MIN(Skills!I8,MAX(0,MAX(0,Inputs!$B$43-B1209)-((R1179-1)*(IF(Inputs!$B$38="pvp",15,MAX(0.1,Skills!D8-IF(Skills!E8=TRUE,Inputs!$B$32,0)))*(1-IF(AND(ArtifactsInput!$M$27,Inputs!$B$4="Chapter Hunt"),CHOOSE(ArtifactsInput!$N$27+1,20,24,28,32,36,40),0)/100)))))/Skills!H8,1)))/Inputs!$B$43),G1179*Q1179)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1179*(1-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1179*(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1179*(1-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1179*(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9">
        <f>IF(C1179,(H1179*N1179*IF(AND(Inputs!$B$38&lt;&gt;"pvp",Inputs!$B$43&gt;0),((Skills!G8*((R1179-1)*IF(Skills!H8&gt;0,Skills!I8/Skills!H8,1)+IF(Skills!H8&gt;0,MIN(Skills!I8,MAX(0,MAX(0,Inputs!$B$43-B1209)-((R1179-1)*(IF(Inputs!$B$38="pvp",15,MAX(0.1,Skills!D8-IF(Skills!E8=TRUE,Inputs!$B$32,0)))*(1-IF(AND(ArtifactsInput!$M$27,Inputs!$B$4="Chapter Hunt"),CHOOSE(ArtifactsInput!$N$27+1,20,24,28,32,36,40),0)/100)))))/Skills!H8,1)))/Inputs!$B$43),G1179*Q1179))*IF(Inputs!$B$38="pvp",1,(1+(Inputs!$B$21+Skills!Q8+(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0">
      <c r="A1180">
        <f>Skills!A9</f>
        <v/>
      </c>
      <c r="B1180">
        <f>Skills!B9</f>
        <v/>
      </c>
      <c r="C1180">
        <f>Inputs!$B$3&gt;=103</f>
        <v/>
      </c>
      <c r="D1180">
        <f>IF(Skills!C9=1,60+Inputs!$B$25+Inputs!$B$29,IF(Skills!C9=2,90+Inputs!$B$26+Inputs!$B$29,IF(Skills!C9=3,120+Inputs!$B$27+Inputs!$B$29,MAX(0,(Inputs!$B$3-100)*3)+Inputs!$B$28+Inputs!$B$29)))</f>
        <v/>
      </c>
      <c r="E1180">
        <f>INDEX(FactorTable!$B$2:$Y$301, MATCH(ROUND(MIN(300,MAX(1,D1180)),0), FactorTable!$A$2:$A$301,0), Skills!M9+1)</f>
        <v/>
      </c>
      <c r="F1180">
        <f>IF(Skills!N9=TRUE,(Skills!L9/10)*(E1180/1000),Skills!L9/10)+Skills!O9</f>
        <v/>
      </c>
      <c r="G1180">
        <f>Skills!G9*IF(Skills!H9&gt;0,Skills!I9/Skills!H9,1)</f>
        <v/>
      </c>
      <c r="H1180">
        <f>1-(1-Skills!J9/100)^Skills!K9</f>
        <v/>
      </c>
      <c r="I1180" t="inlineStr">
        <is>
          <t>1</t>
        </is>
      </c>
      <c r="J1180">
        <f>((Inputs!$B$6*(1+Inputs!$B$7/100))+(((Inputs!$B$12*(1+Inputs!$B$13/100))-(Inputs!$B$12*(1+Inputs!$B$13/100)))+0.25*(Inputs!$B$14-Inputs!$B$14))*(1+Inputs!$B$7/100))*(F1180/100)</f>
        <v/>
      </c>
      <c r="K1180">
        <f>J1180*(1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1180)</f>
        <v/>
      </c>
      <c r="L1180">
        <f>K1180*(MIN(Inputs!$B$22+((C1193=TRUE)*(F1193-Calc!F22)),(Inputs!$B$23+0+(IF(ArtifactsInput!$M$15,CHOOSE(ArtifactsInput!$N$15+1,25,30,35,40,45,50)/100*(Inputs!$B$11-Inputs!$B$11),0))))/100+(Inputs!$B$23+0+(IF(ArtifactsInput!$M$15,CHOOSE(ArtifactsInput!$N$15+1,25,30,35,40,45,50)/100*(Inputs!$B$11-Inputs!$B$11),0)))/100)/2</f>
        <v/>
      </c>
      <c r="M1180">
        <f>L1180*(1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0">
        <f>L1180*(1-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1180*(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0">
        <f>(1-Summary!$B$11)*T1180+Summary!$B$11*V1180</f>
        <v/>
      </c>
      <c r="P1180">
        <f>IF(B1212=0,0,O1180/B1212)</f>
        <v/>
      </c>
      <c r="Q1180">
        <f>IFERROR(1/(IF(Inputs!$B$38="pvp",15,MAX(0.1,Skills!D9-IF(Skills!E9=TRUE,Inputs!$B$32,0)))*(1-IF(AND(ArtifactsInput!$M$27,Inputs!$B$4="Chapter Hunt"),CHOOSE(ArtifactsInput!$N$27+1,20,24,28,32,36,40),0)/100)),0)</f>
        <v/>
      </c>
      <c r="R1180">
        <f>IF(AND(Inputs!$B$38&lt;&gt;"pvp",Inputs!$B$43&gt;0),IF(MAX(0,Inputs!$B$43-B1209)&lt;=0,0,(INT(MAX(0,Inputs!$B$43-B1209)/(IF(Inputs!$B$38="pvp",15,MAX(0.1,Skills!D9-IF(Skills!E9=TRUE,Inputs!$B$32,0)))*(1-IF(AND(ArtifactsInput!$M$27,Inputs!$B$4="Chapter Hunt"),CHOOSE(ArtifactsInput!$N$27+1,20,24,28,32,36,40),0)/100)))+1)),0)</f>
        <v/>
      </c>
      <c r="S1180">
        <f>IFERROR(O1180/N1180,0)</f>
        <v/>
      </c>
      <c r="T1180">
        <f>IF(C1180,(H1180*N1180*IF(AND(Inputs!$B$38&lt;&gt;"pvp",Inputs!$B$43&gt;0),((Skills!G9*((R1180-1)*IF(Skills!H9&gt;0,Skills!I9/Skills!H9,1)+IF(Skills!H9&gt;0,MIN(Skills!I9,MAX(0,MAX(0,Inputs!$B$43-B1209)-((R1180-1)*(IF(Inputs!$B$38="pvp",15,MAX(0.1,Skills!D9-IF(Skills!E9=TRUE,Inputs!$B$32,0)))*(1-IF(AND(ArtifactsInput!$M$27,Inputs!$B$4="Chapter Hunt"),CHOOSE(ArtifactsInput!$N$27+1,20,24,28,32,36,40),0)/100)))))/Skills!H9,1)))/Inputs!$B$43),G1180*Q1180)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1180*(1-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1180*(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1180*(1-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1180*(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0">
        <f>IF(C1180,(H1180*N1180*IF(AND(Inputs!$B$38&lt;&gt;"pvp",Inputs!$B$43&gt;0),((Skills!G9*((R1180-1)*IF(Skills!H9&gt;0,Skills!I9/Skills!H9,1)+IF(Skills!H9&gt;0,MIN(Skills!I9,MAX(0,MAX(0,Inputs!$B$43-B1209)-((R1180-1)*(IF(Inputs!$B$38="pvp",15,MAX(0.1,Skills!D9-IF(Skills!E9=TRUE,Inputs!$B$32,0)))*(1-IF(AND(ArtifactsInput!$M$27,Inputs!$B$4="Chapter Hunt"),CHOOSE(ArtifactsInput!$N$27+1,20,24,28,32,36,40),0)/100)))))/Skills!H9,1)))/Inputs!$B$43),G1180*Q1180))*IF(Inputs!$B$38="pvp",1,(1+(Inputs!$B$21+Skills!Q9+(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1">
      <c r="A1181">
        <f>Skills!A10</f>
        <v/>
      </c>
      <c r="B1181">
        <f>Skills!B10</f>
        <v/>
      </c>
      <c r="C1181">
        <f>Inputs!$B$3&gt;=113</f>
        <v/>
      </c>
      <c r="D1181">
        <f>IF(Skills!C10=1,60+Inputs!$B$25+Inputs!$B$29,IF(Skills!C10=2,90+Inputs!$B$26+Inputs!$B$29,IF(Skills!C10=3,120+Inputs!$B$27+Inputs!$B$29,MAX(0,(Inputs!$B$3-100)*3)+Inputs!$B$28+Inputs!$B$29)))</f>
        <v/>
      </c>
      <c r="E1181">
        <f>INDEX(FactorTable!$B$2:$Y$301, MATCH(ROUND(MIN(300,MAX(1,D1181)),0), FactorTable!$A$2:$A$301,0), Skills!M10+1)</f>
        <v/>
      </c>
      <c r="F1181">
        <f>IF(Skills!N10=TRUE,(Skills!L10/10)*(E1181/1000),Skills!L10/10)+Skills!O10</f>
        <v/>
      </c>
      <c r="G1181">
        <f>Skills!G10*IF(Skills!H10&gt;0,Skills!I10/Skills!H10,1)</f>
        <v/>
      </c>
      <c r="H1181">
        <f>1-(1-Skills!J10/100)^Skills!K10</f>
        <v/>
      </c>
      <c r="I1181" t="inlineStr">
        <is>
          <t>1</t>
        </is>
      </c>
      <c r="J1181">
        <f>((Inputs!$B$6*(1+Inputs!$B$7/100))+(((Inputs!$B$12*(1+Inputs!$B$13/100))-(Inputs!$B$12*(1+Inputs!$B$13/100)))+0.25*(Inputs!$B$14-Inputs!$B$14))*(1+Inputs!$B$7/100))*(F1181/100)</f>
        <v/>
      </c>
      <c r="K1181">
        <f>J1181*(1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1181)</f>
        <v/>
      </c>
      <c r="L1181">
        <f>K1181*(MIN(Inputs!$B$22+((C1193=TRUE)*(F1193-Calc!F22)),(Inputs!$B$23+0+(IF(ArtifactsInput!$M$15,CHOOSE(ArtifactsInput!$N$15+1,25,30,35,40,45,50)/100*(Inputs!$B$11-Inputs!$B$11),0))))/100+(Inputs!$B$23+0+(IF(ArtifactsInput!$M$15,CHOOSE(ArtifactsInput!$N$15+1,25,30,35,40,45,50)/100*(Inputs!$B$11-Inputs!$B$11),0)))/100)/2</f>
        <v/>
      </c>
      <c r="M1181">
        <f>L1181*(1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1">
        <f>L1181*(1-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1">
        <f>(1-Summary!$B$11)*T1181+Summary!$B$11*V1181</f>
        <v/>
      </c>
      <c r="P1181">
        <f>IF(B1212=0,0,O1181/B1212)</f>
        <v/>
      </c>
      <c r="Q1181">
        <f>IFERROR(1/(IF(Inputs!$B$38="pvp",15,MAX(0.1,Skills!D10-IF(Skills!E10=TRUE,Inputs!$B$32,0)))*(1-IF(AND(ArtifactsInput!$M$27,Inputs!$B$4="Chapter Hunt"),CHOOSE(ArtifactsInput!$N$27+1,20,24,28,32,36,40),0)/100)),0)</f>
        <v/>
      </c>
      <c r="R1181">
        <f>IF(AND(Inputs!$B$38&lt;&gt;"pvp",Inputs!$B$43&gt;0),IF(MAX(0,Inputs!$B$43-B1209)&lt;=0,0,(INT(MAX(0,Inputs!$B$43-B1209)/(IF(Inputs!$B$38="pvp",15,MAX(0.1,Skills!D10-IF(Skills!E10=TRUE,Inputs!$B$32,0)))*(1-IF(AND(ArtifactsInput!$M$27,Inputs!$B$4="Chapter Hunt"),CHOOSE(ArtifactsInput!$N$27+1,20,24,28,32,36,40),0)/100)))+1)),0)</f>
        <v/>
      </c>
      <c r="S1181">
        <f>IFERROR(O1181/N1181,0)</f>
        <v/>
      </c>
      <c r="T1181">
        <f>IF(C1181,(H1181*N1181*IF(AND(Inputs!$B$38&lt;&gt;"pvp",Inputs!$B$43&gt;0),((Skills!G10*((R1181-1)*IF(Skills!H10&gt;0,Skills!I10/Skills!H10,1)+IF(Skills!H10&gt;0,MIN(Skills!I10,MAX(0,MAX(0,Inputs!$B$43-B1209)-((R1181-1)*(IF(Inputs!$B$38="pvp",15,MAX(0.1,Skills!D10-IF(Skills!E10=TRUE,Inputs!$B$32,0)))*(1-IF(AND(ArtifactsInput!$M$27,Inputs!$B$4="Chapter Hunt"),CHOOSE(ArtifactsInput!$N$27+1,20,24,28,32,36,40),0)/100)))))/Skills!H10,1)))/Inputs!$B$43),G1181*Q1181)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1">
        <f>IF(C1181,(H1181*N1181*IF(AND(Inputs!$B$38&lt;&gt;"pvp",Inputs!$B$43&gt;0),((Skills!G10*((R1181-1)*IF(Skills!H10&gt;0,Skills!I10/Skills!H10,1)+IF(Skills!H10&gt;0,MIN(Skills!I10,MAX(0,MAX(0,Inputs!$B$43-B1209)-((R1181-1)*(IF(Inputs!$B$38="pvp",15,MAX(0.1,Skills!D10-IF(Skills!E10=TRUE,Inputs!$B$32,0)))*(1-IF(AND(ArtifactsInput!$M$27,Inputs!$B$4="Chapter Hunt"),CHOOSE(ArtifactsInput!$N$27+1,20,24,28,32,36,40),0)/100)))))/Skills!H10,1)))/Inputs!$B$43),G1181*Q1181))*IF(Inputs!$B$38="pvp",1,(1+(Inputs!$B$21+Skills!Q10+(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2">
      <c r="A1182">
        <f>Skills!A11</f>
        <v/>
      </c>
      <c r="B1182">
        <f>Skills!B11</f>
        <v/>
      </c>
      <c r="C1182">
        <f>Inputs!$B$3&gt;=107</f>
        <v/>
      </c>
      <c r="D1182">
        <f>IF(Skills!C11=1,60+Inputs!$B$25+Inputs!$B$29,IF(Skills!C11=2,90+Inputs!$B$26+Inputs!$B$29,IF(Skills!C11=3,120+Inputs!$B$27+Inputs!$B$29,MAX(0,(Inputs!$B$3-100)*3)+Inputs!$B$28+Inputs!$B$29)))</f>
        <v/>
      </c>
      <c r="E1182">
        <f>INDEX(FactorTable!$B$2:$Y$301, MATCH(ROUND(MIN(300,MAX(1,D1182)),0), FactorTable!$A$2:$A$301,0), Skills!M11+1)</f>
        <v/>
      </c>
      <c r="F1182">
        <f>IF(Skills!N11=TRUE,(Skills!L11/10)*(E1182/1000),Skills!L11/10)+Skills!O11</f>
        <v/>
      </c>
      <c r="G1182">
        <f>Skills!G11*IF(Skills!H11&gt;0,Skills!I11/Skills!H11,1)</f>
        <v/>
      </c>
      <c r="H1182">
        <f>1-(1-Skills!J11/100)^Skills!K11</f>
        <v/>
      </c>
      <c r="I1182" t="inlineStr">
        <is>
          <t>1</t>
        </is>
      </c>
      <c r="J1182">
        <f>((Inputs!$B$6*(1+Inputs!$B$7/100))+(((Inputs!$B$12*(1+Inputs!$B$13/100))-(Inputs!$B$12*(1+Inputs!$B$13/100)))+0.25*(Inputs!$B$14-Inputs!$B$14))*(1+Inputs!$B$7/100))*(F1182/100)</f>
        <v/>
      </c>
      <c r="K1182">
        <f>J1182*(1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1182)</f>
        <v/>
      </c>
      <c r="L1182">
        <f>K1182*(MIN(Inputs!$B$22+((C1193=TRUE)*(F1193-Calc!F22)),(Inputs!$B$23+0+(IF(ArtifactsInput!$M$15,CHOOSE(ArtifactsInput!$N$15+1,25,30,35,40,45,50)/100*(Inputs!$B$11-Inputs!$B$11),0))))/100+(Inputs!$B$23+0+(IF(ArtifactsInput!$M$15,CHOOSE(ArtifactsInput!$N$15+1,25,30,35,40,45,50)/100*(Inputs!$B$11-Inputs!$B$11),0)))/100)/2</f>
        <v/>
      </c>
      <c r="M1182">
        <f>L1182*(1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2">
        <f>L1182*(1-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1182*(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2">
        <f>(1-Summary!$B$11)*T1182+Summary!$B$11*V1182</f>
        <v/>
      </c>
      <c r="P1182">
        <f>IF(B1212=0,0,O1182/B1212)</f>
        <v/>
      </c>
      <c r="Q1182">
        <f>IFERROR(1/(IF(Inputs!$B$38="pvp",15,MAX(0.1,Skills!D11-IF(Skills!E11=TRUE,Inputs!$B$32,0)))*(1-IF(AND(ArtifactsInput!$M$27,Inputs!$B$4="Chapter Hunt"),CHOOSE(ArtifactsInput!$N$27+1,20,24,28,32,36,40),0)/100)),0)</f>
        <v/>
      </c>
      <c r="R1182">
        <f>IF(AND(Inputs!$B$38&lt;&gt;"pvp",Inputs!$B$43&gt;0),IF(MAX(0,Inputs!$B$43-B1209)&lt;=0,0,(INT(MAX(0,Inputs!$B$43-B1209)/(IF(Inputs!$B$38="pvp",15,MAX(0.1,Skills!D11-IF(Skills!E11=TRUE,Inputs!$B$32,0)))*(1-IF(AND(ArtifactsInput!$M$27,Inputs!$B$4="Chapter Hunt"),CHOOSE(ArtifactsInput!$N$27+1,20,24,28,32,36,40),0)/100)))+1)),0)</f>
        <v/>
      </c>
      <c r="S1182">
        <f>IFERROR(O1182/N1182,0)</f>
        <v/>
      </c>
      <c r="T1182">
        <f>IF(C1182,(H1182*N1182*IF(AND(Inputs!$B$38&lt;&gt;"pvp",Inputs!$B$43&gt;0),((Skills!G11*((R1182-1)*IF(Skills!H11&gt;0,Skills!I11/Skills!H11,1)+IF(Skills!H11&gt;0,MIN(Skills!I11,MAX(0,MAX(0,Inputs!$B$43-B1209)-((R1182-1)*(IF(Inputs!$B$38="pvp",15,MAX(0.1,Skills!D11-IF(Skills!E11=TRUE,Inputs!$B$32,0)))*(1-IF(AND(ArtifactsInput!$M$27,Inputs!$B$4="Chapter Hunt"),CHOOSE(ArtifactsInput!$N$27+1,20,24,28,32,36,40),0)/100)))))/Skills!H11,1)))/Inputs!$B$43),G1182*Q1182)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1182*(1-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1182*(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1182*(1-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1182*(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2">
        <f>IF(C1182,(H1182*N1182*IF(AND(Inputs!$B$38&lt;&gt;"pvp",Inputs!$B$43&gt;0),((Skills!G11*((R1182-1)*IF(Skills!H11&gt;0,Skills!I11/Skills!H11,1)+IF(Skills!H11&gt;0,MIN(Skills!I11,MAX(0,MAX(0,Inputs!$B$43-B1209)-((R1182-1)*(IF(Inputs!$B$38="pvp",15,MAX(0.1,Skills!D11-IF(Skills!E11=TRUE,Inputs!$B$32,0)))*(1-IF(AND(ArtifactsInput!$M$27,Inputs!$B$4="Chapter Hunt"),CHOOSE(ArtifactsInput!$N$27+1,20,24,28,32,36,40),0)/100)))))/Skills!H11,1)))/Inputs!$B$43),G1182*Q1182))*IF(Inputs!$B$38="pvp",1,(1+(Inputs!$B$21+Skills!Q11+(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3">
      <c r="A1183">
        <f>Skills!A12</f>
        <v/>
      </c>
      <c r="B1183">
        <f>Skills!B12</f>
        <v/>
      </c>
      <c r="C1183">
        <f>Inputs!$B$3&gt;=110</f>
        <v/>
      </c>
      <c r="D1183">
        <f>IF(Skills!C12=1,60+Inputs!$B$25+Inputs!$B$29,IF(Skills!C12=2,90+Inputs!$B$26+Inputs!$B$29,IF(Skills!C12=3,120+Inputs!$B$27+Inputs!$B$29,MAX(0,(Inputs!$B$3-100)*3)+Inputs!$B$28+Inputs!$B$29)))</f>
        <v/>
      </c>
      <c r="E1183">
        <f>INDEX(FactorTable!$B$2:$Y$301, MATCH(ROUND(MIN(300,MAX(1,D1183)),0), FactorTable!$A$2:$A$301,0), Skills!M12+1)</f>
        <v/>
      </c>
      <c r="F1183">
        <f>IF(Skills!N12=TRUE,(Skills!L12/10)*(E1183/1000),Skills!L12/10)+Skills!O12</f>
        <v/>
      </c>
      <c r="G1183">
        <f>Skills!G12*IF(Skills!H12&gt;0,Skills!I12/Skills!H12,1)</f>
        <v/>
      </c>
      <c r="H1183">
        <f>1-(1-Skills!J12/100)^Skills!K12</f>
        <v/>
      </c>
      <c r="I1183" t="inlineStr">
        <is>
          <t>1</t>
        </is>
      </c>
      <c r="J1183">
        <f>((Inputs!$B$6*(1+Inputs!$B$7/100))+(((Inputs!$B$12*(1+Inputs!$B$13/100))-(Inputs!$B$12*(1+Inputs!$B$13/100)))+0.25*(Inputs!$B$14-Inputs!$B$14))*(1+Inputs!$B$7/100))*(F1183/100)</f>
        <v/>
      </c>
      <c r="K1183">
        <f>J1183*(1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1183)</f>
        <v/>
      </c>
      <c r="L1183">
        <f>K1183*(MIN(Inputs!$B$22+((C1193=TRUE)*(F1193-Calc!F22)),(Inputs!$B$23+0+(IF(ArtifactsInput!$M$15,CHOOSE(ArtifactsInput!$N$15+1,25,30,35,40,45,50)/100*(Inputs!$B$11-Inputs!$B$11),0))))/100+(Inputs!$B$23+0+(IF(ArtifactsInput!$M$15,CHOOSE(ArtifactsInput!$N$15+1,25,30,35,40,45,50)/100*(Inputs!$B$11-Inputs!$B$11),0)))/100)/2</f>
        <v/>
      </c>
      <c r="M1183">
        <f>L1183*(1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3">
        <f>L1183*(1-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1183*(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3">
        <f>(1-Summary!$B$11)*T1183+Summary!$B$11*V1183</f>
        <v/>
      </c>
      <c r="P1183">
        <f>IF(B1212=0,0,O1183/B1212)</f>
        <v/>
      </c>
      <c r="Q1183">
        <f>IFERROR(1/(IF(Inputs!$B$38="pvp",15,MAX(0.1,Skills!D12-IF(Skills!E12=TRUE,Inputs!$B$32,0)))*(1-IF(AND(ArtifactsInput!$M$27,Inputs!$B$4="Chapter Hunt"),CHOOSE(ArtifactsInput!$N$27+1,20,24,28,32,36,40),0)/100)),0)</f>
        <v/>
      </c>
      <c r="R1183">
        <f>IF(AND(Inputs!$B$38&lt;&gt;"pvp",Inputs!$B$43&gt;0),IF(MAX(0,Inputs!$B$43-B1209)&lt;=0,0,(INT(MAX(0,Inputs!$B$43-B1209)/(IF(Inputs!$B$38="pvp",15,MAX(0.1,Skills!D12-IF(Skills!E12=TRUE,Inputs!$B$32,0)))*(1-IF(AND(ArtifactsInput!$M$27,Inputs!$B$4="Chapter Hunt"),CHOOSE(ArtifactsInput!$N$27+1,20,24,28,32,36,40),0)/100)))+1)),0)</f>
        <v/>
      </c>
      <c r="S1183">
        <f>IFERROR(O1183/N1183,0)</f>
        <v/>
      </c>
      <c r="T1183">
        <f>IF(C1183,(H1183*N1183*IF(AND(Inputs!$B$38&lt;&gt;"pvp",Inputs!$B$43&gt;0),((Skills!G12*((R1183-1)*IF(Skills!H12&gt;0,Skills!I12/Skills!H12,1)+IF(Skills!H12&gt;0,MIN(Skills!I12,MAX(0,MAX(0,Inputs!$B$43-B1209)-((R1183-1)*(IF(Inputs!$B$38="pvp",15,MAX(0.1,Skills!D12-IF(Skills!E12=TRUE,Inputs!$B$32,0)))*(1-IF(AND(ArtifactsInput!$M$27,Inputs!$B$4="Chapter Hunt"),CHOOSE(ArtifactsInput!$N$27+1,20,24,28,32,36,40),0)/100)))))/Skills!H12,1)))/Inputs!$B$43),G1183*Q1183)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1183*(1-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1183*(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1183*(1-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1183*(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3">
        <f>IF(C1183,(H1183*N1183*IF(AND(Inputs!$B$38&lt;&gt;"pvp",Inputs!$B$43&gt;0),((Skills!G12*((R1183-1)*IF(Skills!H12&gt;0,Skills!I12/Skills!H12,1)+IF(Skills!H12&gt;0,MIN(Skills!I12,MAX(0,MAX(0,Inputs!$B$43-B1209)-((R1183-1)*(IF(Inputs!$B$38="pvp",15,MAX(0.1,Skills!D12-IF(Skills!E12=TRUE,Inputs!$B$32,0)))*(1-IF(AND(ArtifactsInput!$M$27,Inputs!$B$4="Chapter Hunt"),CHOOSE(ArtifactsInput!$N$27+1,20,24,28,32,36,40),0)/100)))))/Skills!H12,1)))/Inputs!$B$43),G1183*Q1183))*IF(Inputs!$B$38="pvp",1,(1+(Inputs!$B$21+Skills!Q12+(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4">
      <c r="A1184">
        <f>Skills!A13</f>
        <v/>
      </c>
      <c r="B1184">
        <f>Skills!B13</f>
        <v/>
      </c>
      <c r="C1184">
        <f>Inputs!$B$3&gt;=110</f>
        <v/>
      </c>
      <c r="D1184">
        <f>IF(Skills!C13=1,60+Inputs!$B$25+Inputs!$B$29,IF(Skills!C13=2,90+Inputs!$B$26+Inputs!$B$29,IF(Skills!C13=3,120+Inputs!$B$27+Inputs!$B$29,MAX(0,(Inputs!$B$3-100)*3)+Inputs!$B$28+Inputs!$B$29)))</f>
        <v/>
      </c>
      <c r="E1184">
        <f>INDEX(FactorTable!$B$2:$Y$301, MATCH(ROUND(MIN(300,MAX(1,D1184)),0), FactorTable!$A$2:$A$301,0), Skills!M13+1)</f>
        <v/>
      </c>
      <c r="F1184">
        <f>IF(Skills!N13=TRUE,(Skills!L13/10)*(E1184/1000),Skills!L13/10)+Skills!O13</f>
        <v/>
      </c>
      <c r="G1184">
        <f>Skills!G13*IF(Skills!H13&gt;0,Skills!I13/Skills!H13,1)</f>
        <v/>
      </c>
      <c r="H1184">
        <f>1-(1-Skills!J13/100)^Skills!K13</f>
        <v/>
      </c>
      <c r="I1184" t="inlineStr">
        <is>
          <t>1</t>
        </is>
      </c>
      <c r="J1184">
        <f>((Inputs!$B$6*(1+Inputs!$B$7/100))+(((Inputs!$B$12*(1+Inputs!$B$13/100))-(Inputs!$B$12*(1+Inputs!$B$13/100)))+0.25*(Inputs!$B$14-Inputs!$B$14))*(1+Inputs!$B$7/100))*(F1184/100)</f>
        <v/>
      </c>
      <c r="K1184">
        <f>J1184*(1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1184)</f>
        <v/>
      </c>
      <c r="L1184">
        <f>K1184*(MIN(Inputs!$B$22+((C1193=TRUE)*(F1193-Calc!F22)),(Inputs!$B$23+0+(IF(ArtifactsInput!$M$15,CHOOSE(ArtifactsInput!$N$15+1,25,30,35,40,45,50)/100*(Inputs!$B$11-Inputs!$B$11),0))))/100+(Inputs!$B$23+0+(IF(ArtifactsInput!$M$15,CHOOSE(ArtifactsInput!$N$15+1,25,30,35,40,45,50)/100*(Inputs!$B$11-Inputs!$B$11),0)))/100)/2</f>
        <v/>
      </c>
      <c r="M1184">
        <f>L1184*(1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4">
        <f>L1184*(1-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1184*(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4">
        <f>(1-Summary!$B$11)*T1184+Summary!$B$11*V1184</f>
        <v/>
      </c>
      <c r="P1184">
        <f>IF(B1212=0,0,O1184/B1212)</f>
        <v/>
      </c>
      <c r="Q1184">
        <f>IFERROR(1/(IF(Inputs!$B$38="pvp",15,MAX(0.1,Skills!D13-IF(Skills!E13=TRUE,Inputs!$B$32,0)))*(1-IF(AND(ArtifactsInput!$M$27,Inputs!$B$4="Chapter Hunt"),CHOOSE(ArtifactsInput!$N$27+1,20,24,28,32,36,40),0)/100)),0)</f>
        <v/>
      </c>
      <c r="R1184">
        <f>IF(AND(Inputs!$B$38&lt;&gt;"pvp",Inputs!$B$43&gt;0),IF(MAX(0,Inputs!$B$43-B1209)&lt;=0,0,(INT(MAX(0,Inputs!$B$43-B1209)/(IF(Inputs!$B$38="pvp",15,MAX(0.1,Skills!D13-IF(Skills!E13=TRUE,Inputs!$B$32,0)))*(1-IF(AND(ArtifactsInput!$M$27,Inputs!$B$4="Chapter Hunt"),CHOOSE(ArtifactsInput!$N$27+1,20,24,28,32,36,40),0)/100)))+1)),0)</f>
        <v/>
      </c>
      <c r="S1184">
        <f>IFERROR(O1184/N1184,0)</f>
        <v/>
      </c>
      <c r="T1184">
        <f>IF(C1184,(H1184*N1184*IF(AND(Inputs!$B$38&lt;&gt;"pvp",Inputs!$B$43&gt;0),((Skills!G13*((R1184-1)*IF(Skills!H13&gt;0,Skills!I13/Skills!H13,1)+IF(Skills!H13&gt;0,MIN(Skills!I13,MAX(0,MAX(0,Inputs!$B$43-B1209)-((R1184-1)*(IF(Inputs!$B$38="pvp",15,MAX(0.1,Skills!D13-IF(Skills!E13=TRUE,Inputs!$B$32,0)))*(1-IF(AND(ArtifactsInput!$M$27,Inputs!$B$4="Chapter Hunt"),CHOOSE(ArtifactsInput!$N$27+1,20,24,28,32,36,40),0)/100)))))/Skills!H13,1)))/Inputs!$B$43),G1184*Q1184)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1184*(1-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1184*(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1184*(1-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1184*(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4">
        <f>IF(C1184,(H1184*N1184*IF(AND(Inputs!$B$38&lt;&gt;"pvp",Inputs!$B$43&gt;0),((Skills!G13*((R1184-1)*IF(Skills!H13&gt;0,Skills!I13/Skills!H13,1)+IF(Skills!H13&gt;0,MIN(Skills!I13,MAX(0,MAX(0,Inputs!$B$43-B1209)-((R1184-1)*(IF(Inputs!$B$38="pvp",15,MAX(0.1,Skills!D13-IF(Skills!E13=TRUE,Inputs!$B$32,0)))*(1-IF(AND(ArtifactsInput!$M$27,Inputs!$B$4="Chapter Hunt"),CHOOSE(ArtifactsInput!$N$27+1,20,24,28,32,36,40),0)/100)))))/Skills!H13,1)))/Inputs!$B$43),G1184*Q1184))*IF(Inputs!$B$38="pvp",1,(1+(Inputs!$B$21+Skills!Q13+(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5">
      <c r="A1185">
        <f>Skills!A14</f>
        <v/>
      </c>
      <c r="B1185">
        <f>Skills!B14</f>
        <v/>
      </c>
      <c r="C1185">
        <f>Inputs!$B$3&gt;=125</f>
        <v/>
      </c>
      <c r="D1185">
        <f>IF(Skills!C14=1,60+Inputs!$B$25+Inputs!$B$29,IF(Skills!C14=2,90+Inputs!$B$26+Inputs!$B$29,IF(Skills!C14=3,120+Inputs!$B$27+Inputs!$B$29,MAX(0,(Inputs!$B$3-100)*3)+Inputs!$B$28+Inputs!$B$29)))</f>
        <v/>
      </c>
      <c r="E1185">
        <f>INDEX(FactorTable!$B$2:$Y$301, MATCH(ROUND(MIN(300,MAX(1,D1185)),0), FactorTable!$A$2:$A$301,0), Skills!M14+1)</f>
        <v/>
      </c>
      <c r="F1185">
        <f>IF(Skills!N14=TRUE,(Skills!L14/10)*(E1185/1000),Skills!L14/10)+Skills!O14</f>
        <v/>
      </c>
      <c r="G1185">
        <f>Skills!G14*IF(Skills!H14&gt;0,Skills!I14/Skills!H14,1)</f>
        <v/>
      </c>
      <c r="H1185">
        <f>1-(1-Skills!J14/100)^Skills!K14</f>
        <v/>
      </c>
      <c r="I1185" t="inlineStr">
        <is>
          <t>1</t>
        </is>
      </c>
      <c r="J1185">
        <f>((Inputs!$B$6*(1+Inputs!$B$7/100))+(((Inputs!$B$12*(1+Inputs!$B$13/100))-(Inputs!$B$12*(1+Inputs!$B$13/100)))+0.25*(Inputs!$B$14-Inputs!$B$14))*(1+Inputs!$B$7/100))*(F1185/100)</f>
        <v/>
      </c>
      <c r="K1185">
        <f>J1185*(1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1185)</f>
        <v/>
      </c>
      <c r="L1185">
        <f>K1185*(MIN(Inputs!$B$22+((C1193=TRUE)*(F1193-Calc!F22)),(Inputs!$B$23+0+(IF(ArtifactsInput!$M$15,CHOOSE(ArtifactsInput!$N$15+1,25,30,35,40,45,50)/100*(Inputs!$B$11-Inputs!$B$11),0))))/100+(Inputs!$B$23+0+(IF(ArtifactsInput!$M$15,CHOOSE(ArtifactsInput!$N$15+1,25,30,35,40,45,50)/100*(Inputs!$B$11-Inputs!$B$11),0)))/100)/2</f>
        <v/>
      </c>
      <c r="M1185">
        <f>L1185*(1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5">
        <f>L1185*(1-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1185*(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5">
        <f>(1-Summary!$B$11)*T1185+Summary!$B$11*V1185</f>
        <v/>
      </c>
      <c r="P1185">
        <f>IF(B1212=0,0,O1185/B1212)</f>
        <v/>
      </c>
      <c r="Q1185" t="n">
        <v>0</v>
      </c>
      <c r="R1185" t="n">
        <v>0</v>
      </c>
      <c r="S1185">
        <f>IFERROR(O1185/N1185,0)</f>
        <v/>
      </c>
      <c r="T1185">
        <f>IF(C1185,(H1185*N1185*(B1206+IF(AND(Inputs!$B$38&lt;&gt;"pvp",Inputs!$B$43&gt;0),((Skills!G8*((R1179-1)*IF(Skills!H8&gt;0,Skills!I8/Skills!H8,1)+IF(Skills!H8&gt;0,MIN(Skills!I8,MAX(0,MAX(0,Inputs!$B$43-B1209)-((R1179-1)*(IF(Inputs!$B$38="pvp",15,MAX(0.1,Skills!D8-IF(Skills!E8=TRUE,Inputs!$B$32,0)))*(1-IF(AND(ArtifactsInput!$M$27,Inputs!$B$4="Chapter Hunt"),CHOOSE(ArtifactsInput!$N$27+1,20,24,28,32,36,40),0)/100)))))/Skills!H8,1)))/Inputs!$B$43),G1179*Q1179)+IF(AND(Inputs!$B$38&lt;&gt;"pvp",Inputs!$B$43&gt;0),((Skills!G11*((R1182-1)*IF(Skills!H11&gt;0,Skills!I11/Skills!H11,1)+IF(Skills!H11&gt;0,MIN(Skills!I11,MAX(0,MAX(0,Inputs!$B$43-B1209)-((R1182-1)*(IF(Inputs!$B$38="pvp",15,MAX(0.1,Skills!D11-IF(Skills!E11=TRUE,Inputs!$B$32,0)))*(1-IF(AND(ArtifactsInput!$M$27,Inputs!$B$4="Chapter Hunt"),CHOOSE(ArtifactsInput!$N$27+1,20,24,28,32,36,40),0)/100)))))/Skills!H11,1)))/Inputs!$B$43),G1182*Q1182)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1185*(1-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1185*(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1185*(1-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1185*(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5">
        <f>IF(C1185,(H1185*N1185*(B1206+IF(AND(Inputs!$B$38&lt;&gt;"pvp",Inputs!$B$43&gt;0),((Skills!G8*((R1179-1)*IF(Skills!H8&gt;0,Skills!I8/Skills!H8,1)+IF(Skills!H8&gt;0,MIN(Skills!I8,MAX(0,MAX(0,Inputs!$B$43-B1209)-((R1179-1)*(IF(Inputs!$B$38="pvp",15,MAX(0.1,Skills!D8-IF(Skills!E8=TRUE,Inputs!$B$32,0)))*(1-IF(AND(ArtifactsInput!$M$27,Inputs!$B$4="Chapter Hunt"),CHOOSE(ArtifactsInput!$N$27+1,20,24,28,32,36,40),0)/100)))))/Skills!H8,1)))/Inputs!$B$43),G1179*Q1179)+IF(AND(Inputs!$B$38&lt;&gt;"pvp",Inputs!$B$43&gt;0),((Skills!G11*((R1182-1)*IF(Skills!H11&gt;0,Skills!I11/Skills!H11,1)+IF(Skills!H11&gt;0,MIN(Skills!I11,MAX(0,MAX(0,Inputs!$B$43-B1209)-((R1182-1)*(IF(Inputs!$B$38="pvp",15,MAX(0.1,Skills!D11-IF(Skills!E11=TRUE,Inputs!$B$32,0)))*(1-IF(AND(ArtifactsInput!$M$27,Inputs!$B$4="Chapter Hunt"),CHOOSE(ArtifactsInput!$N$27+1,20,24,28,32,36,40),0)/100)))))/Skills!H11,1)))/Inputs!$B$43),G1182*Q1182)))*IF(Inputs!$B$38="pvp",1,(1+(Inputs!$B$21+Skills!Q14+(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6">
      <c r="A1186">
        <f>Skills!A15</f>
        <v/>
      </c>
      <c r="B1186">
        <f>Skills!B15</f>
        <v/>
      </c>
      <c r="C1186">
        <f>Inputs!$B$3&gt;=100</f>
        <v/>
      </c>
      <c r="D1186">
        <f>IF(Skills!C15=1,60+Inputs!$B$25+Inputs!$B$29,IF(Skills!C15=2,90+Inputs!$B$26+Inputs!$B$29,IF(Skills!C15=3,120+Inputs!$B$27+Inputs!$B$29,MAX(0,(Inputs!$B$3-100)*3)+Inputs!$B$28+Inputs!$B$29)))</f>
        <v/>
      </c>
      <c r="E1186">
        <f>INDEX(FactorTable!$B$2:$Y$301, MATCH(ROUND(MIN(300,MAX(1,D1186)),0), FactorTable!$A$2:$A$301,0), Skills!M15+1)</f>
        <v/>
      </c>
      <c r="F1186">
        <f>IF(Skills!N15=TRUE,(Skills!L15/10)*(E1186/1000),Skills!L15/10)+Skills!O15</f>
        <v/>
      </c>
      <c r="G1186" t="inlineStr"/>
      <c r="H1186" t="inlineStr"/>
      <c r="I1186" t="inlineStr">
        <is>
          <t>1</t>
        </is>
      </c>
      <c r="J1186" t="inlineStr"/>
      <c r="K1186" t="inlineStr"/>
      <c r="L1186" t="inlineStr"/>
      <c r="M1186" t="inlineStr"/>
      <c r="N1186" t="inlineStr"/>
      <c r="O1186" t="inlineStr"/>
      <c r="P1186" t="inlineStr"/>
      <c r="Q1186" t="inlineStr"/>
      <c r="R1186" t="inlineStr"/>
      <c r="S1186" t="inlineStr"/>
    </row>
    <row r="1187">
      <c r="A1187">
        <f>Skills!A16</f>
        <v/>
      </c>
      <c r="B1187">
        <f>Skills!B16</f>
        <v/>
      </c>
      <c r="C1187">
        <f>Inputs!$B$3&gt;=120</f>
        <v/>
      </c>
      <c r="D1187">
        <f>IF(Skills!C16=1,60+Inputs!$B$25+Inputs!$B$29,IF(Skills!C16=2,90+Inputs!$B$26+Inputs!$B$29,IF(Skills!C16=3,120+Inputs!$B$27+Inputs!$B$29,MAX(0,(Inputs!$B$3-100)*3)+Inputs!$B$28+Inputs!$B$29)))</f>
        <v/>
      </c>
      <c r="E1187">
        <f>INDEX(FactorTable!$B$2:$Y$301, MATCH(ROUND(MIN(300,MAX(1,D1187)),0), FactorTable!$A$2:$A$301,0), Skills!M16+1)</f>
        <v/>
      </c>
      <c r="F1187">
        <f>IF(Skills!N16=TRUE,(Skills!L16/10)*(E1187/1000),Skills!L16/10)+Skills!O16</f>
        <v/>
      </c>
      <c r="G1187" t="inlineStr"/>
      <c r="H1187" t="inlineStr"/>
      <c r="I1187" t="inlineStr">
        <is>
          <t>1</t>
        </is>
      </c>
      <c r="J1187" t="inlineStr"/>
      <c r="K1187" t="inlineStr"/>
      <c r="L1187" t="inlineStr"/>
      <c r="M1187" t="inlineStr"/>
      <c r="N1187" t="inlineStr"/>
      <c r="O1187" t="inlineStr"/>
      <c r="P1187" t="inlineStr"/>
      <c r="Q1187" t="inlineStr"/>
      <c r="R1187" t="inlineStr"/>
      <c r="S1187" t="inlineStr"/>
    </row>
    <row r="1188">
      <c r="A1188">
        <f>Skills!A17</f>
        <v/>
      </c>
      <c r="B1188">
        <f>Skills!B17</f>
        <v/>
      </c>
      <c r="C1188">
        <f>Inputs!$B$3&gt;=66</f>
        <v/>
      </c>
      <c r="D1188">
        <f>IF(Skills!C17=1,60+Inputs!$B$25+Inputs!$B$29,IF(Skills!C17=2,90+Inputs!$B$26+Inputs!$B$29,IF(Skills!C17=3,120+Inputs!$B$27+Inputs!$B$29,MAX(0,(Inputs!$B$3-100)*3)+Inputs!$B$28+Inputs!$B$29)))</f>
        <v/>
      </c>
      <c r="E1188">
        <f>INDEX(FactorTable!$B$2:$Y$301, MATCH(ROUND(MIN(300,MAX(1,D1188)),0), FactorTable!$A$2:$A$301,0), Skills!M17+1)</f>
        <v/>
      </c>
      <c r="F1188">
        <f>IF(Skills!N17=TRUE,(Skills!L17/10)*(E1188/1000),Skills!L17/10)+Skills!O17</f>
        <v/>
      </c>
      <c r="G1188">
        <f>Skills!G17*IF(Skills!H17&gt;0,Skills!I17/Skills!H17,1)</f>
        <v/>
      </c>
      <c r="H1188">
        <f>1-(1-Skills!J17/100)^Skills!K17</f>
        <v/>
      </c>
      <c r="I1188" t="inlineStr">
        <is>
          <t>1</t>
        </is>
      </c>
      <c r="J1188" t="inlineStr"/>
      <c r="K1188" t="inlineStr"/>
      <c r="L1188" t="inlineStr"/>
      <c r="M1188" t="inlineStr"/>
      <c r="N1188" t="inlineStr"/>
      <c r="O1188">
        <f>(1-Summary!$B$11)*T1188+Summary!$B$11*V1188</f>
        <v/>
      </c>
      <c r="P1188">
        <f>IF(B1212=0,0,O1188/B1212)</f>
        <v/>
      </c>
      <c r="Q1188" t="n">
        <v>0</v>
      </c>
      <c r="R1188" t="n">
        <v>0</v>
      </c>
      <c r="S1188">
        <f>IFERROR(O1188/N1188,0)</f>
        <v/>
      </c>
      <c r="T1188" t="n">
        <v>0</v>
      </c>
      <c r="V1188" t="n">
        <v>0</v>
      </c>
    </row>
    <row r="1189">
      <c r="A1189">
        <f>Skills!A18</f>
        <v/>
      </c>
      <c r="B1189">
        <f>Skills!B18</f>
        <v/>
      </c>
      <c r="C1189">
        <f>Inputs!$B$3&gt;=115</f>
        <v/>
      </c>
      <c r="D1189">
        <f>IF(Skills!C18=1,60+Inputs!$B$25+Inputs!$B$29,IF(Skills!C18=2,90+Inputs!$B$26+Inputs!$B$29,IF(Skills!C18=3,120+Inputs!$B$27+Inputs!$B$29,MAX(0,(Inputs!$B$3-100)*3)+Inputs!$B$28+Inputs!$B$29)))</f>
        <v/>
      </c>
      <c r="E1189">
        <f>INDEX(FactorTable!$B$2:$Y$301, MATCH(ROUND(MIN(300,MAX(1,D1189)),0), FactorTable!$A$2:$A$301,0), Skills!M18+1)</f>
        <v/>
      </c>
      <c r="F1189">
        <f>IF(Skills!N18=TRUE,(Skills!L18/10)*(E1189/1000),Skills!L18/10)+Skills!O18</f>
        <v/>
      </c>
      <c r="G1189">
        <f>Skills!G18*IF(Skills!H18&gt;0,Skills!I18/Skills!H18,1)</f>
        <v/>
      </c>
      <c r="H1189">
        <f>1-(1-Skills!J18/100)^Skills!K18</f>
        <v/>
      </c>
      <c r="I1189" t="inlineStr">
        <is>
          <t>1</t>
        </is>
      </c>
      <c r="J1189" t="inlineStr"/>
      <c r="K1189" t="inlineStr"/>
      <c r="L1189" t="inlineStr"/>
      <c r="M1189" t="inlineStr"/>
      <c r="N1189" t="inlineStr"/>
      <c r="O1189">
        <f>(1-Summary!$B$11)*T1189+Summary!$B$11*V1189</f>
        <v/>
      </c>
      <c r="P1189">
        <f>IF(B1212=0,0,O1189/B1212)</f>
        <v/>
      </c>
      <c r="Q1189">
        <f>IFERROR(1/(IF(Inputs!$B$38="pvp",15,MAX(0.1,Skills!D18-IF(Skills!E18=TRUE,Inputs!$B$32,0)))*(1-IF(AND(ArtifactsInput!$M$27,Inputs!$B$4="Chapter Hunt"),CHOOSE(ArtifactsInput!$N$27+1,20,24,28,32,36,40),0)/100)),0)</f>
        <v/>
      </c>
      <c r="R1189">
        <f>IF(AND(Inputs!$B$38&lt;&gt;"pvp",Inputs!$B$43&gt;0),IF(Inputs!$B$43&lt;=0,0,(INT(Inputs!$B$43/(IF(Inputs!$B$38="pvp",15,MAX(0.1,Skills!D18-IF(Skills!E18=TRUE,Inputs!$B$32,0)))*(1-IF(AND(ArtifactsInput!$M$27,Inputs!$B$4="Chapter Hunt"),CHOOSE(ArtifactsInput!$N$27+1,20,24,28,32,36,40),0)/100)))+1)),0)</f>
        <v/>
      </c>
      <c r="S1189">
        <f>IFERROR(O1189/N1189,0)</f>
        <v/>
      </c>
      <c r="T1189" t="n">
        <v>0</v>
      </c>
      <c r="V1189" t="n">
        <v>0</v>
      </c>
    </row>
    <row r="1190">
      <c r="A1190">
        <f>Skills!A19</f>
        <v/>
      </c>
      <c r="B1190">
        <f>Skills!B19</f>
        <v/>
      </c>
      <c r="C1190">
        <f>Inputs!$B$3&gt;=15</f>
        <v/>
      </c>
      <c r="D1190">
        <f>IF(Skills!C19=1,60+Inputs!$B$25+Inputs!$B$29,IF(Skills!C19=2,90+Inputs!$B$26+Inputs!$B$29,IF(Skills!C19=3,120+Inputs!$B$27+Inputs!$B$29,MAX(0,(Inputs!$B$3-100)*3)+Inputs!$B$28+Inputs!$B$29)))</f>
        <v/>
      </c>
      <c r="E1190">
        <f>INDEX(FactorTable!$B$2:$Y$301, MATCH(ROUND(MIN(300,MAX(1,D1190)),0), FactorTable!$A$2:$A$301,0), Skills!M19+1)</f>
        <v/>
      </c>
      <c r="F1190">
        <f>IF(Skills!N19=TRUE,(Skills!L19/10)*(E1190/1000),Skills!L19/10)+Skills!O19</f>
        <v/>
      </c>
      <c r="G1190">
        <f>Skills!G19*IF(Skills!H19&gt;0,Skills!I19/Skills!H19,1)</f>
        <v/>
      </c>
      <c r="H1190">
        <f>1-(1-Skills!J19/100)^Skills!K19</f>
        <v/>
      </c>
      <c r="I1190" t="inlineStr">
        <is>
          <t>1</t>
        </is>
      </c>
      <c r="J1190" t="inlineStr"/>
      <c r="K1190" t="inlineStr"/>
      <c r="L1190" t="inlineStr"/>
      <c r="M1190" t="inlineStr"/>
      <c r="N1190" t="inlineStr"/>
      <c r="O1190">
        <f>(1-Summary!$B$11)*T1190+Summary!$B$11*V1190</f>
        <v/>
      </c>
      <c r="P1190">
        <f>IF(B1212=0,0,O1190/B1212)</f>
        <v/>
      </c>
      <c r="Q1190" t="n">
        <v>0</v>
      </c>
      <c r="R1190" t="n">
        <v>0</v>
      </c>
      <c r="S1190">
        <f>IFERROR(O1190/N1190,0)</f>
        <v/>
      </c>
      <c r="T1190" t="n">
        <v>0</v>
      </c>
      <c r="V1190" t="n">
        <v>0</v>
      </c>
    </row>
    <row r="1191">
      <c r="A1191">
        <f>Skills!A20</f>
        <v/>
      </c>
      <c r="B1191">
        <f>Skills!B20</f>
        <v/>
      </c>
      <c r="C1191">
        <f>Inputs!$B$3&gt;=10</f>
        <v/>
      </c>
      <c r="D1191">
        <f>IF(Skills!C20=1,60+Inputs!$B$25+Inputs!$B$29,IF(Skills!C20=2,90+Inputs!$B$26+Inputs!$B$29,IF(Skills!C20=3,120+Inputs!$B$27+Inputs!$B$29,MAX(0,(Inputs!$B$3-100)*3)+Inputs!$B$28+Inputs!$B$29)))</f>
        <v/>
      </c>
      <c r="E1191">
        <f>INDEX(FactorTable!$B$2:$Y$301, MATCH(ROUND(MIN(300,MAX(1,D1191)),0), FactorTable!$A$2:$A$301,0), Skills!M20+1)</f>
        <v/>
      </c>
      <c r="F1191">
        <f>IF(Skills!N20=TRUE,(Skills!L20/10)*(E1191/1000),Skills!L20/10)+Skills!O20</f>
        <v/>
      </c>
      <c r="G1191">
        <f>Skills!G20*IF(Skills!H20&gt;0,Skills!I20/Skills!H20,1)</f>
        <v/>
      </c>
      <c r="H1191">
        <f>1-(1-Skills!J20/100)^Skills!K20</f>
        <v/>
      </c>
      <c r="I1191" t="inlineStr">
        <is>
          <t>1</t>
        </is>
      </c>
      <c r="J1191" t="inlineStr"/>
      <c r="K1191" t="inlineStr"/>
      <c r="L1191" t="inlineStr"/>
      <c r="M1191" t="inlineStr"/>
      <c r="N1191" t="inlineStr"/>
      <c r="O1191">
        <f>(1-Summary!$B$11)*T1191+Summary!$B$11*V1191</f>
        <v/>
      </c>
      <c r="P1191">
        <f>IF(B1212=0,0,O1191/B1212)</f>
        <v/>
      </c>
      <c r="Q1191" t="n">
        <v>0</v>
      </c>
      <c r="R1191" t="n">
        <v>0</v>
      </c>
      <c r="S1191">
        <f>IFERROR(O1191/N1191,0)</f>
        <v/>
      </c>
      <c r="T1191" t="n">
        <v>0</v>
      </c>
      <c r="V1191" t="n">
        <v>0</v>
      </c>
    </row>
    <row r="1192">
      <c r="A1192">
        <f>Skills!A21</f>
        <v/>
      </c>
      <c r="B1192">
        <f>Skills!B21</f>
        <v/>
      </c>
      <c r="C1192">
        <f>Inputs!$B$3&gt;=33</f>
        <v/>
      </c>
      <c r="D1192">
        <f>IF(Skills!C21=1,60+Inputs!$B$25+Inputs!$B$29,IF(Skills!C21=2,90+Inputs!$B$26+Inputs!$B$29,IF(Skills!C21=3,120+Inputs!$B$27+Inputs!$B$29,MAX(0,(Inputs!$B$3-100)*3)+Inputs!$B$28+Inputs!$B$29)))</f>
        <v/>
      </c>
      <c r="E1192">
        <f>INDEX(FactorTable!$B$2:$Y$301, MATCH(ROUND(MIN(300,MAX(1,D1192)),0), FactorTable!$A$2:$A$301,0), Skills!M21+1)</f>
        <v/>
      </c>
      <c r="F1192">
        <f>IF(Skills!N21=TRUE,(Skills!L21/10)*(E1192/1000),Skills!L21/10)+Skills!O21</f>
        <v/>
      </c>
      <c r="G1192">
        <f>Skills!G21*IF(Skills!H21&gt;0,Skills!I21/Skills!H21,1)</f>
        <v/>
      </c>
      <c r="H1192">
        <f>1-(1-Skills!J21/100)^Skills!K21</f>
        <v/>
      </c>
      <c r="I1192" t="inlineStr">
        <is>
          <t>1</t>
        </is>
      </c>
      <c r="J1192" t="inlineStr"/>
      <c r="K1192" t="inlineStr"/>
      <c r="L1192" t="inlineStr"/>
      <c r="M1192" t="inlineStr"/>
      <c r="N1192" t="inlineStr"/>
      <c r="O1192">
        <f>(1-Summary!$B$11)*T1192+Summary!$B$11*V1192</f>
        <v/>
      </c>
      <c r="P1192">
        <f>IF(B1212=0,0,O1192/B1212)</f>
        <v/>
      </c>
      <c r="Q1192" t="n">
        <v>0</v>
      </c>
      <c r="R1192" t="n">
        <v>0</v>
      </c>
      <c r="S1192">
        <f>IFERROR(O1192/N1192,0)</f>
        <v/>
      </c>
      <c r="T1192" t="n">
        <v>0</v>
      </c>
      <c r="V1192" t="n">
        <v>0</v>
      </c>
    </row>
    <row r="1193">
      <c r="A1193">
        <f>Skills!A22</f>
        <v/>
      </c>
      <c r="B1193">
        <f>Skills!B22</f>
        <v/>
      </c>
      <c r="C1193">
        <f>Inputs!$B$3&gt;=43</f>
        <v/>
      </c>
      <c r="D1193">
        <f>IF(Skills!C22=1,60+Inputs!$B$25+Inputs!$B$29,IF(Skills!C22=2,90+Inputs!$B$26+Inputs!$B$29,IF(Skills!C22=3,120+Inputs!$B$27+Inputs!$B$29,MAX(0,(Inputs!$B$3-100)*3)+Inputs!$B$28+Inputs!$B$29)))</f>
        <v/>
      </c>
      <c r="E1193">
        <f>INDEX(FactorTable!$B$2:$Y$301, MATCH(ROUND(MIN(300,MAX(1,D1193)),0), FactorTable!$A$2:$A$301,0), Skills!M22+1)</f>
        <v/>
      </c>
      <c r="F1193">
        <f>IF(Skills!N22=TRUE,(Skills!L22/10)*(E1193/1000),Skills!L22/10)+Skills!O22</f>
        <v/>
      </c>
      <c r="G1193">
        <f>Skills!G22*IF(Skills!H22&gt;0,Skills!I22/Skills!H22,1)</f>
        <v/>
      </c>
      <c r="H1193">
        <f>1-(1-Skills!J22/100)^Skills!K22</f>
        <v/>
      </c>
      <c r="I1193" t="inlineStr">
        <is>
          <t>1</t>
        </is>
      </c>
      <c r="J1193" t="inlineStr"/>
      <c r="K1193" t="inlineStr"/>
      <c r="L1193" t="inlineStr"/>
      <c r="M1193" t="inlineStr"/>
      <c r="N1193" t="inlineStr"/>
      <c r="O1193">
        <f>(1-Summary!$B$11)*T1193+Summary!$B$11*V1193</f>
        <v/>
      </c>
      <c r="P1193">
        <f>IF(B1212=0,0,O1193/B1212)</f>
        <v/>
      </c>
      <c r="Q1193" t="n">
        <v>0</v>
      </c>
      <c r="R1193" t="n">
        <v>0</v>
      </c>
      <c r="S1193">
        <f>IFERROR(O1193/N1193,0)</f>
        <v/>
      </c>
      <c r="T1193" t="n">
        <v>0</v>
      </c>
      <c r="V1193" t="n">
        <v>0</v>
      </c>
    </row>
    <row r="1194">
      <c r="A1194">
        <f>Skills!A23</f>
        <v/>
      </c>
      <c r="B1194">
        <f>Skills!B23</f>
        <v/>
      </c>
      <c r="C1194">
        <f>Inputs!$B$3&gt;=38</f>
        <v/>
      </c>
      <c r="D1194">
        <f>IF(Skills!C23=1,60+Inputs!$B$25+Inputs!$B$29,IF(Skills!C23=2,90+Inputs!$B$26+Inputs!$B$29,IF(Skills!C23=3,120+Inputs!$B$27+Inputs!$B$29,MAX(0,(Inputs!$B$3-100)*3)+Inputs!$B$28+Inputs!$B$29)))</f>
        <v/>
      </c>
      <c r="E1194">
        <f>INDEX(FactorTable!$B$2:$Y$301, MATCH(ROUND(MIN(300,MAX(1,D1194)),0), FactorTable!$A$2:$A$301,0), Skills!M23+1)</f>
        <v/>
      </c>
      <c r="F1194">
        <f>IF(Skills!N23=TRUE,(Skills!L23/10)*(E1194/1000),Skills!L23/10)+Skills!O23</f>
        <v/>
      </c>
      <c r="G1194">
        <f>Skills!G23*IF(Skills!H23&gt;0,Skills!I23/Skills!H23,1)</f>
        <v/>
      </c>
      <c r="H1194">
        <f>1-(1-Skills!J23/100)^Skills!K23</f>
        <v/>
      </c>
      <c r="I1194" t="inlineStr">
        <is>
          <t>1</t>
        </is>
      </c>
      <c r="J1194" t="inlineStr"/>
      <c r="K1194" t="inlineStr"/>
      <c r="L1194" t="inlineStr"/>
      <c r="M1194" t="inlineStr"/>
      <c r="N1194" t="inlineStr"/>
      <c r="O1194">
        <f>(1-Summary!$B$11)*T1194+Summary!$B$11*V1194</f>
        <v/>
      </c>
      <c r="P1194">
        <f>IF(B1212=0,0,O1194/B1212)</f>
        <v/>
      </c>
      <c r="Q1194" t="n">
        <v>0</v>
      </c>
      <c r="R1194" t="n">
        <v>0</v>
      </c>
      <c r="S1194">
        <f>IFERROR(O1194/N1194,0)</f>
        <v/>
      </c>
      <c r="T1194" t="n">
        <v>0</v>
      </c>
      <c r="V1194" t="n">
        <v>0</v>
      </c>
    </row>
    <row r="1195">
      <c r="A1195">
        <f>Skills!A24</f>
        <v/>
      </c>
      <c r="B1195">
        <f>Skills!B24</f>
        <v/>
      </c>
      <c r="C1195">
        <f>Inputs!$B$3&gt;=40</f>
        <v/>
      </c>
      <c r="D1195">
        <f>IF(Skills!C24=1,60+Inputs!$B$25+Inputs!$B$29,IF(Skills!C24=2,90+Inputs!$B$26+Inputs!$B$29,IF(Skills!C24=3,120+Inputs!$B$27+Inputs!$B$29,MAX(0,(Inputs!$B$3-100)*3)+Inputs!$B$28+Inputs!$B$29)))</f>
        <v/>
      </c>
      <c r="E1195">
        <f>INDEX(FactorTable!$B$2:$Y$301, MATCH(ROUND(MIN(300,MAX(1,D1195)),0), FactorTable!$A$2:$A$301,0), Skills!M24+1)</f>
        <v/>
      </c>
      <c r="F1195">
        <f>IF(Skills!N24=TRUE,(Skills!L24/10)*(E1195/1000),Skills!L24/10)+Skills!O24</f>
        <v/>
      </c>
      <c r="G1195">
        <f>Skills!G24*IF(Skills!H24&gt;0,Skills!I24/Skills!H24,1)</f>
        <v/>
      </c>
      <c r="H1195">
        <f>1-(1-Skills!J24/100)^Skills!K24</f>
        <v/>
      </c>
      <c r="I1195" t="inlineStr">
        <is>
          <t>1</t>
        </is>
      </c>
      <c r="J1195" t="inlineStr"/>
      <c r="K1195" t="inlineStr"/>
      <c r="L1195" t="inlineStr"/>
      <c r="M1195" t="inlineStr"/>
      <c r="N1195" t="inlineStr"/>
      <c r="O1195">
        <f>(1-Summary!$B$11)*T1195+Summary!$B$11*V1195</f>
        <v/>
      </c>
      <c r="P1195">
        <f>IF(B1212=0,0,O1195/B1212)</f>
        <v/>
      </c>
      <c r="Q1195" t="n">
        <v>0</v>
      </c>
      <c r="R1195" t="n">
        <v>0</v>
      </c>
      <c r="S1195">
        <f>IFERROR(O1195/N1195,0)</f>
        <v/>
      </c>
      <c r="T1195" t="n">
        <v>0</v>
      </c>
      <c r="V1195" t="n">
        <v>0</v>
      </c>
    </row>
    <row r="1196">
      <c r="A1196">
        <f>Skills!A25</f>
        <v/>
      </c>
      <c r="B1196">
        <f>Skills!B25</f>
        <v/>
      </c>
      <c r="C1196">
        <f>Inputs!$B$3&gt;=72</f>
        <v/>
      </c>
      <c r="D1196">
        <f>IF(Skills!C25=1,60+Inputs!$B$25+Inputs!$B$29,IF(Skills!C25=2,90+Inputs!$B$26+Inputs!$B$29,IF(Skills!C25=3,120+Inputs!$B$27+Inputs!$B$29,MAX(0,(Inputs!$B$3-100)*3)+Inputs!$B$28+Inputs!$B$29)))</f>
        <v/>
      </c>
      <c r="E1196">
        <f>INDEX(FactorTable!$B$2:$Y$301, MATCH(ROUND(MIN(300,MAX(1,D1196)),0), FactorTable!$A$2:$A$301,0), Skills!M25+1)</f>
        <v/>
      </c>
      <c r="F1196">
        <f>IF(Skills!N25=TRUE,(Skills!L25/10)*(E1196/1000),Skills!L25/10)+Skills!O25</f>
        <v/>
      </c>
      <c r="G1196">
        <f>Skills!G25*IF(Skills!H25&gt;0,Skills!I25/Skills!H25,1)</f>
        <v/>
      </c>
      <c r="H1196">
        <f>1-(1-Skills!J25/100)^Skills!K25</f>
        <v/>
      </c>
      <c r="I1196" t="inlineStr">
        <is>
          <t>1</t>
        </is>
      </c>
      <c r="J1196" t="inlineStr"/>
      <c r="K1196" t="inlineStr"/>
      <c r="L1196" t="inlineStr"/>
      <c r="M1196" t="inlineStr"/>
      <c r="N1196" t="inlineStr"/>
      <c r="O1196">
        <f>(1-Summary!$B$11)*T1196+Summary!$B$11*V1196</f>
        <v/>
      </c>
      <c r="P1196">
        <f>IF(B1212=0,0,O1196/B1212)</f>
        <v/>
      </c>
      <c r="Q1196" t="n">
        <v>0</v>
      </c>
      <c r="R1196" t="n">
        <v>0</v>
      </c>
      <c r="S1196">
        <f>IFERROR(O1196/N1196,0)</f>
        <v/>
      </c>
      <c r="T1196" t="n">
        <v>0</v>
      </c>
      <c r="V1196" t="n">
        <v>0</v>
      </c>
    </row>
    <row r="1197">
      <c r="A1197">
        <f>Skills!A26</f>
        <v/>
      </c>
      <c r="B1197">
        <f>Skills!B26</f>
        <v/>
      </c>
      <c r="C1197">
        <f>Inputs!$B$3&gt;=75</f>
        <v/>
      </c>
      <c r="D1197">
        <f>IF(Skills!C26=1,60+Inputs!$B$25+Inputs!$B$29,IF(Skills!C26=2,90+Inputs!$B$26+Inputs!$B$29,IF(Skills!C26=3,120+Inputs!$B$27+Inputs!$B$29,MAX(0,(Inputs!$B$3-100)*3)+Inputs!$B$28+Inputs!$B$29)))</f>
        <v/>
      </c>
      <c r="E1197">
        <f>INDEX(FactorTable!$B$2:$Y$301, MATCH(ROUND(MIN(300,MAX(1,D1197)),0), FactorTable!$A$2:$A$301,0), Skills!M26+1)</f>
        <v/>
      </c>
      <c r="F1197">
        <f>IF(Skills!N26=TRUE,(Skills!L26/10)*(E1197/1000),Skills!L26/10)+Skills!O26</f>
        <v/>
      </c>
      <c r="G1197">
        <f>Skills!G26*IF(Skills!H26&gt;0,Skills!I26/Skills!H26,1)</f>
        <v/>
      </c>
      <c r="H1197">
        <f>1-(1-Skills!J26/100)^Skills!K26</f>
        <v/>
      </c>
      <c r="I1197" t="inlineStr">
        <is>
          <t>1</t>
        </is>
      </c>
      <c r="J1197" t="inlineStr"/>
      <c r="K1197" t="inlineStr"/>
      <c r="L1197" t="inlineStr"/>
      <c r="M1197" t="inlineStr"/>
      <c r="N1197" t="inlineStr"/>
      <c r="O1197">
        <f>(1-Summary!$B$11)*T1197+Summary!$B$11*V1197</f>
        <v/>
      </c>
      <c r="P1197">
        <f>IF(B1212=0,0,O1197/B1212)</f>
        <v/>
      </c>
      <c r="Q1197" t="n">
        <v>0</v>
      </c>
      <c r="R1197" t="n">
        <v>0</v>
      </c>
      <c r="S1197">
        <f>IFERROR(O1197/N1197,0)</f>
        <v/>
      </c>
      <c r="T1197" t="n">
        <v>0</v>
      </c>
      <c r="V1197" t="n">
        <v>0</v>
      </c>
    </row>
    <row r="1198">
      <c r="A1198">
        <f>Skills!A27</f>
        <v/>
      </c>
      <c r="B1198">
        <f>Skills!B27</f>
        <v/>
      </c>
      <c r="C1198">
        <f>Inputs!$B$3&gt;=117</f>
        <v/>
      </c>
      <c r="D1198">
        <f>IF(Skills!C27=1,60+Inputs!$B$25+Inputs!$B$29,IF(Skills!C27=2,90+Inputs!$B$26+Inputs!$B$29,IF(Skills!C27=3,120+Inputs!$B$27+Inputs!$B$29,MAX(0,(Inputs!$B$3-100)*3)+Inputs!$B$28+Inputs!$B$29)))</f>
        <v/>
      </c>
      <c r="E1198">
        <f>INDEX(FactorTable!$B$2:$Y$301, MATCH(ROUND(MIN(300,MAX(1,D1198)),0), FactorTable!$A$2:$A$301,0), Skills!M27+1)</f>
        <v/>
      </c>
      <c r="F1198">
        <f>IF(Skills!N27=TRUE,(Skills!L27/10)*(E1198/1000),Skills!L27/10)+Skills!O27</f>
        <v/>
      </c>
      <c r="G1198">
        <f>Skills!G27*IF(Skills!H27&gt;0,Skills!I27/Skills!H27,1)</f>
        <v/>
      </c>
      <c r="H1198">
        <f>1-(1-Skills!J27/100)^Skills!K27</f>
        <v/>
      </c>
      <c r="I1198" t="inlineStr">
        <is>
          <t>1</t>
        </is>
      </c>
      <c r="J1198" t="inlineStr"/>
      <c r="K1198" t="inlineStr"/>
      <c r="L1198" t="inlineStr"/>
      <c r="M1198" t="inlineStr"/>
      <c r="N1198" t="inlineStr"/>
      <c r="O1198">
        <f>(1-Summary!$B$11)*T1198+Summary!$B$11*V1198</f>
        <v/>
      </c>
      <c r="P1198">
        <f>IF(B1212=0,0,O1198/B1212)</f>
        <v/>
      </c>
      <c r="Q1198" t="n">
        <v>0</v>
      </c>
      <c r="R1198" t="n">
        <v>0</v>
      </c>
      <c r="S1198">
        <f>IFERROR(O1198/N1198,0)</f>
        <v/>
      </c>
      <c r="T1198" t="n">
        <v>0</v>
      </c>
      <c r="V1198" t="n">
        <v>0</v>
      </c>
    </row>
    <row r="1199">
      <c r="A1199">
        <f>Skills!A28</f>
        <v/>
      </c>
      <c r="B1199">
        <f>Skills!B28</f>
        <v/>
      </c>
      <c r="C1199">
        <f>TRUE</f>
        <v/>
      </c>
      <c r="D1199">
        <f>IF(Skills!C28=1,60+Inputs!$B$25+Inputs!$B$29,IF(Skills!C28=2,90+Inputs!$B$26+Inputs!$B$29,IF(Skills!C28=3,120+Inputs!$B$27+Inputs!$B$29,MAX(0,(Inputs!$B$3-100)*3)+Inputs!$B$28+Inputs!$B$29)))</f>
        <v/>
      </c>
      <c r="E1199">
        <f>INDEX(FactorTable!$B$2:$Y$301, MATCH(ROUND(MIN(300,MAX(1,D1199)),0), FactorTable!$A$2:$A$301,0), Skills!M28+1)</f>
        <v/>
      </c>
      <c r="F1199">
        <f>IF(Skills!N28=TRUE,(Skills!L28/10)*(E1199/1000),Skills!L28/10)+Skills!O28</f>
        <v/>
      </c>
      <c r="G1199">
        <f>Skills!G28*IF(Skills!H28&gt;0,Skills!I28/Skills!H28,1)</f>
        <v/>
      </c>
      <c r="H1199">
        <f>1-(1-Skills!J28/100)^Skills!K28</f>
        <v/>
      </c>
      <c r="I1199" t="inlineStr">
        <is>
          <t>1</t>
        </is>
      </c>
      <c r="J1199" t="inlineStr"/>
      <c r="K1199" t="inlineStr"/>
      <c r="L1199" t="inlineStr"/>
      <c r="M1199" t="inlineStr"/>
      <c r="N1199" t="inlineStr"/>
      <c r="O1199">
        <f>(1-Summary!$B$11)*T1199+Summary!$B$11*V1199</f>
        <v/>
      </c>
      <c r="P1199">
        <f>IF(B1212=0,0,O1199/B1212)</f>
        <v/>
      </c>
      <c r="Q1199">
        <f>IFERROR(1/(IF(Inputs!$B$38="pvp",15,MAX(0.1,Skills!D28-IF(Skills!E28=TRUE,Inputs!$B$32,0)))*(1-IF(AND(ArtifactsInput!$M$27,Inputs!$B$4="Chapter Hunt"),CHOOSE(ArtifactsInput!$N$27+1,20,24,28,32,36,40),0)/100)),0)</f>
        <v/>
      </c>
      <c r="R1199">
        <f>IF(AND(Inputs!$B$38&lt;&gt;"pvp",Inputs!$B$43&gt;0),IF(Inputs!$B$43&lt;=0,0,(INT(Inputs!$B$43/(IF(Inputs!$B$38="pvp",15,MAX(0.1,Skills!D28-IF(Skills!E28=TRUE,Inputs!$B$32,0)))*(1-IF(AND(ArtifactsInput!$M$27,Inputs!$B$4="Chapter Hunt"),CHOOSE(ArtifactsInput!$N$27+1,20,24,28,32,36,40),0)/100)))+1)),0)</f>
        <v/>
      </c>
      <c r="S1199">
        <f>IFERROR(O1199/N1199,0)</f>
        <v/>
      </c>
      <c r="T1199" t="n">
        <v>0</v>
      </c>
      <c r="V1199" t="n">
        <v>0</v>
      </c>
    </row>
    <row r="1201">
      <c r="A1201" t="inlineStr">
        <is>
          <t>Attack% Bucket Multiplier</t>
        </is>
      </c>
      <c r="B1201">
        <f>(1+(((C1188=TRUE)*F1188*5/7)+((C1195=TRUE)*(F1195-Calc!F24))+(IF(ArtifactsInput!$M$21,CHOOSE(ArtifactsInput!$N$21+1,25,30,35,40,45,50)*(IF(OR(Inputs!$B$4="Chapter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02">
      <c r="A1202" t="inlineStr">
        <is>
          <t>Global Crit Rate Bonus %</t>
        </is>
      </c>
      <c r="B1202" t="n">
        <v>0</v>
      </c>
    </row>
    <row r="1203">
      <c r="A1203" t="inlineStr">
        <is>
          <t>Attack Speed Buff Bonus % (Nimble Feet, duty-cycle averaged)</t>
        </is>
      </c>
      <c r="B1203">
        <f>((C1199=TRUE)*F1199*IF(AND(Inputs!$B$38&lt;&gt;"pvp",Inputs!$B$43&gt;0),(((R1199-1)*(Skills!T28*(1+(Inputs!$B$34+1)/100))+MIN((Skills!T28*(1+(Inputs!$B$34+1)/100)),MAX(0,Inputs!$B$43-((R1199-1)*Skills!D28))))/Inputs!$B$43),IF(Inputs!$B$38="pvp",MIN((Skills!T28*(1+(Inputs!$B$34+1)/100)),15)/15,(Skills!T28*(1+(Inputs!$B$34+1)/100))/Skills!D28)))</f>
        <v/>
      </c>
    </row>
    <row r="1204">
      <c r="A1204" t="inlineStr">
        <is>
          <t>Actions Per Second</t>
        </is>
      </c>
      <c r="B1204">
        <f>1+MIN(150,150*(1-(1-(Inputs!$B$11+((C1191=TRUE)*(F1191-Calc!F20))+((C1192=TRUE)*(F1192-Calc!F21)))/150)*(1-B1203/150)))/100</f>
        <v/>
      </c>
    </row>
    <row r="1205">
      <c r="A1205" t="inlineStr">
        <is>
          <t>Skill + Buff Cast Rate</t>
        </is>
      </c>
      <c r="B1205">
        <f>IF(AND(Inputs!$B$38&lt;&gt;"pvp",Inputs!$B$43&gt;0),SUMPRODUCT((Skills!E2:E28=TRUE)*(C1173:C1199=TRUE)*R1173:R1199*Skills!F2:F28)/Inputs!$B$43,SUMPRODUCT((Skills!E2:E28=TRUE)*(C1173:C1199=TRUE)*Q1173:Q1199*Skills!F2:F28))</f>
        <v/>
      </c>
    </row>
    <row r="1206">
      <c r="A1206" t="inlineStr">
        <is>
          <t>Eight-Legs Easton Casts Per Second</t>
        </is>
      </c>
      <c r="B1206">
        <f>MAX(0,B1204-B1205)</f>
        <v/>
      </c>
    </row>
    <row r="1207">
      <c r="A1207" t="inlineStr">
        <is>
          <t>Global Critical Damage Bonus % (unused)</t>
        </is>
      </c>
      <c r="B1207" t="n">
        <v>0</v>
      </c>
    </row>
    <row r="1208">
      <c r="A1208" t="inlineStr">
        <is>
          <t>Global Final Damage Bonus % (Jolly Roger + Ahoy Mateys - Final Damage proc)</t>
        </is>
      </c>
      <c r="B1208">
        <f>((C1189=TRUE)*F1189*IF(AND(Inputs!$B$38&lt;&gt;"pvp",Inputs!$B$43&gt;0),(((R1189-1)*(Skills!T18*(1+(Inputs!$B$34+1)/100))+MIN((Skills!T18*(1+(Inputs!$B$34+1)/100)),MAX(0,Inputs!$B$43-((R1189-1)*Skills!D18))))/Inputs!$B$43),IF(Inputs!$B$38="pvp",MIN((Skills!T18*(1+(Inputs!$B$34+1)/100)),15)/15,(Skills!T18*(1+(Inputs!$B$34+1)/100))/Skills!D18)))+IF(Inputs!$B$3&gt;=122,20*IF(Inputs!$B$38="pvp",MIN((20*(1+(Inputs!$B$34+1)/100)),15)/15,(20*(1+(Inputs!$B$34+1)/100))/Skills!D4),0)</f>
        <v/>
      </c>
    </row>
    <row r="1209">
      <c r="A1209" t="inlineStr">
        <is>
          <t>Buff-Casting Startup Delay (s, fixed-duration only)</t>
        </is>
      </c>
      <c r="B1209">
        <f>IF(AND(Inputs!$B$38&lt;&gt;"pvp",Inputs!$B$43&gt;0),SUMPRODUCT((Skills!T2:T28&gt;0)*(Skills!E2:E28=TRUE)*(C1173:C1199=TRUE))/B1204,0)</f>
        <v/>
      </c>
    </row>
    <row r="1210">
      <c r="A1210" t="inlineStr">
        <is>
          <t>Boss-Only Total DPS (this block's swept value)</t>
        </is>
      </c>
      <c r="B1210">
        <f>SUM(T1173:T1199)</f>
        <v/>
      </c>
    </row>
    <row r="1211">
      <c r="A1211" t="inlineStr">
        <is>
          <t>Normal-Only Total DPS (this block's swept value)</t>
        </is>
      </c>
      <c r="B1211">
        <f>SUM(V1173:V1199)</f>
        <v/>
      </c>
    </row>
    <row r="1212">
      <c r="A1212" s="6" t="inlineStr">
        <is>
          <t>TOTAL DPS</t>
        </is>
      </c>
      <c r="B1212" s="6">
        <f>SUM(O1173:O1199)</f>
        <v/>
      </c>
    </row>
    <row r="1215">
      <c r="A1215" s="6" t="inlineStr">
        <is>
          <t>Stat: Charm of the Undead (Equip)</t>
        </is>
      </c>
    </row>
    <row r="1216">
      <c r="A1216" s="5" t="inlineStr">
        <is>
          <t>Key</t>
        </is>
      </c>
      <c r="B1216" s="5" t="inlineStr">
        <is>
          <t>Name</t>
        </is>
      </c>
      <c r="C1216" s="5" t="inlineStr">
        <is>
          <t>Unlocked</t>
        </is>
      </c>
      <c r="D1216" s="5" t="inlineStr">
        <is>
          <t>InputLevel</t>
        </is>
      </c>
      <c r="E1216" s="5" t="inlineStr">
        <is>
          <t>Factor</t>
        </is>
      </c>
      <c r="F1216" s="5" t="inlineStr">
        <is>
          <t>CoefficientPercent</t>
        </is>
      </c>
      <c r="G1216" s="5" t="inlineStr">
        <is>
          <t>EffectiveHits</t>
        </is>
      </c>
      <c r="H1216" s="5" t="inlineStr">
        <is>
          <t>ProcProbability</t>
        </is>
      </c>
      <c r="I1216" s="5" t="inlineStr">
        <is>
          <t>MapleHeroMultiplier</t>
        </is>
      </c>
      <c r="J1216" s="5" t="inlineStr">
        <is>
          <t>BaseDamage</t>
        </is>
      </c>
      <c r="K1216" s="5" t="inlineStr">
        <is>
          <t>BaseHitDamage</t>
        </is>
      </c>
      <c r="L1216" s="5" t="inlineStr">
        <is>
          <t>NonCritAvg</t>
        </is>
      </c>
      <c r="M1216" s="5" t="inlineStr">
        <is>
          <t>CritAvg</t>
        </is>
      </c>
      <c r="N1216" s="5" t="inlineStr">
        <is>
          <t>ExpectedDamage(perHit)</t>
        </is>
      </c>
      <c r="O1216" s="5" t="inlineStr">
        <is>
          <t>DPS</t>
        </is>
      </c>
      <c r="P1216" s="5" t="inlineStr">
        <is>
          <t>% of Total</t>
        </is>
      </c>
      <c r="Q1216" s="5" t="inlineStr">
        <is>
          <t>InvCooldown</t>
        </is>
      </c>
      <c r="R1216" s="5" t="inlineStr">
        <is>
          <t>CastsInFight</t>
        </is>
      </c>
      <c r="S1216" s="5" t="inlineStr">
        <is>
          <t>HitRate(perSec)</t>
        </is>
      </c>
      <c r="U1216" t="inlineStr">
        <is>
          <t>helpers</t>
        </is>
      </c>
    </row>
    <row r="1217">
      <c r="A1217">
        <f>Skills!A2</f>
        <v/>
      </c>
      <c r="B1217">
        <f>Skills!B2</f>
        <v/>
      </c>
      <c r="C1217">
        <f>Inputs!$B$3&gt;=100</f>
        <v/>
      </c>
      <c r="D1217" t="inlineStr"/>
      <c r="E1217" t="inlineStr"/>
      <c r="F1217">
        <f>U1219+Skills!O2</f>
        <v/>
      </c>
      <c r="G1217">
        <f>Skills!G2*IF(Skills!H2&gt;0,Skills!I2/Skills!H2,1)</f>
        <v/>
      </c>
      <c r="H1217">
        <f>1-(1-Skills!J2/100)^Skills!K2</f>
        <v/>
      </c>
      <c r="I1217" t="inlineStr">
        <is>
          <t>1</t>
        </is>
      </c>
      <c r="J1217">
        <f>((Inputs!$B$6*(1+Inputs!$B$7/100))+(((Inputs!$B$12*(1+Inputs!$B$13/100))-(Inputs!$B$12*(1+Inputs!$B$13/100)))+0.25*(Inputs!$B$14-Inputs!$B$14))*(1+Inputs!$B$7/100))*(F1217/100)</f>
        <v/>
      </c>
      <c r="K1217">
        <f>J1217*(1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1217)</f>
        <v/>
      </c>
      <c r="L1217">
        <f>K1217*(MIN(Inputs!$B$22+((C1237=TRUE)*(F1237-Calc!F22)),(Inputs!$B$23+0+(IF(ArtifactsInput!$M$15,CHOOSE(ArtifactsInput!$N$15+1,25,30,35,40,45,50)/100*(Inputs!$B$11-Inputs!$B$11),0))))/100+(Inputs!$B$23+0+(IF(ArtifactsInput!$M$15,CHOOSE(ArtifactsInput!$N$15+1,25,30,35,40,45,50)/100*(Inputs!$B$11-Inputs!$B$11),0)))/100)/2</f>
        <v/>
      </c>
      <c r="M1217">
        <f>L1217*(1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7">
        <f>L1217*(1-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1217*(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7">
        <f>(1-Summary!$B$11)*T1217+Summary!$B$11*V1217</f>
        <v/>
      </c>
      <c r="P1217">
        <f>IF(B1256=0,0,O1217/B1256)</f>
        <v/>
      </c>
      <c r="Q1217" t="n">
        <v>0</v>
      </c>
      <c r="R1217" t="n">
        <v>0</v>
      </c>
      <c r="S1217">
        <f>IFERROR(O1217/N1217,0)</f>
        <v/>
      </c>
      <c r="T1217">
        <f>IF(C1217,(Skills!G2*N1217*B1250)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1217*(1-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1217*(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1217*(1-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1217*(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7">
        <f>MAX(0,(Inputs!$B$3-100)*3)+Inputs!$B$28+Inputs!$B$29</f>
        <v/>
      </c>
      <c r="V1217">
        <f>IF(C1217,(Skills!G2*N1217*B1250)*IF(Inputs!$B$38="pvp",1,(1+(Inputs!$B$21+Skills!Q2+(IF(ArtifactsInput!$M$33,CHOOSE(ArtifactsInput!$N$33+1,30,36,42,48,54,60),0))+(IF(AND(ArtifactsInput!$M$35,Inputs!$B$4&lt;&gt;"Chapter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8">
      <c r="A1218">
        <f>Skills!A3</f>
        <v/>
      </c>
      <c r="B1218">
        <f>Skills!B3</f>
        <v/>
      </c>
      <c r="C1218">
        <f>Inputs!$B$3&gt;=35</f>
        <v/>
      </c>
      <c r="D1218">
        <f>IF(Skills!C3=1,60+Inputs!$B$25+Inputs!$B$29,IF(Skills!C3=2,90+Inputs!$B$26+Inputs!$B$29,IF(Skills!C3=3,120+Inputs!$B$27+Inputs!$B$29,MAX(0,(Inputs!$B$3-100)*3)+Inputs!$B$28+Inputs!$B$29)))</f>
        <v/>
      </c>
      <c r="E1218">
        <f>INDEX(FactorTable!$B$2:$Y$301, MATCH(ROUND(MIN(300,MAX(1,D1218)),0), FactorTable!$A$2:$A$301,0), Skills!M3+1)</f>
        <v/>
      </c>
      <c r="F1218">
        <f>IF(Skills!N3=TRUE,(Skills!L3/10)*(E1218/1000),Skills!L3/10)+Skills!O3</f>
        <v/>
      </c>
      <c r="G1218">
        <f>Skills!G3*IF(Skills!H3&gt;0,Skills!I3/Skills!H3,1)</f>
        <v/>
      </c>
      <c r="H1218">
        <f>1-(1-Skills!J3/100)^Skills!K3</f>
        <v/>
      </c>
      <c r="I1218" t="inlineStr">
        <is>
          <t>1</t>
        </is>
      </c>
      <c r="J1218">
        <f>((Inputs!$B$6*(1+Inputs!$B$7/100))+(((Inputs!$B$12*(1+Inputs!$B$13/100))-(Inputs!$B$12*(1+Inputs!$B$13/100)))+0.25*(Inputs!$B$14-Inputs!$B$14))*(1+Inputs!$B$7/100))*(F1218/100)</f>
        <v/>
      </c>
      <c r="K1218">
        <f>J1218*(1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1230=TRUE,F1230,0)/100)*(1+(IF(Skills!A3="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1218)</f>
        <v/>
      </c>
      <c r="L1218">
        <f>K1218*(MIN(Inputs!$B$22+((C1237=TRUE)*(F1237-Calc!F22)),(Inputs!$B$23+0+(IF(ArtifactsInput!$M$15,CHOOSE(ArtifactsInput!$N$15+1,25,30,35,40,45,50)/100*(Inputs!$B$11-Inputs!$B$11),0))))/100+(Inputs!$B$23+0+(IF(ArtifactsInput!$M$15,CHOOSE(ArtifactsInput!$N$15+1,25,30,35,40,45,50)/100*(Inputs!$B$11-Inputs!$B$11),0)))/100)/2</f>
        <v/>
      </c>
      <c r="M1218">
        <f>L1218*(1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8">
        <f>L1218*(1-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1218*(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8">
        <f>(1-Summary!$B$11)*T1218+Summary!$B$11*V1218</f>
        <v/>
      </c>
      <c r="P1218">
        <f>IF(B1256=0,0,O1218/B1256)</f>
        <v/>
      </c>
      <c r="Q1218">
        <f>IFERROR(1/(IF(Inputs!$B$38="pvp",15,MAX(0.1,Skills!D3-IF(Skills!E3=TRUE,Inputs!$B$32,0)))*(1-IF(AND(ArtifactsInput!$M$27,Inputs!$B$4="Chapter Hunt"),CHOOSE(ArtifactsInput!$N$27+1,20,24,28,32,36,40),0)/100)),0)</f>
        <v/>
      </c>
      <c r="R1218">
        <f>IF(AND(Inputs!$B$38&lt;&gt;"pvp",Inputs!$B$43&gt;0),IF(MAX(0,Inputs!$B$43-B1253)&lt;=0,0,(INT(MAX(0,Inputs!$B$43-B1253)/(IF(Inputs!$B$38="pvp",15,MAX(0.1,Skills!D3-IF(Skills!E3=TRUE,Inputs!$B$32,0)))*(1-IF(AND(ArtifactsInput!$M$27,Inputs!$B$4="Chapter Hunt"),CHOOSE(ArtifactsInput!$N$27+1,20,24,28,32,36,40),0)/100)))+1)),0)</f>
        <v/>
      </c>
      <c r="S1218">
        <f>IFERROR(O1218/N1218,0)</f>
        <v/>
      </c>
      <c r="T1218">
        <f>IF(C1218,(H1218*N1218*IF(AND(Inputs!$B$38&lt;&gt;"pvp",Inputs!$B$43&gt;0),((Skills!G3*((R1218-1)*IF(Skills!H3&gt;0,Skills!I3/Skills!H3,1)+IF(Skills!H3&gt;0,MIN(Skills!I3,MAX(0,MAX(0,Inputs!$B$43-B1253)-((R1218-1)*(IF(Inputs!$B$38="pvp",15,MAX(0.1,Skills!D3-IF(Skills!E3=TRUE,Inputs!$B$32,0)))*(1-IF(AND(ArtifactsInput!$M$27,Inputs!$B$4="Chapter Hunt"),CHOOSE(ArtifactsInput!$N$27+1,20,24,28,32,36,40),0)/100)))))/Skills!H3,1)))/Inputs!$B$43),G1218*Q1218)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1218*(1-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1218*(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1218*(1-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1218*(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8">
        <f>INDEX(FactorTable!$B$2:$Y$301, MATCH(ROUND(MIN(300,MAX(1,U1217)),0), FactorTable!$A$2:$A$301,0), 22)</f>
        <v/>
      </c>
      <c r="V1218">
        <f>IF(C1218,(H1218*N1218*IF(AND(Inputs!$B$38&lt;&gt;"pvp",Inputs!$B$43&gt;0),((Skills!G3*((R1218-1)*IF(Skills!H3&gt;0,Skills!I3/Skills!H3,1)+IF(Skills!H3&gt;0,MIN(Skills!I3,MAX(0,MAX(0,Inputs!$B$43-B1253)-((R1218-1)*(IF(Inputs!$B$38="pvp",15,MAX(0.1,Skills!D3-IF(Skills!E3=TRUE,Inputs!$B$32,0)))*(1-IF(AND(ArtifactsInput!$M$27,Inputs!$B$4="Chapter Hunt"),CHOOSE(ArtifactsInput!$N$27+1,20,24,28,32,36,40),0)/100)))))/Skills!H3,1)))/Inputs!$B$43),G1218*Q1218))*IF(Inputs!$B$38="pvp",1,(1+(Inputs!$B$21+Skills!Q3+(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9">
      <c r="A1219">
        <f>Skills!A4</f>
        <v/>
      </c>
      <c r="B1219">
        <f>Skills!B4</f>
        <v/>
      </c>
      <c r="C1219">
        <f>Inputs!$B$3&gt;=40</f>
        <v/>
      </c>
      <c r="D1219">
        <f>IF(Skills!C4=1,60+Inputs!$B$25+Inputs!$B$29,IF(Skills!C4=2,90+Inputs!$B$26+Inputs!$B$29,IF(Skills!C4=3,120+Inputs!$B$27+Inputs!$B$29,MAX(0,(Inputs!$B$3-100)*3)+Inputs!$B$28+Inputs!$B$29)))</f>
        <v/>
      </c>
      <c r="E1219">
        <f>INDEX(FactorTable!$B$2:$Y$301, MATCH(ROUND(MIN(300,MAX(1,D1219)),0), FactorTable!$A$2:$A$301,0), Skills!M4+1)</f>
        <v/>
      </c>
      <c r="F1219">
        <f>IF(Skills!N4=TRUE,(Skills!L4/10)*(E1219/1000),Skills!L4/10)+Skills!O4</f>
        <v/>
      </c>
      <c r="G1219">
        <f>Skills!G4*IF(Skills!H4&gt;0,Skills!I4/Skills!H4,1)</f>
        <v/>
      </c>
      <c r="H1219">
        <f>1-(1-Skills!J4/100)^Skills!K4</f>
        <v/>
      </c>
      <c r="I1219" t="inlineStr">
        <is>
          <t>1</t>
        </is>
      </c>
      <c r="J1219">
        <f>((Inputs!$B$6*(1+Inputs!$B$7/100))+(((Inputs!$B$12*(1+Inputs!$B$13/100))-(Inputs!$B$12*(1+Inputs!$B$13/100)))+0.25*(Inputs!$B$14-Inputs!$B$14))*(1+Inputs!$B$7/100))*(F1219/100)</f>
        <v/>
      </c>
      <c r="K1219">
        <f>J1219*(1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1231=TRUE,F1231,0)/100)*(1+(IF(Skills!A4="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1219)</f>
        <v/>
      </c>
      <c r="L1219">
        <f>K1219*(MIN(Inputs!$B$22+((C1237=TRUE)*(F1237-Calc!F22)),(Inputs!$B$23+0+(IF(ArtifactsInput!$M$15,CHOOSE(ArtifactsInput!$N$15+1,25,30,35,40,45,50)/100*(Inputs!$B$11-Inputs!$B$11),0))))/100+(Inputs!$B$23+0+(IF(ArtifactsInput!$M$15,CHOOSE(ArtifactsInput!$N$15+1,25,30,35,40,45,50)/100*(Inputs!$B$11-Inputs!$B$11),0)))/100)/2</f>
        <v/>
      </c>
      <c r="M1219">
        <f>L1219*(1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9">
        <f>L1219*(1-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1219*(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9">
        <f>(1-Summary!$B$11)*T1219+Summary!$B$11*V1219</f>
        <v/>
      </c>
      <c r="P1219">
        <f>IF(B1256=0,0,O1219/B1256)</f>
        <v/>
      </c>
      <c r="Q1219">
        <f>IFERROR(1/(IF(Inputs!$B$38="pvp",15,MAX(0.1,Skills!D4-IF(Skills!E4=TRUE,Inputs!$B$32,0)))*(1-IF(AND(ArtifactsInput!$M$27,Inputs!$B$4="Chapter Hunt"),CHOOSE(ArtifactsInput!$N$27+1,20,24,28,32,36,40),0)/100)),0)</f>
        <v/>
      </c>
      <c r="R1219">
        <f>IF(AND(Inputs!$B$38&lt;&gt;"pvp",Inputs!$B$43&gt;0),IF(MAX(0,Inputs!$B$43-B1253)&lt;=0,0,(INT(MAX(0,Inputs!$B$43-B1253)/(IF(Inputs!$B$38="pvp",15,MAX(0.1,Skills!D4-IF(Skills!E4=TRUE,Inputs!$B$32,0)))*(1-IF(AND(ArtifactsInput!$M$27,Inputs!$B$4="Chapter Hunt"),CHOOSE(ArtifactsInput!$N$27+1,20,24,28,32,36,40),0)/100)))+1)),0)</f>
        <v/>
      </c>
      <c r="S1219">
        <f>IFERROR(O1219/N1219,0)</f>
        <v/>
      </c>
      <c r="T1219">
        <f>IF(C1219,(H1219*N1219*IF(AND(Inputs!$B$38&lt;&gt;"pvp",Inputs!$B$43&gt;0),((Skills!G4*((R1219-1)*IF(Skills!H4&gt;0,Skills!I4/Skills!H4,1)+IF(Skills!H4&gt;0,MIN(Skills!I4,MAX(0,MAX(0,Inputs!$B$43-B1253)-((R1219-1)*(IF(Inputs!$B$38="pvp",15,MAX(0.1,Skills!D4-IF(Skills!E4=TRUE,Inputs!$B$32,0)))*(1-IF(AND(ArtifactsInput!$M$27,Inputs!$B$4="Chapter Hunt"),CHOOSE(ArtifactsInput!$N$27+1,20,24,28,32,36,40),0)/100)))))/Skills!H4,1)))/Inputs!$B$43),G1219*Q1219)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1219*(1-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1219*(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1219*(1-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1219*(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9">
        <f>290*U1218/1000</f>
        <v/>
      </c>
      <c r="V1219">
        <f>IF(C1219,(H1219*N1219*IF(AND(Inputs!$B$38&lt;&gt;"pvp",Inputs!$B$43&gt;0),((Skills!G4*((R1219-1)*IF(Skills!H4&gt;0,Skills!I4/Skills!H4,1)+IF(Skills!H4&gt;0,MIN(Skills!I4,MAX(0,MAX(0,Inputs!$B$43-B1253)-((R1219-1)*(IF(Inputs!$B$38="pvp",15,MAX(0.1,Skills!D4-IF(Skills!E4=TRUE,Inputs!$B$32,0)))*(1-IF(AND(ArtifactsInput!$M$27,Inputs!$B$4="Chapter Hunt"),CHOOSE(ArtifactsInput!$N$27+1,20,24,28,32,36,40),0)/100)))))/Skills!H4,1)))/Inputs!$B$43),G1219*Q1219))*IF(Inputs!$B$38="pvp",1,(1+(Inputs!$B$21+Skills!Q4+(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0">
      <c r="A1220">
        <f>Skills!A5</f>
        <v/>
      </c>
      <c r="B1220">
        <f>Skills!B5</f>
        <v/>
      </c>
      <c r="C1220">
        <f>Inputs!$B$3&gt;=45</f>
        <v/>
      </c>
      <c r="D1220">
        <f>IF(Skills!C5=1,60+Inputs!$B$25+Inputs!$B$29,IF(Skills!C5=2,90+Inputs!$B$26+Inputs!$B$29,IF(Skills!C5=3,120+Inputs!$B$27+Inputs!$B$29,MAX(0,(Inputs!$B$3-100)*3)+Inputs!$B$28+Inputs!$B$29)))</f>
        <v/>
      </c>
      <c r="E1220">
        <f>INDEX(FactorTable!$B$2:$Y$301, MATCH(ROUND(MIN(300,MAX(1,D1220)),0), FactorTable!$A$2:$A$301,0), Skills!M5+1)</f>
        <v/>
      </c>
      <c r="F1220">
        <f>IF(Skills!N5=TRUE,(Skills!L5/10)*(E1220/1000),Skills!L5/10)+Skills!O5</f>
        <v/>
      </c>
      <c r="G1220">
        <f>Skills!G5*IF(Skills!H5&gt;0,Skills!I5/Skills!H5,1)</f>
        <v/>
      </c>
      <c r="H1220">
        <f>1-(1-Skills!J5/100)^Skills!K5</f>
        <v/>
      </c>
      <c r="I1220" t="inlineStr">
        <is>
          <t>1</t>
        </is>
      </c>
      <c r="J1220">
        <f>((Inputs!$B$6*(1+Inputs!$B$7/100))+(((Inputs!$B$12*(1+Inputs!$B$13/100))-(Inputs!$B$12*(1+Inputs!$B$13/100)))+0.25*(Inputs!$B$14-Inputs!$B$14))*(1+Inputs!$B$7/100))*(F1220/100)</f>
        <v/>
      </c>
      <c r="K1220">
        <f>J1220*(1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1231=TRUE,F1231,0)/100)*(1+(IF(Skills!A5="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1220)</f>
        <v/>
      </c>
      <c r="L1220">
        <f>K1220*(MIN(Inputs!$B$22+((C1237=TRUE)*(F1237-Calc!F22)),(Inputs!$B$23+0+(IF(ArtifactsInput!$M$15,CHOOSE(ArtifactsInput!$N$15+1,25,30,35,40,45,50)/100*(Inputs!$B$11-Inputs!$B$11),0))))/100+(Inputs!$B$23+0+(IF(ArtifactsInput!$M$15,CHOOSE(ArtifactsInput!$N$15+1,25,30,35,40,45,50)/100*(Inputs!$B$11-Inputs!$B$11),0)))/100)/2</f>
        <v/>
      </c>
      <c r="M1220">
        <f>L1220*(1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0">
        <f>L1220*(1-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1220*(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0">
        <f>(1-Summary!$B$11)*T1220+Summary!$B$11*V1220</f>
        <v/>
      </c>
      <c r="P1220">
        <f>IF(B1256=0,0,O1220/B1256)</f>
        <v/>
      </c>
      <c r="Q1220">
        <f>IFERROR(1/(IF(Inputs!$B$38="pvp",15,MAX(0.1,Skills!D5-IF(Skills!E5=TRUE,Inputs!$B$32,0)))*(1-IF(AND(ArtifactsInput!$M$27,Inputs!$B$4="Chapter Hunt"),CHOOSE(ArtifactsInput!$N$27+1,20,24,28,32,36,40),0)/100)),0)</f>
        <v/>
      </c>
      <c r="R1220">
        <f>IF(AND(Inputs!$B$38&lt;&gt;"pvp",Inputs!$B$43&gt;0),IF(MAX(0,Inputs!$B$43-B1253)&lt;=0,0,(INT(MAX(0,Inputs!$B$43-B1253)/(IF(Inputs!$B$38="pvp",15,MAX(0.1,Skills!D5-IF(Skills!E5=TRUE,Inputs!$B$32,0)))*(1-IF(AND(ArtifactsInput!$M$27,Inputs!$B$4="Chapter Hunt"),CHOOSE(ArtifactsInput!$N$27+1,20,24,28,32,36,40),0)/100)))+1)),0)</f>
        <v/>
      </c>
      <c r="S1220">
        <f>IFERROR(O1220/N1220,0)</f>
        <v/>
      </c>
      <c r="T1220">
        <f>IF(C1220,(H1220*N1220*IF(AND(Inputs!$B$38&lt;&gt;"pvp",Inputs!$B$43&gt;0),((Skills!G5*((R1220-1)*IF(Skills!H5&gt;0,Skills!I5/Skills!H5,1)+IF(Skills!H5&gt;0,MIN(Skills!I5,MAX(0,MAX(0,Inputs!$B$43-B1253)-((R1220-1)*(IF(Inputs!$B$38="pvp",15,MAX(0.1,Skills!D5-IF(Skills!E5=TRUE,Inputs!$B$32,0)))*(1-IF(AND(ArtifactsInput!$M$27,Inputs!$B$4="Chapter Hunt"),CHOOSE(ArtifactsInput!$N$27+1,20,24,28,32,36,40),0)/100)))))/Skills!H5,1)))/Inputs!$B$43),G1220*Q1220)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1220*(1-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1220*(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1220*(1-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1220*(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0">
        <f>IF(C1220,(H1220*N1220*IF(AND(Inputs!$B$38&lt;&gt;"pvp",Inputs!$B$43&gt;0),((Skills!G5*((R1220-1)*IF(Skills!H5&gt;0,Skills!I5/Skills!H5,1)+IF(Skills!H5&gt;0,MIN(Skills!I5,MAX(0,MAX(0,Inputs!$B$43-B1253)-((R1220-1)*(IF(Inputs!$B$38="pvp",15,MAX(0.1,Skills!D5-IF(Skills!E5=TRUE,Inputs!$B$32,0)))*(1-IF(AND(ArtifactsInput!$M$27,Inputs!$B$4="Chapter Hunt"),CHOOSE(ArtifactsInput!$N$27+1,20,24,28,32,36,40),0)/100)))))/Skills!H5,1)))/Inputs!$B$43),G1220*Q1220))*IF(Inputs!$B$38="pvp",1,(1+(Inputs!$B$21+Skills!Q5+(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1">
      <c r="A1221">
        <f>Skills!A6</f>
        <v/>
      </c>
      <c r="B1221">
        <f>Skills!B6</f>
        <v/>
      </c>
      <c r="C1221">
        <f>Inputs!$B$3&gt;=63</f>
        <v/>
      </c>
      <c r="D1221">
        <f>IF(Skills!C6=1,60+Inputs!$B$25+Inputs!$B$29,IF(Skills!C6=2,90+Inputs!$B$26+Inputs!$B$29,IF(Skills!C6=3,120+Inputs!$B$27+Inputs!$B$29,MAX(0,(Inputs!$B$3-100)*3)+Inputs!$B$28+Inputs!$B$29)))</f>
        <v/>
      </c>
      <c r="E1221">
        <f>INDEX(FactorTable!$B$2:$Y$301, MATCH(ROUND(MIN(300,MAX(1,D1221)),0), FactorTable!$A$2:$A$301,0), Skills!M6+1)</f>
        <v/>
      </c>
      <c r="F1221">
        <f>IF(Skills!N6=TRUE,(Skills!L6/10)*(E1221/1000),Skills!L6/10)+Skills!O6</f>
        <v/>
      </c>
      <c r="G1221">
        <f>Skills!G6*IF(Skills!H6&gt;0,Skills!I6/Skills!H6,1)</f>
        <v/>
      </c>
      <c r="H1221">
        <f>1-(1-Skills!J6/100)^Skills!K6</f>
        <v/>
      </c>
      <c r="I1221" t="inlineStr">
        <is>
          <t>1</t>
        </is>
      </c>
      <c r="J1221">
        <f>((Inputs!$B$6*(1+Inputs!$B$7/100))+(((Inputs!$B$12*(1+Inputs!$B$13/100))-(Inputs!$B$12*(1+Inputs!$B$13/100)))+0.25*(Inputs!$B$14-Inputs!$B$14))*(1+Inputs!$B$7/100))*(F1221/100)</f>
        <v/>
      </c>
      <c r="K1221">
        <f>J1221*(1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1230=TRUE,F1230,0)/100)*(1+(IF(Skills!A6="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1221)</f>
        <v/>
      </c>
      <c r="L1221">
        <f>K1221*(MIN(Inputs!$B$22+((C1237=TRUE)*(F1237-Calc!F22)),(Inputs!$B$23+0+(IF(ArtifactsInput!$M$15,CHOOSE(ArtifactsInput!$N$15+1,25,30,35,40,45,50)/100*(Inputs!$B$11-Inputs!$B$11),0))))/100+(Inputs!$B$23+0+(IF(ArtifactsInput!$M$15,CHOOSE(ArtifactsInput!$N$15+1,25,30,35,40,45,50)/100*(Inputs!$B$11-Inputs!$B$11),0)))/100)/2</f>
        <v/>
      </c>
      <c r="M1221">
        <f>L1221*(1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1">
        <f>L1221*(1-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1">
        <f>(1-Summary!$B$11)*T1221+Summary!$B$11*V1221</f>
        <v/>
      </c>
      <c r="P1221">
        <f>IF(B1256=0,0,O1221/B1256)</f>
        <v/>
      </c>
      <c r="Q1221">
        <f>IFERROR(1/(IF(Inputs!$B$38="pvp",15,MAX(0.1,Skills!D6-IF(Skills!E6=TRUE,Inputs!$B$32,0)))*(1-IF(AND(ArtifactsInput!$M$27,Inputs!$B$4="Chapter Hunt"),CHOOSE(ArtifactsInput!$N$27+1,20,24,28,32,36,40),0)/100)),0)</f>
        <v/>
      </c>
      <c r="R1221">
        <f>IF(AND(Inputs!$B$38&lt;&gt;"pvp",Inputs!$B$43&gt;0),IF(MAX(0,Inputs!$B$43-B1253)&lt;=0,0,(INT(MAX(0,Inputs!$B$43-B1253)/(IF(Inputs!$B$38="pvp",15,MAX(0.1,Skills!D6-IF(Skills!E6=TRUE,Inputs!$B$32,0)))*(1-IF(AND(ArtifactsInput!$M$27,Inputs!$B$4="Chapter Hunt"),CHOOSE(ArtifactsInput!$N$27+1,20,24,28,32,36,40),0)/100)))+1)),0)</f>
        <v/>
      </c>
      <c r="S1221">
        <f>IFERROR(O1221/N1221,0)</f>
        <v/>
      </c>
      <c r="T1221">
        <f>IF(C1221,(H1221*N1221*IF(AND(Inputs!$B$38&lt;&gt;"pvp",Inputs!$B$43&gt;0),((Skills!G6*((R1221-1)*IF(Skills!H6&gt;0,Skills!I6/Skills!H6,1)+IF(Skills!H6&gt;0,MIN(Skills!I6,MAX(0,MAX(0,Inputs!$B$43-B1253)-((R1221-1)*(IF(Inputs!$B$38="pvp",15,MAX(0.1,Skills!D6-IF(Skills!E6=TRUE,Inputs!$B$32,0)))*(1-IF(AND(ArtifactsInput!$M$27,Inputs!$B$4="Chapter Hunt"),CHOOSE(ArtifactsInput!$N$27+1,20,24,28,32,36,40),0)/100)))))/Skills!H6,1)))/Inputs!$B$43),G1221*Q1221)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1221*(1-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1">
        <f>IF(C1221,(H1221*N1221*IF(AND(Inputs!$B$38&lt;&gt;"pvp",Inputs!$B$43&gt;0),((Skills!G6*((R1221-1)*IF(Skills!H6&gt;0,Skills!I6/Skills!H6,1)+IF(Skills!H6&gt;0,MIN(Skills!I6,MAX(0,MAX(0,Inputs!$B$43-B1253)-((R1221-1)*(IF(Inputs!$B$38="pvp",15,MAX(0.1,Skills!D6-IF(Skills!E6=TRUE,Inputs!$B$32,0)))*(1-IF(AND(ArtifactsInput!$M$27,Inputs!$B$4="Chapter Hunt"),CHOOSE(ArtifactsInput!$N$27+1,20,24,28,32,36,40),0)/100)))))/Skills!H6,1)))/Inputs!$B$43),G1221*Q1221))*IF(Inputs!$B$38="pvp",1,(1+(Inputs!$B$21+Skills!Q6+(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2">
      <c r="A1222">
        <f>Skills!A7</f>
        <v/>
      </c>
      <c r="B1222">
        <f>Skills!B7</f>
        <v/>
      </c>
      <c r="C1222">
        <f>Inputs!$B$3&gt;=66</f>
        <v/>
      </c>
      <c r="D1222">
        <f>IF(Skills!C7=1,60+Inputs!$B$25+Inputs!$B$29,IF(Skills!C7=2,90+Inputs!$B$26+Inputs!$B$29,IF(Skills!C7=3,120+Inputs!$B$27+Inputs!$B$29,MAX(0,(Inputs!$B$3-100)*3)+Inputs!$B$28+Inputs!$B$29)))</f>
        <v/>
      </c>
      <c r="E1222">
        <f>INDEX(FactorTable!$B$2:$Y$301, MATCH(ROUND(MIN(300,MAX(1,D1222)),0), FactorTable!$A$2:$A$301,0), Skills!M7+1)</f>
        <v/>
      </c>
      <c r="F1222">
        <f>IF(Skills!N7=TRUE,(Skills!L7/10)*(E1222/1000),Skills!L7/10)+Skills!O7</f>
        <v/>
      </c>
      <c r="G1222">
        <f>Skills!G7*IF(Skills!H7&gt;0,Skills!I7/Skills!H7,1)</f>
        <v/>
      </c>
      <c r="H1222">
        <f>1-(1-Skills!J7/100)^Skills!K7</f>
        <v/>
      </c>
      <c r="I1222" t="inlineStr">
        <is>
          <t>1</t>
        </is>
      </c>
      <c r="J1222">
        <f>((Inputs!$B$6*(1+Inputs!$B$7/100))+(((Inputs!$B$12*(1+Inputs!$B$13/100))-(Inputs!$B$12*(1+Inputs!$B$13/100)))+0.25*(Inputs!$B$14-Inputs!$B$14))*(1+Inputs!$B$7/100))*(F1222/100)</f>
        <v/>
      </c>
      <c r="K1222">
        <f>J1222*(1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1230=TRUE,F1230,0)/100)*(1+(IF(Skills!A7="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1222)</f>
        <v/>
      </c>
      <c r="L1222">
        <f>K1222*(MIN(Inputs!$B$22+((C1237=TRUE)*(F1237-Calc!F22)),(Inputs!$B$23+0+(IF(ArtifactsInput!$M$15,CHOOSE(ArtifactsInput!$N$15+1,25,30,35,40,45,50)/100*(Inputs!$B$11-Inputs!$B$11),0))))/100+(Inputs!$B$23+0+(IF(ArtifactsInput!$M$15,CHOOSE(ArtifactsInput!$N$15+1,25,30,35,40,45,50)/100*(Inputs!$B$11-Inputs!$B$11),0)))/100)/2</f>
        <v/>
      </c>
      <c r="M1222">
        <f>L1222*(1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2">
        <f>L1222*(1-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1222*(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2">
        <f>(1-Summary!$B$11)*T1222+Summary!$B$11*V1222</f>
        <v/>
      </c>
      <c r="P1222">
        <f>IF(B1256=0,0,O1222/B1256)</f>
        <v/>
      </c>
      <c r="Q1222">
        <f>IFERROR(1/(IF(Inputs!$B$38="pvp",15,MAX(0.1,Skills!D7-IF(Skills!E7=TRUE,Inputs!$B$32,0)))*(1-IF(AND(ArtifactsInput!$M$27,Inputs!$B$4="Chapter Hunt"),CHOOSE(ArtifactsInput!$N$27+1,20,24,28,32,36,40),0)/100)),0)</f>
        <v/>
      </c>
      <c r="R1222">
        <f>IF(AND(Inputs!$B$38&lt;&gt;"pvp",Inputs!$B$43&gt;0),IF(MAX(0,Inputs!$B$43-B1253)&lt;=0,0,(INT(MAX(0,Inputs!$B$43-B1253)/(IF(Inputs!$B$38="pvp",15,MAX(0.1,Skills!D7-IF(Skills!E7=TRUE,Inputs!$B$32,0)))*(1-IF(AND(ArtifactsInput!$M$27,Inputs!$B$4="Chapter Hunt"),CHOOSE(ArtifactsInput!$N$27+1,20,24,28,32,36,40),0)/100)))+1)),0)</f>
        <v/>
      </c>
      <c r="S1222">
        <f>IFERROR(O1222/N1222,0)</f>
        <v/>
      </c>
      <c r="T1222">
        <f>IF(C1222,(H1222*N1222*IF(AND(Inputs!$B$38&lt;&gt;"pvp",Inputs!$B$43&gt;0),((Skills!G7*((R1222-1)*IF(Skills!H7&gt;0,Skills!I7/Skills!H7,1)+IF(Skills!H7&gt;0,MIN(Skills!I7,MAX(0,MAX(0,Inputs!$B$43-B1253)-((R1222-1)*(IF(Inputs!$B$38="pvp",15,MAX(0.1,Skills!D7-IF(Skills!E7=TRUE,Inputs!$B$32,0)))*(1-IF(AND(ArtifactsInput!$M$27,Inputs!$B$4="Chapter Hunt"),CHOOSE(ArtifactsInput!$N$27+1,20,24,28,32,36,40),0)/100)))))/Skills!H7,1)))/Inputs!$B$43),G1222*Q1222)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1222*(1-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1222*(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1222*(1-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1222*(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2">
        <f>IF(C1222,(H1222*N1222*IF(AND(Inputs!$B$38&lt;&gt;"pvp",Inputs!$B$43&gt;0),((Skills!G7*((R1222-1)*IF(Skills!H7&gt;0,Skills!I7/Skills!H7,1)+IF(Skills!H7&gt;0,MIN(Skills!I7,MAX(0,MAX(0,Inputs!$B$43-B1253)-((R1222-1)*(IF(Inputs!$B$38="pvp",15,MAX(0.1,Skills!D7-IF(Skills!E7=TRUE,Inputs!$B$32,0)))*(1-IF(AND(ArtifactsInput!$M$27,Inputs!$B$4="Chapter Hunt"),CHOOSE(ArtifactsInput!$N$27+1,20,24,28,32,36,40),0)/100)))))/Skills!H7,1)))/Inputs!$B$43),G1222*Q1222))*IF(Inputs!$B$38="pvp",1,(1+(Inputs!$B$21+Skills!Q7+(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3">
      <c r="A1223">
        <f>Skills!A8</f>
        <v/>
      </c>
      <c r="B1223">
        <f>Skills!B8</f>
        <v/>
      </c>
      <c r="C1223">
        <f>Inputs!$B$3&gt;=100</f>
        <v/>
      </c>
      <c r="D1223">
        <f>IF(Skills!C8=1,60+Inputs!$B$25+Inputs!$B$29,IF(Skills!C8=2,90+Inputs!$B$26+Inputs!$B$29,IF(Skills!C8=3,120+Inputs!$B$27+Inputs!$B$29,MAX(0,(Inputs!$B$3-100)*3)+Inputs!$B$28+Inputs!$B$29)))</f>
        <v/>
      </c>
      <c r="E1223">
        <f>INDEX(FactorTable!$B$2:$Y$301, MATCH(ROUND(MIN(300,MAX(1,D1223)),0), FactorTable!$A$2:$A$301,0), Skills!M8+1)</f>
        <v/>
      </c>
      <c r="F1223">
        <f>IF(Skills!N8=TRUE,(Skills!L8/10)*(E1223/1000),Skills!L8/10)+Skills!O8</f>
        <v/>
      </c>
      <c r="G1223">
        <f>Skills!G8*IF(Skills!H8&gt;0,Skills!I8/Skills!H8,1)</f>
        <v/>
      </c>
      <c r="H1223">
        <f>1-(1-Skills!J8/100)^Skills!K8</f>
        <v/>
      </c>
      <c r="I1223" t="inlineStr">
        <is>
          <t>1</t>
        </is>
      </c>
      <c r="J1223">
        <f>((Inputs!$B$6*(1+Inputs!$B$7/100))+(((Inputs!$B$12*(1+Inputs!$B$13/100))-(Inputs!$B$12*(1+Inputs!$B$13/100)))+0.25*(Inputs!$B$14-Inputs!$B$14))*(1+Inputs!$B$7/100))*(F1223/100)</f>
        <v/>
      </c>
      <c r="K1223">
        <f>J1223*(1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1223)</f>
        <v/>
      </c>
      <c r="L1223">
        <f>K1223*(MIN(Inputs!$B$22+((C1237=TRUE)*(F1237-Calc!F22)),(Inputs!$B$23+0+(IF(ArtifactsInput!$M$15,CHOOSE(ArtifactsInput!$N$15+1,25,30,35,40,45,50)/100*(Inputs!$B$11-Inputs!$B$11),0))))/100+(Inputs!$B$23+0+(IF(ArtifactsInput!$M$15,CHOOSE(ArtifactsInput!$N$15+1,25,30,35,40,45,50)/100*(Inputs!$B$11-Inputs!$B$11),0)))/100)/2</f>
        <v/>
      </c>
      <c r="M1223">
        <f>L1223*(1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3">
        <f>L1223*(1-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1223*(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3">
        <f>(1-Summary!$B$11)*T1223+Summary!$B$11*V1223</f>
        <v/>
      </c>
      <c r="P1223">
        <f>IF(B1256=0,0,O1223/B1256)</f>
        <v/>
      </c>
      <c r="Q1223">
        <f>IFERROR(1/(IF(Inputs!$B$38="pvp",15,MAX(0.1,Skills!D8-IF(Skills!E8=TRUE,Inputs!$B$32,0)))*(1-IF(AND(ArtifactsInput!$M$27,Inputs!$B$4="Chapter Hunt"),CHOOSE(ArtifactsInput!$N$27+1,20,24,28,32,36,40),0)/100)),0)</f>
        <v/>
      </c>
      <c r="R1223">
        <f>IF(AND(Inputs!$B$38&lt;&gt;"pvp",Inputs!$B$43&gt;0),IF(MAX(0,Inputs!$B$43-B1253)&lt;=0,0,(INT(MAX(0,Inputs!$B$43-B1253)/(IF(Inputs!$B$38="pvp",15,MAX(0.1,Skills!D8-IF(Skills!E8=TRUE,Inputs!$B$32,0)))*(1-IF(AND(ArtifactsInput!$M$27,Inputs!$B$4="Chapter Hunt"),CHOOSE(ArtifactsInput!$N$27+1,20,24,28,32,36,40),0)/100)))+1)),0)</f>
        <v/>
      </c>
      <c r="S1223">
        <f>IFERROR(O1223/N1223,0)</f>
        <v/>
      </c>
      <c r="T1223">
        <f>IF(C1223,(H1223*N1223*IF(AND(Inputs!$B$38&lt;&gt;"pvp",Inputs!$B$43&gt;0),((Skills!G8*((R1223-1)*IF(Skills!H8&gt;0,Skills!I8/Skills!H8,1)+IF(Skills!H8&gt;0,MIN(Skills!I8,MAX(0,MAX(0,Inputs!$B$43-B1253)-((R1223-1)*(IF(Inputs!$B$38="pvp",15,MAX(0.1,Skills!D8-IF(Skills!E8=TRUE,Inputs!$B$32,0)))*(1-IF(AND(ArtifactsInput!$M$27,Inputs!$B$4="Chapter Hunt"),CHOOSE(ArtifactsInput!$N$27+1,20,24,28,32,36,40),0)/100)))))/Skills!H8,1)))/Inputs!$B$43),G1223*Q1223)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1223*(1-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1223*(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1223*(1-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1223*(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3">
        <f>IF(C1223,(H1223*N1223*IF(AND(Inputs!$B$38&lt;&gt;"pvp",Inputs!$B$43&gt;0),((Skills!G8*((R1223-1)*IF(Skills!H8&gt;0,Skills!I8/Skills!H8,1)+IF(Skills!H8&gt;0,MIN(Skills!I8,MAX(0,MAX(0,Inputs!$B$43-B1253)-((R1223-1)*(IF(Inputs!$B$38="pvp",15,MAX(0.1,Skills!D8-IF(Skills!E8=TRUE,Inputs!$B$32,0)))*(1-IF(AND(ArtifactsInput!$M$27,Inputs!$B$4="Chapter Hunt"),CHOOSE(ArtifactsInput!$N$27+1,20,24,28,32,36,40),0)/100)))))/Skills!H8,1)))/Inputs!$B$43),G1223*Q1223))*IF(Inputs!$B$38="pvp",1,(1+(Inputs!$B$21+Skills!Q8+(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4">
      <c r="A1224">
        <f>Skills!A9</f>
        <v/>
      </c>
      <c r="B1224">
        <f>Skills!B9</f>
        <v/>
      </c>
      <c r="C1224">
        <f>Inputs!$B$3&gt;=103</f>
        <v/>
      </c>
      <c r="D1224">
        <f>IF(Skills!C9=1,60+Inputs!$B$25+Inputs!$B$29,IF(Skills!C9=2,90+Inputs!$B$26+Inputs!$B$29,IF(Skills!C9=3,120+Inputs!$B$27+Inputs!$B$29,MAX(0,(Inputs!$B$3-100)*3)+Inputs!$B$28+Inputs!$B$29)))</f>
        <v/>
      </c>
      <c r="E1224">
        <f>INDEX(FactorTable!$B$2:$Y$301, MATCH(ROUND(MIN(300,MAX(1,D1224)),0), FactorTable!$A$2:$A$301,0), Skills!M9+1)</f>
        <v/>
      </c>
      <c r="F1224">
        <f>IF(Skills!N9=TRUE,(Skills!L9/10)*(E1224/1000),Skills!L9/10)+Skills!O9</f>
        <v/>
      </c>
      <c r="G1224">
        <f>Skills!G9*IF(Skills!H9&gt;0,Skills!I9/Skills!H9,1)</f>
        <v/>
      </c>
      <c r="H1224">
        <f>1-(1-Skills!J9/100)^Skills!K9</f>
        <v/>
      </c>
      <c r="I1224" t="inlineStr">
        <is>
          <t>1</t>
        </is>
      </c>
      <c r="J1224">
        <f>((Inputs!$B$6*(1+Inputs!$B$7/100))+(((Inputs!$B$12*(1+Inputs!$B$13/100))-(Inputs!$B$12*(1+Inputs!$B$13/100)))+0.25*(Inputs!$B$14-Inputs!$B$14))*(1+Inputs!$B$7/100))*(F1224/100)</f>
        <v/>
      </c>
      <c r="K1224">
        <f>J1224*(1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1224)</f>
        <v/>
      </c>
      <c r="L1224">
        <f>K1224*(MIN(Inputs!$B$22+((C1237=TRUE)*(F1237-Calc!F22)),(Inputs!$B$23+0+(IF(ArtifactsInput!$M$15,CHOOSE(ArtifactsInput!$N$15+1,25,30,35,40,45,50)/100*(Inputs!$B$11-Inputs!$B$11),0))))/100+(Inputs!$B$23+0+(IF(ArtifactsInput!$M$15,CHOOSE(ArtifactsInput!$N$15+1,25,30,35,40,45,50)/100*(Inputs!$B$11-Inputs!$B$11),0)))/100)/2</f>
        <v/>
      </c>
      <c r="M1224">
        <f>L1224*(1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4">
        <f>L1224*(1-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1224*(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4">
        <f>(1-Summary!$B$11)*T1224+Summary!$B$11*V1224</f>
        <v/>
      </c>
      <c r="P1224">
        <f>IF(B1256=0,0,O1224/B1256)</f>
        <v/>
      </c>
      <c r="Q1224">
        <f>IFERROR(1/(IF(Inputs!$B$38="pvp",15,MAX(0.1,Skills!D9-IF(Skills!E9=TRUE,Inputs!$B$32,0)))*(1-IF(AND(ArtifactsInput!$M$27,Inputs!$B$4="Chapter Hunt"),CHOOSE(ArtifactsInput!$N$27+1,20,24,28,32,36,40),0)/100)),0)</f>
        <v/>
      </c>
      <c r="R1224">
        <f>IF(AND(Inputs!$B$38&lt;&gt;"pvp",Inputs!$B$43&gt;0),IF(MAX(0,Inputs!$B$43-B1253)&lt;=0,0,(INT(MAX(0,Inputs!$B$43-B1253)/(IF(Inputs!$B$38="pvp",15,MAX(0.1,Skills!D9-IF(Skills!E9=TRUE,Inputs!$B$32,0)))*(1-IF(AND(ArtifactsInput!$M$27,Inputs!$B$4="Chapter Hunt"),CHOOSE(ArtifactsInput!$N$27+1,20,24,28,32,36,40),0)/100)))+1)),0)</f>
        <v/>
      </c>
      <c r="S1224">
        <f>IFERROR(O1224/N1224,0)</f>
        <v/>
      </c>
      <c r="T1224">
        <f>IF(C1224,(H1224*N1224*IF(AND(Inputs!$B$38&lt;&gt;"pvp",Inputs!$B$43&gt;0),((Skills!G9*((R1224-1)*IF(Skills!H9&gt;0,Skills!I9/Skills!H9,1)+IF(Skills!H9&gt;0,MIN(Skills!I9,MAX(0,MAX(0,Inputs!$B$43-B1253)-((R1224-1)*(IF(Inputs!$B$38="pvp",15,MAX(0.1,Skills!D9-IF(Skills!E9=TRUE,Inputs!$B$32,0)))*(1-IF(AND(ArtifactsInput!$M$27,Inputs!$B$4="Chapter Hunt"),CHOOSE(ArtifactsInput!$N$27+1,20,24,28,32,36,40),0)/100)))))/Skills!H9,1)))/Inputs!$B$43),G1224*Q1224)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1224*(1-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1224*(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1224*(1-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1224*(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4">
        <f>IF(C1224,(H1224*N1224*IF(AND(Inputs!$B$38&lt;&gt;"pvp",Inputs!$B$43&gt;0),((Skills!G9*((R1224-1)*IF(Skills!H9&gt;0,Skills!I9/Skills!H9,1)+IF(Skills!H9&gt;0,MIN(Skills!I9,MAX(0,MAX(0,Inputs!$B$43-B1253)-((R1224-1)*(IF(Inputs!$B$38="pvp",15,MAX(0.1,Skills!D9-IF(Skills!E9=TRUE,Inputs!$B$32,0)))*(1-IF(AND(ArtifactsInput!$M$27,Inputs!$B$4="Chapter Hunt"),CHOOSE(ArtifactsInput!$N$27+1,20,24,28,32,36,40),0)/100)))))/Skills!H9,1)))/Inputs!$B$43),G1224*Q1224))*IF(Inputs!$B$38="pvp",1,(1+(Inputs!$B$21+Skills!Q9+(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5">
      <c r="A1225">
        <f>Skills!A10</f>
        <v/>
      </c>
      <c r="B1225">
        <f>Skills!B10</f>
        <v/>
      </c>
      <c r="C1225">
        <f>Inputs!$B$3&gt;=113</f>
        <v/>
      </c>
      <c r="D1225">
        <f>IF(Skills!C10=1,60+Inputs!$B$25+Inputs!$B$29,IF(Skills!C10=2,90+Inputs!$B$26+Inputs!$B$29,IF(Skills!C10=3,120+Inputs!$B$27+Inputs!$B$29,MAX(0,(Inputs!$B$3-100)*3)+Inputs!$B$28+Inputs!$B$29)))</f>
        <v/>
      </c>
      <c r="E1225">
        <f>INDEX(FactorTable!$B$2:$Y$301, MATCH(ROUND(MIN(300,MAX(1,D1225)),0), FactorTable!$A$2:$A$301,0), Skills!M10+1)</f>
        <v/>
      </c>
      <c r="F1225">
        <f>IF(Skills!N10=TRUE,(Skills!L10/10)*(E1225/1000),Skills!L10/10)+Skills!O10</f>
        <v/>
      </c>
      <c r="G1225">
        <f>Skills!G10*IF(Skills!H10&gt;0,Skills!I10/Skills!H10,1)</f>
        <v/>
      </c>
      <c r="H1225">
        <f>1-(1-Skills!J10/100)^Skills!K10</f>
        <v/>
      </c>
      <c r="I1225" t="inlineStr">
        <is>
          <t>1</t>
        </is>
      </c>
      <c r="J1225">
        <f>((Inputs!$B$6*(1+Inputs!$B$7/100))+(((Inputs!$B$12*(1+Inputs!$B$13/100))-(Inputs!$B$12*(1+Inputs!$B$13/100)))+0.25*(Inputs!$B$14-Inputs!$B$14))*(1+Inputs!$B$7/100))*(F1225/100)</f>
        <v/>
      </c>
      <c r="K1225">
        <f>J1225*(1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1225)</f>
        <v/>
      </c>
      <c r="L1225">
        <f>K1225*(MIN(Inputs!$B$22+((C1237=TRUE)*(F1237-Calc!F22)),(Inputs!$B$23+0+(IF(ArtifactsInput!$M$15,CHOOSE(ArtifactsInput!$N$15+1,25,30,35,40,45,50)/100*(Inputs!$B$11-Inputs!$B$11),0))))/100+(Inputs!$B$23+0+(IF(ArtifactsInput!$M$15,CHOOSE(ArtifactsInput!$N$15+1,25,30,35,40,45,50)/100*(Inputs!$B$11-Inputs!$B$11),0)))/100)/2</f>
        <v/>
      </c>
      <c r="M1225">
        <f>L1225*(1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5">
        <f>L1225*(1-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1225*(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5">
        <f>(1-Summary!$B$11)*T1225+Summary!$B$11*V1225</f>
        <v/>
      </c>
      <c r="P1225">
        <f>IF(B1256=0,0,O1225/B1256)</f>
        <v/>
      </c>
      <c r="Q1225">
        <f>IFERROR(1/(IF(Inputs!$B$38="pvp",15,MAX(0.1,Skills!D10-IF(Skills!E10=TRUE,Inputs!$B$32,0)))*(1-IF(AND(ArtifactsInput!$M$27,Inputs!$B$4="Chapter Hunt"),CHOOSE(ArtifactsInput!$N$27+1,20,24,28,32,36,40),0)/100)),0)</f>
        <v/>
      </c>
      <c r="R1225">
        <f>IF(AND(Inputs!$B$38&lt;&gt;"pvp",Inputs!$B$43&gt;0),IF(MAX(0,Inputs!$B$43-B1253)&lt;=0,0,(INT(MAX(0,Inputs!$B$43-B1253)/(IF(Inputs!$B$38="pvp",15,MAX(0.1,Skills!D10-IF(Skills!E10=TRUE,Inputs!$B$32,0)))*(1-IF(AND(ArtifactsInput!$M$27,Inputs!$B$4="Chapter Hunt"),CHOOSE(ArtifactsInput!$N$27+1,20,24,28,32,36,40),0)/100)))+1)),0)</f>
        <v/>
      </c>
      <c r="S1225">
        <f>IFERROR(O1225/N1225,0)</f>
        <v/>
      </c>
      <c r="T1225">
        <f>IF(C1225,(H1225*N1225*IF(AND(Inputs!$B$38&lt;&gt;"pvp",Inputs!$B$43&gt;0),((Skills!G10*((R1225-1)*IF(Skills!H10&gt;0,Skills!I10/Skills!H10,1)+IF(Skills!H10&gt;0,MIN(Skills!I10,MAX(0,MAX(0,Inputs!$B$43-B1253)-((R1225-1)*(IF(Inputs!$B$38="pvp",15,MAX(0.1,Skills!D10-IF(Skills!E10=TRUE,Inputs!$B$32,0)))*(1-IF(AND(ArtifactsInput!$M$27,Inputs!$B$4="Chapter Hunt"),CHOOSE(ArtifactsInput!$N$27+1,20,24,28,32,36,40),0)/100)))))/Skills!H10,1)))/Inputs!$B$43),G1225*Q1225)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1225*(1-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1225*(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1225*(1-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1225*(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5">
        <f>IF(C1225,(H1225*N1225*IF(AND(Inputs!$B$38&lt;&gt;"pvp",Inputs!$B$43&gt;0),((Skills!G10*((R1225-1)*IF(Skills!H10&gt;0,Skills!I10/Skills!H10,1)+IF(Skills!H10&gt;0,MIN(Skills!I10,MAX(0,MAX(0,Inputs!$B$43-B1253)-((R1225-1)*(IF(Inputs!$B$38="pvp",15,MAX(0.1,Skills!D10-IF(Skills!E10=TRUE,Inputs!$B$32,0)))*(1-IF(AND(ArtifactsInput!$M$27,Inputs!$B$4="Chapter Hunt"),CHOOSE(ArtifactsInput!$N$27+1,20,24,28,32,36,40),0)/100)))))/Skills!H10,1)))/Inputs!$B$43),G1225*Q1225))*IF(Inputs!$B$38="pvp",1,(1+(Inputs!$B$21+Skills!Q10+(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6">
      <c r="A1226">
        <f>Skills!A11</f>
        <v/>
      </c>
      <c r="B1226">
        <f>Skills!B11</f>
        <v/>
      </c>
      <c r="C1226">
        <f>Inputs!$B$3&gt;=107</f>
        <v/>
      </c>
      <c r="D1226">
        <f>IF(Skills!C11=1,60+Inputs!$B$25+Inputs!$B$29,IF(Skills!C11=2,90+Inputs!$B$26+Inputs!$B$29,IF(Skills!C11=3,120+Inputs!$B$27+Inputs!$B$29,MAX(0,(Inputs!$B$3-100)*3)+Inputs!$B$28+Inputs!$B$29)))</f>
        <v/>
      </c>
      <c r="E1226">
        <f>INDEX(FactorTable!$B$2:$Y$301, MATCH(ROUND(MIN(300,MAX(1,D1226)),0), FactorTable!$A$2:$A$301,0), Skills!M11+1)</f>
        <v/>
      </c>
      <c r="F1226">
        <f>IF(Skills!N11=TRUE,(Skills!L11/10)*(E1226/1000),Skills!L11/10)+Skills!O11</f>
        <v/>
      </c>
      <c r="G1226">
        <f>Skills!G11*IF(Skills!H11&gt;0,Skills!I11/Skills!H11,1)</f>
        <v/>
      </c>
      <c r="H1226">
        <f>1-(1-Skills!J11/100)^Skills!K11</f>
        <v/>
      </c>
      <c r="I1226" t="inlineStr">
        <is>
          <t>1</t>
        </is>
      </c>
      <c r="J1226">
        <f>((Inputs!$B$6*(1+Inputs!$B$7/100))+(((Inputs!$B$12*(1+Inputs!$B$13/100))-(Inputs!$B$12*(1+Inputs!$B$13/100)))+0.25*(Inputs!$B$14-Inputs!$B$14))*(1+Inputs!$B$7/100))*(F1226/100)</f>
        <v/>
      </c>
      <c r="K1226">
        <f>J1226*(1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1226)</f>
        <v/>
      </c>
      <c r="L1226">
        <f>K1226*(MIN(Inputs!$B$22+((C1237=TRUE)*(F1237-Calc!F22)),(Inputs!$B$23+0+(IF(ArtifactsInput!$M$15,CHOOSE(ArtifactsInput!$N$15+1,25,30,35,40,45,50)/100*(Inputs!$B$11-Inputs!$B$11),0))))/100+(Inputs!$B$23+0+(IF(ArtifactsInput!$M$15,CHOOSE(ArtifactsInput!$N$15+1,25,30,35,40,45,50)/100*(Inputs!$B$11-Inputs!$B$11),0)))/100)/2</f>
        <v/>
      </c>
      <c r="M1226">
        <f>L1226*(1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6">
        <f>L1226*(1-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1226*(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6">
        <f>(1-Summary!$B$11)*T1226+Summary!$B$11*V1226</f>
        <v/>
      </c>
      <c r="P1226">
        <f>IF(B1256=0,0,O1226/B1256)</f>
        <v/>
      </c>
      <c r="Q1226">
        <f>IFERROR(1/(IF(Inputs!$B$38="pvp",15,MAX(0.1,Skills!D11-IF(Skills!E11=TRUE,Inputs!$B$32,0)))*(1-IF(AND(ArtifactsInput!$M$27,Inputs!$B$4="Chapter Hunt"),CHOOSE(ArtifactsInput!$N$27+1,20,24,28,32,36,40),0)/100)),0)</f>
        <v/>
      </c>
      <c r="R1226">
        <f>IF(AND(Inputs!$B$38&lt;&gt;"pvp",Inputs!$B$43&gt;0),IF(MAX(0,Inputs!$B$43-B1253)&lt;=0,0,(INT(MAX(0,Inputs!$B$43-B1253)/(IF(Inputs!$B$38="pvp",15,MAX(0.1,Skills!D11-IF(Skills!E11=TRUE,Inputs!$B$32,0)))*(1-IF(AND(ArtifactsInput!$M$27,Inputs!$B$4="Chapter Hunt"),CHOOSE(ArtifactsInput!$N$27+1,20,24,28,32,36,40),0)/100)))+1)),0)</f>
        <v/>
      </c>
      <c r="S1226">
        <f>IFERROR(O1226/N1226,0)</f>
        <v/>
      </c>
      <c r="T1226">
        <f>IF(C1226,(H1226*N1226*IF(AND(Inputs!$B$38&lt;&gt;"pvp",Inputs!$B$43&gt;0),((Skills!G11*((R1226-1)*IF(Skills!H11&gt;0,Skills!I11/Skills!H11,1)+IF(Skills!H11&gt;0,MIN(Skills!I11,MAX(0,MAX(0,Inputs!$B$43-B1253)-((R1226-1)*(IF(Inputs!$B$38="pvp",15,MAX(0.1,Skills!D11-IF(Skills!E11=TRUE,Inputs!$B$32,0)))*(1-IF(AND(ArtifactsInput!$M$27,Inputs!$B$4="Chapter Hunt"),CHOOSE(ArtifactsInput!$N$27+1,20,24,28,32,36,40),0)/100)))))/Skills!H11,1)))/Inputs!$B$43),G1226*Q1226)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1226*(1-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1226*(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1226*(1-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1226*(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6">
        <f>IF(C1226,(H1226*N1226*IF(AND(Inputs!$B$38&lt;&gt;"pvp",Inputs!$B$43&gt;0),((Skills!G11*((R1226-1)*IF(Skills!H11&gt;0,Skills!I11/Skills!H11,1)+IF(Skills!H11&gt;0,MIN(Skills!I11,MAX(0,MAX(0,Inputs!$B$43-B1253)-((R1226-1)*(IF(Inputs!$B$38="pvp",15,MAX(0.1,Skills!D11-IF(Skills!E11=TRUE,Inputs!$B$32,0)))*(1-IF(AND(ArtifactsInput!$M$27,Inputs!$B$4="Chapter Hunt"),CHOOSE(ArtifactsInput!$N$27+1,20,24,28,32,36,40),0)/100)))))/Skills!H11,1)))/Inputs!$B$43),G1226*Q1226))*IF(Inputs!$B$38="pvp",1,(1+(Inputs!$B$21+Skills!Q11+(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7">
      <c r="A1227">
        <f>Skills!A12</f>
        <v/>
      </c>
      <c r="B1227">
        <f>Skills!B12</f>
        <v/>
      </c>
      <c r="C1227">
        <f>Inputs!$B$3&gt;=110</f>
        <v/>
      </c>
      <c r="D1227">
        <f>IF(Skills!C12=1,60+Inputs!$B$25+Inputs!$B$29,IF(Skills!C12=2,90+Inputs!$B$26+Inputs!$B$29,IF(Skills!C12=3,120+Inputs!$B$27+Inputs!$B$29,MAX(0,(Inputs!$B$3-100)*3)+Inputs!$B$28+Inputs!$B$29)))</f>
        <v/>
      </c>
      <c r="E1227">
        <f>INDEX(FactorTable!$B$2:$Y$301, MATCH(ROUND(MIN(300,MAX(1,D1227)),0), FactorTable!$A$2:$A$301,0), Skills!M12+1)</f>
        <v/>
      </c>
      <c r="F1227">
        <f>IF(Skills!N12=TRUE,(Skills!L12/10)*(E1227/1000),Skills!L12/10)+Skills!O12</f>
        <v/>
      </c>
      <c r="G1227">
        <f>Skills!G12*IF(Skills!H12&gt;0,Skills!I12/Skills!H12,1)</f>
        <v/>
      </c>
      <c r="H1227">
        <f>1-(1-Skills!J12/100)^Skills!K12</f>
        <v/>
      </c>
      <c r="I1227" t="inlineStr">
        <is>
          <t>1</t>
        </is>
      </c>
      <c r="J1227">
        <f>((Inputs!$B$6*(1+Inputs!$B$7/100))+(((Inputs!$B$12*(1+Inputs!$B$13/100))-(Inputs!$B$12*(1+Inputs!$B$13/100)))+0.25*(Inputs!$B$14-Inputs!$B$14))*(1+Inputs!$B$7/100))*(F1227/100)</f>
        <v/>
      </c>
      <c r="K1227">
        <f>J1227*(1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1227)</f>
        <v/>
      </c>
      <c r="L1227">
        <f>K1227*(MIN(Inputs!$B$22+((C1237=TRUE)*(F1237-Calc!F22)),(Inputs!$B$23+0+(IF(ArtifactsInput!$M$15,CHOOSE(ArtifactsInput!$N$15+1,25,30,35,40,45,50)/100*(Inputs!$B$11-Inputs!$B$11),0))))/100+(Inputs!$B$23+0+(IF(ArtifactsInput!$M$15,CHOOSE(ArtifactsInput!$N$15+1,25,30,35,40,45,50)/100*(Inputs!$B$11-Inputs!$B$11),0)))/100)/2</f>
        <v/>
      </c>
      <c r="M1227">
        <f>L1227*(1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7">
        <f>L1227*(1-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1227*(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7">
        <f>(1-Summary!$B$11)*T1227+Summary!$B$11*V1227</f>
        <v/>
      </c>
      <c r="P1227">
        <f>IF(B1256=0,0,O1227/B1256)</f>
        <v/>
      </c>
      <c r="Q1227">
        <f>IFERROR(1/(IF(Inputs!$B$38="pvp",15,MAX(0.1,Skills!D12-IF(Skills!E12=TRUE,Inputs!$B$32,0)))*(1-IF(AND(ArtifactsInput!$M$27,Inputs!$B$4="Chapter Hunt"),CHOOSE(ArtifactsInput!$N$27+1,20,24,28,32,36,40),0)/100)),0)</f>
        <v/>
      </c>
      <c r="R1227">
        <f>IF(AND(Inputs!$B$38&lt;&gt;"pvp",Inputs!$B$43&gt;0),IF(MAX(0,Inputs!$B$43-B1253)&lt;=0,0,(INT(MAX(0,Inputs!$B$43-B1253)/(IF(Inputs!$B$38="pvp",15,MAX(0.1,Skills!D12-IF(Skills!E12=TRUE,Inputs!$B$32,0)))*(1-IF(AND(ArtifactsInput!$M$27,Inputs!$B$4="Chapter Hunt"),CHOOSE(ArtifactsInput!$N$27+1,20,24,28,32,36,40),0)/100)))+1)),0)</f>
        <v/>
      </c>
      <c r="S1227">
        <f>IFERROR(O1227/N1227,0)</f>
        <v/>
      </c>
      <c r="T1227">
        <f>IF(C1227,(H1227*N1227*IF(AND(Inputs!$B$38&lt;&gt;"pvp",Inputs!$B$43&gt;0),((Skills!G12*((R1227-1)*IF(Skills!H12&gt;0,Skills!I12/Skills!H12,1)+IF(Skills!H12&gt;0,MIN(Skills!I12,MAX(0,MAX(0,Inputs!$B$43-B1253)-((R1227-1)*(IF(Inputs!$B$38="pvp",15,MAX(0.1,Skills!D12-IF(Skills!E12=TRUE,Inputs!$B$32,0)))*(1-IF(AND(ArtifactsInput!$M$27,Inputs!$B$4="Chapter Hunt"),CHOOSE(ArtifactsInput!$N$27+1,20,24,28,32,36,40),0)/100)))))/Skills!H12,1)))/Inputs!$B$43),G1227*Q1227)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1227*(1-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1227*(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1227*(1-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1227*(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7">
        <f>IF(C1227,(H1227*N1227*IF(AND(Inputs!$B$38&lt;&gt;"pvp",Inputs!$B$43&gt;0),((Skills!G12*((R1227-1)*IF(Skills!H12&gt;0,Skills!I12/Skills!H12,1)+IF(Skills!H12&gt;0,MIN(Skills!I12,MAX(0,MAX(0,Inputs!$B$43-B1253)-((R1227-1)*(IF(Inputs!$B$38="pvp",15,MAX(0.1,Skills!D12-IF(Skills!E12=TRUE,Inputs!$B$32,0)))*(1-IF(AND(ArtifactsInput!$M$27,Inputs!$B$4="Chapter Hunt"),CHOOSE(ArtifactsInput!$N$27+1,20,24,28,32,36,40),0)/100)))))/Skills!H12,1)))/Inputs!$B$43),G1227*Q1227))*IF(Inputs!$B$38="pvp",1,(1+(Inputs!$B$21+Skills!Q12+(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8">
      <c r="A1228">
        <f>Skills!A13</f>
        <v/>
      </c>
      <c r="B1228">
        <f>Skills!B13</f>
        <v/>
      </c>
      <c r="C1228">
        <f>Inputs!$B$3&gt;=110</f>
        <v/>
      </c>
      <c r="D1228">
        <f>IF(Skills!C13=1,60+Inputs!$B$25+Inputs!$B$29,IF(Skills!C13=2,90+Inputs!$B$26+Inputs!$B$29,IF(Skills!C13=3,120+Inputs!$B$27+Inputs!$B$29,MAX(0,(Inputs!$B$3-100)*3)+Inputs!$B$28+Inputs!$B$29)))</f>
        <v/>
      </c>
      <c r="E1228">
        <f>INDEX(FactorTable!$B$2:$Y$301, MATCH(ROUND(MIN(300,MAX(1,D1228)),0), FactorTable!$A$2:$A$301,0), Skills!M13+1)</f>
        <v/>
      </c>
      <c r="F1228">
        <f>IF(Skills!N13=TRUE,(Skills!L13/10)*(E1228/1000),Skills!L13/10)+Skills!O13</f>
        <v/>
      </c>
      <c r="G1228">
        <f>Skills!G13*IF(Skills!H13&gt;0,Skills!I13/Skills!H13,1)</f>
        <v/>
      </c>
      <c r="H1228">
        <f>1-(1-Skills!J13/100)^Skills!K13</f>
        <v/>
      </c>
      <c r="I1228" t="inlineStr">
        <is>
          <t>1</t>
        </is>
      </c>
      <c r="J1228">
        <f>((Inputs!$B$6*(1+Inputs!$B$7/100))+(((Inputs!$B$12*(1+Inputs!$B$13/100))-(Inputs!$B$12*(1+Inputs!$B$13/100)))+0.25*(Inputs!$B$14-Inputs!$B$14))*(1+Inputs!$B$7/100))*(F1228/100)</f>
        <v/>
      </c>
      <c r="K1228">
        <f>J1228*(1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1228)</f>
        <v/>
      </c>
      <c r="L1228">
        <f>K1228*(MIN(Inputs!$B$22+((C1237=TRUE)*(F1237-Calc!F22)),(Inputs!$B$23+0+(IF(ArtifactsInput!$M$15,CHOOSE(ArtifactsInput!$N$15+1,25,30,35,40,45,50)/100*(Inputs!$B$11-Inputs!$B$11),0))))/100+(Inputs!$B$23+0+(IF(ArtifactsInput!$M$15,CHOOSE(ArtifactsInput!$N$15+1,25,30,35,40,45,50)/100*(Inputs!$B$11-Inputs!$B$11),0)))/100)/2</f>
        <v/>
      </c>
      <c r="M1228">
        <f>L1228*(1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8">
        <f>L1228*(1-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1228*(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8">
        <f>(1-Summary!$B$11)*T1228+Summary!$B$11*V1228</f>
        <v/>
      </c>
      <c r="P1228">
        <f>IF(B1256=0,0,O1228/B1256)</f>
        <v/>
      </c>
      <c r="Q1228">
        <f>IFERROR(1/(IF(Inputs!$B$38="pvp",15,MAX(0.1,Skills!D13-IF(Skills!E13=TRUE,Inputs!$B$32,0)))*(1-IF(AND(ArtifactsInput!$M$27,Inputs!$B$4="Chapter Hunt"),CHOOSE(ArtifactsInput!$N$27+1,20,24,28,32,36,40),0)/100)),0)</f>
        <v/>
      </c>
      <c r="R1228">
        <f>IF(AND(Inputs!$B$38&lt;&gt;"pvp",Inputs!$B$43&gt;0),IF(MAX(0,Inputs!$B$43-B1253)&lt;=0,0,(INT(MAX(0,Inputs!$B$43-B1253)/(IF(Inputs!$B$38="pvp",15,MAX(0.1,Skills!D13-IF(Skills!E13=TRUE,Inputs!$B$32,0)))*(1-IF(AND(ArtifactsInput!$M$27,Inputs!$B$4="Chapter Hunt"),CHOOSE(ArtifactsInput!$N$27+1,20,24,28,32,36,40),0)/100)))+1)),0)</f>
        <v/>
      </c>
      <c r="S1228">
        <f>IFERROR(O1228/N1228,0)</f>
        <v/>
      </c>
      <c r="T1228">
        <f>IF(C1228,(H1228*N1228*IF(AND(Inputs!$B$38&lt;&gt;"pvp",Inputs!$B$43&gt;0),((Skills!G13*((R1228-1)*IF(Skills!H13&gt;0,Skills!I13/Skills!H13,1)+IF(Skills!H13&gt;0,MIN(Skills!I13,MAX(0,MAX(0,Inputs!$B$43-B1253)-((R1228-1)*(IF(Inputs!$B$38="pvp",15,MAX(0.1,Skills!D13-IF(Skills!E13=TRUE,Inputs!$B$32,0)))*(1-IF(AND(ArtifactsInput!$M$27,Inputs!$B$4="Chapter Hunt"),CHOOSE(ArtifactsInput!$N$27+1,20,24,28,32,36,40),0)/100)))))/Skills!H13,1)))/Inputs!$B$43),G1228*Q1228)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1228*(1-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1228*(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1228*(1-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1228*(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8">
        <f>IF(C1228,(H1228*N1228*IF(AND(Inputs!$B$38&lt;&gt;"pvp",Inputs!$B$43&gt;0),((Skills!G13*((R1228-1)*IF(Skills!H13&gt;0,Skills!I13/Skills!H13,1)+IF(Skills!H13&gt;0,MIN(Skills!I13,MAX(0,MAX(0,Inputs!$B$43-B1253)-((R1228-1)*(IF(Inputs!$B$38="pvp",15,MAX(0.1,Skills!D13-IF(Skills!E13=TRUE,Inputs!$B$32,0)))*(1-IF(AND(ArtifactsInput!$M$27,Inputs!$B$4="Chapter Hunt"),CHOOSE(ArtifactsInput!$N$27+1,20,24,28,32,36,40),0)/100)))))/Skills!H13,1)))/Inputs!$B$43),G1228*Q1228))*IF(Inputs!$B$38="pvp",1,(1+(Inputs!$B$21+Skills!Q13+(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9">
      <c r="A1229">
        <f>Skills!A14</f>
        <v/>
      </c>
      <c r="B1229">
        <f>Skills!B14</f>
        <v/>
      </c>
      <c r="C1229">
        <f>Inputs!$B$3&gt;=125</f>
        <v/>
      </c>
      <c r="D1229">
        <f>IF(Skills!C14=1,60+Inputs!$B$25+Inputs!$B$29,IF(Skills!C14=2,90+Inputs!$B$26+Inputs!$B$29,IF(Skills!C14=3,120+Inputs!$B$27+Inputs!$B$29,MAX(0,(Inputs!$B$3-100)*3)+Inputs!$B$28+Inputs!$B$29)))</f>
        <v/>
      </c>
      <c r="E1229">
        <f>INDEX(FactorTable!$B$2:$Y$301, MATCH(ROUND(MIN(300,MAX(1,D1229)),0), FactorTable!$A$2:$A$301,0), Skills!M14+1)</f>
        <v/>
      </c>
      <c r="F1229">
        <f>IF(Skills!N14=TRUE,(Skills!L14/10)*(E1229/1000),Skills!L14/10)+Skills!O14</f>
        <v/>
      </c>
      <c r="G1229">
        <f>Skills!G14*IF(Skills!H14&gt;0,Skills!I14/Skills!H14,1)</f>
        <v/>
      </c>
      <c r="H1229">
        <f>1-(1-Skills!J14/100)^Skills!K14</f>
        <v/>
      </c>
      <c r="I1229" t="inlineStr">
        <is>
          <t>1</t>
        </is>
      </c>
      <c r="J1229">
        <f>((Inputs!$B$6*(1+Inputs!$B$7/100))+(((Inputs!$B$12*(1+Inputs!$B$13/100))-(Inputs!$B$12*(1+Inputs!$B$13/100)))+0.25*(Inputs!$B$14-Inputs!$B$14))*(1+Inputs!$B$7/100))*(F1229/100)</f>
        <v/>
      </c>
      <c r="K1229">
        <f>J1229*(1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1229)</f>
        <v/>
      </c>
      <c r="L1229">
        <f>K1229*(MIN(Inputs!$B$22+((C1237=TRUE)*(F1237-Calc!F22)),(Inputs!$B$23+0+(IF(ArtifactsInput!$M$15,CHOOSE(ArtifactsInput!$N$15+1,25,30,35,40,45,50)/100*(Inputs!$B$11-Inputs!$B$11),0))))/100+(Inputs!$B$23+0+(IF(ArtifactsInput!$M$15,CHOOSE(ArtifactsInput!$N$15+1,25,30,35,40,45,50)/100*(Inputs!$B$11-Inputs!$B$11),0)))/100)/2</f>
        <v/>
      </c>
      <c r="M1229">
        <f>L1229*(1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9">
        <f>L1229*(1-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1229*(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9">
        <f>(1-Summary!$B$11)*T1229+Summary!$B$11*V1229</f>
        <v/>
      </c>
      <c r="P1229">
        <f>IF(B1256=0,0,O1229/B1256)</f>
        <v/>
      </c>
      <c r="Q1229" t="n">
        <v>0</v>
      </c>
      <c r="R1229" t="n">
        <v>0</v>
      </c>
      <c r="S1229">
        <f>IFERROR(O1229/N1229,0)</f>
        <v/>
      </c>
      <c r="T1229">
        <f>IF(C1229,(H1229*N1229*(B1250+IF(AND(Inputs!$B$38&lt;&gt;"pvp",Inputs!$B$43&gt;0),((Skills!G8*((R1223-1)*IF(Skills!H8&gt;0,Skills!I8/Skills!H8,1)+IF(Skills!H8&gt;0,MIN(Skills!I8,MAX(0,MAX(0,Inputs!$B$43-B1253)-((R1223-1)*(IF(Inputs!$B$38="pvp",15,MAX(0.1,Skills!D8-IF(Skills!E8=TRUE,Inputs!$B$32,0)))*(1-IF(AND(ArtifactsInput!$M$27,Inputs!$B$4="Chapter Hunt"),CHOOSE(ArtifactsInput!$N$27+1,20,24,28,32,36,40),0)/100)))))/Skills!H8,1)))/Inputs!$B$43),G1223*Q1223)+IF(AND(Inputs!$B$38&lt;&gt;"pvp",Inputs!$B$43&gt;0),((Skills!G11*((R1226-1)*IF(Skills!H11&gt;0,Skills!I11/Skills!H11,1)+IF(Skills!H11&gt;0,MIN(Skills!I11,MAX(0,MAX(0,Inputs!$B$43-B1253)-((R1226-1)*(IF(Inputs!$B$38="pvp",15,MAX(0.1,Skills!D11-IF(Skills!E11=TRUE,Inputs!$B$32,0)))*(1-IF(AND(ArtifactsInput!$M$27,Inputs!$B$4="Chapter Hunt"),CHOOSE(ArtifactsInput!$N$27+1,20,24,28,32,36,40),0)/100)))))/Skills!H11,1)))/Inputs!$B$43),G1226*Q1226)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1229*(1-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1229*(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1229*(1-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1229*(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9">
        <f>IF(C1229,(H1229*N1229*(B1250+IF(AND(Inputs!$B$38&lt;&gt;"pvp",Inputs!$B$43&gt;0),((Skills!G8*((R1223-1)*IF(Skills!H8&gt;0,Skills!I8/Skills!H8,1)+IF(Skills!H8&gt;0,MIN(Skills!I8,MAX(0,MAX(0,Inputs!$B$43-B1253)-((R1223-1)*(IF(Inputs!$B$38="pvp",15,MAX(0.1,Skills!D8-IF(Skills!E8=TRUE,Inputs!$B$32,0)))*(1-IF(AND(ArtifactsInput!$M$27,Inputs!$B$4="Chapter Hunt"),CHOOSE(ArtifactsInput!$N$27+1,20,24,28,32,36,40),0)/100)))))/Skills!H8,1)))/Inputs!$B$43),G1223*Q1223)+IF(AND(Inputs!$B$38&lt;&gt;"pvp",Inputs!$B$43&gt;0),((Skills!G11*((R1226-1)*IF(Skills!H11&gt;0,Skills!I11/Skills!H11,1)+IF(Skills!H11&gt;0,MIN(Skills!I11,MAX(0,MAX(0,Inputs!$B$43-B1253)-((R1226-1)*(IF(Inputs!$B$38="pvp",15,MAX(0.1,Skills!D11-IF(Skills!E11=TRUE,Inputs!$B$32,0)))*(1-IF(AND(ArtifactsInput!$M$27,Inputs!$B$4="Chapter Hunt"),CHOOSE(ArtifactsInput!$N$27+1,20,24,28,32,36,40),0)/100)))))/Skills!H11,1)))/Inputs!$B$43),G1226*Q1226)))*IF(Inputs!$B$38="pvp",1,(1+(Inputs!$B$21+Skills!Q14+(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0">
      <c r="A1230">
        <f>Skills!A15</f>
        <v/>
      </c>
      <c r="B1230">
        <f>Skills!B15</f>
        <v/>
      </c>
      <c r="C1230">
        <f>Inputs!$B$3&gt;=100</f>
        <v/>
      </c>
      <c r="D1230">
        <f>IF(Skills!C15=1,60+Inputs!$B$25+Inputs!$B$29,IF(Skills!C15=2,90+Inputs!$B$26+Inputs!$B$29,IF(Skills!C15=3,120+Inputs!$B$27+Inputs!$B$29,MAX(0,(Inputs!$B$3-100)*3)+Inputs!$B$28+Inputs!$B$29)))</f>
        <v/>
      </c>
      <c r="E1230">
        <f>INDEX(FactorTable!$B$2:$Y$301, MATCH(ROUND(MIN(300,MAX(1,D1230)),0), FactorTable!$A$2:$A$301,0), Skills!M15+1)</f>
        <v/>
      </c>
      <c r="F1230">
        <f>IF(Skills!N15=TRUE,(Skills!L15/10)*(E1230/1000),Skills!L15/10)+Skills!O15</f>
        <v/>
      </c>
      <c r="G1230" t="inlineStr"/>
      <c r="H1230" t="inlineStr"/>
      <c r="I1230" t="inlineStr">
        <is>
          <t>1</t>
        </is>
      </c>
      <c r="J1230" t="inlineStr"/>
      <c r="K1230" t="inlineStr"/>
      <c r="L1230" t="inlineStr"/>
      <c r="M1230" t="inlineStr"/>
      <c r="N1230" t="inlineStr"/>
      <c r="O1230" t="inlineStr"/>
      <c r="P1230" t="inlineStr"/>
      <c r="Q1230" t="inlineStr"/>
      <c r="R1230" t="inlineStr"/>
      <c r="S1230" t="inlineStr"/>
    </row>
    <row r="1231">
      <c r="A1231">
        <f>Skills!A16</f>
        <v/>
      </c>
      <c r="B1231">
        <f>Skills!B16</f>
        <v/>
      </c>
      <c r="C1231">
        <f>Inputs!$B$3&gt;=120</f>
        <v/>
      </c>
      <c r="D1231">
        <f>IF(Skills!C16=1,60+Inputs!$B$25+Inputs!$B$29,IF(Skills!C16=2,90+Inputs!$B$26+Inputs!$B$29,IF(Skills!C16=3,120+Inputs!$B$27+Inputs!$B$29,MAX(0,(Inputs!$B$3-100)*3)+Inputs!$B$28+Inputs!$B$29)))</f>
        <v/>
      </c>
      <c r="E1231">
        <f>INDEX(FactorTable!$B$2:$Y$301, MATCH(ROUND(MIN(300,MAX(1,D1231)),0), FactorTable!$A$2:$A$301,0), Skills!M16+1)</f>
        <v/>
      </c>
      <c r="F1231">
        <f>IF(Skills!N16=TRUE,(Skills!L16/10)*(E1231/1000),Skills!L16/10)+Skills!O16</f>
        <v/>
      </c>
      <c r="G1231" t="inlineStr"/>
      <c r="H1231" t="inlineStr"/>
      <c r="I1231" t="inlineStr">
        <is>
          <t>1</t>
        </is>
      </c>
      <c r="J1231" t="inlineStr"/>
      <c r="K1231" t="inlineStr"/>
      <c r="L1231" t="inlineStr"/>
      <c r="M1231" t="inlineStr"/>
      <c r="N1231" t="inlineStr"/>
      <c r="O1231" t="inlineStr"/>
      <c r="P1231" t="inlineStr"/>
      <c r="Q1231" t="inlineStr"/>
      <c r="R1231" t="inlineStr"/>
      <c r="S1231" t="inlineStr"/>
    </row>
    <row r="1232">
      <c r="A1232">
        <f>Skills!A17</f>
        <v/>
      </c>
      <c r="B1232">
        <f>Skills!B17</f>
        <v/>
      </c>
      <c r="C1232">
        <f>Inputs!$B$3&gt;=66</f>
        <v/>
      </c>
      <c r="D1232">
        <f>IF(Skills!C17=1,60+Inputs!$B$25+Inputs!$B$29,IF(Skills!C17=2,90+Inputs!$B$26+Inputs!$B$29,IF(Skills!C17=3,120+Inputs!$B$27+Inputs!$B$29,MAX(0,(Inputs!$B$3-100)*3)+Inputs!$B$28+Inputs!$B$29)))</f>
        <v/>
      </c>
      <c r="E1232">
        <f>INDEX(FactorTable!$B$2:$Y$301, MATCH(ROUND(MIN(300,MAX(1,D1232)),0), FactorTable!$A$2:$A$301,0), Skills!M17+1)</f>
        <v/>
      </c>
      <c r="F1232">
        <f>IF(Skills!N17=TRUE,(Skills!L17/10)*(E1232/1000),Skills!L17/10)+Skills!O17</f>
        <v/>
      </c>
      <c r="G1232">
        <f>Skills!G17*IF(Skills!H17&gt;0,Skills!I17/Skills!H17,1)</f>
        <v/>
      </c>
      <c r="H1232">
        <f>1-(1-Skills!J17/100)^Skills!K17</f>
        <v/>
      </c>
      <c r="I1232" t="inlineStr">
        <is>
          <t>1</t>
        </is>
      </c>
      <c r="J1232" t="inlineStr"/>
      <c r="K1232" t="inlineStr"/>
      <c r="L1232" t="inlineStr"/>
      <c r="M1232" t="inlineStr"/>
      <c r="N1232" t="inlineStr"/>
      <c r="O1232">
        <f>(1-Summary!$B$11)*T1232+Summary!$B$11*V1232</f>
        <v/>
      </c>
      <c r="P1232">
        <f>IF(B1256=0,0,O1232/B1256)</f>
        <v/>
      </c>
      <c r="Q1232" t="n">
        <v>0</v>
      </c>
      <c r="R1232" t="n">
        <v>0</v>
      </c>
      <c r="S1232">
        <f>IFERROR(O1232/N1232,0)</f>
        <v/>
      </c>
      <c r="T1232" t="n">
        <v>0</v>
      </c>
      <c r="V1232" t="n">
        <v>0</v>
      </c>
    </row>
    <row r="1233">
      <c r="A1233">
        <f>Skills!A18</f>
        <v/>
      </c>
      <c r="B1233">
        <f>Skills!B18</f>
        <v/>
      </c>
      <c r="C1233">
        <f>Inputs!$B$3&gt;=115</f>
        <v/>
      </c>
      <c r="D1233">
        <f>IF(Skills!C18=1,60+Inputs!$B$25+Inputs!$B$29,IF(Skills!C18=2,90+Inputs!$B$26+Inputs!$B$29,IF(Skills!C18=3,120+Inputs!$B$27+Inputs!$B$29,MAX(0,(Inputs!$B$3-100)*3)+Inputs!$B$28+Inputs!$B$29)))</f>
        <v/>
      </c>
      <c r="E1233">
        <f>INDEX(FactorTable!$B$2:$Y$301, MATCH(ROUND(MIN(300,MAX(1,D1233)),0), FactorTable!$A$2:$A$301,0), Skills!M18+1)</f>
        <v/>
      </c>
      <c r="F1233">
        <f>IF(Skills!N18=TRUE,(Skills!L18/10)*(E1233/1000),Skills!L18/10)+Skills!O18</f>
        <v/>
      </c>
      <c r="G1233">
        <f>Skills!G18*IF(Skills!H18&gt;0,Skills!I18/Skills!H18,1)</f>
        <v/>
      </c>
      <c r="H1233">
        <f>1-(1-Skills!J18/100)^Skills!K18</f>
        <v/>
      </c>
      <c r="I1233" t="inlineStr">
        <is>
          <t>1</t>
        </is>
      </c>
      <c r="J1233" t="inlineStr"/>
      <c r="K1233" t="inlineStr"/>
      <c r="L1233" t="inlineStr"/>
      <c r="M1233" t="inlineStr"/>
      <c r="N1233" t="inlineStr"/>
      <c r="O1233">
        <f>(1-Summary!$B$11)*T1233+Summary!$B$11*V1233</f>
        <v/>
      </c>
      <c r="P1233">
        <f>IF(B1256=0,0,O1233/B1256)</f>
        <v/>
      </c>
      <c r="Q1233">
        <f>IFERROR(1/(IF(Inputs!$B$38="pvp",15,MAX(0.1,Skills!D18-IF(Skills!E18=TRUE,Inputs!$B$32,0)))*(1-IF(AND(ArtifactsInput!$M$27,Inputs!$B$4="Chapter Hunt"),CHOOSE(ArtifactsInput!$N$27+1,20,24,28,32,36,40),0)/100)),0)</f>
        <v/>
      </c>
      <c r="R1233">
        <f>IF(AND(Inputs!$B$38&lt;&gt;"pvp",Inputs!$B$43&gt;0),IF(Inputs!$B$43&lt;=0,0,(INT(Inputs!$B$43/(IF(Inputs!$B$38="pvp",15,MAX(0.1,Skills!D18-IF(Skills!E18=TRUE,Inputs!$B$32,0)))*(1-IF(AND(ArtifactsInput!$M$27,Inputs!$B$4="Chapter Hunt"),CHOOSE(ArtifactsInput!$N$27+1,20,24,28,32,36,40),0)/100)))+1)),0)</f>
        <v/>
      </c>
      <c r="S1233">
        <f>IFERROR(O1233/N1233,0)</f>
        <v/>
      </c>
      <c r="T1233" t="n">
        <v>0</v>
      </c>
      <c r="V1233" t="n">
        <v>0</v>
      </c>
    </row>
    <row r="1234">
      <c r="A1234">
        <f>Skills!A19</f>
        <v/>
      </c>
      <c r="B1234">
        <f>Skills!B19</f>
        <v/>
      </c>
      <c r="C1234">
        <f>Inputs!$B$3&gt;=15</f>
        <v/>
      </c>
      <c r="D1234">
        <f>IF(Skills!C19=1,60+Inputs!$B$25+Inputs!$B$29,IF(Skills!C19=2,90+Inputs!$B$26+Inputs!$B$29,IF(Skills!C19=3,120+Inputs!$B$27+Inputs!$B$29,MAX(0,(Inputs!$B$3-100)*3)+Inputs!$B$28+Inputs!$B$29)))</f>
        <v/>
      </c>
      <c r="E1234">
        <f>INDEX(FactorTable!$B$2:$Y$301, MATCH(ROUND(MIN(300,MAX(1,D1234)),0), FactorTable!$A$2:$A$301,0), Skills!M19+1)</f>
        <v/>
      </c>
      <c r="F1234">
        <f>IF(Skills!N19=TRUE,(Skills!L19/10)*(E1234/1000),Skills!L19/10)+Skills!O19</f>
        <v/>
      </c>
      <c r="G1234">
        <f>Skills!G19*IF(Skills!H19&gt;0,Skills!I19/Skills!H19,1)</f>
        <v/>
      </c>
      <c r="H1234">
        <f>1-(1-Skills!J19/100)^Skills!K19</f>
        <v/>
      </c>
      <c r="I1234" t="inlineStr">
        <is>
          <t>1</t>
        </is>
      </c>
      <c r="J1234" t="inlineStr"/>
      <c r="K1234" t="inlineStr"/>
      <c r="L1234" t="inlineStr"/>
      <c r="M1234" t="inlineStr"/>
      <c r="N1234" t="inlineStr"/>
      <c r="O1234">
        <f>(1-Summary!$B$11)*T1234+Summary!$B$11*V1234</f>
        <v/>
      </c>
      <c r="P1234">
        <f>IF(B1256=0,0,O1234/B1256)</f>
        <v/>
      </c>
      <c r="Q1234" t="n">
        <v>0</v>
      </c>
      <c r="R1234" t="n">
        <v>0</v>
      </c>
      <c r="S1234">
        <f>IFERROR(O1234/N1234,0)</f>
        <v/>
      </c>
      <c r="T1234" t="n">
        <v>0</v>
      </c>
      <c r="V1234" t="n">
        <v>0</v>
      </c>
    </row>
    <row r="1235">
      <c r="A1235">
        <f>Skills!A20</f>
        <v/>
      </c>
      <c r="B1235">
        <f>Skills!B20</f>
        <v/>
      </c>
      <c r="C1235">
        <f>Inputs!$B$3&gt;=10</f>
        <v/>
      </c>
      <c r="D1235">
        <f>IF(Skills!C20=1,60+Inputs!$B$25+Inputs!$B$29,IF(Skills!C20=2,90+Inputs!$B$26+Inputs!$B$29,IF(Skills!C20=3,120+Inputs!$B$27+Inputs!$B$29,MAX(0,(Inputs!$B$3-100)*3)+Inputs!$B$28+Inputs!$B$29)))</f>
        <v/>
      </c>
      <c r="E1235">
        <f>INDEX(FactorTable!$B$2:$Y$301, MATCH(ROUND(MIN(300,MAX(1,D1235)),0), FactorTable!$A$2:$A$301,0), Skills!M20+1)</f>
        <v/>
      </c>
      <c r="F1235">
        <f>IF(Skills!N20=TRUE,(Skills!L20/10)*(E1235/1000),Skills!L20/10)+Skills!O20</f>
        <v/>
      </c>
      <c r="G1235">
        <f>Skills!G20*IF(Skills!H20&gt;0,Skills!I20/Skills!H20,1)</f>
        <v/>
      </c>
      <c r="H1235">
        <f>1-(1-Skills!J20/100)^Skills!K20</f>
        <v/>
      </c>
      <c r="I1235" t="inlineStr">
        <is>
          <t>1</t>
        </is>
      </c>
      <c r="J1235" t="inlineStr"/>
      <c r="K1235" t="inlineStr"/>
      <c r="L1235" t="inlineStr"/>
      <c r="M1235" t="inlineStr"/>
      <c r="N1235" t="inlineStr"/>
      <c r="O1235">
        <f>(1-Summary!$B$11)*T1235+Summary!$B$11*V1235</f>
        <v/>
      </c>
      <c r="P1235">
        <f>IF(B1256=0,0,O1235/B1256)</f>
        <v/>
      </c>
      <c r="Q1235" t="n">
        <v>0</v>
      </c>
      <c r="R1235" t="n">
        <v>0</v>
      </c>
      <c r="S1235">
        <f>IFERROR(O1235/N1235,0)</f>
        <v/>
      </c>
      <c r="T1235" t="n">
        <v>0</v>
      </c>
      <c r="V1235" t="n">
        <v>0</v>
      </c>
    </row>
    <row r="1236">
      <c r="A1236">
        <f>Skills!A21</f>
        <v/>
      </c>
      <c r="B1236">
        <f>Skills!B21</f>
        <v/>
      </c>
      <c r="C1236">
        <f>Inputs!$B$3&gt;=33</f>
        <v/>
      </c>
      <c r="D1236">
        <f>IF(Skills!C21=1,60+Inputs!$B$25+Inputs!$B$29,IF(Skills!C21=2,90+Inputs!$B$26+Inputs!$B$29,IF(Skills!C21=3,120+Inputs!$B$27+Inputs!$B$29,MAX(0,(Inputs!$B$3-100)*3)+Inputs!$B$28+Inputs!$B$29)))</f>
        <v/>
      </c>
      <c r="E1236">
        <f>INDEX(FactorTable!$B$2:$Y$301, MATCH(ROUND(MIN(300,MAX(1,D1236)),0), FactorTable!$A$2:$A$301,0), Skills!M21+1)</f>
        <v/>
      </c>
      <c r="F1236">
        <f>IF(Skills!N21=TRUE,(Skills!L21/10)*(E1236/1000),Skills!L21/10)+Skills!O21</f>
        <v/>
      </c>
      <c r="G1236">
        <f>Skills!G21*IF(Skills!H21&gt;0,Skills!I21/Skills!H21,1)</f>
        <v/>
      </c>
      <c r="H1236">
        <f>1-(1-Skills!J21/100)^Skills!K21</f>
        <v/>
      </c>
      <c r="I1236" t="inlineStr">
        <is>
          <t>1</t>
        </is>
      </c>
      <c r="J1236" t="inlineStr"/>
      <c r="K1236" t="inlineStr"/>
      <c r="L1236" t="inlineStr"/>
      <c r="M1236" t="inlineStr"/>
      <c r="N1236" t="inlineStr"/>
      <c r="O1236">
        <f>(1-Summary!$B$11)*T1236+Summary!$B$11*V1236</f>
        <v/>
      </c>
      <c r="P1236">
        <f>IF(B1256=0,0,O1236/B1256)</f>
        <v/>
      </c>
      <c r="Q1236" t="n">
        <v>0</v>
      </c>
      <c r="R1236" t="n">
        <v>0</v>
      </c>
      <c r="S1236">
        <f>IFERROR(O1236/N1236,0)</f>
        <v/>
      </c>
      <c r="T1236" t="n">
        <v>0</v>
      </c>
      <c r="V1236" t="n">
        <v>0</v>
      </c>
    </row>
    <row r="1237">
      <c r="A1237">
        <f>Skills!A22</f>
        <v/>
      </c>
      <c r="B1237">
        <f>Skills!B22</f>
        <v/>
      </c>
      <c r="C1237">
        <f>Inputs!$B$3&gt;=43</f>
        <v/>
      </c>
      <c r="D1237">
        <f>IF(Skills!C22=1,60+Inputs!$B$25+Inputs!$B$29,IF(Skills!C22=2,90+Inputs!$B$26+Inputs!$B$29,IF(Skills!C22=3,120+Inputs!$B$27+Inputs!$B$29,MAX(0,(Inputs!$B$3-100)*3)+Inputs!$B$28+Inputs!$B$29)))</f>
        <v/>
      </c>
      <c r="E1237">
        <f>INDEX(FactorTable!$B$2:$Y$301, MATCH(ROUND(MIN(300,MAX(1,D1237)),0), FactorTable!$A$2:$A$301,0), Skills!M22+1)</f>
        <v/>
      </c>
      <c r="F1237">
        <f>IF(Skills!N22=TRUE,(Skills!L22/10)*(E1237/1000),Skills!L22/10)+Skills!O22</f>
        <v/>
      </c>
      <c r="G1237">
        <f>Skills!G22*IF(Skills!H22&gt;0,Skills!I22/Skills!H22,1)</f>
        <v/>
      </c>
      <c r="H1237">
        <f>1-(1-Skills!J22/100)^Skills!K22</f>
        <v/>
      </c>
      <c r="I1237" t="inlineStr">
        <is>
          <t>1</t>
        </is>
      </c>
      <c r="J1237" t="inlineStr"/>
      <c r="K1237" t="inlineStr"/>
      <c r="L1237" t="inlineStr"/>
      <c r="M1237" t="inlineStr"/>
      <c r="N1237" t="inlineStr"/>
      <c r="O1237">
        <f>(1-Summary!$B$11)*T1237+Summary!$B$11*V1237</f>
        <v/>
      </c>
      <c r="P1237">
        <f>IF(B1256=0,0,O1237/B1256)</f>
        <v/>
      </c>
      <c r="Q1237" t="n">
        <v>0</v>
      </c>
      <c r="R1237" t="n">
        <v>0</v>
      </c>
      <c r="S1237">
        <f>IFERROR(O1237/N1237,0)</f>
        <v/>
      </c>
      <c r="T1237" t="n">
        <v>0</v>
      </c>
      <c r="V1237" t="n">
        <v>0</v>
      </c>
    </row>
    <row r="1238">
      <c r="A1238">
        <f>Skills!A23</f>
        <v/>
      </c>
      <c r="B1238">
        <f>Skills!B23</f>
        <v/>
      </c>
      <c r="C1238">
        <f>Inputs!$B$3&gt;=38</f>
        <v/>
      </c>
      <c r="D1238">
        <f>IF(Skills!C23=1,60+Inputs!$B$25+Inputs!$B$29,IF(Skills!C23=2,90+Inputs!$B$26+Inputs!$B$29,IF(Skills!C23=3,120+Inputs!$B$27+Inputs!$B$29,MAX(0,(Inputs!$B$3-100)*3)+Inputs!$B$28+Inputs!$B$29)))</f>
        <v/>
      </c>
      <c r="E1238">
        <f>INDEX(FactorTable!$B$2:$Y$301, MATCH(ROUND(MIN(300,MAX(1,D1238)),0), FactorTable!$A$2:$A$301,0), Skills!M23+1)</f>
        <v/>
      </c>
      <c r="F1238">
        <f>IF(Skills!N23=TRUE,(Skills!L23/10)*(E1238/1000),Skills!L23/10)+Skills!O23</f>
        <v/>
      </c>
      <c r="G1238">
        <f>Skills!G23*IF(Skills!H23&gt;0,Skills!I23/Skills!H23,1)</f>
        <v/>
      </c>
      <c r="H1238">
        <f>1-(1-Skills!J23/100)^Skills!K23</f>
        <v/>
      </c>
      <c r="I1238" t="inlineStr">
        <is>
          <t>1</t>
        </is>
      </c>
      <c r="J1238" t="inlineStr"/>
      <c r="K1238" t="inlineStr"/>
      <c r="L1238" t="inlineStr"/>
      <c r="M1238" t="inlineStr"/>
      <c r="N1238" t="inlineStr"/>
      <c r="O1238">
        <f>(1-Summary!$B$11)*T1238+Summary!$B$11*V1238</f>
        <v/>
      </c>
      <c r="P1238">
        <f>IF(B1256=0,0,O1238/B1256)</f>
        <v/>
      </c>
      <c r="Q1238" t="n">
        <v>0</v>
      </c>
      <c r="R1238" t="n">
        <v>0</v>
      </c>
      <c r="S1238">
        <f>IFERROR(O1238/N1238,0)</f>
        <v/>
      </c>
      <c r="T1238" t="n">
        <v>0</v>
      </c>
      <c r="V1238" t="n">
        <v>0</v>
      </c>
    </row>
    <row r="1239">
      <c r="A1239">
        <f>Skills!A24</f>
        <v/>
      </c>
      <c r="B1239">
        <f>Skills!B24</f>
        <v/>
      </c>
      <c r="C1239">
        <f>Inputs!$B$3&gt;=40</f>
        <v/>
      </c>
      <c r="D1239">
        <f>IF(Skills!C24=1,60+Inputs!$B$25+Inputs!$B$29,IF(Skills!C24=2,90+Inputs!$B$26+Inputs!$B$29,IF(Skills!C24=3,120+Inputs!$B$27+Inputs!$B$29,MAX(0,(Inputs!$B$3-100)*3)+Inputs!$B$28+Inputs!$B$29)))</f>
        <v/>
      </c>
      <c r="E1239">
        <f>INDEX(FactorTable!$B$2:$Y$301, MATCH(ROUND(MIN(300,MAX(1,D1239)),0), FactorTable!$A$2:$A$301,0), Skills!M24+1)</f>
        <v/>
      </c>
      <c r="F1239">
        <f>IF(Skills!N24=TRUE,(Skills!L24/10)*(E1239/1000),Skills!L24/10)+Skills!O24</f>
        <v/>
      </c>
      <c r="G1239">
        <f>Skills!G24*IF(Skills!H24&gt;0,Skills!I24/Skills!H24,1)</f>
        <v/>
      </c>
      <c r="H1239">
        <f>1-(1-Skills!J24/100)^Skills!K24</f>
        <v/>
      </c>
      <c r="I1239" t="inlineStr">
        <is>
          <t>1</t>
        </is>
      </c>
      <c r="J1239" t="inlineStr"/>
      <c r="K1239" t="inlineStr"/>
      <c r="L1239" t="inlineStr"/>
      <c r="M1239" t="inlineStr"/>
      <c r="N1239" t="inlineStr"/>
      <c r="O1239">
        <f>(1-Summary!$B$11)*T1239+Summary!$B$11*V1239</f>
        <v/>
      </c>
      <c r="P1239">
        <f>IF(B1256=0,0,O1239/B1256)</f>
        <v/>
      </c>
      <c r="Q1239" t="n">
        <v>0</v>
      </c>
      <c r="R1239" t="n">
        <v>0</v>
      </c>
      <c r="S1239">
        <f>IFERROR(O1239/N1239,0)</f>
        <v/>
      </c>
      <c r="T1239" t="n">
        <v>0</v>
      </c>
      <c r="V1239" t="n">
        <v>0</v>
      </c>
    </row>
    <row r="1240">
      <c r="A1240">
        <f>Skills!A25</f>
        <v/>
      </c>
      <c r="B1240">
        <f>Skills!B25</f>
        <v/>
      </c>
      <c r="C1240">
        <f>Inputs!$B$3&gt;=72</f>
        <v/>
      </c>
      <c r="D1240">
        <f>IF(Skills!C25=1,60+Inputs!$B$25+Inputs!$B$29,IF(Skills!C25=2,90+Inputs!$B$26+Inputs!$B$29,IF(Skills!C25=3,120+Inputs!$B$27+Inputs!$B$29,MAX(0,(Inputs!$B$3-100)*3)+Inputs!$B$28+Inputs!$B$29)))</f>
        <v/>
      </c>
      <c r="E1240">
        <f>INDEX(FactorTable!$B$2:$Y$301, MATCH(ROUND(MIN(300,MAX(1,D1240)),0), FactorTable!$A$2:$A$301,0), Skills!M25+1)</f>
        <v/>
      </c>
      <c r="F1240">
        <f>IF(Skills!N25=TRUE,(Skills!L25/10)*(E1240/1000),Skills!L25/10)+Skills!O25</f>
        <v/>
      </c>
      <c r="G1240">
        <f>Skills!G25*IF(Skills!H25&gt;0,Skills!I25/Skills!H25,1)</f>
        <v/>
      </c>
      <c r="H1240">
        <f>1-(1-Skills!J25/100)^Skills!K25</f>
        <v/>
      </c>
      <c r="I1240" t="inlineStr">
        <is>
          <t>1</t>
        </is>
      </c>
      <c r="J1240" t="inlineStr"/>
      <c r="K1240" t="inlineStr"/>
      <c r="L1240" t="inlineStr"/>
      <c r="M1240" t="inlineStr"/>
      <c r="N1240" t="inlineStr"/>
      <c r="O1240">
        <f>(1-Summary!$B$11)*T1240+Summary!$B$11*V1240</f>
        <v/>
      </c>
      <c r="P1240">
        <f>IF(B1256=0,0,O1240/B1256)</f>
        <v/>
      </c>
      <c r="Q1240" t="n">
        <v>0</v>
      </c>
      <c r="R1240" t="n">
        <v>0</v>
      </c>
      <c r="S1240">
        <f>IFERROR(O1240/N1240,0)</f>
        <v/>
      </c>
      <c r="T1240" t="n">
        <v>0</v>
      </c>
      <c r="V1240" t="n">
        <v>0</v>
      </c>
    </row>
    <row r="1241">
      <c r="A1241">
        <f>Skills!A26</f>
        <v/>
      </c>
      <c r="B1241">
        <f>Skills!B26</f>
        <v/>
      </c>
      <c r="C1241">
        <f>Inputs!$B$3&gt;=75</f>
        <v/>
      </c>
      <c r="D1241">
        <f>IF(Skills!C26=1,60+Inputs!$B$25+Inputs!$B$29,IF(Skills!C26=2,90+Inputs!$B$26+Inputs!$B$29,IF(Skills!C26=3,120+Inputs!$B$27+Inputs!$B$29,MAX(0,(Inputs!$B$3-100)*3)+Inputs!$B$28+Inputs!$B$29)))</f>
        <v/>
      </c>
      <c r="E1241">
        <f>INDEX(FactorTable!$B$2:$Y$301, MATCH(ROUND(MIN(300,MAX(1,D1241)),0), FactorTable!$A$2:$A$301,0), Skills!M26+1)</f>
        <v/>
      </c>
      <c r="F1241">
        <f>IF(Skills!N26=TRUE,(Skills!L26/10)*(E1241/1000),Skills!L26/10)+Skills!O26</f>
        <v/>
      </c>
      <c r="G1241">
        <f>Skills!G26*IF(Skills!H26&gt;0,Skills!I26/Skills!H26,1)</f>
        <v/>
      </c>
      <c r="H1241">
        <f>1-(1-Skills!J26/100)^Skills!K26</f>
        <v/>
      </c>
      <c r="I1241" t="inlineStr">
        <is>
          <t>1</t>
        </is>
      </c>
      <c r="J1241" t="inlineStr"/>
      <c r="K1241" t="inlineStr"/>
      <c r="L1241" t="inlineStr"/>
      <c r="M1241" t="inlineStr"/>
      <c r="N1241" t="inlineStr"/>
      <c r="O1241">
        <f>(1-Summary!$B$11)*T1241+Summary!$B$11*V1241</f>
        <v/>
      </c>
      <c r="P1241">
        <f>IF(B1256=0,0,O1241/B1256)</f>
        <v/>
      </c>
      <c r="Q1241" t="n">
        <v>0</v>
      </c>
      <c r="R1241" t="n">
        <v>0</v>
      </c>
      <c r="S1241">
        <f>IFERROR(O1241/N1241,0)</f>
        <v/>
      </c>
      <c r="T1241" t="n">
        <v>0</v>
      </c>
      <c r="V1241" t="n">
        <v>0</v>
      </c>
    </row>
    <row r="1242">
      <c r="A1242">
        <f>Skills!A27</f>
        <v/>
      </c>
      <c r="B1242">
        <f>Skills!B27</f>
        <v/>
      </c>
      <c r="C1242">
        <f>Inputs!$B$3&gt;=117</f>
        <v/>
      </c>
      <c r="D1242">
        <f>IF(Skills!C27=1,60+Inputs!$B$25+Inputs!$B$29,IF(Skills!C27=2,90+Inputs!$B$26+Inputs!$B$29,IF(Skills!C27=3,120+Inputs!$B$27+Inputs!$B$29,MAX(0,(Inputs!$B$3-100)*3)+Inputs!$B$28+Inputs!$B$29)))</f>
        <v/>
      </c>
      <c r="E1242">
        <f>INDEX(FactorTable!$B$2:$Y$301, MATCH(ROUND(MIN(300,MAX(1,D1242)),0), FactorTable!$A$2:$A$301,0), Skills!M27+1)</f>
        <v/>
      </c>
      <c r="F1242">
        <f>IF(Skills!N27=TRUE,(Skills!L27/10)*(E1242/1000),Skills!L27/10)+Skills!O27</f>
        <v/>
      </c>
      <c r="G1242">
        <f>Skills!G27*IF(Skills!H27&gt;0,Skills!I27/Skills!H27,1)</f>
        <v/>
      </c>
      <c r="H1242">
        <f>1-(1-Skills!J27/100)^Skills!K27</f>
        <v/>
      </c>
      <c r="I1242" t="inlineStr">
        <is>
          <t>1</t>
        </is>
      </c>
      <c r="J1242" t="inlineStr"/>
      <c r="K1242" t="inlineStr"/>
      <c r="L1242" t="inlineStr"/>
      <c r="M1242" t="inlineStr"/>
      <c r="N1242" t="inlineStr"/>
      <c r="O1242">
        <f>(1-Summary!$B$11)*T1242+Summary!$B$11*V1242</f>
        <v/>
      </c>
      <c r="P1242">
        <f>IF(B1256=0,0,O1242/B1256)</f>
        <v/>
      </c>
      <c r="Q1242" t="n">
        <v>0</v>
      </c>
      <c r="R1242" t="n">
        <v>0</v>
      </c>
      <c r="S1242">
        <f>IFERROR(O1242/N1242,0)</f>
        <v/>
      </c>
      <c r="T1242" t="n">
        <v>0</v>
      </c>
      <c r="V1242" t="n">
        <v>0</v>
      </c>
    </row>
    <row r="1243">
      <c r="A1243">
        <f>Skills!A28</f>
        <v/>
      </c>
      <c r="B1243">
        <f>Skills!B28</f>
        <v/>
      </c>
      <c r="C1243">
        <f>TRUE</f>
        <v/>
      </c>
      <c r="D1243">
        <f>IF(Skills!C28=1,60+Inputs!$B$25+Inputs!$B$29,IF(Skills!C28=2,90+Inputs!$B$26+Inputs!$B$29,IF(Skills!C28=3,120+Inputs!$B$27+Inputs!$B$29,MAX(0,(Inputs!$B$3-100)*3)+Inputs!$B$28+Inputs!$B$29)))</f>
        <v/>
      </c>
      <c r="E1243">
        <f>INDEX(FactorTable!$B$2:$Y$301, MATCH(ROUND(MIN(300,MAX(1,D1243)),0), FactorTable!$A$2:$A$301,0), Skills!M28+1)</f>
        <v/>
      </c>
      <c r="F1243">
        <f>IF(Skills!N28=TRUE,(Skills!L28/10)*(E1243/1000),Skills!L28/10)+Skills!O28</f>
        <v/>
      </c>
      <c r="G1243">
        <f>Skills!G28*IF(Skills!H28&gt;0,Skills!I28/Skills!H28,1)</f>
        <v/>
      </c>
      <c r="H1243">
        <f>1-(1-Skills!J28/100)^Skills!K28</f>
        <v/>
      </c>
      <c r="I1243" t="inlineStr">
        <is>
          <t>1</t>
        </is>
      </c>
      <c r="J1243" t="inlineStr"/>
      <c r="K1243" t="inlineStr"/>
      <c r="L1243" t="inlineStr"/>
      <c r="M1243" t="inlineStr"/>
      <c r="N1243" t="inlineStr"/>
      <c r="O1243">
        <f>(1-Summary!$B$11)*T1243+Summary!$B$11*V1243</f>
        <v/>
      </c>
      <c r="P1243">
        <f>IF(B1256=0,0,O1243/B1256)</f>
        <v/>
      </c>
      <c r="Q1243">
        <f>IFERROR(1/(IF(Inputs!$B$38="pvp",15,MAX(0.1,Skills!D28-IF(Skills!E28=TRUE,Inputs!$B$32,0)))*(1-IF(AND(ArtifactsInput!$M$27,Inputs!$B$4="Chapter Hunt"),CHOOSE(ArtifactsInput!$N$27+1,20,24,28,32,36,40),0)/100)),0)</f>
        <v/>
      </c>
      <c r="R1243">
        <f>IF(AND(Inputs!$B$38&lt;&gt;"pvp",Inputs!$B$43&gt;0),IF(Inputs!$B$43&lt;=0,0,(INT(Inputs!$B$43/(IF(Inputs!$B$38="pvp",15,MAX(0.1,Skills!D28-IF(Skills!E28=TRUE,Inputs!$B$32,0)))*(1-IF(AND(ArtifactsInput!$M$27,Inputs!$B$4="Chapter Hunt"),CHOOSE(ArtifactsInput!$N$27+1,20,24,28,32,36,40),0)/100)))+1)),0)</f>
        <v/>
      </c>
      <c r="S1243">
        <f>IFERROR(O1243/N1243,0)</f>
        <v/>
      </c>
      <c r="T1243" t="n">
        <v>0</v>
      </c>
      <c r="V1243" t="n">
        <v>0</v>
      </c>
    </row>
    <row r="1245">
      <c r="A1245" t="inlineStr">
        <is>
          <t>Attack% Bucket Multiplier</t>
        </is>
      </c>
      <c r="B1245">
        <f>(1+(((C1232=TRUE)*F1232*5/7)+((C1239=TRUE)*(F1239-Calc!F24))+(IF(ArtifactsInput!$M$21,CHOOSE(ArtifactsInput!$N$21+1,25,30,35,40,45,50)*(IF(OR(Inputs!$B$4="Chapter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246">
      <c r="A1246" t="inlineStr">
        <is>
          <t>Global Crit Rate Bonus %</t>
        </is>
      </c>
      <c r="B1246" t="n">
        <v>0</v>
      </c>
    </row>
    <row r="1247">
      <c r="A1247" t="inlineStr">
        <is>
          <t>Attack Speed Buff Bonus % (Nimble Feet, duty-cycle averaged)</t>
        </is>
      </c>
      <c r="B1247">
        <f>((C1243=TRUE)*F1243*IF(AND(Inputs!$B$38&lt;&gt;"pvp",Inputs!$B$43&gt;0),(((R1243-1)*(Skills!T28*(1+Inputs!$B$34/100))+MIN((Skills!T28*(1+Inputs!$B$34/100)),MAX(0,Inputs!$B$43-((R1243-1)*Skills!D28))))/Inputs!$B$43),IF(Inputs!$B$38="pvp",MIN((Skills!T28*(1+Inputs!$B$34/100)),15)/15,(Skills!T28*(1+Inputs!$B$34/100))/Skills!D28)))</f>
        <v/>
      </c>
    </row>
    <row r="1248">
      <c r="A1248" t="inlineStr">
        <is>
          <t>Actions Per Second</t>
        </is>
      </c>
      <c r="B1248">
        <f>1+MIN(150,150*(1-(1-(Inputs!$B$11+((C1235=TRUE)*(F1235-Calc!F20))+((C1236=TRUE)*(F1236-Calc!F21)))/150)*(1-B1247/150)))/100</f>
        <v/>
      </c>
    </row>
    <row r="1249">
      <c r="A1249" t="inlineStr">
        <is>
          <t>Skill + Buff Cast Rate</t>
        </is>
      </c>
      <c r="B1249">
        <f>IF(AND(Inputs!$B$38&lt;&gt;"pvp",Inputs!$B$43&gt;0),SUMPRODUCT((Skills!E2:E28=TRUE)*(C1217:C1243=TRUE)*R1217:R1243*Skills!F2:F28)/Inputs!$B$43,SUMPRODUCT((Skills!E2:E28=TRUE)*(C1217:C1243=TRUE)*Q1217:Q1243*Skills!F2:F28))</f>
        <v/>
      </c>
    </row>
    <row r="1250">
      <c r="A1250" t="inlineStr">
        <is>
          <t>Eight-Legs Easton Casts Per Second</t>
        </is>
      </c>
      <c r="B1250">
        <f>MAX(0,B1248-B1249)</f>
        <v/>
      </c>
    </row>
    <row r="1251">
      <c r="A1251" t="inlineStr">
        <is>
          <t>Global Critical Damage Bonus % (unused)</t>
        </is>
      </c>
      <c r="B1251" t="n">
        <v>0</v>
      </c>
    </row>
    <row r="1252">
      <c r="A1252" t="inlineStr">
        <is>
          <t>Global Final Damage Bonus % (Jolly Roger + Ahoy Mateys - Final Damage proc)</t>
        </is>
      </c>
      <c r="B1252">
        <f>((C1233=TRUE)*F1233*IF(AND(Inputs!$B$38&lt;&gt;"pvp",Inputs!$B$43&gt;0),(((R1233-1)*(Skills!T18*(1+Inputs!$B$34/100))+MIN((Skills!T18*(1+Inputs!$B$34/100)),MAX(0,Inputs!$B$43-((R1233-1)*Skills!D18))))/Inputs!$B$43),IF(Inputs!$B$38="pvp",MIN((Skills!T18*(1+Inputs!$B$34/100)),15)/15,(Skills!T18*(1+Inputs!$B$34/100))/Skills!D18)))+IF(Inputs!$B$3&gt;=122,20*IF(Inputs!$B$38="pvp",MIN((20*(1+Inputs!$B$34/100)),15)/15,(20*(1+Inputs!$B$34/100))/Skills!D4),0)</f>
        <v/>
      </c>
    </row>
    <row r="1253">
      <c r="A1253" t="inlineStr">
        <is>
          <t>Buff-Casting Startup Delay (s, fixed-duration only)</t>
        </is>
      </c>
      <c r="B1253">
        <f>IF(AND(Inputs!$B$38&lt;&gt;"pvp",Inputs!$B$43&gt;0),SUMPRODUCT((Skills!T2:T28&gt;0)*(Skills!E2:E28=TRUE)*(C1217:C1243=TRUE))/B1248,0)</f>
        <v/>
      </c>
    </row>
    <row r="1254">
      <c r="A1254" t="inlineStr">
        <is>
          <t>Boss-Only Total DPS (this block's swept value)</t>
        </is>
      </c>
      <c r="B1254">
        <f>SUM(T1217:T1243)</f>
        <v/>
      </c>
    </row>
    <row r="1255">
      <c r="A1255" t="inlineStr">
        <is>
          <t>Normal-Only Total DPS (this block's swept value)</t>
        </is>
      </c>
      <c r="B1255">
        <f>SUM(V1217:V1243)</f>
        <v/>
      </c>
    </row>
    <row r="1256">
      <c r="A1256" s="6" t="inlineStr">
        <is>
          <t>TOTAL DPS</t>
        </is>
      </c>
      <c r="B1256" s="6">
        <f>SUM(O1217:O1243)</f>
        <v/>
      </c>
    </row>
    <row r="1259">
      <c r="A1259" s="6" t="inlineStr">
        <is>
          <t>Stat: Pig's Ribbon (Equip)</t>
        </is>
      </c>
    </row>
    <row r="1260">
      <c r="A1260" s="5" t="inlineStr">
        <is>
          <t>Key</t>
        </is>
      </c>
      <c r="B1260" s="5" t="inlineStr">
        <is>
          <t>Name</t>
        </is>
      </c>
      <c r="C1260" s="5" t="inlineStr">
        <is>
          <t>Unlocked</t>
        </is>
      </c>
      <c r="D1260" s="5" t="inlineStr">
        <is>
          <t>InputLevel</t>
        </is>
      </c>
      <c r="E1260" s="5" t="inlineStr">
        <is>
          <t>Factor</t>
        </is>
      </c>
      <c r="F1260" s="5" t="inlineStr">
        <is>
          <t>CoefficientPercent</t>
        </is>
      </c>
      <c r="G1260" s="5" t="inlineStr">
        <is>
          <t>EffectiveHits</t>
        </is>
      </c>
      <c r="H1260" s="5" t="inlineStr">
        <is>
          <t>ProcProbability</t>
        </is>
      </c>
      <c r="I1260" s="5" t="inlineStr">
        <is>
          <t>MapleHeroMultiplier</t>
        </is>
      </c>
      <c r="J1260" s="5" t="inlineStr">
        <is>
          <t>BaseDamage</t>
        </is>
      </c>
      <c r="K1260" s="5" t="inlineStr">
        <is>
          <t>BaseHitDamage</t>
        </is>
      </c>
      <c r="L1260" s="5" t="inlineStr">
        <is>
          <t>NonCritAvg</t>
        </is>
      </c>
      <c r="M1260" s="5" t="inlineStr">
        <is>
          <t>CritAvg</t>
        </is>
      </c>
      <c r="N1260" s="5" t="inlineStr">
        <is>
          <t>ExpectedDamage(perHit)</t>
        </is>
      </c>
      <c r="O1260" s="5" t="inlineStr">
        <is>
          <t>DPS</t>
        </is>
      </c>
      <c r="P1260" s="5" t="inlineStr">
        <is>
          <t>% of Total</t>
        </is>
      </c>
      <c r="Q1260" s="5" t="inlineStr">
        <is>
          <t>InvCooldown</t>
        </is>
      </c>
      <c r="R1260" s="5" t="inlineStr">
        <is>
          <t>CastsInFight</t>
        </is>
      </c>
      <c r="S1260" s="5" t="inlineStr">
        <is>
          <t>HitRate(perSec)</t>
        </is>
      </c>
      <c r="U1260" t="inlineStr">
        <is>
          <t>helpers</t>
        </is>
      </c>
    </row>
    <row r="1261">
      <c r="A1261">
        <f>Skills!A2</f>
        <v/>
      </c>
      <c r="B1261">
        <f>Skills!B2</f>
        <v/>
      </c>
      <c r="C1261">
        <f>Inputs!$B$3&gt;=100</f>
        <v/>
      </c>
      <c r="D1261" t="inlineStr"/>
      <c r="E1261" t="inlineStr"/>
      <c r="F1261">
        <f>U1263+Skills!O2</f>
        <v/>
      </c>
      <c r="G1261">
        <f>Skills!G2*IF(Skills!H2&gt;0,Skills!I2/Skills!H2,1)</f>
        <v/>
      </c>
      <c r="H1261">
        <f>1-(1-Skills!J2/100)^Skills!K2</f>
        <v/>
      </c>
      <c r="I1261" t="inlineStr">
        <is>
          <t>1</t>
        </is>
      </c>
      <c r="J1261">
        <f>((Inputs!$B$6*(1+Inputs!$B$7/100))+(((Inputs!$B$12*(1+Inputs!$B$13/100))-(Inputs!$B$12*(1+Inputs!$B$13/100)))+0.25*(Inputs!$B$14-Inputs!$B$14))*(1+Inputs!$B$7/100))*(F1261/100)</f>
        <v/>
      </c>
      <c r="K1261">
        <f>J1261*(1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1261)</f>
        <v/>
      </c>
      <c r="L1261">
        <f>K1261*(MIN(Inputs!$B$22+((C1281=TRUE)*(F1281-Calc!F22)),(Inputs!$B$23+0+(IF(ArtifactsInput!$M$15,CHOOSE(ArtifactsInput!$N$15+1,25,30,35,40,45,50)/100*(Inputs!$B$11-Inputs!$B$11),0))))/100+(Inputs!$B$23+0+(IF(ArtifactsInput!$M$15,CHOOSE(ArtifactsInput!$N$15+1,25,30,35,40,45,50)/100*(Inputs!$B$11-Inputs!$B$11),0)))/100)/2</f>
        <v/>
      </c>
      <c r="M1261">
        <f>L1261*(1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1">
        <f>L1261*(1-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1">
        <f>(1-Summary!$B$11)*T1261+Summary!$B$11*V1261</f>
        <v/>
      </c>
      <c r="P1261">
        <f>IF(B1300=0,0,O1261/B1300)</f>
        <v/>
      </c>
      <c r="Q1261" t="n">
        <v>0</v>
      </c>
      <c r="R1261" t="n">
        <v>0</v>
      </c>
      <c r="S1261">
        <f>IFERROR(O1261/N1261,0)</f>
        <v/>
      </c>
      <c r="T1261">
        <f>IF(C1261,(Skills!G2*N1261*B1294)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1261*(1-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1261*(1-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1">
        <f>MAX(0,(Inputs!$B$3-100)*3)+Inputs!$B$28+Inputs!$B$29</f>
        <v/>
      </c>
      <c r="V1261">
        <f>IF(C1261,(Skills!G2*N1261*B1294)*IF(Inputs!$B$38="pvp",1,(1+(Inputs!$B$21+Skills!Q2+(IF(ArtifactsInput!$M$33,CHOOSE(ArtifactsInput!$N$33+1,30,36,42,48,54,60),0))+(IF(AND(ArtifactsInput!$M$35,Inputs!$B$4&lt;&gt;"Chapter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2">
      <c r="A1262">
        <f>Skills!A3</f>
        <v/>
      </c>
      <c r="B1262">
        <f>Skills!B3</f>
        <v/>
      </c>
      <c r="C1262">
        <f>Inputs!$B$3&gt;=35</f>
        <v/>
      </c>
      <c r="D1262">
        <f>IF(Skills!C3=1,60+Inputs!$B$25+Inputs!$B$29,IF(Skills!C3=2,90+Inputs!$B$26+Inputs!$B$29,IF(Skills!C3=3,120+Inputs!$B$27+Inputs!$B$29,MAX(0,(Inputs!$B$3-100)*3)+Inputs!$B$28+Inputs!$B$29)))</f>
        <v/>
      </c>
      <c r="E1262">
        <f>INDEX(FactorTable!$B$2:$Y$301, MATCH(ROUND(MIN(300,MAX(1,D1262)),0), FactorTable!$A$2:$A$301,0), Skills!M3+1)</f>
        <v/>
      </c>
      <c r="F1262">
        <f>IF(Skills!N3=TRUE,(Skills!L3/10)*(E1262/1000),Skills!L3/10)+Skills!O3</f>
        <v/>
      </c>
      <c r="G1262">
        <f>Skills!G3*IF(Skills!H3&gt;0,Skills!I3/Skills!H3,1)</f>
        <v/>
      </c>
      <c r="H1262">
        <f>1-(1-Skills!J3/100)^Skills!K3</f>
        <v/>
      </c>
      <c r="I1262" t="inlineStr">
        <is>
          <t>1</t>
        </is>
      </c>
      <c r="J1262">
        <f>((Inputs!$B$6*(1+Inputs!$B$7/100))+(((Inputs!$B$12*(1+Inputs!$B$13/100))-(Inputs!$B$12*(1+Inputs!$B$13/100)))+0.25*(Inputs!$B$14-Inputs!$B$14))*(1+Inputs!$B$7/100))*(F1262/100)</f>
        <v/>
      </c>
      <c r="K1262">
        <f>J1262*(1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1274=TRUE,F1274,0)/100)*(1+(IF(Skills!A3="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1262)</f>
        <v/>
      </c>
      <c r="L1262">
        <f>K1262*(MIN(Inputs!$B$22+((C1281=TRUE)*(F1281-Calc!F22)),(Inputs!$B$23+0+(IF(ArtifactsInput!$M$15,CHOOSE(ArtifactsInput!$N$15+1,25,30,35,40,45,50)/100*(Inputs!$B$11-Inputs!$B$11),0))))/100+(Inputs!$B$23+0+(IF(ArtifactsInput!$M$15,CHOOSE(ArtifactsInput!$N$15+1,25,30,35,40,45,50)/100*(Inputs!$B$11-Inputs!$B$11),0)))/100)/2</f>
        <v/>
      </c>
      <c r="M1262">
        <f>L1262*(1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2">
        <f>L1262*(1-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1262*(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2">
        <f>(1-Summary!$B$11)*T1262+Summary!$B$11*V1262</f>
        <v/>
      </c>
      <c r="P1262">
        <f>IF(B1300=0,0,O1262/B1300)</f>
        <v/>
      </c>
      <c r="Q1262">
        <f>IFERROR(1/(IF(Inputs!$B$38="pvp",15,MAX(0.1,Skills!D3-IF(Skills!E3=TRUE,Inputs!$B$32,0)))*(1-IF(AND(ArtifactsInput!$M$27,Inputs!$B$4="Chapter Hunt"),CHOOSE(ArtifactsInput!$N$27+1,20,24,28,32,36,40),0)/100)),0)</f>
        <v/>
      </c>
      <c r="R1262">
        <f>IF(AND(Inputs!$B$38&lt;&gt;"pvp",Inputs!$B$43&gt;0),IF(MAX(0,Inputs!$B$43-B1297)&lt;=0,0,(INT(MAX(0,Inputs!$B$43-B1297)/(IF(Inputs!$B$38="pvp",15,MAX(0.1,Skills!D3-IF(Skills!E3=TRUE,Inputs!$B$32,0)))*(1-IF(AND(ArtifactsInput!$M$27,Inputs!$B$4="Chapter Hunt"),CHOOSE(ArtifactsInput!$N$27+1,20,24,28,32,36,40),0)/100)))+1)),0)</f>
        <v/>
      </c>
      <c r="S1262">
        <f>IFERROR(O1262/N1262,0)</f>
        <v/>
      </c>
      <c r="T1262">
        <f>IF(C1262,(H1262*N1262*IF(AND(Inputs!$B$38&lt;&gt;"pvp",Inputs!$B$43&gt;0),((Skills!G3*((R1262-1)*IF(Skills!H3&gt;0,Skills!I3/Skills!H3,1)+IF(Skills!H3&gt;0,MIN(Skills!I3,MAX(0,MAX(0,Inputs!$B$43-B1297)-((R1262-1)*(IF(Inputs!$B$38="pvp",15,MAX(0.1,Skills!D3-IF(Skills!E3=TRUE,Inputs!$B$32,0)))*(1-IF(AND(ArtifactsInput!$M$27,Inputs!$B$4="Chapter Hunt"),CHOOSE(ArtifactsInput!$N$27+1,20,24,28,32,36,40),0)/100)))))/Skills!H3,1)))/Inputs!$B$43),G1262*Q1262)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1262*(1-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1262*(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1262*(1-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1262*(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2">
        <f>INDEX(FactorTable!$B$2:$Y$301, MATCH(ROUND(MIN(300,MAX(1,U1261)),0), FactorTable!$A$2:$A$301,0), 22)</f>
        <v/>
      </c>
      <c r="V1262">
        <f>IF(C1262,(H1262*N1262*IF(AND(Inputs!$B$38&lt;&gt;"pvp",Inputs!$B$43&gt;0),((Skills!G3*((R1262-1)*IF(Skills!H3&gt;0,Skills!I3/Skills!H3,1)+IF(Skills!H3&gt;0,MIN(Skills!I3,MAX(0,MAX(0,Inputs!$B$43-B1297)-((R1262-1)*(IF(Inputs!$B$38="pvp",15,MAX(0.1,Skills!D3-IF(Skills!E3=TRUE,Inputs!$B$32,0)))*(1-IF(AND(ArtifactsInput!$M$27,Inputs!$B$4="Chapter Hunt"),CHOOSE(ArtifactsInput!$N$27+1,20,24,28,32,36,40),0)/100)))))/Skills!H3,1)))/Inputs!$B$43),G1262*Q1262))*IF(Inputs!$B$38="pvp",1,(1+(Inputs!$B$21+Skills!Q3+(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3">
      <c r="A1263">
        <f>Skills!A4</f>
        <v/>
      </c>
      <c r="B1263">
        <f>Skills!B4</f>
        <v/>
      </c>
      <c r="C1263">
        <f>Inputs!$B$3&gt;=40</f>
        <v/>
      </c>
      <c r="D1263">
        <f>IF(Skills!C4=1,60+Inputs!$B$25+Inputs!$B$29,IF(Skills!C4=2,90+Inputs!$B$26+Inputs!$B$29,IF(Skills!C4=3,120+Inputs!$B$27+Inputs!$B$29,MAX(0,(Inputs!$B$3-100)*3)+Inputs!$B$28+Inputs!$B$29)))</f>
        <v/>
      </c>
      <c r="E1263">
        <f>INDEX(FactorTable!$B$2:$Y$301, MATCH(ROUND(MIN(300,MAX(1,D1263)),0), FactorTable!$A$2:$A$301,0), Skills!M4+1)</f>
        <v/>
      </c>
      <c r="F1263">
        <f>IF(Skills!N4=TRUE,(Skills!L4/10)*(E1263/1000),Skills!L4/10)+Skills!O4</f>
        <v/>
      </c>
      <c r="G1263">
        <f>Skills!G4*IF(Skills!H4&gt;0,Skills!I4/Skills!H4,1)</f>
        <v/>
      </c>
      <c r="H1263">
        <f>1-(1-Skills!J4/100)^Skills!K4</f>
        <v/>
      </c>
      <c r="I1263" t="inlineStr">
        <is>
          <t>1</t>
        </is>
      </c>
      <c r="J1263">
        <f>((Inputs!$B$6*(1+Inputs!$B$7/100))+(((Inputs!$B$12*(1+Inputs!$B$13/100))-(Inputs!$B$12*(1+Inputs!$B$13/100)))+0.25*(Inputs!$B$14-Inputs!$B$14))*(1+Inputs!$B$7/100))*(F1263/100)</f>
        <v/>
      </c>
      <c r="K1263">
        <f>J1263*(1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1275=TRUE,F1275,0)/100)*(1+(IF(Skills!A4="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1263)</f>
        <v/>
      </c>
      <c r="L1263">
        <f>K1263*(MIN(Inputs!$B$22+((C1281=TRUE)*(F1281-Calc!F22)),(Inputs!$B$23+0+(IF(ArtifactsInput!$M$15,CHOOSE(ArtifactsInput!$N$15+1,25,30,35,40,45,50)/100*(Inputs!$B$11-Inputs!$B$11),0))))/100+(Inputs!$B$23+0+(IF(ArtifactsInput!$M$15,CHOOSE(ArtifactsInput!$N$15+1,25,30,35,40,45,50)/100*(Inputs!$B$11-Inputs!$B$11),0)))/100)/2</f>
        <v/>
      </c>
      <c r="M1263">
        <f>L1263*(1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3">
        <f>L1263*(1-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1263*(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3">
        <f>(1-Summary!$B$11)*T1263+Summary!$B$11*V1263</f>
        <v/>
      </c>
      <c r="P1263">
        <f>IF(B1300=0,0,O1263/B1300)</f>
        <v/>
      </c>
      <c r="Q1263">
        <f>IFERROR(1/(IF(Inputs!$B$38="pvp",15,MAX(0.1,Skills!D4-IF(Skills!E4=TRUE,Inputs!$B$32,0)))*(1-IF(AND(ArtifactsInput!$M$27,Inputs!$B$4="Chapter Hunt"),CHOOSE(ArtifactsInput!$N$27+1,20,24,28,32,36,40),0)/100)),0)</f>
        <v/>
      </c>
      <c r="R1263">
        <f>IF(AND(Inputs!$B$38&lt;&gt;"pvp",Inputs!$B$43&gt;0),IF(MAX(0,Inputs!$B$43-B1297)&lt;=0,0,(INT(MAX(0,Inputs!$B$43-B1297)/(IF(Inputs!$B$38="pvp",15,MAX(0.1,Skills!D4-IF(Skills!E4=TRUE,Inputs!$B$32,0)))*(1-IF(AND(ArtifactsInput!$M$27,Inputs!$B$4="Chapter Hunt"),CHOOSE(ArtifactsInput!$N$27+1,20,24,28,32,36,40),0)/100)))+1)),0)</f>
        <v/>
      </c>
      <c r="S1263">
        <f>IFERROR(O1263/N1263,0)</f>
        <v/>
      </c>
      <c r="T1263">
        <f>IF(C1263,(H1263*N1263*IF(AND(Inputs!$B$38&lt;&gt;"pvp",Inputs!$B$43&gt;0),((Skills!G4*((R1263-1)*IF(Skills!H4&gt;0,Skills!I4/Skills!H4,1)+IF(Skills!H4&gt;0,MIN(Skills!I4,MAX(0,MAX(0,Inputs!$B$43-B1297)-((R1263-1)*(IF(Inputs!$B$38="pvp",15,MAX(0.1,Skills!D4-IF(Skills!E4=TRUE,Inputs!$B$32,0)))*(1-IF(AND(ArtifactsInput!$M$27,Inputs!$B$4="Chapter Hunt"),CHOOSE(ArtifactsInput!$N$27+1,20,24,28,32,36,40),0)/100)))))/Skills!H4,1)))/Inputs!$B$43),G1263*Q1263)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1263*(1-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1263*(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1263*(1-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1263*(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3">
        <f>290*U1262/1000</f>
        <v/>
      </c>
      <c r="V1263">
        <f>IF(C1263,(H1263*N1263*IF(AND(Inputs!$B$38&lt;&gt;"pvp",Inputs!$B$43&gt;0),((Skills!G4*((R1263-1)*IF(Skills!H4&gt;0,Skills!I4/Skills!H4,1)+IF(Skills!H4&gt;0,MIN(Skills!I4,MAX(0,MAX(0,Inputs!$B$43-B1297)-((R1263-1)*(IF(Inputs!$B$38="pvp",15,MAX(0.1,Skills!D4-IF(Skills!E4=TRUE,Inputs!$B$32,0)))*(1-IF(AND(ArtifactsInput!$M$27,Inputs!$B$4="Chapter Hunt"),CHOOSE(ArtifactsInput!$N$27+1,20,24,28,32,36,40),0)/100)))))/Skills!H4,1)))/Inputs!$B$43),G1263*Q1263))*IF(Inputs!$B$38="pvp",1,(1+(Inputs!$B$21+Skills!Q4+(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4">
      <c r="A1264">
        <f>Skills!A5</f>
        <v/>
      </c>
      <c r="B1264">
        <f>Skills!B5</f>
        <v/>
      </c>
      <c r="C1264">
        <f>Inputs!$B$3&gt;=45</f>
        <v/>
      </c>
      <c r="D1264">
        <f>IF(Skills!C5=1,60+Inputs!$B$25+Inputs!$B$29,IF(Skills!C5=2,90+Inputs!$B$26+Inputs!$B$29,IF(Skills!C5=3,120+Inputs!$B$27+Inputs!$B$29,MAX(0,(Inputs!$B$3-100)*3)+Inputs!$B$28+Inputs!$B$29)))</f>
        <v/>
      </c>
      <c r="E1264">
        <f>INDEX(FactorTable!$B$2:$Y$301, MATCH(ROUND(MIN(300,MAX(1,D1264)),0), FactorTable!$A$2:$A$301,0), Skills!M5+1)</f>
        <v/>
      </c>
      <c r="F1264">
        <f>IF(Skills!N5=TRUE,(Skills!L5/10)*(E1264/1000),Skills!L5/10)+Skills!O5</f>
        <v/>
      </c>
      <c r="G1264">
        <f>Skills!G5*IF(Skills!H5&gt;0,Skills!I5/Skills!H5,1)</f>
        <v/>
      </c>
      <c r="H1264">
        <f>1-(1-Skills!J5/100)^Skills!K5</f>
        <v/>
      </c>
      <c r="I1264" t="inlineStr">
        <is>
          <t>1</t>
        </is>
      </c>
      <c r="J1264">
        <f>((Inputs!$B$6*(1+Inputs!$B$7/100))+(((Inputs!$B$12*(1+Inputs!$B$13/100))-(Inputs!$B$12*(1+Inputs!$B$13/100)))+0.25*(Inputs!$B$14-Inputs!$B$14))*(1+Inputs!$B$7/100))*(F1264/100)</f>
        <v/>
      </c>
      <c r="K1264">
        <f>J1264*(1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1275=TRUE,F1275,0)/100)*(1+(IF(Skills!A5="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1264)</f>
        <v/>
      </c>
      <c r="L1264">
        <f>K1264*(MIN(Inputs!$B$22+((C1281=TRUE)*(F1281-Calc!F22)),(Inputs!$B$23+0+(IF(ArtifactsInput!$M$15,CHOOSE(ArtifactsInput!$N$15+1,25,30,35,40,45,50)/100*(Inputs!$B$11-Inputs!$B$11),0))))/100+(Inputs!$B$23+0+(IF(ArtifactsInput!$M$15,CHOOSE(ArtifactsInput!$N$15+1,25,30,35,40,45,50)/100*(Inputs!$B$11-Inputs!$B$11),0)))/100)/2</f>
        <v/>
      </c>
      <c r="M1264">
        <f>L1264*(1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4">
        <f>L1264*(1-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1264*(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4">
        <f>(1-Summary!$B$11)*T1264+Summary!$B$11*V1264</f>
        <v/>
      </c>
      <c r="P1264">
        <f>IF(B1300=0,0,O1264/B1300)</f>
        <v/>
      </c>
      <c r="Q1264">
        <f>IFERROR(1/(IF(Inputs!$B$38="pvp",15,MAX(0.1,Skills!D5-IF(Skills!E5=TRUE,Inputs!$B$32,0)))*(1-IF(AND(ArtifactsInput!$M$27,Inputs!$B$4="Chapter Hunt"),CHOOSE(ArtifactsInput!$N$27+1,20,24,28,32,36,40),0)/100)),0)</f>
        <v/>
      </c>
      <c r="R1264">
        <f>IF(AND(Inputs!$B$38&lt;&gt;"pvp",Inputs!$B$43&gt;0),IF(MAX(0,Inputs!$B$43-B1297)&lt;=0,0,(INT(MAX(0,Inputs!$B$43-B1297)/(IF(Inputs!$B$38="pvp",15,MAX(0.1,Skills!D5-IF(Skills!E5=TRUE,Inputs!$B$32,0)))*(1-IF(AND(ArtifactsInput!$M$27,Inputs!$B$4="Chapter Hunt"),CHOOSE(ArtifactsInput!$N$27+1,20,24,28,32,36,40),0)/100)))+1)),0)</f>
        <v/>
      </c>
      <c r="S1264">
        <f>IFERROR(O1264/N1264,0)</f>
        <v/>
      </c>
      <c r="T1264">
        <f>IF(C1264,(H1264*N1264*IF(AND(Inputs!$B$38&lt;&gt;"pvp",Inputs!$B$43&gt;0),((Skills!G5*((R1264-1)*IF(Skills!H5&gt;0,Skills!I5/Skills!H5,1)+IF(Skills!H5&gt;0,MIN(Skills!I5,MAX(0,MAX(0,Inputs!$B$43-B1297)-((R1264-1)*(IF(Inputs!$B$38="pvp",15,MAX(0.1,Skills!D5-IF(Skills!E5=TRUE,Inputs!$B$32,0)))*(1-IF(AND(ArtifactsInput!$M$27,Inputs!$B$4="Chapter Hunt"),CHOOSE(ArtifactsInput!$N$27+1,20,24,28,32,36,40),0)/100)))))/Skills!H5,1)))/Inputs!$B$43),G1264*Q1264)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1264*(1-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1264*(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1264*(1-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1264*(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4">
        <f>IF(C1264,(H1264*N1264*IF(AND(Inputs!$B$38&lt;&gt;"pvp",Inputs!$B$43&gt;0),((Skills!G5*((R1264-1)*IF(Skills!H5&gt;0,Skills!I5/Skills!H5,1)+IF(Skills!H5&gt;0,MIN(Skills!I5,MAX(0,MAX(0,Inputs!$B$43-B1297)-((R1264-1)*(IF(Inputs!$B$38="pvp",15,MAX(0.1,Skills!D5-IF(Skills!E5=TRUE,Inputs!$B$32,0)))*(1-IF(AND(ArtifactsInput!$M$27,Inputs!$B$4="Chapter Hunt"),CHOOSE(ArtifactsInput!$N$27+1,20,24,28,32,36,40),0)/100)))))/Skills!H5,1)))/Inputs!$B$43),G1264*Q1264))*IF(Inputs!$B$38="pvp",1,(1+(Inputs!$B$21+Skills!Q5+(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5">
      <c r="A1265">
        <f>Skills!A6</f>
        <v/>
      </c>
      <c r="B1265">
        <f>Skills!B6</f>
        <v/>
      </c>
      <c r="C1265">
        <f>Inputs!$B$3&gt;=63</f>
        <v/>
      </c>
      <c r="D1265">
        <f>IF(Skills!C6=1,60+Inputs!$B$25+Inputs!$B$29,IF(Skills!C6=2,90+Inputs!$B$26+Inputs!$B$29,IF(Skills!C6=3,120+Inputs!$B$27+Inputs!$B$29,MAX(0,(Inputs!$B$3-100)*3)+Inputs!$B$28+Inputs!$B$29)))</f>
        <v/>
      </c>
      <c r="E1265">
        <f>INDEX(FactorTable!$B$2:$Y$301, MATCH(ROUND(MIN(300,MAX(1,D1265)),0), FactorTable!$A$2:$A$301,0), Skills!M6+1)</f>
        <v/>
      </c>
      <c r="F1265">
        <f>IF(Skills!N6=TRUE,(Skills!L6/10)*(E1265/1000),Skills!L6/10)+Skills!O6</f>
        <v/>
      </c>
      <c r="G1265">
        <f>Skills!G6*IF(Skills!H6&gt;0,Skills!I6/Skills!H6,1)</f>
        <v/>
      </c>
      <c r="H1265">
        <f>1-(1-Skills!J6/100)^Skills!K6</f>
        <v/>
      </c>
      <c r="I1265" t="inlineStr">
        <is>
          <t>1</t>
        </is>
      </c>
      <c r="J1265">
        <f>((Inputs!$B$6*(1+Inputs!$B$7/100))+(((Inputs!$B$12*(1+Inputs!$B$13/100))-(Inputs!$B$12*(1+Inputs!$B$13/100)))+0.25*(Inputs!$B$14-Inputs!$B$14))*(1+Inputs!$B$7/100))*(F1265/100)</f>
        <v/>
      </c>
      <c r="K1265">
        <f>J1265*(1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1274=TRUE,F1274,0)/100)*(1+(IF(Skills!A6="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1265)</f>
        <v/>
      </c>
      <c r="L1265">
        <f>K1265*(MIN(Inputs!$B$22+((C1281=TRUE)*(F1281-Calc!F22)),(Inputs!$B$23+0+(IF(ArtifactsInput!$M$15,CHOOSE(ArtifactsInput!$N$15+1,25,30,35,40,45,50)/100*(Inputs!$B$11-Inputs!$B$11),0))))/100+(Inputs!$B$23+0+(IF(ArtifactsInput!$M$15,CHOOSE(ArtifactsInput!$N$15+1,25,30,35,40,45,50)/100*(Inputs!$B$11-Inputs!$B$11),0)))/100)/2</f>
        <v/>
      </c>
      <c r="M1265">
        <f>L1265*(1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5">
        <f>L1265*(1-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1265*(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5">
        <f>(1-Summary!$B$11)*T1265+Summary!$B$11*V1265</f>
        <v/>
      </c>
      <c r="P1265">
        <f>IF(B1300=0,0,O1265/B1300)</f>
        <v/>
      </c>
      <c r="Q1265">
        <f>IFERROR(1/(IF(Inputs!$B$38="pvp",15,MAX(0.1,Skills!D6-IF(Skills!E6=TRUE,Inputs!$B$32,0)))*(1-IF(AND(ArtifactsInput!$M$27,Inputs!$B$4="Chapter Hunt"),CHOOSE(ArtifactsInput!$N$27+1,20,24,28,32,36,40),0)/100)),0)</f>
        <v/>
      </c>
      <c r="R1265">
        <f>IF(AND(Inputs!$B$38&lt;&gt;"pvp",Inputs!$B$43&gt;0),IF(MAX(0,Inputs!$B$43-B1297)&lt;=0,0,(INT(MAX(0,Inputs!$B$43-B1297)/(IF(Inputs!$B$38="pvp",15,MAX(0.1,Skills!D6-IF(Skills!E6=TRUE,Inputs!$B$32,0)))*(1-IF(AND(ArtifactsInput!$M$27,Inputs!$B$4="Chapter Hunt"),CHOOSE(ArtifactsInput!$N$27+1,20,24,28,32,36,40),0)/100)))+1)),0)</f>
        <v/>
      </c>
      <c r="S1265">
        <f>IFERROR(O1265/N1265,0)</f>
        <v/>
      </c>
      <c r="T1265">
        <f>IF(C1265,(H1265*N1265*IF(AND(Inputs!$B$38&lt;&gt;"pvp",Inputs!$B$43&gt;0),((Skills!G6*((R1265-1)*IF(Skills!H6&gt;0,Skills!I6/Skills!H6,1)+IF(Skills!H6&gt;0,MIN(Skills!I6,MAX(0,MAX(0,Inputs!$B$43-B1297)-((R1265-1)*(IF(Inputs!$B$38="pvp",15,MAX(0.1,Skills!D6-IF(Skills!E6=TRUE,Inputs!$B$32,0)))*(1-IF(AND(ArtifactsInput!$M$27,Inputs!$B$4="Chapter Hunt"),CHOOSE(ArtifactsInput!$N$27+1,20,24,28,32,36,40),0)/100)))))/Skills!H6,1)))/Inputs!$B$43),G1265*Q1265)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1265*(1-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1265*(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1265*(1-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1265*(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5">
        <f>IF(C1265,(H1265*N1265*IF(AND(Inputs!$B$38&lt;&gt;"pvp",Inputs!$B$43&gt;0),((Skills!G6*((R1265-1)*IF(Skills!H6&gt;0,Skills!I6/Skills!H6,1)+IF(Skills!H6&gt;0,MIN(Skills!I6,MAX(0,MAX(0,Inputs!$B$43-B1297)-((R1265-1)*(IF(Inputs!$B$38="pvp",15,MAX(0.1,Skills!D6-IF(Skills!E6=TRUE,Inputs!$B$32,0)))*(1-IF(AND(ArtifactsInput!$M$27,Inputs!$B$4="Chapter Hunt"),CHOOSE(ArtifactsInput!$N$27+1,20,24,28,32,36,40),0)/100)))))/Skills!H6,1)))/Inputs!$B$43),G1265*Q1265))*IF(Inputs!$B$38="pvp",1,(1+(Inputs!$B$21+Skills!Q6+(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6">
      <c r="A1266">
        <f>Skills!A7</f>
        <v/>
      </c>
      <c r="B1266">
        <f>Skills!B7</f>
        <v/>
      </c>
      <c r="C1266">
        <f>Inputs!$B$3&gt;=66</f>
        <v/>
      </c>
      <c r="D1266">
        <f>IF(Skills!C7=1,60+Inputs!$B$25+Inputs!$B$29,IF(Skills!C7=2,90+Inputs!$B$26+Inputs!$B$29,IF(Skills!C7=3,120+Inputs!$B$27+Inputs!$B$29,MAX(0,(Inputs!$B$3-100)*3)+Inputs!$B$28+Inputs!$B$29)))</f>
        <v/>
      </c>
      <c r="E1266">
        <f>INDEX(FactorTable!$B$2:$Y$301, MATCH(ROUND(MIN(300,MAX(1,D1266)),0), FactorTable!$A$2:$A$301,0), Skills!M7+1)</f>
        <v/>
      </c>
      <c r="F1266">
        <f>IF(Skills!N7=TRUE,(Skills!L7/10)*(E1266/1000),Skills!L7/10)+Skills!O7</f>
        <v/>
      </c>
      <c r="G1266">
        <f>Skills!G7*IF(Skills!H7&gt;0,Skills!I7/Skills!H7,1)</f>
        <v/>
      </c>
      <c r="H1266">
        <f>1-(1-Skills!J7/100)^Skills!K7</f>
        <v/>
      </c>
      <c r="I1266" t="inlineStr">
        <is>
          <t>1</t>
        </is>
      </c>
      <c r="J1266">
        <f>((Inputs!$B$6*(1+Inputs!$B$7/100))+(((Inputs!$B$12*(1+Inputs!$B$13/100))-(Inputs!$B$12*(1+Inputs!$B$13/100)))+0.25*(Inputs!$B$14-Inputs!$B$14))*(1+Inputs!$B$7/100))*(F1266/100)</f>
        <v/>
      </c>
      <c r="K1266">
        <f>J1266*(1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1274=TRUE,F1274,0)/100)*(1+(IF(Skills!A7="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1266)</f>
        <v/>
      </c>
      <c r="L1266">
        <f>K1266*(MIN(Inputs!$B$22+((C1281=TRUE)*(F1281-Calc!F22)),(Inputs!$B$23+0+(IF(ArtifactsInput!$M$15,CHOOSE(ArtifactsInput!$N$15+1,25,30,35,40,45,50)/100*(Inputs!$B$11-Inputs!$B$11),0))))/100+(Inputs!$B$23+0+(IF(ArtifactsInput!$M$15,CHOOSE(ArtifactsInput!$N$15+1,25,30,35,40,45,50)/100*(Inputs!$B$11-Inputs!$B$11),0)))/100)/2</f>
        <v/>
      </c>
      <c r="M1266">
        <f>L1266*(1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6">
        <f>L1266*(1-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1266*(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6">
        <f>(1-Summary!$B$11)*T1266+Summary!$B$11*V1266</f>
        <v/>
      </c>
      <c r="P1266">
        <f>IF(B1300=0,0,O1266/B1300)</f>
        <v/>
      </c>
      <c r="Q1266">
        <f>IFERROR(1/(IF(Inputs!$B$38="pvp",15,MAX(0.1,Skills!D7-IF(Skills!E7=TRUE,Inputs!$B$32,0)))*(1-IF(AND(ArtifactsInput!$M$27,Inputs!$B$4="Chapter Hunt"),CHOOSE(ArtifactsInput!$N$27+1,20,24,28,32,36,40),0)/100)),0)</f>
        <v/>
      </c>
      <c r="R1266">
        <f>IF(AND(Inputs!$B$38&lt;&gt;"pvp",Inputs!$B$43&gt;0),IF(MAX(0,Inputs!$B$43-B1297)&lt;=0,0,(INT(MAX(0,Inputs!$B$43-B1297)/(IF(Inputs!$B$38="pvp",15,MAX(0.1,Skills!D7-IF(Skills!E7=TRUE,Inputs!$B$32,0)))*(1-IF(AND(ArtifactsInput!$M$27,Inputs!$B$4="Chapter Hunt"),CHOOSE(ArtifactsInput!$N$27+1,20,24,28,32,36,40),0)/100)))+1)),0)</f>
        <v/>
      </c>
      <c r="S1266">
        <f>IFERROR(O1266/N1266,0)</f>
        <v/>
      </c>
      <c r="T1266">
        <f>IF(C1266,(H1266*N1266*IF(AND(Inputs!$B$38&lt;&gt;"pvp",Inputs!$B$43&gt;0),((Skills!G7*((R1266-1)*IF(Skills!H7&gt;0,Skills!I7/Skills!H7,1)+IF(Skills!H7&gt;0,MIN(Skills!I7,MAX(0,MAX(0,Inputs!$B$43-B1297)-((R1266-1)*(IF(Inputs!$B$38="pvp",15,MAX(0.1,Skills!D7-IF(Skills!E7=TRUE,Inputs!$B$32,0)))*(1-IF(AND(ArtifactsInput!$M$27,Inputs!$B$4="Chapter Hunt"),CHOOSE(ArtifactsInput!$N$27+1,20,24,28,32,36,40),0)/100)))))/Skills!H7,1)))/Inputs!$B$43),G1266*Q1266)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1266*(1-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1266*(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1266*(1-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1266*(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6">
        <f>IF(C1266,(H1266*N1266*IF(AND(Inputs!$B$38&lt;&gt;"pvp",Inputs!$B$43&gt;0),((Skills!G7*((R1266-1)*IF(Skills!H7&gt;0,Skills!I7/Skills!H7,1)+IF(Skills!H7&gt;0,MIN(Skills!I7,MAX(0,MAX(0,Inputs!$B$43-B1297)-((R1266-1)*(IF(Inputs!$B$38="pvp",15,MAX(0.1,Skills!D7-IF(Skills!E7=TRUE,Inputs!$B$32,0)))*(1-IF(AND(ArtifactsInput!$M$27,Inputs!$B$4="Chapter Hunt"),CHOOSE(ArtifactsInput!$N$27+1,20,24,28,32,36,40),0)/100)))))/Skills!H7,1)))/Inputs!$B$43),G1266*Q1266))*IF(Inputs!$B$38="pvp",1,(1+(Inputs!$B$21+Skills!Q7+(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7">
      <c r="A1267">
        <f>Skills!A8</f>
        <v/>
      </c>
      <c r="B1267">
        <f>Skills!B8</f>
        <v/>
      </c>
      <c r="C1267">
        <f>Inputs!$B$3&gt;=100</f>
        <v/>
      </c>
      <c r="D1267">
        <f>IF(Skills!C8=1,60+Inputs!$B$25+Inputs!$B$29,IF(Skills!C8=2,90+Inputs!$B$26+Inputs!$B$29,IF(Skills!C8=3,120+Inputs!$B$27+Inputs!$B$29,MAX(0,(Inputs!$B$3-100)*3)+Inputs!$B$28+Inputs!$B$29)))</f>
        <v/>
      </c>
      <c r="E1267">
        <f>INDEX(FactorTable!$B$2:$Y$301, MATCH(ROUND(MIN(300,MAX(1,D1267)),0), FactorTable!$A$2:$A$301,0), Skills!M8+1)</f>
        <v/>
      </c>
      <c r="F1267">
        <f>IF(Skills!N8=TRUE,(Skills!L8/10)*(E1267/1000),Skills!L8/10)+Skills!O8</f>
        <v/>
      </c>
      <c r="G1267">
        <f>Skills!G8*IF(Skills!H8&gt;0,Skills!I8/Skills!H8,1)</f>
        <v/>
      </c>
      <c r="H1267">
        <f>1-(1-Skills!J8/100)^Skills!K8</f>
        <v/>
      </c>
      <c r="I1267" t="inlineStr">
        <is>
          <t>1</t>
        </is>
      </c>
      <c r="J1267">
        <f>((Inputs!$B$6*(1+Inputs!$B$7/100))+(((Inputs!$B$12*(1+Inputs!$B$13/100))-(Inputs!$B$12*(1+Inputs!$B$13/100)))+0.25*(Inputs!$B$14-Inputs!$B$14))*(1+Inputs!$B$7/100))*(F1267/100)</f>
        <v/>
      </c>
      <c r="K1267">
        <f>J1267*(1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1267)</f>
        <v/>
      </c>
      <c r="L1267">
        <f>K1267*(MIN(Inputs!$B$22+((C1281=TRUE)*(F1281-Calc!F22)),(Inputs!$B$23+0+(IF(ArtifactsInput!$M$15,CHOOSE(ArtifactsInput!$N$15+1,25,30,35,40,45,50)/100*(Inputs!$B$11-Inputs!$B$11),0))))/100+(Inputs!$B$23+0+(IF(ArtifactsInput!$M$15,CHOOSE(ArtifactsInput!$N$15+1,25,30,35,40,45,50)/100*(Inputs!$B$11-Inputs!$B$11),0)))/100)/2</f>
        <v/>
      </c>
      <c r="M1267">
        <f>L1267*(1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7">
        <f>L1267*(1-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1267*(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7">
        <f>(1-Summary!$B$11)*T1267+Summary!$B$11*V1267</f>
        <v/>
      </c>
      <c r="P1267">
        <f>IF(B1300=0,0,O1267/B1300)</f>
        <v/>
      </c>
      <c r="Q1267">
        <f>IFERROR(1/(IF(Inputs!$B$38="pvp",15,MAX(0.1,Skills!D8-IF(Skills!E8=TRUE,Inputs!$B$32,0)))*(1-IF(AND(ArtifactsInput!$M$27,Inputs!$B$4="Chapter Hunt"),CHOOSE(ArtifactsInput!$N$27+1,20,24,28,32,36,40),0)/100)),0)</f>
        <v/>
      </c>
      <c r="R1267">
        <f>IF(AND(Inputs!$B$38&lt;&gt;"pvp",Inputs!$B$43&gt;0),IF(MAX(0,Inputs!$B$43-B1297)&lt;=0,0,(INT(MAX(0,Inputs!$B$43-B1297)/(IF(Inputs!$B$38="pvp",15,MAX(0.1,Skills!D8-IF(Skills!E8=TRUE,Inputs!$B$32,0)))*(1-IF(AND(ArtifactsInput!$M$27,Inputs!$B$4="Chapter Hunt"),CHOOSE(ArtifactsInput!$N$27+1,20,24,28,32,36,40),0)/100)))+1)),0)</f>
        <v/>
      </c>
      <c r="S1267">
        <f>IFERROR(O1267/N1267,0)</f>
        <v/>
      </c>
      <c r="T1267">
        <f>IF(C1267,(H1267*N1267*IF(AND(Inputs!$B$38&lt;&gt;"pvp",Inputs!$B$43&gt;0),((Skills!G8*((R1267-1)*IF(Skills!H8&gt;0,Skills!I8/Skills!H8,1)+IF(Skills!H8&gt;0,MIN(Skills!I8,MAX(0,MAX(0,Inputs!$B$43-B1297)-((R1267-1)*(IF(Inputs!$B$38="pvp",15,MAX(0.1,Skills!D8-IF(Skills!E8=TRUE,Inputs!$B$32,0)))*(1-IF(AND(ArtifactsInput!$M$27,Inputs!$B$4="Chapter Hunt"),CHOOSE(ArtifactsInput!$N$27+1,20,24,28,32,36,40),0)/100)))))/Skills!H8,1)))/Inputs!$B$43),G1267*Q1267)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1267*(1-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1267*(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1267*(1-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1267*(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7">
        <f>IF(C1267,(H1267*N1267*IF(AND(Inputs!$B$38&lt;&gt;"pvp",Inputs!$B$43&gt;0),((Skills!G8*((R1267-1)*IF(Skills!H8&gt;0,Skills!I8/Skills!H8,1)+IF(Skills!H8&gt;0,MIN(Skills!I8,MAX(0,MAX(0,Inputs!$B$43-B1297)-((R1267-1)*(IF(Inputs!$B$38="pvp",15,MAX(0.1,Skills!D8-IF(Skills!E8=TRUE,Inputs!$B$32,0)))*(1-IF(AND(ArtifactsInput!$M$27,Inputs!$B$4="Chapter Hunt"),CHOOSE(ArtifactsInput!$N$27+1,20,24,28,32,36,40),0)/100)))))/Skills!H8,1)))/Inputs!$B$43),G1267*Q1267))*IF(Inputs!$B$38="pvp",1,(1+(Inputs!$B$21+Skills!Q8+(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8">
      <c r="A1268">
        <f>Skills!A9</f>
        <v/>
      </c>
      <c r="B1268">
        <f>Skills!B9</f>
        <v/>
      </c>
      <c r="C1268">
        <f>Inputs!$B$3&gt;=103</f>
        <v/>
      </c>
      <c r="D1268">
        <f>IF(Skills!C9=1,60+Inputs!$B$25+Inputs!$B$29,IF(Skills!C9=2,90+Inputs!$B$26+Inputs!$B$29,IF(Skills!C9=3,120+Inputs!$B$27+Inputs!$B$29,MAX(0,(Inputs!$B$3-100)*3)+Inputs!$B$28+Inputs!$B$29)))</f>
        <v/>
      </c>
      <c r="E1268">
        <f>INDEX(FactorTable!$B$2:$Y$301, MATCH(ROUND(MIN(300,MAX(1,D1268)),0), FactorTable!$A$2:$A$301,0), Skills!M9+1)</f>
        <v/>
      </c>
      <c r="F1268">
        <f>IF(Skills!N9=TRUE,(Skills!L9/10)*(E1268/1000),Skills!L9/10)+Skills!O9</f>
        <v/>
      </c>
      <c r="G1268">
        <f>Skills!G9*IF(Skills!H9&gt;0,Skills!I9/Skills!H9,1)</f>
        <v/>
      </c>
      <c r="H1268">
        <f>1-(1-Skills!J9/100)^Skills!K9</f>
        <v/>
      </c>
      <c r="I1268" t="inlineStr">
        <is>
          <t>1</t>
        </is>
      </c>
      <c r="J1268">
        <f>((Inputs!$B$6*(1+Inputs!$B$7/100))+(((Inputs!$B$12*(1+Inputs!$B$13/100))-(Inputs!$B$12*(1+Inputs!$B$13/100)))+0.25*(Inputs!$B$14-Inputs!$B$14))*(1+Inputs!$B$7/100))*(F1268/100)</f>
        <v/>
      </c>
      <c r="K1268">
        <f>J1268*(1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1268)</f>
        <v/>
      </c>
      <c r="L1268">
        <f>K1268*(MIN(Inputs!$B$22+((C1281=TRUE)*(F1281-Calc!F22)),(Inputs!$B$23+0+(IF(ArtifactsInput!$M$15,CHOOSE(ArtifactsInput!$N$15+1,25,30,35,40,45,50)/100*(Inputs!$B$11-Inputs!$B$11),0))))/100+(Inputs!$B$23+0+(IF(ArtifactsInput!$M$15,CHOOSE(ArtifactsInput!$N$15+1,25,30,35,40,45,50)/100*(Inputs!$B$11-Inputs!$B$11),0)))/100)/2</f>
        <v/>
      </c>
      <c r="M1268">
        <f>L1268*(1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8">
        <f>L1268*(1-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1268*(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8">
        <f>(1-Summary!$B$11)*T1268+Summary!$B$11*V1268</f>
        <v/>
      </c>
      <c r="P1268">
        <f>IF(B1300=0,0,O1268/B1300)</f>
        <v/>
      </c>
      <c r="Q1268">
        <f>IFERROR(1/(IF(Inputs!$B$38="pvp",15,MAX(0.1,Skills!D9-IF(Skills!E9=TRUE,Inputs!$B$32,0)))*(1-IF(AND(ArtifactsInput!$M$27,Inputs!$B$4="Chapter Hunt"),CHOOSE(ArtifactsInput!$N$27+1,20,24,28,32,36,40),0)/100)),0)</f>
        <v/>
      </c>
      <c r="R1268">
        <f>IF(AND(Inputs!$B$38&lt;&gt;"pvp",Inputs!$B$43&gt;0),IF(MAX(0,Inputs!$B$43-B1297)&lt;=0,0,(INT(MAX(0,Inputs!$B$43-B1297)/(IF(Inputs!$B$38="pvp",15,MAX(0.1,Skills!D9-IF(Skills!E9=TRUE,Inputs!$B$32,0)))*(1-IF(AND(ArtifactsInput!$M$27,Inputs!$B$4="Chapter Hunt"),CHOOSE(ArtifactsInput!$N$27+1,20,24,28,32,36,40),0)/100)))+1)),0)</f>
        <v/>
      </c>
      <c r="S1268">
        <f>IFERROR(O1268/N1268,0)</f>
        <v/>
      </c>
      <c r="T1268">
        <f>IF(C1268,(H1268*N1268*IF(AND(Inputs!$B$38&lt;&gt;"pvp",Inputs!$B$43&gt;0),((Skills!G9*((R1268-1)*IF(Skills!H9&gt;0,Skills!I9/Skills!H9,1)+IF(Skills!H9&gt;0,MIN(Skills!I9,MAX(0,MAX(0,Inputs!$B$43-B1297)-((R1268-1)*(IF(Inputs!$B$38="pvp",15,MAX(0.1,Skills!D9-IF(Skills!E9=TRUE,Inputs!$B$32,0)))*(1-IF(AND(ArtifactsInput!$M$27,Inputs!$B$4="Chapter Hunt"),CHOOSE(ArtifactsInput!$N$27+1,20,24,28,32,36,40),0)/100)))))/Skills!H9,1)))/Inputs!$B$43),G1268*Q1268)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1268*(1-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1268*(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1268*(1-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1268*(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8">
        <f>IF(C1268,(H1268*N1268*IF(AND(Inputs!$B$38&lt;&gt;"pvp",Inputs!$B$43&gt;0),((Skills!G9*((R1268-1)*IF(Skills!H9&gt;0,Skills!I9/Skills!H9,1)+IF(Skills!H9&gt;0,MIN(Skills!I9,MAX(0,MAX(0,Inputs!$B$43-B1297)-((R1268-1)*(IF(Inputs!$B$38="pvp",15,MAX(0.1,Skills!D9-IF(Skills!E9=TRUE,Inputs!$B$32,0)))*(1-IF(AND(ArtifactsInput!$M$27,Inputs!$B$4="Chapter Hunt"),CHOOSE(ArtifactsInput!$N$27+1,20,24,28,32,36,40),0)/100)))))/Skills!H9,1)))/Inputs!$B$43),G1268*Q1268))*IF(Inputs!$B$38="pvp",1,(1+(Inputs!$B$21+Skills!Q9+(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9">
      <c r="A1269">
        <f>Skills!A10</f>
        <v/>
      </c>
      <c r="B1269">
        <f>Skills!B10</f>
        <v/>
      </c>
      <c r="C1269">
        <f>Inputs!$B$3&gt;=113</f>
        <v/>
      </c>
      <c r="D1269">
        <f>IF(Skills!C10=1,60+Inputs!$B$25+Inputs!$B$29,IF(Skills!C10=2,90+Inputs!$B$26+Inputs!$B$29,IF(Skills!C10=3,120+Inputs!$B$27+Inputs!$B$29,MAX(0,(Inputs!$B$3-100)*3)+Inputs!$B$28+Inputs!$B$29)))</f>
        <v/>
      </c>
      <c r="E1269">
        <f>INDEX(FactorTable!$B$2:$Y$301, MATCH(ROUND(MIN(300,MAX(1,D1269)),0), FactorTable!$A$2:$A$301,0), Skills!M10+1)</f>
        <v/>
      </c>
      <c r="F1269">
        <f>IF(Skills!N10=TRUE,(Skills!L10/10)*(E1269/1000),Skills!L10/10)+Skills!O10</f>
        <v/>
      </c>
      <c r="G1269">
        <f>Skills!G10*IF(Skills!H10&gt;0,Skills!I10/Skills!H10,1)</f>
        <v/>
      </c>
      <c r="H1269">
        <f>1-(1-Skills!J10/100)^Skills!K10</f>
        <v/>
      </c>
      <c r="I1269" t="inlineStr">
        <is>
          <t>1</t>
        </is>
      </c>
      <c r="J1269">
        <f>((Inputs!$B$6*(1+Inputs!$B$7/100))+(((Inputs!$B$12*(1+Inputs!$B$13/100))-(Inputs!$B$12*(1+Inputs!$B$13/100)))+0.25*(Inputs!$B$14-Inputs!$B$14))*(1+Inputs!$B$7/100))*(F1269/100)</f>
        <v/>
      </c>
      <c r="K1269">
        <f>J1269*(1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1269)</f>
        <v/>
      </c>
      <c r="L1269">
        <f>K1269*(MIN(Inputs!$B$22+((C1281=TRUE)*(F1281-Calc!F22)),(Inputs!$B$23+0+(IF(ArtifactsInput!$M$15,CHOOSE(ArtifactsInput!$N$15+1,25,30,35,40,45,50)/100*(Inputs!$B$11-Inputs!$B$11),0))))/100+(Inputs!$B$23+0+(IF(ArtifactsInput!$M$15,CHOOSE(ArtifactsInput!$N$15+1,25,30,35,40,45,50)/100*(Inputs!$B$11-Inputs!$B$11),0)))/100)/2</f>
        <v/>
      </c>
      <c r="M1269">
        <f>L1269*(1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9">
        <f>L1269*(1-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1269*(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9">
        <f>(1-Summary!$B$11)*T1269+Summary!$B$11*V1269</f>
        <v/>
      </c>
      <c r="P1269">
        <f>IF(B1300=0,0,O1269/B1300)</f>
        <v/>
      </c>
      <c r="Q1269">
        <f>IFERROR(1/(IF(Inputs!$B$38="pvp",15,MAX(0.1,Skills!D10-IF(Skills!E10=TRUE,Inputs!$B$32,0)))*(1-IF(AND(ArtifactsInput!$M$27,Inputs!$B$4="Chapter Hunt"),CHOOSE(ArtifactsInput!$N$27+1,20,24,28,32,36,40),0)/100)),0)</f>
        <v/>
      </c>
      <c r="R1269">
        <f>IF(AND(Inputs!$B$38&lt;&gt;"pvp",Inputs!$B$43&gt;0),IF(MAX(0,Inputs!$B$43-B1297)&lt;=0,0,(INT(MAX(0,Inputs!$B$43-B1297)/(IF(Inputs!$B$38="pvp",15,MAX(0.1,Skills!D10-IF(Skills!E10=TRUE,Inputs!$B$32,0)))*(1-IF(AND(ArtifactsInput!$M$27,Inputs!$B$4="Chapter Hunt"),CHOOSE(ArtifactsInput!$N$27+1,20,24,28,32,36,40),0)/100)))+1)),0)</f>
        <v/>
      </c>
      <c r="S1269">
        <f>IFERROR(O1269/N1269,0)</f>
        <v/>
      </c>
      <c r="T1269">
        <f>IF(C1269,(H1269*N1269*IF(AND(Inputs!$B$38&lt;&gt;"pvp",Inputs!$B$43&gt;0),((Skills!G10*((R1269-1)*IF(Skills!H10&gt;0,Skills!I10/Skills!H10,1)+IF(Skills!H10&gt;0,MIN(Skills!I10,MAX(0,MAX(0,Inputs!$B$43-B1297)-((R1269-1)*(IF(Inputs!$B$38="pvp",15,MAX(0.1,Skills!D10-IF(Skills!E10=TRUE,Inputs!$B$32,0)))*(1-IF(AND(ArtifactsInput!$M$27,Inputs!$B$4="Chapter Hunt"),CHOOSE(ArtifactsInput!$N$27+1,20,24,28,32,36,40),0)/100)))))/Skills!H10,1)))/Inputs!$B$43),G1269*Q1269)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1269*(1-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1269*(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1269*(1-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1269*(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9">
        <f>IF(C1269,(H1269*N1269*IF(AND(Inputs!$B$38&lt;&gt;"pvp",Inputs!$B$43&gt;0),((Skills!G10*((R1269-1)*IF(Skills!H10&gt;0,Skills!I10/Skills!H10,1)+IF(Skills!H10&gt;0,MIN(Skills!I10,MAX(0,MAX(0,Inputs!$B$43-B1297)-((R1269-1)*(IF(Inputs!$B$38="pvp",15,MAX(0.1,Skills!D10-IF(Skills!E10=TRUE,Inputs!$B$32,0)))*(1-IF(AND(ArtifactsInput!$M$27,Inputs!$B$4="Chapter Hunt"),CHOOSE(ArtifactsInput!$N$27+1,20,24,28,32,36,40),0)/100)))))/Skills!H10,1)))/Inputs!$B$43),G1269*Q1269))*IF(Inputs!$B$38="pvp",1,(1+(Inputs!$B$21+Skills!Q10+(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0">
      <c r="A1270">
        <f>Skills!A11</f>
        <v/>
      </c>
      <c r="B1270">
        <f>Skills!B11</f>
        <v/>
      </c>
      <c r="C1270">
        <f>Inputs!$B$3&gt;=107</f>
        <v/>
      </c>
      <c r="D1270">
        <f>IF(Skills!C11=1,60+Inputs!$B$25+Inputs!$B$29,IF(Skills!C11=2,90+Inputs!$B$26+Inputs!$B$29,IF(Skills!C11=3,120+Inputs!$B$27+Inputs!$B$29,MAX(0,(Inputs!$B$3-100)*3)+Inputs!$B$28+Inputs!$B$29)))</f>
        <v/>
      </c>
      <c r="E1270">
        <f>INDEX(FactorTable!$B$2:$Y$301, MATCH(ROUND(MIN(300,MAX(1,D1270)),0), FactorTable!$A$2:$A$301,0), Skills!M11+1)</f>
        <v/>
      </c>
      <c r="F1270">
        <f>IF(Skills!N11=TRUE,(Skills!L11/10)*(E1270/1000),Skills!L11/10)+Skills!O11</f>
        <v/>
      </c>
      <c r="G1270">
        <f>Skills!G11*IF(Skills!H11&gt;0,Skills!I11/Skills!H11,1)</f>
        <v/>
      </c>
      <c r="H1270">
        <f>1-(1-Skills!J11/100)^Skills!K11</f>
        <v/>
      </c>
      <c r="I1270" t="inlineStr">
        <is>
          <t>1</t>
        </is>
      </c>
      <c r="J1270">
        <f>((Inputs!$B$6*(1+Inputs!$B$7/100))+(((Inputs!$B$12*(1+Inputs!$B$13/100))-(Inputs!$B$12*(1+Inputs!$B$13/100)))+0.25*(Inputs!$B$14-Inputs!$B$14))*(1+Inputs!$B$7/100))*(F1270/100)</f>
        <v/>
      </c>
      <c r="K1270">
        <f>J1270*(1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1270)</f>
        <v/>
      </c>
      <c r="L1270">
        <f>K1270*(MIN(Inputs!$B$22+((C1281=TRUE)*(F1281-Calc!F22)),(Inputs!$B$23+0+(IF(ArtifactsInput!$M$15,CHOOSE(ArtifactsInput!$N$15+1,25,30,35,40,45,50)/100*(Inputs!$B$11-Inputs!$B$11),0))))/100+(Inputs!$B$23+0+(IF(ArtifactsInput!$M$15,CHOOSE(ArtifactsInput!$N$15+1,25,30,35,40,45,50)/100*(Inputs!$B$11-Inputs!$B$11),0)))/100)/2</f>
        <v/>
      </c>
      <c r="M1270">
        <f>L1270*(1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0">
        <f>L1270*(1-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1270*(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0">
        <f>(1-Summary!$B$11)*T1270+Summary!$B$11*V1270</f>
        <v/>
      </c>
      <c r="P1270">
        <f>IF(B1300=0,0,O1270/B1300)</f>
        <v/>
      </c>
      <c r="Q1270">
        <f>IFERROR(1/(IF(Inputs!$B$38="pvp",15,MAX(0.1,Skills!D11-IF(Skills!E11=TRUE,Inputs!$B$32,0)))*(1-IF(AND(ArtifactsInput!$M$27,Inputs!$B$4="Chapter Hunt"),CHOOSE(ArtifactsInput!$N$27+1,20,24,28,32,36,40),0)/100)),0)</f>
        <v/>
      </c>
      <c r="R1270">
        <f>IF(AND(Inputs!$B$38&lt;&gt;"pvp",Inputs!$B$43&gt;0),IF(MAX(0,Inputs!$B$43-B1297)&lt;=0,0,(INT(MAX(0,Inputs!$B$43-B1297)/(IF(Inputs!$B$38="pvp",15,MAX(0.1,Skills!D11-IF(Skills!E11=TRUE,Inputs!$B$32,0)))*(1-IF(AND(ArtifactsInput!$M$27,Inputs!$B$4="Chapter Hunt"),CHOOSE(ArtifactsInput!$N$27+1,20,24,28,32,36,40),0)/100)))+1)),0)</f>
        <v/>
      </c>
      <c r="S1270">
        <f>IFERROR(O1270/N1270,0)</f>
        <v/>
      </c>
      <c r="T1270">
        <f>IF(C1270,(H1270*N1270*IF(AND(Inputs!$B$38&lt;&gt;"pvp",Inputs!$B$43&gt;0),((Skills!G11*((R1270-1)*IF(Skills!H11&gt;0,Skills!I11/Skills!H11,1)+IF(Skills!H11&gt;0,MIN(Skills!I11,MAX(0,MAX(0,Inputs!$B$43-B1297)-((R1270-1)*(IF(Inputs!$B$38="pvp",15,MAX(0.1,Skills!D11-IF(Skills!E11=TRUE,Inputs!$B$32,0)))*(1-IF(AND(ArtifactsInput!$M$27,Inputs!$B$4="Chapter Hunt"),CHOOSE(ArtifactsInput!$N$27+1,20,24,28,32,36,40),0)/100)))))/Skills!H11,1)))/Inputs!$B$43),G1270*Q1270)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1270*(1-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1270*(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1270*(1-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1270*(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0">
        <f>IF(C1270,(H1270*N1270*IF(AND(Inputs!$B$38&lt;&gt;"pvp",Inputs!$B$43&gt;0),((Skills!G11*((R1270-1)*IF(Skills!H11&gt;0,Skills!I11/Skills!H11,1)+IF(Skills!H11&gt;0,MIN(Skills!I11,MAX(0,MAX(0,Inputs!$B$43-B1297)-((R1270-1)*(IF(Inputs!$B$38="pvp",15,MAX(0.1,Skills!D11-IF(Skills!E11=TRUE,Inputs!$B$32,0)))*(1-IF(AND(ArtifactsInput!$M$27,Inputs!$B$4="Chapter Hunt"),CHOOSE(ArtifactsInput!$N$27+1,20,24,28,32,36,40),0)/100)))))/Skills!H11,1)))/Inputs!$B$43),G1270*Q1270))*IF(Inputs!$B$38="pvp",1,(1+(Inputs!$B$21+Skills!Q11+(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1">
      <c r="A1271">
        <f>Skills!A12</f>
        <v/>
      </c>
      <c r="B1271">
        <f>Skills!B12</f>
        <v/>
      </c>
      <c r="C1271">
        <f>Inputs!$B$3&gt;=110</f>
        <v/>
      </c>
      <c r="D1271">
        <f>IF(Skills!C12=1,60+Inputs!$B$25+Inputs!$B$29,IF(Skills!C12=2,90+Inputs!$B$26+Inputs!$B$29,IF(Skills!C12=3,120+Inputs!$B$27+Inputs!$B$29,MAX(0,(Inputs!$B$3-100)*3)+Inputs!$B$28+Inputs!$B$29)))</f>
        <v/>
      </c>
      <c r="E1271">
        <f>INDEX(FactorTable!$B$2:$Y$301, MATCH(ROUND(MIN(300,MAX(1,D1271)),0), FactorTable!$A$2:$A$301,0), Skills!M12+1)</f>
        <v/>
      </c>
      <c r="F1271">
        <f>IF(Skills!N12=TRUE,(Skills!L12/10)*(E1271/1000),Skills!L12/10)+Skills!O12</f>
        <v/>
      </c>
      <c r="G1271">
        <f>Skills!G12*IF(Skills!H12&gt;0,Skills!I12/Skills!H12,1)</f>
        <v/>
      </c>
      <c r="H1271">
        <f>1-(1-Skills!J12/100)^Skills!K12</f>
        <v/>
      </c>
      <c r="I1271" t="inlineStr">
        <is>
          <t>1</t>
        </is>
      </c>
      <c r="J1271">
        <f>((Inputs!$B$6*(1+Inputs!$B$7/100))+(((Inputs!$B$12*(1+Inputs!$B$13/100))-(Inputs!$B$12*(1+Inputs!$B$13/100)))+0.25*(Inputs!$B$14-Inputs!$B$14))*(1+Inputs!$B$7/100))*(F1271/100)</f>
        <v/>
      </c>
      <c r="K1271">
        <f>J1271*(1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1271)</f>
        <v/>
      </c>
      <c r="L1271">
        <f>K1271*(MIN(Inputs!$B$22+((C1281=TRUE)*(F1281-Calc!F22)),(Inputs!$B$23+0+(IF(ArtifactsInput!$M$15,CHOOSE(ArtifactsInput!$N$15+1,25,30,35,40,45,50)/100*(Inputs!$B$11-Inputs!$B$11),0))))/100+(Inputs!$B$23+0+(IF(ArtifactsInput!$M$15,CHOOSE(ArtifactsInput!$N$15+1,25,30,35,40,45,50)/100*(Inputs!$B$11-Inputs!$B$11),0)))/100)/2</f>
        <v/>
      </c>
      <c r="M1271">
        <f>L1271*(1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1">
        <f>L1271*(1-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1">
        <f>(1-Summary!$B$11)*T1271+Summary!$B$11*V1271</f>
        <v/>
      </c>
      <c r="P1271">
        <f>IF(B1300=0,0,O1271/B1300)</f>
        <v/>
      </c>
      <c r="Q1271">
        <f>IFERROR(1/(IF(Inputs!$B$38="pvp",15,MAX(0.1,Skills!D12-IF(Skills!E12=TRUE,Inputs!$B$32,0)))*(1-IF(AND(ArtifactsInput!$M$27,Inputs!$B$4="Chapter Hunt"),CHOOSE(ArtifactsInput!$N$27+1,20,24,28,32,36,40),0)/100)),0)</f>
        <v/>
      </c>
      <c r="R1271">
        <f>IF(AND(Inputs!$B$38&lt;&gt;"pvp",Inputs!$B$43&gt;0),IF(MAX(0,Inputs!$B$43-B1297)&lt;=0,0,(INT(MAX(0,Inputs!$B$43-B1297)/(IF(Inputs!$B$38="pvp",15,MAX(0.1,Skills!D12-IF(Skills!E12=TRUE,Inputs!$B$32,0)))*(1-IF(AND(ArtifactsInput!$M$27,Inputs!$B$4="Chapter Hunt"),CHOOSE(ArtifactsInput!$N$27+1,20,24,28,32,36,40),0)/100)))+1)),0)</f>
        <v/>
      </c>
      <c r="S1271">
        <f>IFERROR(O1271/N1271,0)</f>
        <v/>
      </c>
      <c r="T1271">
        <f>IF(C1271,(H1271*N1271*IF(AND(Inputs!$B$38&lt;&gt;"pvp",Inputs!$B$43&gt;0),((Skills!G12*((R1271-1)*IF(Skills!H12&gt;0,Skills!I12/Skills!H12,1)+IF(Skills!H12&gt;0,MIN(Skills!I12,MAX(0,MAX(0,Inputs!$B$43-B1297)-((R1271-1)*(IF(Inputs!$B$38="pvp",15,MAX(0.1,Skills!D12-IF(Skills!E12=TRUE,Inputs!$B$32,0)))*(1-IF(AND(ArtifactsInput!$M$27,Inputs!$B$4="Chapter Hunt"),CHOOSE(ArtifactsInput!$N$27+1,20,24,28,32,36,40),0)/100)))))/Skills!H12,1)))/Inputs!$B$43),G1271*Q1271)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1271*(1-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1">
        <f>IF(C1271,(H1271*N1271*IF(AND(Inputs!$B$38&lt;&gt;"pvp",Inputs!$B$43&gt;0),((Skills!G12*((R1271-1)*IF(Skills!H12&gt;0,Skills!I12/Skills!H12,1)+IF(Skills!H12&gt;0,MIN(Skills!I12,MAX(0,MAX(0,Inputs!$B$43-B1297)-((R1271-1)*(IF(Inputs!$B$38="pvp",15,MAX(0.1,Skills!D12-IF(Skills!E12=TRUE,Inputs!$B$32,0)))*(1-IF(AND(ArtifactsInput!$M$27,Inputs!$B$4="Chapter Hunt"),CHOOSE(ArtifactsInput!$N$27+1,20,24,28,32,36,40),0)/100)))))/Skills!H12,1)))/Inputs!$B$43),G1271*Q1271))*IF(Inputs!$B$38="pvp",1,(1+(Inputs!$B$21+Skills!Q12+(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2">
      <c r="A1272">
        <f>Skills!A13</f>
        <v/>
      </c>
      <c r="B1272">
        <f>Skills!B13</f>
        <v/>
      </c>
      <c r="C1272">
        <f>Inputs!$B$3&gt;=110</f>
        <v/>
      </c>
      <c r="D1272">
        <f>IF(Skills!C13=1,60+Inputs!$B$25+Inputs!$B$29,IF(Skills!C13=2,90+Inputs!$B$26+Inputs!$B$29,IF(Skills!C13=3,120+Inputs!$B$27+Inputs!$B$29,MAX(0,(Inputs!$B$3-100)*3)+Inputs!$B$28+Inputs!$B$29)))</f>
        <v/>
      </c>
      <c r="E1272">
        <f>INDEX(FactorTable!$B$2:$Y$301, MATCH(ROUND(MIN(300,MAX(1,D1272)),0), FactorTable!$A$2:$A$301,0), Skills!M13+1)</f>
        <v/>
      </c>
      <c r="F1272">
        <f>IF(Skills!N13=TRUE,(Skills!L13/10)*(E1272/1000),Skills!L13/10)+Skills!O13</f>
        <v/>
      </c>
      <c r="G1272">
        <f>Skills!G13*IF(Skills!H13&gt;0,Skills!I13/Skills!H13,1)</f>
        <v/>
      </c>
      <c r="H1272">
        <f>1-(1-Skills!J13/100)^Skills!K13</f>
        <v/>
      </c>
      <c r="I1272" t="inlineStr">
        <is>
          <t>1</t>
        </is>
      </c>
      <c r="J1272">
        <f>((Inputs!$B$6*(1+Inputs!$B$7/100))+(((Inputs!$B$12*(1+Inputs!$B$13/100))-(Inputs!$B$12*(1+Inputs!$B$13/100)))+0.25*(Inputs!$B$14-Inputs!$B$14))*(1+Inputs!$B$7/100))*(F1272/100)</f>
        <v/>
      </c>
      <c r="K1272">
        <f>J1272*(1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1272)</f>
        <v/>
      </c>
      <c r="L1272">
        <f>K1272*(MIN(Inputs!$B$22+((C1281=TRUE)*(F1281-Calc!F22)),(Inputs!$B$23+0+(IF(ArtifactsInput!$M$15,CHOOSE(ArtifactsInput!$N$15+1,25,30,35,40,45,50)/100*(Inputs!$B$11-Inputs!$B$11),0))))/100+(Inputs!$B$23+0+(IF(ArtifactsInput!$M$15,CHOOSE(ArtifactsInput!$N$15+1,25,30,35,40,45,50)/100*(Inputs!$B$11-Inputs!$B$11),0)))/100)/2</f>
        <v/>
      </c>
      <c r="M1272">
        <f>L1272*(1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2">
        <f>L1272*(1-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1272*(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2">
        <f>(1-Summary!$B$11)*T1272+Summary!$B$11*V1272</f>
        <v/>
      </c>
      <c r="P1272">
        <f>IF(B1300=0,0,O1272/B1300)</f>
        <v/>
      </c>
      <c r="Q1272">
        <f>IFERROR(1/(IF(Inputs!$B$38="pvp",15,MAX(0.1,Skills!D13-IF(Skills!E13=TRUE,Inputs!$B$32,0)))*(1-IF(AND(ArtifactsInput!$M$27,Inputs!$B$4="Chapter Hunt"),CHOOSE(ArtifactsInput!$N$27+1,20,24,28,32,36,40),0)/100)),0)</f>
        <v/>
      </c>
      <c r="R1272">
        <f>IF(AND(Inputs!$B$38&lt;&gt;"pvp",Inputs!$B$43&gt;0),IF(MAX(0,Inputs!$B$43-B1297)&lt;=0,0,(INT(MAX(0,Inputs!$B$43-B1297)/(IF(Inputs!$B$38="pvp",15,MAX(0.1,Skills!D13-IF(Skills!E13=TRUE,Inputs!$B$32,0)))*(1-IF(AND(ArtifactsInput!$M$27,Inputs!$B$4="Chapter Hunt"),CHOOSE(ArtifactsInput!$N$27+1,20,24,28,32,36,40),0)/100)))+1)),0)</f>
        <v/>
      </c>
      <c r="S1272">
        <f>IFERROR(O1272/N1272,0)</f>
        <v/>
      </c>
      <c r="T1272">
        <f>IF(C1272,(H1272*N1272*IF(AND(Inputs!$B$38&lt;&gt;"pvp",Inputs!$B$43&gt;0),((Skills!G13*((R1272-1)*IF(Skills!H13&gt;0,Skills!I13/Skills!H13,1)+IF(Skills!H13&gt;0,MIN(Skills!I13,MAX(0,MAX(0,Inputs!$B$43-B1297)-((R1272-1)*(IF(Inputs!$B$38="pvp",15,MAX(0.1,Skills!D13-IF(Skills!E13=TRUE,Inputs!$B$32,0)))*(1-IF(AND(ArtifactsInput!$M$27,Inputs!$B$4="Chapter Hunt"),CHOOSE(ArtifactsInput!$N$27+1,20,24,28,32,36,40),0)/100)))))/Skills!H13,1)))/Inputs!$B$43),G1272*Q1272)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1272*(1-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1272*(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1272*(1-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1272*(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2">
        <f>IF(C1272,(H1272*N1272*IF(AND(Inputs!$B$38&lt;&gt;"pvp",Inputs!$B$43&gt;0),((Skills!G13*((R1272-1)*IF(Skills!H13&gt;0,Skills!I13/Skills!H13,1)+IF(Skills!H13&gt;0,MIN(Skills!I13,MAX(0,MAX(0,Inputs!$B$43-B1297)-((R1272-1)*(IF(Inputs!$B$38="pvp",15,MAX(0.1,Skills!D13-IF(Skills!E13=TRUE,Inputs!$B$32,0)))*(1-IF(AND(ArtifactsInput!$M$27,Inputs!$B$4="Chapter Hunt"),CHOOSE(ArtifactsInput!$N$27+1,20,24,28,32,36,40),0)/100)))))/Skills!H13,1)))/Inputs!$B$43),G1272*Q1272))*IF(Inputs!$B$38="pvp",1,(1+(Inputs!$B$21+Skills!Q13+(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3">
      <c r="A1273">
        <f>Skills!A14</f>
        <v/>
      </c>
      <c r="B1273">
        <f>Skills!B14</f>
        <v/>
      </c>
      <c r="C1273">
        <f>Inputs!$B$3&gt;=125</f>
        <v/>
      </c>
      <c r="D1273">
        <f>IF(Skills!C14=1,60+Inputs!$B$25+Inputs!$B$29,IF(Skills!C14=2,90+Inputs!$B$26+Inputs!$B$29,IF(Skills!C14=3,120+Inputs!$B$27+Inputs!$B$29,MAX(0,(Inputs!$B$3-100)*3)+Inputs!$B$28+Inputs!$B$29)))</f>
        <v/>
      </c>
      <c r="E1273">
        <f>INDEX(FactorTable!$B$2:$Y$301, MATCH(ROUND(MIN(300,MAX(1,D1273)),0), FactorTable!$A$2:$A$301,0), Skills!M14+1)</f>
        <v/>
      </c>
      <c r="F1273">
        <f>IF(Skills!N14=TRUE,(Skills!L14/10)*(E1273/1000),Skills!L14/10)+Skills!O14</f>
        <v/>
      </c>
      <c r="G1273">
        <f>Skills!G14*IF(Skills!H14&gt;0,Skills!I14/Skills!H14,1)</f>
        <v/>
      </c>
      <c r="H1273">
        <f>1-(1-Skills!J14/100)^Skills!K14</f>
        <v/>
      </c>
      <c r="I1273" t="inlineStr">
        <is>
          <t>1</t>
        </is>
      </c>
      <c r="J1273">
        <f>((Inputs!$B$6*(1+Inputs!$B$7/100))+(((Inputs!$B$12*(1+Inputs!$B$13/100))-(Inputs!$B$12*(1+Inputs!$B$13/100)))+0.25*(Inputs!$B$14-Inputs!$B$14))*(1+Inputs!$B$7/100))*(F1273/100)</f>
        <v/>
      </c>
      <c r="K1273">
        <f>J1273*(1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1273)</f>
        <v/>
      </c>
      <c r="L1273">
        <f>K1273*(MIN(Inputs!$B$22+((C1281=TRUE)*(F1281-Calc!F22)),(Inputs!$B$23+0+(IF(ArtifactsInput!$M$15,CHOOSE(ArtifactsInput!$N$15+1,25,30,35,40,45,50)/100*(Inputs!$B$11-Inputs!$B$11),0))))/100+(Inputs!$B$23+0+(IF(ArtifactsInput!$M$15,CHOOSE(ArtifactsInput!$N$15+1,25,30,35,40,45,50)/100*(Inputs!$B$11-Inputs!$B$11),0)))/100)/2</f>
        <v/>
      </c>
      <c r="M1273">
        <f>L1273*(1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3">
        <f>L1273*(1-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1273*(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3">
        <f>(1-Summary!$B$11)*T1273+Summary!$B$11*V1273</f>
        <v/>
      </c>
      <c r="P1273">
        <f>IF(B1300=0,0,O1273/B1300)</f>
        <v/>
      </c>
      <c r="Q1273" t="n">
        <v>0</v>
      </c>
      <c r="R1273" t="n">
        <v>0</v>
      </c>
      <c r="S1273">
        <f>IFERROR(O1273/N1273,0)</f>
        <v/>
      </c>
      <c r="T1273">
        <f>IF(C1273,(H1273*N1273*(B1294+IF(AND(Inputs!$B$38&lt;&gt;"pvp",Inputs!$B$43&gt;0),((Skills!G8*((R1267-1)*IF(Skills!H8&gt;0,Skills!I8/Skills!H8,1)+IF(Skills!H8&gt;0,MIN(Skills!I8,MAX(0,MAX(0,Inputs!$B$43-B1297)-((R1267-1)*(IF(Inputs!$B$38="pvp",15,MAX(0.1,Skills!D8-IF(Skills!E8=TRUE,Inputs!$B$32,0)))*(1-IF(AND(ArtifactsInput!$M$27,Inputs!$B$4="Chapter Hunt"),CHOOSE(ArtifactsInput!$N$27+1,20,24,28,32,36,40),0)/100)))))/Skills!H8,1)))/Inputs!$B$43),G1267*Q1267)+IF(AND(Inputs!$B$38&lt;&gt;"pvp",Inputs!$B$43&gt;0),((Skills!G11*((R1270-1)*IF(Skills!H11&gt;0,Skills!I11/Skills!H11,1)+IF(Skills!H11&gt;0,MIN(Skills!I11,MAX(0,MAX(0,Inputs!$B$43-B1297)-((R1270-1)*(IF(Inputs!$B$38="pvp",15,MAX(0.1,Skills!D11-IF(Skills!E11=TRUE,Inputs!$B$32,0)))*(1-IF(AND(ArtifactsInput!$M$27,Inputs!$B$4="Chapter Hunt"),CHOOSE(ArtifactsInput!$N$27+1,20,24,28,32,36,40),0)/100)))))/Skills!H11,1)))/Inputs!$B$43),G1270*Q1270)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1273*(1-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1273*(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1273*(1-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1273*(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3">
        <f>IF(C1273,(H1273*N1273*(B1294+IF(AND(Inputs!$B$38&lt;&gt;"pvp",Inputs!$B$43&gt;0),((Skills!G8*((R1267-1)*IF(Skills!H8&gt;0,Skills!I8/Skills!H8,1)+IF(Skills!H8&gt;0,MIN(Skills!I8,MAX(0,MAX(0,Inputs!$B$43-B1297)-((R1267-1)*(IF(Inputs!$B$38="pvp",15,MAX(0.1,Skills!D8-IF(Skills!E8=TRUE,Inputs!$B$32,0)))*(1-IF(AND(ArtifactsInput!$M$27,Inputs!$B$4="Chapter Hunt"),CHOOSE(ArtifactsInput!$N$27+1,20,24,28,32,36,40),0)/100)))))/Skills!H8,1)))/Inputs!$B$43),G1267*Q1267)+IF(AND(Inputs!$B$38&lt;&gt;"pvp",Inputs!$B$43&gt;0),((Skills!G11*((R1270-1)*IF(Skills!H11&gt;0,Skills!I11/Skills!H11,1)+IF(Skills!H11&gt;0,MIN(Skills!I11,MAX(0,MAX(0,Inputs!$B$43-B1297)-((R1270-1)*(IF(Inputs!$B$38="pvp",15,MAX(0.1,Skills!D11-IF(Skills!E11=TRUE,Inputs!$B$32,0)))*(1-IF(AND(ArtifactsInput!$M$27,Inputs!$B$4="Chapter Hunt"),CHOOSE(ArtifactsInput!$N$27+1,20,24,28,32,36,40),0)/100)))))/Skills!H11,1)))/Inputs!$B$43),G1270*Q1270)))*IF(Inputs!$B$38="pvp",1,(1+(Inputs!$B$21+Skills!Q14+(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4">
      <c r="A1274">
        <f>Skills!A15</f>
        <v/>
      </c>
      <c r="B1274">
        <f>Skills!B15</f>
        <v/>
      </c>
      <c r="C1274">
        <f>Inputs!$B$3&gt;=100</f>
        <v/>
      </c>
      <c r="D1274">
        <f>IF(Skills!C15=1,60+Inputs!$B$25+Inputs!$B$29,IF(Skills!C15=2,90+Inputs!$B$26+Inputs!$B$29,IF(Skills!C15=3,120+Inputs!$B$27+Inputs!$B$29,MAX(0,(Inputs!$B$3-100)*3)+Inputs!$B$28+Inputs!$B$29)))</f>
        <v/>
      </c>
      <c r="E1274">
        <f>INDEX(FactorTable!$B$2:$Y$301, MATCH(ROUND(MIN(300,MAX(1,D1274)),0), FactorTable!$A$2:$A$301,0), Skills!M15+1)</f>
        <v/>
      </c>
      <c r="F1274">
        <f>IF(Skills!N15=TRUE,(Skills!L15/10)*(E1274/1000),Skills!L15/10)+Skills!O15</f>
        <v/>
      </c>
      <c r="G1274" t="inlineStr"/>
      <c r="H1274" t="inlineStr"/>
      <c r="I1274" t="inlineStr">
        <is>
          <t>1</t>
        </is>
      </c>
      <c r="J1274" t="inlineStr"/>
      <c r="K1274" t="inlineStr"/>
      <c r="L1274" t="inlineStr"/>
      <c r="M1274" t="inlineStr"/>
      <c r="N1274" t="inlineStr"/>
      <c r="O1274" t="inlineStr"/>
      <c r="P1274" t="inlineStr"/>
      <c r="Q1274" t="inlineStr"/>
      <c r="R1274" t="inlineStr"/>
      <c r="S1274" t="inlineStr"/>
    </row>
    <row r="1275">
      <c r="A1275">
        <f>Skills!A16</f>
        <v/>
      </c>
      <c r="B1275">
        <f>Skills!B16</f>
        <v/>
      </c>
      <c r="C1275">
        <f>Inputs!$B$3&gt;=120</f>
        <v/>
      </c>
      <c r="D1275">
        <f>IF(Skills!C16=1,60+Inputs!$B$25+Inputs!$B$29,IF(Skills!C16=2,90+Inputs!$B$26+Inputs!$B$29,IF(Skills!C16=3,120+Inputs!$B$27+Inputs!$B$29,MAX(0,(Inputs!$B$3-100)*3)+Inputs!$B$28+Inputs!$B$29)))</f>
        <v/>
      </c>
      <c r="E1275">
        <f>INDEX(FactorTable!$B$2:$Y$301, MATCH(ROUND(MIN(300,MAX(1,D1275)),0), FactorTable!$A$2:$A$301,0), Skills!M16+1)</f>
        <v/>
      </c>
      <c r="F1275">
        <f>IF(Skills!N16=TRUE,(Skills!L16/10)*(E1275/1000),Skills!L16/10)+Skills!O16</f>
        <v/>
      </c>
      <c r="G1275" t="inlineStr"/>
      <c r="H1275" t="inlineStr"/>
      <c r="I1275" t="inlineStr">
        <is>
          <t>1</t>
        </is>
      </c>
      <c r="J1275" t="inlineStr"/>
      <c r="K1275" t="inlineStr"/>
      <c r="L1275" t="inlineStr"/>
      <c r="M1275" t="inlineStr"/>
      <c r="N1275" t="inlineStr"/>
      <c r="O1275" t="inlineStr"/>
      <c r="P1275" t="inlineStr"/>
      <c r="Q1275" t="inlineStr"/>
      <c r="R1275" t="inlineStr"/>
      <c r="S1275" t="inlineStr"/>
    </row>
    <row r="1276">
      <c r="A1276">
        <f>Skills!A17</f>
        <v/>
      </c>
      <c r="B1276">
        <f>Skills!B17</f>
        <v/>
      </c>
      <c r="C1276">
        <f>Inputs!$B$3&gt;=66</f>
        <v/>
      </c>
      <c r="D1276">
        <f>IF(Skills!C17=1,60+Inputs!$B$25+Inputs!$B$29,IF(Skills!C17=2,90+Inputs!$B$26+Inputs!$B$29,IF(Skills!C17=3,120+Inputs!$B$27+Inputs!$B$29,MAX(0,(Inputs!$B$3-100)*3)+Inputs!$B$28+Inputs!$B$29)))</f>
        <v/>
      </c>
      <c r="E1276">
        <f>INDEX(FactorTable!$B$2:$Y$301, MATCH(ROUND(MIN(300,MAX(1,D1276)),0), FactorTable!$A$2:$A$301,0), Skills!M17+1)</f>
        <v/>
      </c>
      <c r="F1276">
        <f>IF(Skills!N17=TRUE,(Skills!L17/10)*(E1276/1000),Skills!L17/10)+Skills!O17</f>
        <v/>
      </c>
      <c r="G1276">
        <f>Skills!G17*IF(Skills!H17&gt;0,Skills!I17/Skills!H17,1)</f>
        <v/>
      </c>
      <c r="H1276">
        <f>1-(1-Skills!J17/100)^Skills!K17</f>
        <v/>
      </c>
      <c r="I1276" t="inlineStr">
        <is>
          <t>1</t>
        </is>
      </c>
      <c r="J1276" t="inlineStr"/>
      <c r="K1276" t="inlineStr"/>
      <c r="L1276" t="inlineStr"/>
      <c r="M1276" t="inlineStr"/>
      <c r="N1276" t="inlineStr"/>
      <c r="O1276">
        <f>(1-Summary!$B$11)*T1276+Summary!$B$11*V1276</f>
        <v/>
      </c>
      <c r="P1276">
        <f>IF(B1300=0,0,O1276/B1300)</f>
        <v/>
      </c>
      <c r="Q1276" t="n">
        <v>0</v>
      </c>
      <c r="R1276" t="n">
        <v>0</v>
      </c>
      <c r="S1276">
        <f>IFERROR(O1276/N1276,0)</f>
        <v/>
      </c>
      <c r="T1276" t="n">
        <v>0</v>
      </c>
      <c r="V1276" t="n">
        <v>0</v>
      </c>
    </row>
    <row r="1277">
      <c r="A1277">
        <f>Skills!A18</f>
        <v/>
      </c>
      <c r="B1277">
        <f>Skills!B18</f>
        <v/>
      </c>
      <c r="C1277">
        <f>Inputs!$B$3&gt;=115</f>
        <v/>
      </c>
      <c r="D1277">
        <f>IF(Skills!C18=1,60+Inputs!$B$25+Inputs!$B$29,IF(Skills!C18=2,90+Inputs!$B$26+Inputs!$B$29,IF(Skills!C18=3,120+Inputs!$B$27+Inputs!$B$29,MAX(0,(Inputs!$B$3-100)*3)+Inputs!$B$28+Inputs!$B$29)))</f>
        <v/>
      </c>
      <c r="E1277">
        <f>INDEX(FactorTable!$B$2:$Y$301, MATCH(ROUND(MIN(300,MAX(1,D1277)),0), FactorTable!$A$2:$A$301,0), Skills!M18+1)</f>
        <v/>
      </c>
      <c r="F1277">
        <f>IF(Skills!N18=TRUE,(Skills!L18/10)*(E1277/1000),Skills!L18/10)+Skills!O18</f>
        <v/>
      </c>
      <c r="G1277">
        <f>Skills!G18*IF(Skills!H18&gt;0,Skills!I18/Skills!H18,1)</f>
        <v/>
      </c>
      <c r="H1277">
        <f>1-(1-Skills!J18/100)^Skills!K18</f>
        <v/>
      </c>
      <c r="I1277" t="inlineStr">
        <is>
          <t>1</t>
        </is>
      </c>
      <c r="J1277" t="inlineStr"/>
      <c r="K1277" t="inlineStr"/>
      <c r="L1277" t="inlineStr"/>
      <c r="M1277" t="inlineStr"/>
      <c r="N1277" t="inlineStr"/>
      <c r="O1277">
        <f>(1-Summary!$B$11)*T1277+Summary!$B$11*V1277</f>
        <v/>
      </c>
      <c r="P1277">
        <f>IF(B1300=0,0,O1277/B1300)</f>
        <v/>
      </c>
      <c r="Q1277">
        <f>IFERROR(1/(IF(Inputs!$B$38="pvp",15,MAX(0.1,Skills!D18-IF(Skills!E18=TRUE,Inputs!$B$32,0)))*(1-IF(AND(ArtifactsInput!$M$27,Inputs!$B$4="Chapter Hunt"),CHOOSE(ArtifactsInput!$N$27+1,20,24,28,32,36,40),0)/100)),0)</f>
        <v/>
      </c>
      <c r="R1277">
        <f>IF(AND(Inputs!$B$38&lt;&gt;"pvp",Inputs!$B$43&gt;0),IF(Inputs!$B$43&lt;=0,0,(INT(Inputs!$B$43/(IF(Inputs!$B$38="pvp",15,MAX(0.1,Skills!D18-IF(Skills!E18=TRUE,Inputs!$B$32,0)))*(1-IF(AND(ArtifactsInput!$M$27,Inputs!$B$4="Chapter Hunt"),CHOOSE(ArtifactsInput!$N$27+1,20,24,28,32,36,40),0)/100)))+1)),0)</f>
        <v/>
      </c>
      <c r="S1277">
        <f>IFERROR(O1277/N1277,0)</f>
        <v/>
      </c>
      <c r="T1277" t="n">
        <v>0</v>
      </c>
      <c r="V1277" t="n">
        <v>0</v>
      </c>
    </row>
    <row r="1278">
      <c r="A1278">
        <f>Skills!A19</f>
        <v/>
      </c>
      <c r="B1278">
        <f>Skills!B19</f>
        <v/>
      </c>
      <c r="C1278">
        <f>Inputs!$B$3&gt;=15</f>
        <v/>
      </c>
      <c r="D1278">
        <f>IF(Skills!C19=1,60+Inputs!$B$25+Inputs!$B$29,IF(Skills!C19=2,90+Inputs!$B$26+Inputs!$B$29,IF(Skills!C19=3,120+Inputs!$B$27+Inputs!$B$29,MAX(0,(Inputs!$B$3-100)*3)+Inputs!$B$28+Inputs!$B$29)))</f>
        <v/>
      </c>
      <c r="E1278">
        <f>INDEX(FactorTable!$B$2:$Y$301, MATCH(ROUND(MIN(300,MAX(1,D1278)),0), FactorTable!$A$2:$A$301,0), Skills!M19+1)</f>
        <v/>
      </c>
      <c r="F1278">
        <f>IF(Skills!N19=TRUE,(Skills!L19/10)*(E1278/1000),Skills!L19/10)+Skills!O19</f>
        <v/>
      </c>
      <c r="G1278">
        <f>Skills!G19*IF(Skills!H19&gt;0,Skills!I19/Skills!H19,1)</f>
        <v/>
      </c>
      <c r="H1278">
        <f>1-(1-Skills!J19/100)^Skills!K19</f>
        <v/>
      </c>
      <c r="I1278" t="inlineStr">
        <is>
          <t>1</t>
        </is>
      </c>
      <c r="J1278" t="inlineStr"/>
      <c r="K1278" t="inlineStr"/>
      <c r="L1278" t="inlineStr"/>
      <c r="M1278" t="inlineStr"/>
      <c r="N1278" t="inlineStr"/>
      <c r="O1278">
        <f>(1-Summary!$B$11)*T1278+Summary!$B$11*V1278</f>
        <v/>
      </c>
      <c r="P1278">
        <f>IF(B1300=0,0,O1278/B1300)</f>
        <v/>
      </c>
      <c r="Q1278" t="n">
        <v>0</v>
      </c>
      <c r="R1278" t="n">
        <v>0</v>
      </c>
      <c r="S1278">
        <f>IFERROR(O1278/N1278,0)</f>
        <v/>
      </c>
      <c r="T1278" t="n">
        <v>0</v>
      </c>
      <c r="V1278" t="n">
        <v>0</v>
      </c>
    </row>
    <row r="1279">
      <c r="A1279">
        <f>Skills!A20</f>
        <v/>
      </c>
      <c r="B1279">
        <f>Skills!B20</f>
        <v/>
      </c>
      <c r="C1279">
        <f>Inputs!$B$3&gt;=10</f>
        <v/>
      </c>
      <c r="D1279">
        <f>IF(Skills!C20=1,60+Inputs!$B$25+Inputs!$B$29,IF(Skills!C20=2,90+Inputs!$B$26+Inputs!$B$29,IF(Skills!C20=3,120+Inputs!$B$27+Inputs!$B$29,MAX(0,(Inputs!$B$3-100)*3)+Inputs!$B$28+Inputs!$B$29)))</f>
        <v/>
      </c>
      <c r="E1279">
        <f>INDEX(FactorTable!$B$2:$Y$301, MATCH(ROUND(MIN(300,MAX(1,D1279)),0), FactorTable!$A$2:$A$301,0), Skills!M20+1)</f>
        <v/>
      </c>
      <c r="F1279">
        <f>IF(Skills!N20=TRUE,(Skills!L20/10)*(E1279/1000),Skills!L20/10)+Skills!O20</f>
        <v/>
      </c>
      <c r="G1279">
        <f>Skills!G20*IF(Skills!H20&gt;0,Skills!I20/Skills!H20,1)</f>
        <v/>
      </c>
      <c r="H1279">
        <f>1-(1-Skills!J20/100)^Skills!K20</f>
        <v/>
      </c>
      <c r="I1279" t="inlineStr">
        <is>
          <t>1</t>
        </is>
      </c>
      <c r="J1279" t="inlineStr"/>
      <c r="K1279" t="inlineStr"/>
      <c r="L1279" t="inlineStr"/>
      <c r="M1279" t="inlineStr"/>
      <c r="N1279" t="inlineStr"/>
      <c r="O1279">
        <f>(1-Summary!$B$11)*T1279+Summary!$B$11*V1279</f>
        <v/>
      </c>
      <c r="P1279">
        <f>IF(B1300=0,0,O1279/B1300)</f>
        <v/>
      </c>
      <c r="Q1279" t="n">
        <v>0</v>
      </c>
      <c r="R1279" t="n">
        <v>0</v>
      </c>
      <c r="S1279">
        <f>IFERROR(O1279/N1279,0)</f>
        <v/>
      </c>
      <c r="T1279" t="n">
        <v>0</v>
      </c>
      <c r="V1279" t="n">
        <v>0</v>
      </c>
    </row>
    <row r="1280">
      <c r="A1280">
        <f>Skills!A21</f>
        <v/>
      </c>
      <c r="B1280">
        <f>Skills!B21</f>
        <v/>
      </c>
      <c r="C1280">
        <f>Inputs!$B$3&gt;=33</f>
        <v/>
      </c>
      <c r="D1280">
        <f>IF(Skills!C21=1,60+Inputs!$B$25+Inputs!$B$29,IF(Skills!C21=2,90+Inputs!$B$26+Inputs!$B$29,IF(Skills!C21=3,120+Inputs!$B$27+Inputs!$B$29,MAX(0,(Inputs!$B$3-100)*3)+Inputs!$B$28+Inputs!$B$29)))</f>
        <v/>
      </c>
      <c r="E1280">
        <f>INDEX(FactorTable!$B$2:$Y$301, MATCH(ROUND(MIN(300,MAX(1,D1280)),0), FactorTable!$A$2:$A$301,0), Skills!M21+1)</f>
        <v/>
      </c>
      <c r="F1280">
        <f>IF(Skills!N21=TRUE,(Skills!L21/10)*(E1280/1000),Skills!L21/10)+Skills!O21</f>
        <v/>
      </c>
      <c r="G1280">
        <f>Skills!G21*IF(Skills!H21&gt;0,Skills!I21/Skills!H21,1)</f>
        <v/>
      </c>
      <c r="H1280">
        <f>1-(1-Skills!J21/100)^Skills!K21</f>
        <v/>
      </c>
      <c r="I1280" t="inlineStr">
        <is>
          <t>1</t>
        </is>
      </c>
      <c r="J1280" t="inlineStr"/>
      <c r="K1280" t="inlineStr"/>
      <c r="L1280" t="inlineStr"/>
      <c r="M1280" t="inlineStr"/>
      <c r="N1280" t="inlineStr"/>
      <c r="O1280">
        <f>(1-Summary!$B$11)*T1280+Summary!$B$11*V1280</f>
        <v/>
      </c>
      <c r="P1280">
        <f>IF(B1300=0,0,O1280/B1300)</f>
        <v/>
      </c>
      <c r="Q1280" t="n">
        <v>0</v>
      </c>
      <c r="R1280" t="n">
        <v>0</v>
      </c>
      <c r="S1280">
        <f>IFERROR(O1280/N1280,0)</f>
        <v/>
      </c>
      <c r="T1280" t="n">
        <v>0</v>
      </c>
      <c r="V1280" t="n">
        <v>0</v>
      </c>
    </row>
    <row r="1281">
      <c r="A1281">
        <f>Skills!A22</f>
        <v/>
      </c>
      <c r="B1281">
        <f>Skills!B22</f>
        <v/>
      </c>
      <c r="C1281">
        <f>Inputs!$B$3&gt;=43</f>
        <v/>
      </c>
      <c r="D1281">
        <f>IF(Skills!C22=1,60+Inputs!$B$25+Inputs!$B$29,IF(Skills!C22=2,90+Inputs!$B$26+Inputs!$B$29,IF(Skills!C22=3,120+Inputs!$B$27+Inputs!$B$29,MAX(0,(Inputs!$B$3-100)*3)+Inputs!$B$28+Inputs!$B$29)))</f>
        <v/>
      </c>
      <c r="E1281">
        <f>INDEX(FactorTable!$B$2:$Y$301, MATCH(ROUND(MIN(300,MAX(1,D1281)),0), FactorTable!$A$2:$A$301,0), Skills!M22+1)</f>
        <v/>
      </c>
      <c r="F1281">
        <f>IF(Skills!N22=TRUE,(Skills!L22/10)*(E1281/1000),Skills!L22/10)+Skills!O22</f>
        <v/>
      </c>
      <c r="G1281">
        <f>Skills!G22*IF(Skills!H22&gt;0,Skills!I22/Skills!H22,1)</f>
        <v/>
      </c>
      <c r="H1281">
        <f>1-(1-Skills!J22/100)^Skills!K22</f>
        <v/>
      </c>
      <c r="I1281" t="inlineStr">
        <is>
          <t>1</t>
        </is>
      </c>
      <c r="J1281" t="inlineStr"/>
      <c r="K1281" t="inlineStr"/>
      <c r="L1281" t="inlineStr"/>
      <c r="M1281" t="inlineStr"/>
      <c r="N1281" t="inlineStr"/>
      <c r="O1281">
        <f>(1-Summary!$B$11)*T1281+Summary!$B$11*V1281</f>
        <v/>
      </c>
      <c r="P1281">
        <f>IF(B1300=0,0,O1281/B1300)</f>
        <v/>
      </c>
      <c r="Q1281" t="n">
        <v>0</v>
      </c>
      <c r="R1281" t="n">
        <v>0</v>
      </c>
      <c r="S1281">
        <f>IFERROR(O1281/N1281,0)</f>
        <v/>
      </c>
      <c r="T1281" t="n">
        <v>0</v>
      </c>
      <c r="V1281" t="n">
        <v>0</v>
      </c>
    </row>
    <row r="1282">
      <c r="A1282">
        <f>Skills!A23</f>
        <v/>
      </c>
      <c r="B1282">
        <f>Skills!B23</f>
        <v/>
      </c>
      <c r="C1282">
        <f>Inputs!$B$3&gt;=38</f>
        <v/>
      </c>
      <c r="D1282">
        <f>IF(Skills!C23=1,60+Inputs!$B$25+Inputs!$B$29,IF(Skills!C23=2,90+Inputs!$B$26+Inputs!$B$29,IF(Skills!C23=3,120+Inputs!$B$27+Inputs!$B$29,MAX(0,(Inputs!$B$3-100)*3)+Inputs!$B$28+Inputs!$B$29)))</f>
        <v/>
      </c>
      <c r="E1282">
        <f>INDEX(FactorTable!$B$2:$Y$301, MATCH(ROUND(MIN(300,MAX(1,D1282)),0), FactorTable!$A$2:$A$301,0), Skills!M23+1)</f>
        <v/>
      </c>
      <c r="F1282">
        <f>IF(Skills!N23=TRUE,(Skills!L23/10)*(E1282/1000),Skills!L23/10)+Skills!O23</f>
        <v/>
      </c>
      <c r="G1282">
        <f>Skills!G23*IF(Skills!H23&gt;0,Skills!I23/Skills!H23,1)</f>
        <v/>
      </c>
      <c r="H1282">
        <f>1-(1-Skills!J23/100)^Skills!K23</f>
        <v/>
      </c>
      <c r="I1282" t="inlineStr">
        <is>
          <t>1</t>
        </is>
      </c>
      <c r="J1282" t="inlineStr"/>
      <c r="K1282" t="inlineStr"/>
      <c r="L1282" t="inlineStr"/>
      <c r="M1282" t="inlineStr"/>
      <c r="N1282" t="inlineStr"/>
      <c r="O1282">
        <f>(1-Summary!$B$11)*T1282+Summary!$B$11*V1282</f>
        <v/>
      </c>
      <c r="P1282">
        <f>IF(B1300=0,0,O1282/B1300)</f>
        <v/>
      </c>
      <c r="Q1282" t="n">
        <v>0</v>
      </c>
      <c r="R1282" t="n">
        <v>0</v>
      </c>
      <c r="S1282">
        <f>IFERROR(O1282/N1282,0)</f>
        <v/>
      </c>
      <c r="T1282" t="n">
        <v>0</v>
      </c>
      <c r="V1282" t="n">
        <v>0</v>
      </c>
    </row>
    <row r="1283">
      <c r="A1283">
        <f>Skills!A24</f>
        <v/>
      </c>
      <c r="B1283">
        <f>Skills!B24</f>
        <v/>
      </c>
      <c r="C1283">
        <f>Inputs!$B$3&gt;=40</f>
        <v/>
      </c>
      <c r="D1283">
        <f>IF(Skills!C24=1,60+Inputs!$B$25+Inputs!$B$29,IF(Skills!C24=2,90+Inputs!$B$26+Inputs!$B$29,IF(Skills!C24=3,120+Inputs!$B$27+Inputs!$B$29,MAX(0,(Inputs!$B$3-100)*3)+Inputs!$B$28+Inputs!$B$29)))</f>
        <v/>
      </c>
      <c r="E1283">
        <f>INDEX(FactorTable!$B$2:$Y$301, MATCH(ROUND(MIN(300,MAX(1,D1283)),0), FactorTable!$A$2:$A$301,0), Skills!M24+1)</f>
        <v/>
      </c>
      <c r="F1283">
        <f>IF(Skills!N24=TRUE,(Skills!L24/10)*(E1283/1000),Skills!L24/10)+Skills!O24</f>
        <v/>
      </c>
      <c r="G1283">
        <f>Skills!G24*IF(Skills!H24&gt;0,Skills!I24/Skills!H24,1)</f>
        <v/>
      </c>
      <c r="H1283">
        <f>1-(1-Skills!J24/100)^Skills!K24</f>
        <v/>
      </c>
      <c r="I1283" t="inlineStr">
        <is>
          <t>1</t>
        </is>
      </c>
      <c r="J1283" t="inlineStr"/>
      <c r="K1283" t="inlineStr"/>
      <c r="L1283" t="inlineStr"/>
      <c r="M1283" t="inlineStr"/>
      <c r="N1283" t="inlineStr"/>
      <c r="O1283">
        <f>(1-Summary!$B$11)*T1283+Summary!$B$11*V1283</f>
        <v/>
      </c>
      <c r="P1283">
        <f>IF(B1300=0,0,O1283/B1300)</f>
        <v/>
      </c>
      <c r="Q1283" t="n">
        <v>0</v>
      </c>
      <c r="R1283" t="n">
        <v>0</v>
      </c>
      <c r="S1283">
        <f>IFERROR(O1283/N1283,0)</f>
        <v/>
      </c>
      <c r="T1283" t="n">
        <v>0</v>
      </c>
      <c r="V1283" t="n">
        <v>0</v>
      </c>
    </row>
    <row r="1284">
      <c r="A1284">
        <f>Skills!A25</f>
        <v/>
      </c>
      <c r="B1284">
        <f>Skills!B25</f>
        <v/>
      </c>
      <c r="C1284">
        <f>Inputs!$B$3&gt;=72</f>
        <v/>
      </c>
      <c r="D1284">
        <f>IF(Skills!C25=1,60+Inputs!$B$25+Inputs!$B$29,IF(Skills!C25=2,90+Inputs!$B$26+Inputs!$B$29,IF(Skills!C25=3,120+Inputs!$B$27+Inputs!$B$29,MAX(0,(Inputs!$B$3-100)*3)+Inputs!$B$28+Inputs!$B$29)))</f>
        <v/>
      </c>
      <c r="E1284">
        <f>INDEX(FactorTable!$B$2:$Y$301, MATCH(ROUND(MIN(300,MAX(1,D1284)),0), FactorTable!$A$2:$A$301,0), Skills!M25+1)</f>
        <v/>
      </c>
      <c r="F1284">
        <f>IF(Skills!N25=TRUE,(Skills!L25/10)*(E1284/1000),Skills!L25/10)+Skills!O25</f>
        <v/>
      </c>
      <c r="G1284">
        <f>Skills!G25*IF(Skills!H25&gt;0,Skills!I25/Skills!H25,1)</f>
        <v/>
      </c>
      <c r="H1284">
        <f>1-(1-Skills!J25/100)^Skills!K25</f>
        <v/>
      </c>
      <c r="I1284" t="inlineStr">
        <is>
          <t>1</t>
        </is>
      </c>
      <c r="J1284" t="inlineStr"/>
      <c r="K1284" t="inlineStr"/>
      <c r="L1284" t="inlineStr"/>
      <c r="M1284" t="inlineStr"/>
      <c r="N1284" t="inlineStr"/>
      <c r="O1284">
        <f>(1-Summary!$B$11)*T1284+Summary!$B$11*V1284</f>
        <v/>
      </c>
      <c r="P1284">
        <f>IF(B1300=0,0,O1284/B1300)</f>
        <v/>
      </c>
      <c r="Q1284" t="n">
        <v>0</v>
      </c>
      <c r="R1284" t="n">
        <v>0</v>
      </c>
      <c r="S1284">
        <f>IFERROR(O1284/N1284,0)</f>
        <v/>
      </c>
      <c r="T1284" t="n">
        <v>0</v>
      </c>
      <c r="V1284" t="n">
        <v>0</v>
      </c>
    </row>
    <row r="1285">
      <c r="A1285">
        <f>Skills!A26</f>
        <v/>
      </c>
      <c r="B1285">
        <f>Skills!B26</f>
        <v/>
      </c>
      <c r="C1285">
        <f>Inputs!$B$3&gt;=75</f>
        <v/>
      </c>
      <c r="D1285">
        <f>IF(Skills!C26=1,60+Inputs!$B$25+Inputs!$B$29,IF(Skills!C26=2,90+Inputs!$B$26+Inputs!$B$29,IF(Skills!C26=3,120+Inputs!$B$27+Inputs!$B$29,MAX(0,(Inputs!$B$3-100)*3)+Inputs!$B$28+Inputs!$B$29)))</f>
        <v/>
      </c>
      <c r="E1285">
        <f>INDEX(FactorTable!$B$2:$Y$301, MATCH(ROUND(MIN(300,MAX(1,D1285)),0), FactorTable!$A$2:$A$301,0), Skills!M26+1)</f>
        <v/>
      </c>
      <c r="F1285">
        <f>IF(Skills!N26=TRUE,(Skills!L26/10)*(E1285/1000),Skills!L26/10)+Skills!O26</f>
        <v/>
      </c>
      <c r="G1285">
        <f>Skills!G26*IF(Skills!H26&gt;0,Skills!I26/Skills!H26,1)</f>
        <v/>
      </c>
      <c r="H1285">
        <f>1-(1-Skills!J26/100)^Skills!K26</f>
        <v/>
      </c>
      <c r="I1285" t="inlineStr">
        <is>
          <t>1</t>
        </is>
      </c>
      <c r="J1285" t="inlineStr"/>
      <c r="K1285" t="inlineStr"/>
      <c r="L1285" t="inlineStr"/>
      <c r="M1285" t="inlineStr"/>
      <c r="N1285" t="inlineStr"/>
      <c r="O1285">
        <f>(1-Summary!$B$11)*T1285+Summary!$B$11*V1285</f>
        <v/>
      </c>
      <c r="P1285">
        <f>IF(B1300=0,0,O1285/B1300)</f>
        <v/>
      </c>
      <c r="Q1285" t="n">
        <v>0</v>
      </c>
      <c r="R1285" t="n">
        <v>0</v>
      </c>
      <c r="S1285">
        <f>IFERROR(O1285/N1285,0)</f>
        <v/>
      </c>
      <c r="T1285" t="n">
        <v>0</v>
      </c>
      <c r="V1285" t="n">
        <v>0</v>
      </c>
    </row>
    <row r="1286">
      <c r="A1286">
        <f>Skills!A27</f>
        <v/>
      </c>
      <c r="B1286">
        <f>Skills!B27</f>
        <v/>
      </c>
      <c r="C1286">
        <f>Inputs!$B$3&gt;=117</f>
        <v/>
      </c>
      <c r="D1286">
        <f>IF(Skills!C27=1,60+Inputs!$B$25+Inputs!$B$29,IF(Skills!C27=2,90+Inputs!$B$26+Inputs!$B$29,IF(Skills!C27=3,120+Inputs!$B$27+Inputs!$B$29,MAX(0,(Inputs!$B$3-100)*3)+Inputs!$B$28+Inputs!$B$29)))</f>
        <v/>
      </c>
      <c r="E1286">
        <f>INDEX(FactorTable!$B$2:$Y$301, MATCH(ROUND(MIN(300,MAX(1,D1286)),0), FactorTable!$A$2:$A$301,0), Skills!M27+1)</f>
        <v/>
      </c>
      <c r="F1286">
        <f>IF(Skills!N27=TRUE,(Skills!L27/10)*(E1286/1000),Skills!L27/10)+Skills!O27</f>
        <v/>
      </c>
      <c r="G1286">
        <f>Skills!G27*IF(Skills!H27&gt;0,Skills!I27/Skills!H27,1)</f>
        <v/>
      </c>
      <c r="H1286">
        <f>1-(1-Skills!J27/100)^Skills!K27</f>
        <v/>
      </c>
      <c r="I1286" t="inlineStr">
        <is>
          <t>1</t>
        </is>
      </c>
      <c r="J1286" t="inlineStr"/>
      <c r="K1286" t="inlineStr"/>
      <c r="L1286" t="inlineStr"/>
      <c r="M1286" t="inlineStr"/>
      <c r="N1286" t="inlineStr"/>
      <c r="O1286">
        <f>(1-Summary!$B$11)*T1286+Summary!$B$11*V1286</f>
        <v/>
      </c>
      <c r="P1286">
        <f>IF(B1300=0,0,O1286/B1300)</f>
        <v/>
      </c>
      <c r="Q1286" t="n">
        <v>0</v>
      </c>
      <c r="R1286" t="n">
        <v>0</v>
      </c>
      <c r="S1286">
        <f>IFERROR(O1286/N1286,0)</f>
        <v/>
      </c>
      <c r="T1286" t="n">
        <v>0</v>
      </c>
      <c r="V1286" t="n">
        <v>0</v>
      </c>
    </row>
    <row r="1287">
      <c r="A1287">
        <f>Skills!A28</f>
        <v/>
      </c>
      <c r="B1287">
        <f>Skills!B28</f>
        <v/>
      </c>
      <c r="C1287">
        <f>TRUE</f>
        <v/>
      </c>
      <c r="D1287">
        <f>IF(Skills!C28=1,60+Inputs!$B$25+Inputs!$B$29,IF(Skills!C28=2,90+Inputs!$B$26+Inputs!$B$29,IF(Skills!C28=3,120+Inputs!$B$27+Inputs!$B$29,MAX(0,(Inputs!$B$3-100)*3)+Inputs!$B$28+Inputs!$B$29)))</f>
        <v/>
      </c>
      <c r="E1287">
        <f>INDEX(FactorTable!$B$2:$Y$301, MATCH(ROUND(MIN(300,MAX(1,D1287)),0), FactorTable!$A$2:$A$301,0), Skills!M28+1)</f>
        <v/>
      </c>
      <c r="F1287">
        <f>IF(Skills!N28=TRUE,(Skills!L28/10)*(E1287/1000),Skills!L28/10)+Skills!O28</f>
        <v/>
      </c>
      <c r="G1287">
        <f>Skills!G28*IF(Skills!H28&gt;0,Skills!I28/Skills!H28,1)</f>
        <v/>
      </c>
      <c r="H1287">
        <f>1-(1-Skills!J28/100)^Skills!K28</f>
        <v/>
      </c>
      <c r="I1287" t="inlineStr">
        <is>
          <t>1</t>
        </is>
      </c>
      <c r="J1287" t="inlineStr"/>
      <c r="K1287" t="inlineStr"/>
      <c r="L1287" t="inlineStr"/>
      <c r="M1287" t="inlineStr"/>
      <c r="N1287" t="inlineStr"/>
      <c r="O1287">
        <f>(1-Summary!$B$11)*T1287+Summary!$B$11*V1287</f>
        <v/>
      </c>
      <c r="P1287">
        <f>IF(B1300=0,0,O1287/B1300)</f>
        <v/>
      </c>
      <c r="Q1287">
        <f>IFERROR(1/(IF(Inputs!$B$38="pvp",15,MAX(0.1,Skills!D28-IF(Skills!E28=TRUE,Inputs!$B$32,0)))*(1-IF(AND(ArtifactsInput!$M$27,Inputs!$B$4="Chapter Hunt"),CHOOSE(ArtifactsInput!$N$27+1,20,24,28,32,36,40),0)/100)),0)</f>
        <v/>
      </c>
      <c r="R1287">
        <f>IF(AND(Inputs!$B$38&lt;&gt;"pvp",Inputs!$B$43&gt;0),IF(Inputs!$B$43&lt;=0,0,(INT(Inputs!$B$43/(IF(Inputs!$B$38="pvp",15,MAX(0.1,Skills!D28-IF(Skills!E28=TRUE,Inputs!$B$32,0)))*(1-IF(AND(ArtifactsInput!$M$27,Inputs!$B$4="Chapter Hunt"),CHOOSE(ArtifactsInput!$N$27+1,20,24,28,32,36,40),0)/100)))+1)),0)</f>
        <v/>
      </c>
      <c r="S1287">
        <f>IFERROR(O1287/N1287,0)</f>
        <v/>
      </c>
      <c r="T1287" t="n">
        <v>0</v>
      </c>
      <c r="V1287" t="n">
        <v>0</v>
      </c>
    </row>
    <row r="1289">
      <c r="A1289" t="inlineStr">
        <is>
          <t>Attack% Bucket Multiplier</t>
        </is>
      </c>
      <c r="B1289">
        <f>(1+(((C1276=TRUE)*F1276*5/7)+((C1283=TRUE)*(F1283-Calc!F24))+(IF(ArtifactsInput!$M$21,CHOOSE(ArtifactsInput!$N$21+1,25,30,35,40,45,50)*(IF(OR(Inputs!$B$4="Chapter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90">
      <c r="A1290" t="inlineStr">
        <is>
          <t>Global Crit Rate Bonus %</t>
        </is>
      </c>
      <c r="B1290" t="n">
        <v>0</v>
      </c>
    </row>
    <row r="1291">
      <c r="A1291" t="inlineStr">
        <is>
          <t>Attack Speed Buff Bonus % (Nimble Feet, duty-cycle averaged)</t>
        </is>
      </c>
      <c r="B1291">
        <f>((C1287=TRUE)*F1287*IF(AND(Inputs!$B$38&lt;&gt;"pvp",Inputs!$B$43&gt;0),(((R1287-1)*(Skills!T28*(1+Inputs!$B$34/100))+MIN((Skills!T28*(1+Inputs!$B$34/100)),MAX(0,Inputs!$B$43-((R1287-1)*Skills!D28))))/Inputs!$B$43),IF(Inputs!$B$38="pvp",MIN((Skills!T28*(1+Inputs!$B$34/100)),15)/15,(Skills!T28*(1+Inputs!$B$34/100))/Skills!D28)))</f>
        <v/>
      </c>
    </row>
    <row r="1292">
      <c r="A1292" t="inlineStr">
        <is>
          <t>Actions Per Second</t>
        </is>
      </c>
      <c r="B1292">
        <f>1+MIN(150,150*(1-(1-(Inputs!$B$11+((C1279=TRUE)*(F1279-Calc!F20))+((C1280=TRUE)*(F1280-Calc!F21)))/150)*(1-B1291/150)))/100</f>
        <v/>
      </c>
    </row>
    <row r="1293">
      <c r="A1293" t="inlineStr">
        <is>
          <t>Skill + Buff Cast Rate</t>
        </is>
      </c>
      <c r="B1293">
        <f>IF(AND(Inputs!$B$38&lt;&gt;"pvp",Inputs!$B$43&gt;0),SUMPRODUCT((Skills!E2:E28=TRUE)*(C1261:C1287=TRUE)*R1261:R1287*Skills!F2:F28)/Inputs!$B$43,SUMPRODUCT((Skills!E2:E28=TRUE)*(C1261:C1287=TRUE)*Q1261:Q1287*Skills!F2:F28))</f>
        <v/>
      </c>
    </row>
    <row r="1294">
      <c r="A1294" t="inlineStr">
        <is>
          <t>Eight-Legs Easton Casts Per Second</t>
        </is>
      </c>
      <c r="B1294">
        <f>MAX(0,B1292-B1293)</f>
        <v/>
      </c>
    </row>
    <row r="1295">
      <c r="A1295" t="inlineStr">
        <is>
          <t>Global Critical Damage Bonus % (unused)</t>
        </is>
      </c>
      <c r="B1295" t="n">
        <v>0</v>
      </c>
    </row>
    <row r="1296">
      <c r="A1296" t="inlineStr">
        <is>
          <t>Global Final Damage Bonus % (Jolly Roger + Ahoy Mateys - Final Damage proc)</t>
        </is>
      </c>
      <c r="B1296">
        <f>((C1277=TRUE)*F1277*IF(AND(Inputs!$B$38&lt;&gt;"pvp",Inputs!$B$43&gt;0),(((R1277-1)*(Skills!T18*(1+Inputs!$B$34/100))+MIN((Skills!T18*(1+Inputs!$B$34/100)),MAX(0,Inputs!$B$43-((R1277-1)*Skills!D18))))/Inputs!$B$43),IF(Inputs!$B$38="pvp",MIN((Skills!T18*(1+Inputs!$B$34/100)),15)/15,(Skills!T18*(1+Inputs!$B$34/100))/Skills!D18)))+IF(Inputs!$B$3&gt;=122,20*IF(Inputs!$B$38="pvp",MIN((20*(1+Inputs!$B$34/100)),15)/15,(20*(1+Inputs!$B$34/100))/Skills!D4),0)</f>
        <v/>
      </c>
    </row>
    <row r="1297">
      <c r="A1297" t="inlineStr">
        <is>
          <t>Buff-Casting Startup Delay (s, fixed-duration only)</t>
        </is>
      </c>
      <c r="B1297">
        <f>IF(AND(Inputs!$B$38&lt;&gt;"pvp",Inputs!$B$43&gt;0),SUMPRODUCT((Skills!T2:T28&gt;0)*(Skills!E2:E28=TRUE)*(C1261:C1287=TRUE))/B1292,0)</f>
        <v/>
      </c>
    </row>
    <row r="1298">
      <c r="A1298" t="inlineStr">
        <is>
          <t>Boss-Only Total DPS (this block's swept value)</t>
        </is>
      </c>
      <c r="B1298">
        <f>SUM(T1261:T1287)</f>
        <v/>
      </c>
    </row>
    <row r="1299">
      <c r="A1299" t="inlineStr">
        <is>
          <t>Normal-Only Total DPS (this block's swept value)</t>
        </is>
      </c>
      <c r="B1299">
        <f>SUM(V1261:V1287)</f>
        <v/>
      </c>
    </row>
    <row r="1300">
      <c r="A1300" s="6" t="inlineStr">
        <is>
          <t>TOTAL DPS</t>
        </is>
      </c>
      <c r="B1300" s="6">
        <f>SUM(O1261:O1287)</f>
        <v/>
      </c>
    </row>
    <row r="1303">
      <c r="A1303" s="6" t="inlineStr">
        <is>
          <t>Stat: Shamaness Marble (Equip)</t>
        </is>
      </c>
    </row>
    <row r="1304">
      <c r="A1304" s="5" t="inlineStr">
        <is>
          <t>Key</t>
        </is>
      </c>
      <c r="B1304" s="5" t="inlineStr">
        <is>
          <t>Name</t>
        </is>
      </c>
      <c r="C1304" s="5" t="inlineStr">
        <is>
          <t>Unlocked</t>
        </is>
      </c>
      <c r="D1304" s="5" t="inlineStr">
        <is>
          <t>InputLevel</t>
        </is>
      </c>
      <c r="E1304" s="5" t="inlineStr">
        <is>
          <t>Factor</t>
        </is>
      </c>
      <c r="F1304" s="5" t="inlineStr">
        <is>
          <t>CoefficientPercent</t>
        </is>
      </c>
      <c r="G1304" s="5" t="inlineStr">
        <is>
          <t>EffectiveHits</t>
        </is>
      </c>
      <c r="H1304" s="5" t="inlineStr">
        <is>
          <t>ProcProbability</t>
        </is>
      </c>
      <c r="I1304" s="5" t="inlineStr">
        <is>
          <t>MapleHeroMultiplier</t>
        </is>
      </c>
      <c r="J1304" s="5" t="inlineStr">
        <is>
          <t>BaseDamage</t>
        </is>
      </c>
      <c r="K1304" s="5" t="inlineStr">
        <is>
          <t>BaseHitDamage</t>
        </is>
      </c>
      <c r="L1304" s="5" t="inlineStr">
        <is>
          <t>NonCritAvg</t>
        </is>
      </c>
      <c r="M1304" s="5" t="inlineStr">
        <is>
          <t>CritAvg</t>
        </is>
      </c>
      <c r="N1304" s="5" t="inlineStr">
        <is>
          <t>ExpectedDamage(perHit)</t>
        </is>
      </c>
      <c r="O1304" s="5" t="inlineStr">
        <is>
          <t>DPS</t>
        </is>
      </c>
      <c r="P1304" s="5" t="inlineStr">
        <is>
          <t>% of Total</t>
        </is>
      </c>
      <c r="Q1304" s="5" t="inlineStr">
        <is>
          <t>InvCooldown</t>
        </is>
      </c>
      <c r="R1304" s="5" t="inlineStr">
        <is>
          <t>CastsInFight</t>
        </is>
      </c>
      <c r="S1304" s="5" t="inlineStr">
        <is>
          <t>HitRate(perSec)</t>
        </is>
      </c>
      <c r="U1304" t="inlineStr">
        <is>
          <t>helpers</t>
        </is>
      </c>
    </row>
    <row r="1305">
      <c r="A1305">
        <f>Skills!A2</f>
        <v/>
      </c>
      <c r="B1305">
        <f>Skills!B2</f>
        <v/>
      </c>
      <c r="C1305">
        <f>Inputs!$B$3&gt;=100</f>
        <v/>
      </c>
      <c r="D1305" t="inlineStr"/>
      <c r="E1305" t="inlineStr"/>
      <c r="F1305">
        <f>U1307+Skills!O2</f>
        <v/>
      </c>
      <c r="G1305">
        <f>Skills!G2*IF(Skills!H2&gt;0,Skills!I2/Skills!H2,1)</f>
        <v/>
      </c>
      <c r="H1305">
        <f>1-(1-Skills!J2/100)^Skills!K2</f>
        <v/>
      </c>
      <c r="I1305" t="inlineStr">
        <is>
          <t>1</t>
        </is>
      </c>
      <c r="J1305">
        <f>((Inputs!$B$6*(1+Inputs!$B$7/100))+(((Inputs!$B$12*(1+Inputs!$B$13/100))-(Inputs!$B$12*(1+Inputs!$B$13/100)))+0.25*(Inputs!$B$14-Inputs!$B$14))*(1+Inputs!$B$7/100))*(F1305/100)</f>
        <v/>
      </c>
      <c r="K1305">
        <f>J1305*(1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1305)</f>
        <v/>
      </c>
      <c r="L1305">
        <f>K1305*(MIN(Inputs!$B$22+((C1325=TRUE)*(F1325-Calc!F22)),(Inputs!$B$23+0+(IF(ArtifactsInput!$M$15,CHOOSE(ArtifactsInput!$N$15+1,25,30,35,40,45,50)/100*(Inputs!$B$11-Inputs!$B$11),0))))/100+(Inputs!$B$23+0+(IF(ArtifactsInput!$M$15,CHOOSE(ArtifactsInput!$N$15+1,25,30,35,40,45,50)/100*(Inputs!$B$11-Inputs!$B$11),0)))/100)/2</f>
        <v/>
      </c>
      <c r="M1305">
        <f>L1305*(1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5">
        <f>L1305*(1-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1305*(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5">
        <f>(1-Summary!$B$11)*T1305+Summary!$B$11*V1305</f>
        <v/>
      </c>
      <c r="P1305">
        <f>IF(B1344=0,0,O1305/B1344)</f>
        <v/>
      </c>
      <c r="Q1305" t="n">
        <v>0</v>
      </c>
      <c r="R1305" t="n">
        <v>0</v>
      </c>
      <c r="S1305">
        <f>IFERROR(O1305/N1305,0)</f>
        <v/>
      </c>
      <c r="T1305">
        <f>IF(C1305,(Skills!G2*N1305*B1338)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1305*(1-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1305*(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1305*(1-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1305*(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05">
        <f>MAX(0,(Inputs!$B$3-100)*3)+Inputs!$B$28+Inputs!$B$29</f>
        <v/>
      </c>
      <c r="V1305">
        <f>IF(C1305,(Skills!G2*N1305*B1338)*IF(Inputs!$B$38="pvp",1,(1+(Inputs!$B$21+Skills!Q2+(IF(ArtifactsInput!$M$33,CHOOSE(ArtifactsInput!$N$33+1,30,36,42,48,54,60),0))+(IF(AND(ArtifactsInput!$M$35,Inputs!$B$4&lt;&gt;"Chapter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6">
      <c r="A1306">
        <f>Skills!A3</f>
        <v/>
      </c>
      <c r="B1306">
        <f>Skills!B3</f>
        <v/>
      </c>
      <c r="C1306">
        <f>Inputs!$B$3&gt;=35</f>
        <v/>
      </c>
      <c r="D1306">
        <f>IF(Skills!C3=1,60+Inputs!$B$25+Inputs!$B$29,IF(Skills!C3=2,90+Inputs!$B$26+Inputs!$B$29,IF(Skills!C3=3,120+Inputs!$B$27+Inputs!$B$29,MAX(0,(Inputs!$B$3-100)*3)+Inputs!$B$28+Inputs!$B$29)))</f>
        <v/>
      </c>
      <c r="E1306">
        <f>INDEX(FactorTable!$B$2:$Y$301, MATCH(ROUND(MIN(300,MAX(1,D1306)),0), FactorTable!$A$2:$A$301,0), Skills!M3+1)</f>
        <v/>
      </c>
      <c r="F1306">
        <f>IF(Skills!N3=TRUE,(Skills!L3/10)*(E1306/1000),Skills!L3/10)+Skills!O3</f>
        <v/>
      </c>
      <c r="G1306">
        <f>Skills!G3*IF(Skills!H3&gt;0,Skills!I3/Skills!H3,1)</f>
        <v/>
      </c>
      <c r="H1306">
        <f>1-(1-Skills!J3/100)^Skills!K3</f>
        <v/>
      </c>
      <c r="I1306" t="inlineStr">
        <is>
          <t>1</t>
        </is>
      </c>
      <c r="J1306">
        <f>((Inputs!$B$6*(1+Inputs!$B$7/100))+(((Inputs!$B$12*(1+Inputs!$B$13/100))-(Inputs!$B$12*(1+Inputs!$B$13/100)))+0.25*(Inputs!$B$14-Inputs!$B$14))*(1+Inputs!$B$7/100))*(F1306/100)</f>
        <v/>
      </c>
      <c r="K1306">
        <f>J1306*(1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1318=TRUE,F1318,0)/100)*(1+(IF(Skills!A3="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1306)</f>
        <v/>
      </c>
      <c r="L1306">
        <f>K1306*(MIN(Inputs!$B$22+((C1325=TRUE)*(F1325-Calc!F22)),(Inputs!$B$23+0+(IF(ArtifactsInput!$M$15,CHOOSE(ArtifactsInput!$N$15+1,25,30,35,40,45,50)/100*(Inputs!$B$11-Inputs!$B$11),0))))/100+(Inputs!$B$23+0+(IF(ArtifactsInput!$M$15,CHOOSE(ArtifactsInput!$N$15+1,25,30,35,40,45,50)/100*(Inputs!$B$11-Inputs!$B$11),0)))/100)/2</f>
        <v/>
      </c>
      <c r="M1306">
        <f>L1306*(1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6">
        <f>L1306*(1-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1306*(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6">
        <f>(1-Summary!$B$11)*T1306+Summary!$B$11*V1306</f>
        <v/>
      </c>
      <c r="P1306">
        <f>IF(B1344=0,0,O1306/B1344)</f>
        <v/>
      </c>
      <c r="Q1306">
        <f>IFERROR(1/(IF(Inputs!$B$38="pvp",15,MAX(0.1,Skills!D3-IF(Skills!E3=TRUE,Inputs!$B$32,0)))*(1-IF(AND(ArtifactsInput!$M$27,Inputs!$B$4="Chapter Hunt"),CHOOSE(ArtifactsInput!$N$27+1,20,24,28,32,36,40),0)/100)),0)</f>
        <v/>
      </c>
      <c r="R1306">
        <f>IF(AND(Inputs!$B$38&lt;&gt;"pvp",Inputs!$B$43&gt;0),IF(MAX(0,Inputs!$B$43-B1341)&lt;=0,0,(INT(MAX(0,Inputs!$B$43-B1341)/(IF(Inputs!$B$38="pvp",15,MAX(0.1,Skills!D3-IF(Skills!E3=TRUE,Inputs!$B$32,0)))*(1-IF(AND(ArtifactsInput!$M$27,Inputs!$B$4="Chapter Hunt"),CHOOSE(ArtifactsInput!$N$27+1,20,24,28,32,36,40),0)/100)))+1)),0)</f>
        <v/>
      </c>
      <c r="S1306">
        <f>IFERROR(O1306/N1306,0)</f>
        <v/>
      </c>
      <c r="T1306">
        <f>IF(C1306,(H1306*N1306*IF(AND(Inputs!$B$38&lt;&gt;"pvp",Inputs!$B$43&gt;0),((Skills!G3*((R1306-1)*IF(Skills!H3&gt;0,Skills!I3/Skills!H3,1)+IF(Skills!H3&gt;0,MIN(Skills!I3,MAX(0,MAX(0,Inputs!$B$43-B1341)-((R1306-1)*(IF(Inputs!$B$38="pvp",15,MAX(0.1,Skills!D3-IF(Skills!E3=TRUE,Inputs!$B$32,0)))*(1-IF(AND(ArtifactsInput!$M$27,Inputs!$B$4="Chapter Hunt"),CHOOSE(ArtifactsInput!$N$27+1,20,24,28,32,36,40),0)/100)))))/Skills!H3,1)))/Inputs!$B$43),G1306*Q1306)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1306*(1-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1306*(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1306*(1-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1306*(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06">
        <f>INDEX(FactorTable!$B$2:$Y$301, MATCH(ROUND(MIN(300,MAX(1,U1305)),0), FactorTable!$A$2:$A$301,0), 22)</f>
        <v/>
      </c>
      <c r="V1306">
        <f>IF(C1306,(H1306*N1306*IF(AND(Inputs!$B$38&lt;&gt;"pvp",Inputs!$B$43&gt;0),((Skills!G3*((R1306-1)*IF(Skills!H3&gt;0,Skills!I3/Skills!H3,1)+IF(Skills!H3&gt;0,MIN(Skills!I3,MAX(0,MAX(0,Inputs!$B$43-B1341)-((R1306-1)*(IF(Inputs!$B$38="pvp",15,MAX(0.1,Skills!D3-IF(Skills!E3=TRUE,Inputs!$B$32,0)))*(1-IF(AND(ArtifactsInput!$M$27,Inputs!$B$4="Chapter Hunt"),CHOOSE(ArtifactsInput!$N$27+1,20,24,28,32,36,40),0)/100)))))/Skills!H3,1)))/Inputs!$B$43),G1306*Q1306))*IF(Inputs!$B$38="pvp",1,(1+(Inputs!$B$21+Skills!Q3+(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7">
      <c r="A1307">
        <f>Skills!A4</f>
        <v/>
      </c>
      <c r="B1307">
        <f>Skills!B4</f>
        <v/>
      </c>
      <c r="C1307">
        <f>Inputs!$B$3&gt;=40</f>
        <v/>
      </c>
      <c r="D1307">
        <f>IF(Skills!C4=1,60+Inputs!$B$25+Inputs!$B$29,IF(Skills!C4=2,90+Inputs!$B$26+Inputs!$B$29,IF(Skills!C4=3,120+Inputs!$B$27+Inputs!$B$29,MAX(0,(Inputs!$B$3-100)*3)+Inputs!$B$28+Inputs!$B$29)))</f>
        <v/>
      </c>
      <c r="E1307">
        <f>INDEX(FactorTable!$B$2:$Y$301, MATCH(ROUND(MIN(300,MAX(1,D1307)),0), FactorTable!$A$2:$A$301,0), Skills!M4+1)</f>
        <v/>
      </c>
      <c r="F1307">
        <f>IF(Skills!N4=TRUE,(Skills!L4/10)*(E1307/1000),Skills!L4/10)+Skills!O4</f>
        <v/>
      </c>
      <c r="G1307">
        <f>Skills!G4*IF(Skills!H4&gt;0,Skills!I4/Skills!H4,1)</f>
        <v/>
      </c>
      <c r="H1307">
        <f>1-(1-Skills!J4/100)^Skills!K4</f>
        <v/>
      </c>
      <c r="I1307" t="inlineStr">
        <is>
          <t>1</t>
        </is>
      </c>
      <c r="J1307">
        <f>((Inputs!$B$6*(1+Inputs!$B$7/100))+(((Inputs!$B$12*(1+Inputs!$B$13/100))-(Inputs!$B$12*(1+Inputs!$B$13/100)))+0.25*(Inputs!$B$14-Inputs!$B$14))*(1+Inputs!$B$7/100))*(F1307/100)</f>
        <v/>
      </c>
      <c r="K1307">
        <f>J1307*(1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1319=TRUE,F1319,0)/100)*(1+(IF(Skills!A4="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1307)</f>
        <v/>
      </c>
      <c r="L1307">
        <f>K1307*(MIN(Inputs!$B$22+((C1325=TRUE)*(F1325-Calc!F22)),(Inputs!$B$23+0+(IF(ArtifactsInput!$M$15,CHOOSE(ArtifactsInput!$N$15+1,25,30,35,40,45,50)/100*(Inputs!$B$11-Inputs!$B$11),0))))/100+(Inputs!$B$23+0+(IF(ArtifactsInput!$M$15,CHOOSE(ArtifactsInput!$N$15+1,25,30,35,40,45,50)/100*(Inputs!$B$11-Inputs!$B$11),0)))/100)/2</f>
        <v/>
      </c>
      <c r="M1307">
        <f>L1307*(1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7">
        <f>L1307*(1-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1307*(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7">
        <f>(1-Summary!$B$11)*T1307+Summary!$B$11*V1307</f>
        <v/>
      </c>
      <c r="P1307">
        <f>IF(B1344=0,0,O1307/B1344)</f>
        <v/>
      </c>
      <c r="Q1307">
        <f>IFERROR(1/(IF(Inputs!$B$38="pvp",15,MAX(0.1,Skills!D4-IF(Skills!E4=TRUE,Inputs!$B$32,0)))*(1-IF(AND(ArtifactsInput!$M$27,Inputs!$B$4="Chapter Hunt"),CHOOSE(ArtifactsInput!$N$27+1,20,24,28,32,36,40),0)/100)),0)</f>
        <v/>
      </c>
      <c r="R1307">
        <f>IF(AND(Inputs!$B$38&lt;&gt;"pvp",Inputs!$B$43&gt;0),IF(MAX(0,Inputs!$B$43-B1341)&lt;=0,0,(INT(MAX(0,Inputs!$B$43-B1341)/(IF(Inputs!$B$38="pvp",15,MAX(0.1,Skills!D4-IF(Skills!E4=TRUE,Inputs!$B$32,0)))*(1-IF(AND(ArtifactsInput!$M$27,Inputs!$B$4="Chapter Hunt"),CHOOSE(ArtifactsInput!$N$27+1,20,24,28,32,36,40),0)/100)))+1)),0)</f>
        <v/>
      </c>
      <c r="S1307">
        <f>IFERROR(O1307/N1307,0)</f>
        <v/>
      </c>
      <c r="T1307">
        <f>IF(C1307,(H1307*N1307*IF(AND(Inputs!$B$38&lt;&gt;"pvp",Inputs!$B$43&gt;0),((Skills!G4*((R1307-1)*IF(Skills!H4&gt;0,Skills!I4/Skills!H4,1)+IF(Skills!H4&gt;0,MIN(Skills!I4,MAX(0,MAX(0,Inputs!$B$43-B1341)-((R1307-1)*(IF(Inputs!$B$38="pvp",15,MAX(0.1,Skills!D4-IF(Skills!E4=TRUE,Inputs!$B$32,0)))*(1-IF(AND(ArtifactsInput!$M$27,Inputs!$B$4="Chapter Hunt"),CHOOSE(ArtifactsInput!$N$27+1,20,24,28,32,36,40),0)/100)))))/Skills!H4,1)))/Inputs!$B$43),G1307*Q1307)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1307*(1-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1307*(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1307*(1-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1307*(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07">
        <f>290*U1306/1000</f>
        <v/>
      </c>
      <c r="V1307">
        <f>IF(C1307,(H1307*N1307*IF(AND(Inputs!$B$38&lt;&gt;"pvp",Inputs!$B$43&gt;0),((Skills!G4*((R1307-1)*IF(Skills!H4&gt;0,Skills!I4/Skills!H4,1)+IF(Skills!H4&gt;0,MIN(Skills!I4,MAX(0,MAX(0,Inputs!$B$43-B1341)-((R1307-1)*(IF(Inputs!$B$38="pvp",15,MAX(0.1,Skills!D4-IF(Skills!E4=TRUE,Inputs!$B$32,0)))*(1-IF(AND(ArtifactsInput!$M$27,Inputs!$B$4="Chapter Hunt"),CHOOSE(ArtifactsInput!$N$27+1,20,24,28,32,36,40),0)/100)))))/Skills!H4,1)))/Inputs!$B$43),G1307*Q1307))*IF(Inputs!$B$38="pvp",1,(1+(Inputs!$B$21+Skills!Q4+(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8">
      <c r="A1308">
        <f>Skills!A5</f>
        <v/>
      </c>
      <c r="B1308">
        <f>Skills!B5</f>
        <v/>
      </c>
      <c r="C1308">
        <f>Inputs!$B$3&gt;=45</f>
        <v/>
      </c>
      <c r="D1308">
        <f>IF(Skills!C5=1,60+Inputs!$B$25+Inputs!$B$29,IF(Skills!C5=2,90+Inputs!$B$26+Inputs!$B$29,IF(Skills!C5=3,120+Inputs!$B$27+Inputs!$B$29,MAX(0,(Inputs!$B$3-100)*3)+Inputs!$B$28+Inputs!$B$29)))</f>
        <v/>
      </c>
      <c r="E1308">
        <f>INDEX(FactorTable!$B$2:$Y$301, MATCH(ROUND(MIN(300,MAX(1,D1308)),0), FactorTable!$A$2:$A$301,0), Skills!M5+1)</f>
        <v/>
      </c>
      <c r="F1308">
        <f>IF(Skills!N5=TRUE,(Skills!L5/10)*(E1308/1000),Skills!L5/10)+Skills!O5</f>
        <v/>
      </c>
      <c r="G1308">
        <f>Skills!G5*IF(Skills!H5&gt;0,Skills!I5/Skills!H5,1)</f>
        <v/>
      </c>
      <c r="H1308">
        <f>1-(1-Skills!J5/100)^Skills!K5</f>
        <v/>
      </c>
      <c r="I1308" t="inlineStr">
        <is>
          <t>1</t>
        </is>
      </c>
      <c r="J1308">
        <f>((Inputs!$B$6*(1+Inputs!$B$7/100))+(((Inputs!$B$12*(1+Inputs!$B$13/100))-(Inputs!$B$12*(1+Inputs!$B$13/100)))+0.25*(Inputs!$B$14-Inputs!$B$14))*(1+Inputs!$B$7/100))*(F1308/100)</f>
        <v/>
      </c>
      <c r="K1308">
        <f>J1308*(1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1319=TRUE,F1319,0)/100)*(1+(IF(Skills!A5="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1308)</f>
        <v/>
      </c>
      <c r="L1308">
        <f>K1308*(MIN(Inputs!$B$22+((C1325=TRUE)*(F1325-Calc!F22)),(Inputs!$B$23+0+(IF(ArtifactsInput!$M$15,CHOOSE(ArtifactsInput!$N$15+1,25,30,35,40,45,50)/100*(Inputs!$B$11-Inputs!$B$11),0))))/100+(Inputs!$B$23+0+(IF(ArtifactsInput!$M$15,CHOOSE(ArtifactsInput!$N$15+1,25,30,35,40,45,50)/100*(Inputs!$B$11-Inputs!$B$11),0)))/100)/2</f>
        <v/>
      </c>
      <c r="M1308">
        <f>L1308*(1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8">
        <f>L1308*(1-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1308*(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8">
        <f>(1-Summary!$B$11)*T1308+Summary!$B$11*V1308</f>
        <v/>
      </c>
      <c r="P1308">
        <f>IF(B1344=0,0,O1308/B1344)</f>
        <v/>
      </c>
      <c r="Q1308">
        <f>IFERROR(1/(IF(Inputs!$B$38="pvp",15,MAX(0.1,Skills!D5-IF(Skills!E5=TRUE,Inputs!$B$32,0)))*(1-IF(AND(ArtifactsInput!$M$27,Inputs!$B$4="Chapter Hunt"),CHOOSE(ArtifactsInput!$N$27+1,20,24,28,32,36,40),0)/100)),0)</f>
        <v/>
      </c>
      <c r="R1308">
        <f>IF(AND(Inputs!$B$38&lt;&gt;"pvp",Inputs!$B$43&gt;0),IF(MAX(0,Inputs!$B$43-B1341)&lt;=0,0,(INT(MAX(0,Inputs!$B$43-B1341)/(IF(Inputs!$B$38="pvp",15,MAX(0.1,Skills!D5-IF(Skills!E5=TRUE,Inputs!$B$32,0)))*(1-IF(AND(ArtifactsInput!$M$27,Inputs!$B$4="Chapter Hunt"),CHOOSE(ArtifactsInput!$N$27+1,20,24,28,32,36,40),0)/100)))+1)),0)</f>
        <v/>
      </c>
      <c r="S1308">
        <f>IFERROR(O1308/N1308,0)</f>
        <v/>
      </c>
      <c r="T1308">
        <f>IF(C1308,(H1308*N1308*IF(AND(Inputs!$B$38&lt;&gt;"pvp",Inputs!$B$43&gt;0),((Skills!G5*((R1308-1)*IF(Skills!H5&gt;0,Skills!I5/Skills!H5,1)+IF(Skills!H5&gt;0,MIN(Skills!I5,MAX(0,MAX(0,Inputs!$B$43-B1341)-((R1308-1)*(IF(Inputs!$B$38="pvp",15,MAX(0.1,Skills!D5-IF(Skills!E5=TRUE,Inputs!$B$32,0)))*(1-IF(AND(ArtifactsInput!$M$27,Inputs!$B$4="Chapter Hunt"),CHOOSE(ArtifactsInput!$N$27+1,20,24,28,32,36,40),0)/100)))))/Skills!H5,1)))/Inputs!$B$43),G1308*Q1308)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1308*(1-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1308*(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1308*(1-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1308*(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08">
        <f>IF(C1308,(H1308*N1308*IF(AND(Inputs!$B$38&lt;&gt;"pvp",Inputs!$B$43&gt;0),((Skills!G5*((R1308-1)*IF(Skills!H5&gt;0,Skills!I5/Skills!H5,1)+IF(Skills!H5&gt;0,MIN(Skills!I5,MAX(0,MAX(0,Inputs!$B$43-B1341)-((R1308-1)*(IF(Inputs!$B$38="pvp",15,MAX(0.1,Skills!D5-IF(Skills!E5=TRUE,Inputs!$B$32,0)))*(1-IF(AND(ArtifactsInput!$M$27,Inputs!$B$4="Chapter Hunt"),CHOOSE(ArtifactsInput!$N$27+1,20,24,28,32,36,40),0)/100)))))/Skills!H5,1)))/Inputs!$B$43),G1308*Q1308))*IF(Inputs!$B$38="pvp",1,(1+(Inputs!$B$21+Skills!Q5+(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9">
      <c r="A1309">
        <f>Skills!A6</f>
        <v/>
      </c>
      <c r="B1309">
        <f>Skills!B6</f>
        <v/>
      </c>
      <c r="C1309">
        <f>Inputs!$B$3&gt;=63</f>
        <v/>
      </c>
      <c r="D1309">
        <f>IF(Skills!C6=1,60+Inputs!$B$25+Inputs!$B$29,IF(Skills!C6=2,90+Inputs!$B$26+Inputs!$B$29,IF(Skills!C6=3,120+Inputs!$B$27+Inputs!$B$29,MAX(0,(Inputs!$B$3-100)*3)+Inputs!$B$28+Inputs!$B$29)))</f>
        <v/>
      </c>
      <c r="E1309">
        <f>INDEX(FactorTable!$B$2:$Y$301, MATCH(ROUND(MIN(300,MAX(1,D1309)),0), FactorTable!$A$2:$A$301,0), Skills!M6+1)</f>
        <v/>
      </c>
      <c r="F1309">
        <f>IF(Skills!N6=TRUE,(Skills!L6/10)*(E1309/1000),Skills!L6/10)+Skills!O6</f>
        <v/>
      </c>
      <c r="G1309">
        <f>Skills!G6*IF(Skills!H6&gt;0,Skills!I6/Skills!H6,1)</f>
        <v/>
      </c>
      <c r="H1309">
        <f>1-(1-Skills!J6/100)^Skills!K6</f>
        <v/>
      </c>
      <c r="I1309" t="inlineStr">
        <is>
          <t>1</t>
        </is>
      </c>
      <c r="J1309">
        <f>((Inputs!$B$6*(1+Inputs!$B$7/100))+(((Inputs!$B$12*(1+Inputs!$B$13/100))-(Inputs!$B$12*(1+Inputs!$B$13/100)))+0.25*(Inputs!$B$14-Inputs!$B$14))*(1+Inputs!$B$7/100))*(F1309/100)</f>
        <v/>
      </c>
      <c r="K1309">
        <f>J1309*(1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1318=TRUE,F1318,0)/100)*(1+(IF(Skills!A6="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1309)</f>
        <v/>
      </c>
      <c r="L1309">
        <f>K1309*(MIN(Inputs!$B$22+((C1325=TRUE)*(F1325-Calc!F22)),(Inputs!$B$23+0+(IF(ArtifactsInput!$M$15,CHOOSE(ArtifactsInput!$N$15+1,25,30,35,40,45,50)/100*(Inputs!$B$11-Inputs!$B$11),0))))/100+(Inputs!$B$23+0+(IF(ArtifactsInput!$M$15,CHOOSE(ArtifactsInput!$N$15+1,25,30,35,40,45,50)/100*(Inputs!$B$11-Inputs!$B$11),0)))/100)/2</f>
        <v/>
      </c>
      <c r="M1309">
        <f>L1309*(1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9">
        <f>L1309*(1-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1309*(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9">
        <f>(1-Summary!$B$11)*T1309+Summary!$B$11*V1309</f>
        <v/>
      </c>
      <c r="P1309">
        <f>IF(B1344=0,0,O1309/B1344)</f>
        <v/>
      </c>
      <c r="Q1309">
        <f>IFERROR(1/(IF(Inputs!$B$38="pvp",15,MAX(0.1,Skills!D6-IF(Skills!E6=TRUE,Inputs!$B$32,0)))*(1-IF(AND(ArtifactsInput!$M$27,Inputs!$B$4="Chapter Hunt"),CHOOSE(ArtifactsInput!$N$27+1,20,24,28,32,36,40),0)/100)),0)</f>
        <v/>
      </c>
      <c r="R1309">
        <f>IF(AND(Inputs!$B$38&lt;&gt;"pvp",Inputs!$B$43&gt;0),IF(MAX(0,Inputs!$B$43-B1341)&lt;=0,0,(INT(MAX(0,Inputs!$B$43-B1341)/(IF(Inputs!$B$38="pvp",15,MAX(0.1,Skills!D6-IF(Skills!E6=TRUE,Inputs!$B$32,0)))*(1-IF(AND(ArtifactsInput!$M$27,Inputs!$B$4="Chapter Hunt"),CHOOSE(ArtifactsInput!$N$27+1,20,24,28,32,36,40),0)/100)))+1)),0)</f>
        <v/>
      </c>
      <c r="S1309">
        <f>IFERROR(O1309/N1309,0)</f>
        <v/>
      </c>
      <c r="T1309">
        <f>IF(C1309,(H1309*N1309*IF(AND(Inputs!$B$38&lt;&gt;"pvp",Inputs!$B$43&gt;0),((Skills!G6*((R1309-1)*IF(Skills!H6&gt;0,Skills!I6/Skills!H6,1)+IF(Skills!H6&gt;0,MIN(Skills!I6,MAX(0,MAX(0,Inputs!$B$43-B1341)-((R1309-1)*(IF(Inputs!$B$38="pvp",15,MAX(0.1,Skills!D6-IF(Skills!E6=TRUE,Inputs!$B$32,0)))*(1-IF(AND(ArtifactsInput!$M$27,Inputs!$B$4="Chapter Hunt"),CHOOSE(ArtifactsInput!$N$27+1,20,24,28,32,36,40),0)/100)))))/Skills!H6,1)))/Inputs!$B$43),G1309*Q1309)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1309*(1-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1309*(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1309*(1-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1309*(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09">
        <f>IF(C1309,(H1309*N1309*IF(AND(Inputs!$B$38&lt;&gt;"pvp",Inputs!$B$43&gt;0),((Skills!G6*((R1309-1)*IF(Skills!H6&gt;0,Skills!I6/Skills!H6,1)+IF(Skills!H6&gt;0,MIN(Skills!I6,MAX(0,MAX(0,Inputs!$B$43-B1341)-((R1309-1)*(IF(Inputs!$B$38="pvp",15,MAX(0.1,Skills!D6-IF(Skills!E6=TRUE,Inputs!$B$32,0)))*(1-IF(AND(ArtifactsInput!$M$27,Inputs!$B$4="Chapter Hunt"),CHOOSE(ArtifactsInput!$N$27+1,20,24,28,32,36,40),0)/100)))))/Skills!H6,1)))/Inputs!$B$43),G1309*Q1309))*IF(Inputs!$B$38="pvp",1,(1+(Inputs!$B$21+Skills!Q6+(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0">
      <c r="A1310">
        <f>Skills!A7</f>
        <v/>
      </c>
      <c r="B1310">
        <f>Skills!B7</f>
        <v/>
      </c>
      <c r="C1310">
        <f>Inputs!$B$3&gt;=66</f>
        <v/>
      </c>
      <c r="D1310">
        <f>IF(Skills!C7=1,60+Inputs!$B$25+Inputs!$B$29,IF(Skills!C7=2,90+Inputs!$B$26+Inputs!$B$29,IF(Skills!C7=3,120+Inputs!$B$27+Inputs!$B$29,MAX(0,(Inputs!$B$3-100)*3)+Inputs!$B$28+Inputs!$B$29)))</f>
        <v/>
      </c>
      <c r="E1310">
        <f>INDEX(FactorTable!$B$2:$Y$301, MATCH(ROUND(MIN(300,MAX(1,D1310)),0), FactorTable!$A$2:$A$301,0), Skills!M7+1)</f>
        <v/>
      </c>
      <c r="F1310">
        <f>IF(Skills!N7=TRUE,(Skills!L7/10)*(E1310/1000),Skills!L7/10)+Skills!O7</f>
        <v/>
      </c>
      <c r="G1310">
        <f>Skills!G7*IF(Skills!H7&gt;0,Skills!I7/Skills!H7,1)</f>
        <v/>
      </c>
      <c r="H1310">
        <f>1-(1-Skills!J7/100)^Skills!K7</f>
        <v/>
      </c>
      <c r="I1310" t="inlineStr">
        <is>
          <t>1</t>
        </is>
      </c>
      <c r="J1310">
        <f>((Inputs!$B$6*(1+Inputs!$B$7/100))+(((Inputs!$B$12*(1+Inputs!$B$13/100))-(Inputs!$B$12*(1+Inputs!$B$13/100)))+0.25*(Inputs!$B$14-Inputs!$B$14))*(1+Inputs!$B$7/100))*(F1310/100)</f>
        <v/>
      </c>
      <c r="K1310">
        <f>J1310*(1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1318=TRUE,F1318,0)/100)*(1+(IF(Skills!A7="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1310)</f>
        <v/>
      </c>
      <c r="L1310">
        <f>K1310*(MIN(Inputs!$B$22+((C1325=TRUE)*(F1325-Calc!F22)),(Inputs!$B$23+0+(IF(ArtifactsInput!$M$15,CHOOSE(ArtifactsInput!$N$15+1,25,30,35,40,45,50)/100*(Inputs!$B$11-Inputs!$B$11),0))))/100+(Inputs!$B$23+0+(IF(ArtifactsInput!$M$15,CHOOSE(ArtifactsInput!$N$15+1,25,30,35,40,45,50)/100*(Inputs!$B$11-Inputs!$B$11),0)))/100)/2</f>
        <v/>
      </c>
      <c r="M1310">
        <f>L1310*(1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0">
        <f>L1310*(1-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1310*(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0">
        <f>(1-Summary!$B$11)*T1310+Summary!$B$11*V1310</f>
        <v/>
      </c>
      <c r="P1310">
        <f>IF(B1344=0,0,O1310/B1344)</f>
        <v/>
      </c>
      <c r="Q1310">
        <f>IFERROR(1/(IF(Inputs!$B$38="pvp",15,MAX(0.1,Skills!D7-IF(Skills!E7=TRUE,Inputs!$B$32,0)))*(1-IF(AND(ArtifactsInput!$M$27,Inputs!$B$4="Chapter Hunt"),CHOOSE(ArtifactsInput!$N$27+1,20,24,28,32,36,40),0)/100)),0)</f>
        <v/>
      </c>
      <c r="R1310">
        <f>IF(AND(Inputs!$B$38&lt;&gt;"pvp",Inputs!$B$43&gt;0),IF(MAX(0,Inputs!$B$43-B1341)&lt;=0,0,(INT(MAX(0,Inputs!$B$43-B1341)/(IF(Inputs!$B$38="pvp",15,MAX(0.1,Skills!D7-IF(Skills!E7=TRUE,Inputs!$B$32,0)))*(1-IF(AND(ArtifactsInput!$M$27,Inputs!$B$4="Chapter Hunt"),CHOOSE(ArtifactsInput!$N$27+1,20,24,28,32,36,40),0)/100)))+1)),0)</f>
        <v/>
      </c>
      <c r="S1310">
        <f>IFERROR(O1310/N1310,0)</f>
        <v/>
      </c>
      <c r="T1310">
        <f>IF(C1310,(H1310*N1310*IF(AND(Inputs!$B$38&lt;&gt;"pvp",Inputs!$B$43&gt;0),((Skills!G7*((R1310-1)*IF(Skills!H7&gt;0,Skills!I7/Skills!H7,1)+IF(Skills!H7&gt;0,MIN(Skills!I7,MAX(0,MAX(0,Inputs!$B$43-B1341)-((R1310-1)*(IF(Inputs!$B$38="pvp",15,MAX(0.1,Skills!D7-IF(Skills!E7=TRUE,Inputs!$B$32,0)))*(1-IF(AND(ArtifactsInput!$M$27,Inputs!$B$4="Chapter Hunt"),CHOOSE(ArtifactsInput!$N$27+1,20,24,28,32,36,40),0)/100)))))/Skills!H7,1)))/Inputs!$B$43),G1310*Q1310)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1310*(1-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1310*(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1310*(1-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1310*(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0">
        <f>IF(C1310,(H1310*N1310*IF(AND(Inputs!$B$38&lt;&gt;"pvp",Inputs!$B$43&gt;0),((Skills!G7*((R1310-1)*IF(Skills!H7&gt;0,Skills!I7/Skills!H7,1)+IF(Skills!H7&gt;0,MIN(Skills!I7,MAX(0,MAX(0,Inputs!$B$43-B1341)-((R1310-1)*(IF(Inputs!$B$38="pvp",15,MAX(0.1,Skills!D7-IF(Skills!E7=TRUE,Inputs!$B$32,0)))*(1-IF(AND(ArtifactsInput!$M$27,Inputs!$B$4="Chapter Hunt"),CHOOSE(ArtifactsInput!$N$27+1,20,24,28,32,36,40),0)/100)))))/Skills!H7,1)))/Inputs!$B$43),G1310*Q1310))*IF(Inputs!$B$38="pvp",1,(1+(Inputs!$B$21+Skills!Q7+(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1">
      <c r="A1311">
        <f>Skills!A8</f>
        <v/>
      </c>
      <c r="B1311">
        <f>Skills!B8</f>
        <v/>
      </c>
      <c r="C1311">
        <f>Inputs!$B$3&gt;=100</f>
        <v/>
      </c>
      <c r="D1311">
        <f>IF(Skills!C8=1,60+Inputs!$B$25+Inputs!$B$29,IF(Skills!C8=2,90+Inputs!$B$26+Inputs!$B$29,IF(Skills!C8=3,120+Inputs!$B$27+Inputs!$B$29,MAX(0,(Inputs!$B$3-100)*3)+Inputs!$B$28+Inputs!$B$29)))</f>
        <v/>
      </c>
      <c r="E1311">
        <f>INDEX(FactorTable!$B$2:$Y$301, MATCH(ROUND(MIN(300,MAX(1,D1311)),0), FactorTable!$A$2:$A$301,0), Skills!M8+1)</f>
        <v/>
      </c>
      <c r="F1311">
        <f>IF(Skills!N8=TRUE,(Skills!L8/10)*(E1311/1000),Skills!L8/10)+Skills!O8</f>
        <v/>
      </c>
      <c r="G1311">
        <f>Skills!G8*IF(Skills!H8&gt;0,Skills!I8/Skills!H8,1)</f>
        <v/>
      </c>
      <c r="H1311">
        <f>1-(1-Skills!J8/100)^Skills!K8</f>
        <v/>
      </c>
      <c r="I1311" t="inlineStr">
        <is>
          <t>1</t>
        </is>
      </c>
      <c r="J1311">
        <f>((Inputs!$B$6*(1+Inputs!$B$7/100))+(((Inputs!$B$12*(1+Inputs!$B$13/100))-(Inputs!$B$12*(1+Inputs!$B$13/100)))+0.25*(Inputs!$B$14-Inputs!$B$14))*(1+Inputs!$B$7/100))*(F1311/100)</f>
        <v/>
      </c>
      <c r="K1311">
        <f>J1311*(1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1311)</f>
        <v/>
      </c>
      <c r="L1311">
        <f>K1311*(MIN(Inputs!$B$22+((C1325=TRUE)*(F1325-Calc!F22)),(Inputs!$B$23+0+(IF(ArtifactsInput!$M$15,CHOOSE(ArtifactsInput!$N$15+1,25,30,35,40,45,50)/100*(Inputs!$B$11-Inputs!$B$11),0))))/100+(Inputs!$B$23+0+(IF(ArtifactsInput!$M$15,CHOOSE(ArtifactsInput!$N$15+1,25,30,35,40,45,50)/100*(Inputs!$B$11-Inputs!$B$11),0)))/100)/2</f>
        <v/>
      </c>
      <c r="M1311">
        <f>L1311*(1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1">
        <f>L1311*(1-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1">
        <f>(1-Summary!$B$11)*T1311+Summary!$B$11*V1311</f>
        <v/>
      </c>
      <c r="P1311">
        <f>IF(B1344=0,0,O1311/B1344)</f>
        <v/>
      </c>
      <c r="Q1311">
        <f>IFERROR(1/(IF(Inputs!$B$38="pvp",15,MAX(0.1,Skills!D8-IF(Skills!E8=TRUE,Inputs!$B$32,0)))*(1-IF(AND(ArtifactsInput!$M$27,Inputs!$B$4="Chapter Hunt"),CHOOSE(ArtifactsInput!$N$27+1,20,24,28,32,36,40),0)/100)),0)</f>
        <v/>
      </c>
      <c r="R1311">
        <f>IF(AND(Inputs!$B$38&lt;&gt;"pvp",Inputs!$B$43&gt;0),IF(MAX(0,Inputs!$B$43-B1341)&lt;=0,0,(INT(MAX(0,Inputs!$B$43-B1341)/(IF(Inputs!$B$38="pvp",15,MAX(0.1,Skills!D8-IF(Skills!E8=TRUE,Inputs!$B$32,0)))*(1-IF(AND(ArtifactsInput!$M$27,Inputs!$B$4="Chapter Hunt"),CHOOSE(ArtifactsInput!$N$27+1,20,24,28,32,36,40),0)/100)))+1)),0)</f>
        <v/>
      </c>
      <c r="S1311">
        <f>IFERROR(O1311/N1311,0)</f>
        <v/>
      </c>
      <c r="T1311">
        <f>IF(C1311,(H1311*N1311*IF(AND(Inputs!$B$38&lt;&gt;"pvp",Inputs!$B$43&gt;0),((Skills!G8*((R1311-1)*IF(Skills!H8&gt;0,Skills!I8/Skills!H8,1)+IF(Skills!H8&gt;0,MIN(Skills!I8,MAX(0,MAX(0,Inputs!$B$43-B1341)-((R1311-1)*(IF(Inputs!$B$38="pvp",15,MAX(0.1,Skills!D8-IF(Skills!E8=TRUE,Inputs!$B$32,0)))*(1-IF(AND(ArtifactsInput!$M$27,Inputs!$B$4="Chapter Hunt"),CHOOSE(ArtifactsInput!$N$27+1,20,24,28,32,36,40),0)/100)))))/Skills!H8,1)))/Inputs!$B$43),G1311*Q1311)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1311*(1-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1311*(1-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1">
        <f>IF(C1311,(H1311*N1311*IF(AND(Inputs!$B$38&lt;&gt;"pvp",Inputs!$B$43&gt;0),((Skills!G8*((R1311-1)*IF(Skills!H8&gt;0,Skills!I8/Skills!H8,1)+IF(Skills!H8&gt;0,MIN(Skills!I8,MAX(0,MAX(0,Inputs!$B$43-B1341)-((R1311-1)*(IF(Inputs!$B$38="pvp",15,MAX(0.1,Skills!D8-IF(Skills!E8=TRUE,Inputs!$B$32,0)))*(1-IF(AND(ArtifactsInput!$M$27,Inputs!$B$4="Chapter Hunt"),CHOOSE(ArtifactsInput!$N$27+1,20,24,28,32,36,40),0)/100)))))/Skills!H8,1)))/Inputs!$B$43),G1311*Q1311))*IF(Inputs!$B$38="pvp",1,(1+(Inputs!$B$21+Skills!Q8+(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2">
      <c r="A1312">
        <f>Skills!A9</f>
        <v/>
      </c>
      <c r="B1312">
        <f>Skills!B9</f>
        <v/>
      </c>
      <c r="C1312">
        <f>Inputs!$B$3&gt;=103</f>
        <v/>
      </c>
      <c r="D1312">
        <f>IF(Skills!C9=1,60+Inputs!$B$25+Inputs!$B$29,IF(Skills!C9=2,90+Inputs!$B$26+Inputs!$B$29,IF(Skills!C9=3,120+Inputs!$B$27+Inputs!$B$29,MAX(0,(Inputs!$B$3-100)*3)+Inputs!$B$28+Inputs!$B$29)))</f>
        <v/>
      </c>
      <c r="E1312">
        <f>INDEX(FactorTable!$B$2:$Y$301, MATCH(ROUND(MIN(300,MAX(1,D1312)),0), FactorTable!$A$2:$A$301,0), Skills!M9+1)</f>
        <v/>
      </c>
      <c r="F1312">
        <f>IF(Skills!N9=TRUE,(Skills!L9/10)*(E1312/1000),Skills!L9/10)+Skills!O9</f>
        <v/>
      </c>
      <c r="G1312">
        <f>Skills!G9*IF(Skills!H9&gt;0,Skills!I9/Skills!H9,1)</f>
        <v/>
      </c>
      <c r="H1312">
        <f>1-(1-Skills!J9/100)^Skills!K9</f>
        <v/>
      </c>
      <c r="I1312" t="inlineStr">
        <is>
          <t>1</t>
        </is>
      </c>
      <c r="J1312">
        <f>((Inputs!$B$6*(1+Inputs!$B$7/100))+(((Inputs!$B$12*(1+Inputs!$B$13/100))-(Inputs!$B$12*(1+Inputs!$B$13/100)))+0.25*(Inputs!$B$14-Inputs!$B$14))*(1+Inputs!$B$7/100))*(F1312/100)</f>
        <v/>
      </c>
      <c r="K1312">
        <f>J1312*(1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1312)</f>
        <v/>
      </c>
      <c r="L1312">
        <f>K1312*(MIN(Inputs!$B$22+((C1325=TRUE)*(F1325-Calc!F22)),(Inputs!$B$23+0+(IF(ArtifactsInput!$M$15,CHOOSE(ArtifactsInput!$N$15+1,25,30,35,40,45,50)/100*(Inputs!$B$11-Inputs!$B$11),0))))/100+(Inputs!$B$23+0+(IF(ArtifactsInput!$M$15,CHOOSE(ArtifactsInput!$N$15+1,25,30,35,40,45,50)/100*(Inputs!$B$11-Inputs!$B$11),0)))/100)/2</f>
        <v/>
      </c>
      <c r="M1312">
        <f>L1312*(1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2">
        <f>L1312*(1-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1312*(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2">
        <f>(1-Summary!$B$11)*T1312+Summary!$B$11*V1312</f>
        <v/>
      </c>
      <c r="P1312">
        <f>IF(B1344=0,0,O1312/B1344)</f>
        <v/>
      </c>
      <c r="Q1312">
        <f>IFERROR(1/(IF(Inputs!$B$38="pvp",15,MAX(0.1,Skills!D9-IF(Skills!E9=TRUE,Inputs!$B$32,0)))*(1-IF(AND(ArtifactsInput!$M$27,Inputs!$B$4="Chapter Hunt"),CHOOSE(ArtifactsInput!$N$27+1,20,24,28,32,36,40),0)/100)),0)</f>
        <v/>
      </c>
      <c r="R1312">
        <f>IF(AND(Inputs!$B$38&lt;&gt;"pvp",Inputs!$B$43&gt;0),IF(MAX(0,Inputs!$B$43-B1341)&lt;=0,0,(INT(MAX(0,Inputs!$B$43-B1341)/(IF(Inputs!$B$38="pvp",15,MAX(0.1,Skills!D9-IF(Skills!E9=TRUE,Inputs!$B$32,0)))*(1-IF(AND(ArtifactsInput!$M$27,Inputs!$B$4="Chapter Hunt"),CHOOSE(ArtifactsInput!$N$27+1,20,24,28,32,36,40),0)/100)))+1)),0)</f>
        <v/>
      </c>
      <c r="S1312">
        <f>IFERROR(O1312/N1312,0)</f>
        <v/>
      </c>
      <c r="T1312">
        <f>IF(C1312,(H1312*N1312*IF(AND(Inputs!$B$38&lt;&gt;"pvp",Inputs!$B$43&gt;0),((Skills!G9*((R1312-1)*IF(Skills!H9&gt;0,Skills!I9/Skills!H9,1)+IF(Skills!H9&gt;0,MIN(Skills!I9,MAX(0,MAX(0,Inputs!$B$43-B1341)-((R1312-1)*(IF(Inputs!$B$38="pvp",15,MAX(0.1,Skills!D9-IF(Skills!E9=TRUE,Inputs!$B$32,0)))*(1-IF(AND(ArtifactsInput!$M$27,Inputs!$B$4="Chapter Hunt"),CHOOSE(ArtifactsInput!$N$27+1,20,24,28,32,36,40),0)/100)))))/Skills!H9,1)))/Inputs!$B$43),G1312*Q1312)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1312*(1-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1312*(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1312*(1-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1312*(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2">
        <f>IF(C1312,(H1312*N1312*IF(AND(Inputs!$B$38&lt;&gt;"pvp",Inputs!$B$43&gt;0),((Skills!G9*((R1312-1)*IF(Skills!H9&gt;0,Skills!I9/Skills!H9,1)+IF(Skills!H9&gt;0,MIN(Skills!I9,MAX(0,MAX(0,Inputs!$B$43-B1341)-((R1312-1)*(IF(Inputs!$B$38="pvp",15,MAX(0.1,Skills!D9-IF(Skills!E9=TRUE,Inputs!$B$32,0)))*(1-IF(AND(ArtifactsInput!$M$27,Inputs!$B$4="Chapter Hunt"),CHOOSE(ArtifactsInput!$N$27+1,20,24,28,32,36,40),0)/100)))))/Skills!H9,1)))/Inputs!$B$43),G1312*Q1312))*IF(Inputs!$B$38="pvp",1,(1+(Inputs!$B$21+Skills!Q9+(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3">
      <c r="A1313">
        <f>Skills!A10</f>
        <v/>
      </c>
      <c r="B1313">
        <f>Skills!B10</f>
        <v/>
      </c>
      <c r="C1313">
        <f>Inputs!$B$3&gt;=113</f>
        <v/>
      </c>
      <c r="D1313">
        <f>IF(Skills!C10=1,60+Inputs!$B$25+Inputs!$B$29,IF(Skills!C10=2,90+Inputs!$B$26+Inputs!$B$29,IF(Skills!C10=3,120+Inputs!$B$27+Inputs!$B$29,MAX(0,(Inputs!$B$3-100)*3)+Inputs!$B$28+Inputs!$B$29)))</f>
        <v/>
      </c>
      <c r="E1313">
        <f>INDEX(FactorTable!$B$2:$Y$301, MATCH(ROUND(MIN(300,MAX(1,D1313)),0), FactorTable!$A$2:$A$301,0), Skills!M10+1)</f>
        <v/>
      </c>
      <c r="F1313">
        <f>IF(Skills!N10=TRUE,(Skills!L10/10)*(E1313/1000),Skills!L10/10)+Skills!O10</f>
        <v/>
      </c>
      <c r="G1313">
        <f>Skills!G10*IF(Skills!H10&gt;0,Skills!I10/Skills!H10,1)</f>
        <v/>
      </c>
      <c r="H1313">
        <f>1-(1-Skills!J10/100)^Skills!K10</f>
        <v/>
      </c>
      <c r="I1313" t="inlineStr">
        <is>
          <t>1</t>
        </is>
      </c>
      <c r="J1313">
        <f>((Inputs!$B$6*(1+Inputs!$B$7/100))+(((Inputs!$B$12*(1+Inputs!$B$13/100))-(Inputs!$B$12*(1+Inputs!$B$13/100)))+0.25*(Inputs!$B$14-Inputs!$B$14))*(1+Inputs!$B$7/100))*(F1313/100)</f>
        <v/>
      </c>
      <c r="K1313">
        <f>J1313*(1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1313)</f>
        <v/>
      </c>
      <c r="L1313">
        <f>K1313*(MIN(Inputs!$B$22+((C1325=TRUE)*(F1325-Calc!F22)),(Inputs!$B$23+0+(IF(ArtifactsInput!$M$15,CHOOSE(ArtifactsInput!$N$15+1,25,30,35,40,45,50)/100*(Inputs!$B$11-Inputs!$B$11),0))))/100+(Inputs!$B$23+0+(IF(ArtifactsInput!$M$15,CHOOSE(ArtifactsInput!$N$15+1,25,30,35,40,45,50)/100*(Inputs!$B$11-Inputs!$B$11),0)))/100)/2</f>
        <v/>
      </c>
      <c r="M1313">
        <f>L1313*(1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3">
        <f>L1313*(1-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1313*(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3">
        <f>(1-Summary!$B$11)*T1313+Summary!$B$11*V1313</f>
        <v/>
      </c>
      <c r="P1313">
        <f>IF(B1344=0,0,O1313/B1344)</f>
        <v/>
      </c>
      <c r="Q1313">
        <f>IFERROR(1/(IF(Inputs!$B$38="pvp",15,MAX(0.1,Skills!D10-IF(Skills!E10=TRUE,Inputs!$B$32,0)))*(1-IF(AND(ArtifactsInput!$M$27,Inputs!$B$4="Chapter Hunt"),CHOOSE(ArtifactsInput!$N$27+1,20,24,28,32,36,40),0)/100)),0)</f>
        <v/>
      </c>
      <c r="R1313">
        <f>IF(AND(Inputs!$B$38&lt;&gt;"pvp",Inputs!$B$43&gt;0),IF(MAX(0,Inputs!$B$43-B1341)&lt;=0,0,(INT(MAX(0,Inputs!$B$43-B1341)/(IF(Inputs!$B$38="pvp",15,MAX(0.1,Skills!D10-IF(Skills!E10=TRUE,Inputs!$B$32,0)))*(1-IF(AND(ArtifactsInput!$M$27,Inputs!$B$4="Chapter Hunt"),CHOOSE(ArtifactsInput!$N$27+1,20,24,28,32,36,40),0)/100)))+1)),0)</f>
        <v/>
      </c>
      <c r="S1313">
        <f>IFERROR(O1313/N1313,0)</f>
        <v/>
      </c>
      <c r="T1313">
        <f>IF(C1313,(H1313*N1313*IF(AND(Inputs!$B$38&lt;&gt;"pvp",Inputs!$B$43&gt;0),((Skills!G10*((R1313-1)*IF(Skills!H10&gt;0,Skills!I10/Skills!H10,1)+IF(Skills!H10&gt;0,MIN(Skills!I10,MAX(0,MAX(0,Inputs!$B$43-B1341)-((R1313-1)*(IF(Inputs!$B$38="pvp",15,MAX(0.1,Skills!D10-IF(Skills!E10=TRUE,Inputs!$B$32,0)))*(1-IF(AND(ArtifactsInput!$M$27,Inputs!$B$4="Chapter Hunt"),CHOOSE(ArtifactsInput!$N$27+1,20,24,28,32,36,40),0)/100)))))/Skills!H10,1)))/Inputs!$B$43),G1313*Q1313)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1313*(1-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1313*(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1313*(1-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1313*(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3">
        <f>IF(C1313,(H1313*N1313*IF(AND(Inputs!$B$38&lt;&gt;"pvp",Inputs!$B$43&gt;0),((Skills!G10*((R1313-1)*IF(Skills!H10&gt;0,Skills!I10/Skills!H10,1)+IF(Skills!H10&gt;0,MIN(Skills!I10,MAX(0,MAX(0,Inputs!$B$43-B1341)-((R1313-1)*(IF(Inputs!$B$38="pvp",15,MAX(0.1,Skills!D10-IF(Skills!E10=TRUE,Inputs!$B$32,0)))*(1-IF(AND(ArtifactsInput!$M$27,Inputs!$B$4="Chapter Hunt"),CHOOSE(ArtifactsInput!$N$27+1,20,24,28,32,36,40),0)/100)))))/Skills!H10,1)))/Inputs!$B$43),G1313*Q1313))*IF(Inputs!$B$38="pvp",1,(1+(Inputs!$B$21+Skills!Q10+(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4">
      <c r="A1314">
        <f>Skills!A11</f>
        <v/>
      </c>
      <c r="B1314">
        <f>Skills!B11</f>
        <v/>
      </c>
      <c r="C1314">
        <f>Inputs!$B$3&gt;=107</f>
        <v/>
      </c>
      <c r="D1314">
        <f>IF(Skills!C11=1,60+Inputs!$B$25+Inputs!$B$29,IF(Skills!C11=2,90+Inputs!$B$26+Inputs!$B$29,IF(Skills!C11=3,120+Inputs!$B$27+Inputs!$B$29,MAX(0,(Inputs!$B$3-100)*3)+Inputs!$B$28+Inputs!$B$29)))</f>
        <v/>
      </c>
      <c r="E1314">
        <f>INDEX(FactorTable!$B$2:$Y$301, MATCH(ROUND(MIN(300,MAX(1,D1314)),0), FactorTable!$A$2:$A$301,0), Skills!M11+1)</f>
        <v/>
      </c>
      <c r="F1314">
        <f>IF(Skills!N11=TRUE,(Skills!L11/10)*(E1314/1000),Skills!L11/10)+Skills!O11</f>
        <v/>
      </c>
      <c r="G1314">
        <f>Skills!G11*IF(Skills!H11&gt;0,Skills!I11/Skills!H11,1)</f>
        <v/>
      </c>
      <c r="H1314">
        <f>1-(1-Skills!J11/100)^Skills!K11</f>
        <v/>
      </c>
      <c r="I1314" t="inlineStr">
        <is>
          <t>1</t>
        </is>
      </c>
      <c r="J1314">
        <f>((Inputs!$B$6*(1+Inputs!$B$7/100))+(((Inputs!$B$12*(1+Inputs!$B$13/100))-(Inputs!$B$12*(1+Inputs!$B$13/100)))+0.25*(Inputs!$B$14-Inputs!$B$14))*(1+Inputs!$B$7/100))*(F1314/100)</f>
        <v/>
      </c>
      <c r="K1314">
        <f>J1314*(1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1314)</f>
        <v/>
      </c>
      <c r="L1314">
        <f>K1314*(MIN(Inputs!$B$22+((C1325=TRUE)*(F1325-Calc!F22)),(Inputs!$B$23+0+(IF(ArtifactsInput!$M$15,CHOOSE(ArtifactsInput!$N$15+1,25,30,35,40,45,50)/100*(Inputs!$B$11-Inputs!$B$11),0))))/100+(Inputs!$B$23+0+(IF(ArtifactsInput!$M$15,CHOOSE(ArtifactsInput!$N$15+1,25,30,35,40,45,50)/100*(Inputs!$B$11-Inputs!$B$11),0)))/100)/2</f>
        <v/>
      </c>
      <c r="M1314">
        <f>L1314*(1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4">
        <f>L1314*(1-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1314*(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4">
        <f>(1-Summary!$B$11)*T1314+Summary!$B$11*V1314</f>
        <v/>
      </c>
      <c r="P1314">
        <f>IF(B1344=0,0,O1314/B1344)</f>
        <v/>
      </c>
      <c r="Q1314">
        <f>IFERROR(1/(IF(Inputs!$B$38="pvp",15,MAX(0.1,Skills!D11-IF(Skills!E11=TRUE,Inputs!$B$32,0)))*(1-IF(AND(ArtifactsInput!$M$27,Inputs!$B$4="Chapter Hunt"),CHOOSE(ArtifactsInput!$N$27+1,20,24,28,32,36,40),0)/100)),0)</f>
        <v/>
      </c>
      <c r="R1314">
        <f>IF(AND(Inputs!$B$38&lt;&gt;"pvp",Inputs!$B$43&gt;0),IF(MAX(0,Inputs!$B$43-B1341)&lt;=0,0,(INT(MAX(0,Inputs!$B$43-B1341)/(IF(Inputs!$B$38="pvp",15,MAX(0.1,Skills!D11-IF(Skills!E11=TRUE,Inputs!$B$32,0)))*(1-IF(AND(ArtifactsInput!$M$27,Inputs!$B$4="Chapter Hunt"),CHOOSE(ArtifactsInput!$N$27+1,20,24,28,32,36,40),0)/100)))+1)),0)</f>
        <v/>
      </c>
      <c r="S1314">
        <f>IFERROR(O1314/N1314,0)</f>
        <v/>
      </c>
      <c r="T1314">
        <f>IF(C1314,(H1314*N1314*IF(AND(Inputs!$B$38&lt;&gt;"pvp",Inputs!$B$43&gt;0),((Skills!G11*((R1314-1)*IF(Skills!H11&gt;0,Skills!I11/Skills!H11,1)+IF(Skills!H11&gt;0,MIN(Skills!I11,MAX(0,MAX(0,Inputs!$B$43-B1341)-((R1314-1)*(IF(Inputs!$B$38="pvp",15,MAX(0.1,Skills!D11-IF(Skills!E11=TRUE,Inputs!$B$32,0)))*(1-IF(AND(ArtifactsInput!$M$27,Inputs!$B$4="Chapter Hunt"),CHOOSE(ArtifactsInput!$N$27+1,20,24,28,32,36,40),0)/100)))))/Skills!H11,1)))/Inputs!$B$43),G1314*Q1314)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1314*(1-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1314*(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1314*(1-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1314*(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4">
        <f>IF(C1314,(H1314*N1314*IF(AND(Inputs!$B$38&lt;&gt;"pvp",Inputs!$B$43&gt;0),((Skills!G11*((R1314-1)*IF(Skills!H11&gt;0,Skills!I11/Skills!H11,1)+IF(Skills!H11&gt;0,MIN(Skills!I11,MAX(0,MAX(0,Inputs!$B$43-B1341)-((R1314-1)*(IF(Inputs!$B$38="pvp",15,MAX(0.1,Skills!D11-IF(Skills!E11=TRUE,Inputs!$B$32,0)))*(1-IF(AND(ArtifactsInput!$M$27,Inputs!$B$4="Chapter Hunt"),CHOOSE(ArtifactsInput!$N$27+1,20,24,28,32,36,40),0)/100)))))/Skills!H11,1)))/Inputs!$B$43),G1314*Q1314))*IF(Inputs!$B$38="pvp",1,(1+(Inputs!$B$21+Skills!Q11+(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5">
      <c r="A1315">
        <f>Skills!A12</f>
        <v/>
      </c>
      <c r="B1315">
        <f>Skills!B12</f>
        <v/>
      </c>
      <c r="C1315">
        <f>Inputs!$B$3&gt;=110</f>
        <v/>
      </c>
      <c r="D1315">
        <f>IF(Skills!C12=1,60+Inputs!$B$25+Inputs!$B$29,IF(Skills!C12=2,90+Inputs!$B$26+Inputs!$B$29,IF(Skills!C12=3,120+Inputs!$B$27+Inputs!$B$29,MAX(0,(Inputs!$B$3-100)*3)+Inputs!$B$28+Inputs!$B$29)))</f>
        <v/>
      </c>
      <c r="E1315">
        <f>INDEX(FactorTable!$B$2:$Y$301, MATCH(ROUND(MIN(300,MAX(1,D1315)),0), FactorTable!$A$2:$A$301,0), Skills!M12+1)</f>
        <v/>
      </c>
      <c r="F1315">
        <f>IF(Skills!N12=TRUE,(Skills!L12/10)*(E1315/1000),Skills!L12/10)+Skills!O12</f>
        <v/>
      </c>
      <c r="G1315">
        <f>Skills!G12*IF(Skills!H12&gt;0,Skills!I12/Skills!H12,1)</f>
        <v/>
      </c>
      <c r="H1315">
        <f>1-(1-Skills!J12/100)^Skills!K12</f>
        <v/>
      </c>
      <c r="I1315" t="inlineStr">
        <is>
          <t>1</t>
        </is>
      </c>
      <c r="J1315">
        <f>((Inputs!$B$6*(1+Inputs!$B$7/100))+(((Inputs!$B$12*(1+Inputs!$B$13/100))-(Inputs!$B$12*(1+Inputs!$B$13/100)))+0.25*(Inputs!$B$14-Inputs!$B$14))*(1+Inputs!$B$7/100))*(F1315/100)</f>
        <v/>
      </c>
      <c r="K1315">
        <f>J1315*(1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1315)</f>
        <v/>
      </c>
      <c r="L1315">
        <f>K1315*(MIN(Inputs!$B$22+((C1325=TRUE)*(F1325-Calc!F22)),(Inputs!$B$23+0+(IF(ArtifactsInput!$M$15,CHOOSE(ArtifactsInput!$N$15+1,25,30,35,40,45,50)/100*(Inputs!$B$11-Inputs!$B$11),0))))/100+(Inputs!$B$23+0+(IF(ArtifactsInput!$M$15,CHOOSE(ArtifactsInput!$N$15+1,25,30,35,40,45,50)/100*(Inputs!$B$11-Inputs!$B$11),0)))/100)/2</f>
        <v/>
      </c>
      <c r="M1315">
        <f>L1315*(1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5">
        <f>L1315*(1-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1315*(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5">
        <f>(1-Summary!$B$11)*T1315+Summary!$B$11*V1315</f>
        <v/>
      </c>
      <c r="P1315">
        <f>IF(B1344=0,0,O1315/B1344)</f>
        <v/>
      </c>
      <c r="Q1315">
        <f>IFERROR(1/(IF(Inputs!$B$38="pvp",15,MAX(0.1,Skills!D12-IF(Skills!E12=TRUE,Inputs!$B$32,0)))*(1-IF(AND(ArtifactsInput!$M$27,Inputs!$B$4="Chapter Hunt"),CHOOSE(ArtifactsInput!$N$27+1,20,24,28,32,36,40),0)/100)),0)</f>
        <v/>
      </c>
      <c r="R1315">
        <f>IF(AND(Inputs!$B$38&lt;&gt;"pvp",Inputs!$B$43&gt;0),IF(MAX(0,Inputs!$B$43-B1341)&lt;=0,0,(INT(MAX(0,Inputs!$B$43-B1341)/(IF(Inputs!$B$38="pvp",15,MAX(0.1,Skills!D12-IF(Skills!E12=TRUE,Inputs!$B$32,0)))*(1-IF(AND(ArtifactsInput!$M$27,Inputs!$B$4="Chapter Hunt"),CHOOSE(ArtifactsInput!$N$27+1,20,24,28,32,36,40),0)/100)))+1)),0)</f>
        <v/>
      </c>
      <c r="S1315">
        <f>IFERROR(O1315/N1315,0)</f>
        <v/>
      </c>
      <c r="T1315">
        <f>IF(C1315,(H1315*N1315*IF(AND(Inputs!$B$38&lt;&gt;"pvp",Inputs!$B$43&gt;0),((Skills!G12*((R1315-1)*IF(Skills!H12&gt;0,Skills!I12/Skills!H12,1)+IF(Skills!H12&gt;0,MIN(Skills!I12,MAX(0,MAX(0,Inputs!$B$43-B1341)-((R1315-1)*(IF(Inputs!$B$38="pvp",15,MAX(0.1,Skills!D12-IF(Skills!E12=TRUE,Inputs!$B$32,0)))*(1-IF(AND(ArtifactsInput!$M$27,Inputs!$B$4="Chapter Hunt"),CHOOSE(ArtifactsInput!$N$27+1,20,24,28,32,36,40),0)/100)))))/Skills!H12,1)))/Inputs!$B$43),G1315*Q1315)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1315*(1-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1315*(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1315*(1-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1315*(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5">
        <f>IF(C1315,(H1315*N1315*IF(AND(Inputs!$B$38&lt;&gt;"pvp",Inputs!$B$43&gt;0),((Skills!G12*((R1315-1)*IF(Skills!H12&gt;0,Skills!I12/Skills!H12,1)+IF(Skills!H12&gt;0,MIN(Skills!I12,MAX(0,MAX(0,Inputs!$B$43-B1341)-((R1315-1)*(IF(Inputs!$B$38="pvp",15,MAX(0.1,Skills!D12-IF(Skills!E12=TRUE,Inputs!$B$32,0)))*(1-IF(AND(ArtifactsInput!$M$27,Inputs!$B$4="Chapter Hunt"),CHOOSE(ArtifactsInput!$N$27+1,20,24,28,32,36,40),0)/100)))))/Skills!H12,1)))/Inputs!$B$43),G1315*Q1315))*IF(Inputs!$B$38="pvp",1,(1+(Inputs!$B$21+Skills!Q12+(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6">
      <c r="A1316">
        <f>Skills!A13</f>
        <v/>
      </c>
      <c r="B1316">
        <f>Skills!B13</f>
        <v/>
      </c>
      <c r="C1316">
        <f>Inputs!$B$3&gt;=110</f>
        <v/>
      </c>
      <c r="D1316">
        <f>IF(Skills!C13=1,60+Inputs!$B$25+Inputs!$B$29,IF(Skills!C13=2,90+Inputs!$B$26+Inputs!$B$29,IF(Skills!C13=3,120+Inputs!$B$27+Inputs!$B$29,MAX(0,(Inputs!$B$3-100)*3)+Inputs!$B$28+Inputs!$B$29)))</f>
        <v/>
      </c>
      <c r="E1316">
        <f>INDEX(FactorTable!$B$2:$Y$301, MATCH(ROUND(MIN(300,MAX(1,D1316)),0), FactorTable!$A$2:$A$301,0), Skills!M13+1)</f>
        <v/>
      </c>
      <c r="F1316">
        <f>IF(Skills!N13=TRUE,(Skills!L13/10)*(E1316/1000),Skills!L13/10)+Skills!O13</f>
        <v/>
      </c>
      <c r="G1316">
        <f>Skills!G13*IF(Skills!H13&gt;0,Skills!I13/Skills!H13,1)</f>
        <v/>
      </c>
      <c r="H1316">
        <f>1-(1-Skills!J13/100)^Skills!K13</f>
        <v/>
      </c>
      <c r="I1316" t="inlineStr">
        <is>
          <t>1</t>
        </is>
      </c>
      <c r="J1316">
        <f>((Inputs!$B$6*(1+Inputs!$B$7/100))+(((Inputs!$B$12*(1+Inputs!$B$13/100))-(Inputs!$B$12*(1+Inputs!$B$13/100)))+0.25*(Inputs!$B$14-Inputs!$B$14))*(1+Inputs!$B$7/100))*(F1316/100)</f>
        <v/>
      </c>
      <c r="K1316">
        <f>J1316*(1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1316)</f>
        <v/>
      </c>
      <c r="L1316">
        <f>K1316*(MIN(Inputs!$B$22+((C1325=TRUE)*(F1325-Calc!F22)),(Inputs!$B$23+0+(IF(ArtifactsInput!$M$15,CHOOSE(ArtifactsInput!$N$15+1,25,30,35,40,45,50)/100*(Inputs!$B$11-Inputs!$B$11),0))))/100+(Inputs!$B$23+0+(IF(ArtifactsInput!$M$15,CHOOSE(ArtifactsInput!$N$15+1,25,30,35,40,45,50)/100*(Inputs!$B$11-Inputs!$B$11),0)))/100)/2</f>
        <v/>
      </c>
      <c r="M1316">
        <f>L1316*(1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6">
        <f>L1316*(1-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1316*(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6">
        <f>(1-Summary!$B$11)*T1316+Summary!$B$11*V1316</f>
        <v/>
      </c>
      <c r="P1316">
        <f>IF(B1344=0,0,O1316/B1344)</f>
        <v/>
      </c>
      <c r="Q1316">
        <f>IFERROR(1/(IF(Inputs!$B$38="pvp",15,MAX(0.1,Skills!D13-IF(Skills!E13=TRUE,Inputs!$B$32,0)))*(1-IF(AND(ArtifactsInput!$M$27,Inputs!$B$4="Chapter Hunt"),CHOOSE(ArtifactsInput!$N$27+1,20,24,28,32,36,40),0)/100)),0)</f>
        <v/>
      </c>
      <c r="R1316">
        <f>IF(AND(Inputs!$B$38&lt;&gt;"pvp",Inputs!$B$43&gt;0),IF(MAX(0,Inputs!$B$43-B1341)&lt;=0,0,(INT(MAX(0,Inputs!$B$43-B1341)/(IF(Inputs!$B$38="pvp",15,MAX(0.1,Skills!D13-IF(Skills!E13=TRUE,Inputs!$B$32,0)))*(1-IF(AND(ArtifactsInput!$M$27,Inputs!$B$4="Chapter Hunt"),CHOOSE(ArtifactsInput!$N$27+1,20,24,28,32,36,40),0)/100)))+1)),0)</f>
        <v/>
      </c>
      <c r="S1316">
        <f>IFERROR(O1316/N1316,0)</f>
        <v/>
      </c>
      <c r="T1316">
        <f>IF(C1316,(H1316*N1316*IF(AND(Inputs!$B$38&lt;&gt;"pvp",Inputs!$B$43&gt;0),((Skills!G13*((R1316-1)*IF(Skills!H13&gt;0,Skills!I13/Skills!H13,1)+IF(Skills!H13&gt;0,MIN(Skills!I13,MAX(0,MAX(0,Inputs!$B$43-B1341)-((R1316-1)*(IF(Inputs!$B$38="pvp",15,MAX(0.1,Skills!D13-IF(Skills!E13=TRUE,Inputs!$B$32,0)))*(1-IF(AND(ArtifactsInput!$M$27,Inputs!$B$4="Chapter Hunt"),CHOOSE(ArtifactsInput!$N$27+1,20,24,28,32,36,40),0)/100)))))/Skills!H13,1)))/Inputs!$B$43),G1316*Q1316)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1316*(1-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1316*(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1316*(1-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1316*(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6">
        <f>IF(C1316,(H1316*N1316*IF(AND(Inputs!$B$38&lt;&gt;"pvp",Inputs!$B$43&gt;0),((Skills!G13*((R1316-1)*IF(Skills!H13&gt;0,Skills!I13/Skills!H13,1)+IF(Skills!H13&gt;0,MIN(Skills!I13,MAX(0,MAX(0,Inputs!$B$43-B1341)-((R1316-1)*(IF(Inputs!$B$38="pvp",15,MAX(0.1,Skills!D13-IF(Skills!E13=TRUE,Inputs!$B$32,0)))*(1-IF(AND(ArtifactsInput!$M$27,Inputs!$B$4="Chapter Hunt"),CHOOSE(ArtifactsInput!$N$27+1,20,24,28,32,36,40),0)/100)))))/Skills!H13,1)))/Inputs!$B$43),G1316*Q1316))*IF(Inputs!$B$38="pvp",1,(1+(Inputs!$B$21+Skills!Q13+(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7">
      <c r="A1317">
        <f>Skills!A14</f>
        <v/>
      </c>
      <c r="B1317">
        <f>Skills!B14</f>
        <v/>
      </c>
      <c r="C1317">
        <f>Inputs!$B$3&gt;=125</f>
        <v/>
      </c>
      <c r="D1317">
        <f>IF(Skills!C14=1,60+Inputs!$B$25+Inputs!$B$29,IF(Skills!C14=2,90+Inputs!$B$26+Inputs!$B$29,IF(Skills!C14=3,120+Inputs!$B$27+Inputs!$B$29,MAX(0,(Inputs!$B$3-100)*3)+Inputs!$B$28+Inputs!$B$29)))</f>
        <v/>
      </c>
      <c r="E1317">
        <f>INDEX(FactorTable!$B$2:$Y$301, MATCH(ROUND(MIN(300,MAX(1,D1317)),0), FactorTable!$A$2:$A$301,0), Skills!M14+1)</f>
        <v/>
      </c>
      <c r="F1317">
        <f>IF(Skills!N14=TRUE,(Skills!L14/10)*(E1317/1000),Skills!L14/10)+Skills!O14</f>
        <v/>
      </c>
      <c r="G1317">
        <f>Skills!G14*IF(Skills!H14&gt;0,Skills!I14/Skills!H14,1)</f>
        <v/>
      </c>
      <c r="H1317">
        <f>1-(1-Skills!J14/100)^Skills!K14</f>
        <v/>
      </c>
      <c r="I1317" t="inlineStr">
        <is>
          <t>1</t>
        </is>
      </c>
      <c r="J1317">
        <f>((Inputs!$B$6*(1+Inputs!$B$7/100))+(((Inputs!$B$12*(1+Inputs!$B$13/100))-(Inputs!$B$12*(1+Inputs!$B$13/100)))+0.25*(Inputs!$B$14-Inputs!$B$14))*(1+Inputs!$B$7/100))*(F1317/100)</f>
        <v/>
      </c>
      <c r="K1317">
        <f>J1317*(1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1317)</f>
        <v/>
      </c>
      <c r="L1317">
        <f>K1317*(MIN(Inputs!$B$22+((C1325=TRUE)*(F1325-Calc!F22)),(Inputs!$B$23+0+(IF(ArtifactsInput!$M$15,CHOOSE(ArtifactsInput!$N$15+1,25,30,35,40,45,50)/100*(Inputs!$B$11-Inputs!$B$11),0))))/100+(Inputs!$B$23+0+(IF(ArtifactsInput!$M$15,CHOOSE(ArtifactsInput!$N$15+1,25,30,35,40,45,50)/100*(Inputs!$B$11-Inputs!$B$11),0)))/100)/2</f>
        <v/>
      </c>
      <c r="M1317">
        <f>L1317*(1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7">
        <f>L1317*(1-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1317*(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7">
        <f>(1-Summary!$B$11)*T1317+Summary!$B$11*V1317</f>
        <v/>
      </c>
      <c r="P1317">
        <f>IF(B1344=0,0,O1317/B1344)</f>
        <v/>
      </c>
      <c r="Q1317" t="n">
        <v>0</v>
      </c>
      <c r="R1317" t="n">
        <v>0</v>
      </c>
      <c r="S1317">
        <f>IFERROR(O1317/N1317,0)</f>
        <v/>
      </c>
      <c r="T1317">
        <f>IF(C1317,(H1317*N1317*(B1338+IF(AND(Inputs!$B$38&lt;&gt;"pvp",Inputs!$B$43&gt;0),((Skills!G8*((R1311-1)*IF(Skills!H8&gt;0,Skills!I8/Skills!H8,1)+IF(Skills!H8&gt;0,MIN(Skills!I8,MAX(0,MAX(0,Inputs!$B$43-B1341)-((R1311-1)*(IF(Inputs!$B$38="pvp",15,MAX(0.1,Skills!D8-IF(Skills!E8=TRUE,Inputs!$B$32,0)))*(1-IF(AND(ArtifactsInput!$M$27,Inputs!$B$4="Chapter Hunt"),CHOOSE(ArtifactsInput!$N$27+1,20,24,28,32,36,40),0)/100)))))/Skills!H8,1)))/Inputs!$B$43),G1311*Q1311)+IF(AND(Inputs!$B$38&lt;&gt;"pvp",Inputs!$B$43&gt;0),((Skills!G11*((R1314-1)*IF(Skills!H11&gt;0,Skills!I11/Skills!H11,1)+IF(Skills!H11&gt;0,MIN(Skills!I11,MAX(0,MAX(0,Inputs!$B$43-B1341)-((R1314-1)*(IF(Inputs!$B$38="pvp",15,MAX(0.1,Skills!D11-IF(Skills!E11=TRUE,Inputs!$B$32,0)))*(1-IF(AND(ArtifactsInput!$M$27,Inputs!$B$4="Chapter Hunt"),CHOOSE(ArtifactsInput!$N$27+1,20,24,28,32,36,40),0)/100)))))/Skills!H11,1)))/Inputs!$B$43),G1314*Q1314)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1317*(1-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1317*(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1317*(1-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1317*(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7">
        <f>IF(C1317,(H1317*N1317*(B1338+IF(AND(Inputs!$B$38&lt;&gt;"pvp",Inputs!$B$43&gt;0),((Skills!G8*((R1311-1)*IF(Skills!H8&gt;0,Skills!I8/Skills!H8,1)+IF(Skills!H8&gt;0,MIN(Skills!I8,MAX(0,MAX(0,Inputs!$B$43-B1341)-((R1311-1)*(IF(Inputs!$B$38="pvp",15,MAX(0.1,Skills!D8-IF(Skills!E8=TRUE,Inputs!$B$32,0)))*(1-IF(AND(ArtifactsInput!$M$27,Inputs!$B$4="Chapter Hunt"),CHOOSE(ArtifactsInput!$N$27+1,20,24,28,32,36,40),0)/100)))))/Skills!H8,1)))/Inputs!$B$43),G1311*Q1311)+IF(AND(Inputs!$B$38&lt;&gt;"pvp",Inputs!$B$43&gt;0),((Skills!G11*((R1314-1)*IF(Skills!H11&gt;0,Skills!I11/Skills!H11,1)+IF(Skills!H11&gt;0,MIN(Skills!I11,MAX(0,MAX(0,Inputs!$B$43-B1341)-((R1314-1)*(IF(Inputs!$B$38="pvp",15,MAX(0.1,Skills!D11-IF(Skills!E11=TRUE,Inputs!$B$32,0)))*(1-IF(AND(ArtifactsInput!$M$27,Inputs!$B$4="Chapter Hunt"),CHOOSE(ArtifactsInput!$N$27+1,20,24,28,32,36,40),0)/100)))))/Skills!H11,1)))/Inputs!$B$43),G1314*Q1314)))*IF(Inputs!$B$38="pvp",1,(1+(Inputs!$B$21+Skills!Q14+(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8">
      <c r="A1318">
        <f>Skills!A15</f>
        <v/>
      </c>
      <c r="B1318">
        <f>Skills!B15</f>
        <v/>
      </c>
      <c r="C1318">
        <f>Inputs!$B$3&gt;=100</f>
        <v/>
      </c>
      <c r="D1318">
        <f>IF(Skills!C15=1,60+Inputs!$B$25+Inputs!$B$29,IF(Skills!C15=2,90+Inputs!$B$26+Inputs!$B$29,IF(Skills!C15=3,120+Inputs!$B$27+Inputs!$B$29,MAX(0,(Inputs!$B$3-100)*3)+Inputs!$B$28+Inputs!$B$29)))</f>
        <v/>
      </c>
      <c r="E1318">
        <f>INDEX(FactorTable!$B$2:$Y$301, MATCH(ROUND(MIN(300,MAX(1,D1318)),0), FactorTable!$A$2:$A$301,0), Skills!M15+1)</f>
        <v/>
      </c>
      <c r="F1318">
        <f>IF(Skills!N15=TRUE,(Skills!L15/10)*(E1318/1000),Skills!L15/10)+Skills!O15</f>
        <v/>
      </c>
      <c r="G1318" t="inlineStr"/>
      <c r="H1318" t="inlineStr"/>
      <c r="I1318" t="inlineStr">
        <is>
          <t>1</t>
        </is>
      </c>
      <c r="J1318" t="inlineStr"/>
      <c r="K1318" t="inlineStr"/>
      <c r="L1318" t="inlineStr"/>
      <c r="M1318" t="inlineStr"/>
      <c r="N1318" t="inlineStr"/>
      <c r="O1318" t="inlineStr"/>
      <c r="P1318" t="inlineStr"/>
      <c r="Q1318" t="inlineStr"/>
      <c r="R1318" t="inlineStr"/>
      <c r="S1318" t="inlineStr"/>
    </row>
    <row r="1319">
      <c r="A1319">
        <f>Skills!A16</f>
        <v/>
      </c>
      <c r="B1319">
        <f>Skills!B16</f>
        <v/>
      </c>
      <c r="C1319">
        <f>Inputs!$B$3&gt;=120</f>
        <v/>
      </c>
      <c r="D1319">
        <f>IF(Skills!C16=1,60+Inputs!$B$25+Inputs!$B$29,IF(Skills!C16=2,90+Inputs!$B$26+Inputs!$B$29,IF(Skills!C16=3,120+Inputs!$B$27+Inputs!$B$29,MAX(0,(Inputs!$B$3-100)*3)+Inputs!$B$28+Inputs!$B$29)))</f>
        <v/>
      </c>
      <c r="E1319">
        <f>INDEX(FactorTable!$B$2:$Y$301, MATCH(ROUND(MIN(300,MAX(1,D1319)),0), FactorTable!$A$2:$A$301,0), Skills!M16+1)</f>
        <v/>
      </c>
      <c r="F1319">
        <f>IF(Skills!N16=TRUE,(Skills!L16/10)*(E1319/1000),Skills!L16/10)+Skills!O16</f>
        <v/>
      </c>
      <c r="G1319" t="inlineStr"/>
      <c r="H1319" t="inlineStr"/>
      <c r="I1319" t="inlineStr">
        <is>
          <t>1</t>
        </is>
      </c>
      <c r="J1319" t="inlineStr"/>
      <c r="K1319" t="inlineStr"/>
      <c r="L1319" t="inlineStr"/>
      <c r="M1319" t="inlineStr"/>
      <c r="N1319" t="inlineStr"/>
      <c r="O1319" t="inlineStr"/>
      <c r="P1319" t="inlineStr"/>
      <c r="Q1319" t="inlineStr"/>
      <c r="R1319" t="inlineStr"/>
      <c r="S1319" t="inlineStr"/>
    </row>
    <row r="1320">
      <c r="A1320">
        <f>Skills!A17</f>
        <v/>
      </c>
      <c r="B1320">
        <f>Skills!B17</f>
        <v/>
      </c>
      <c r="C1320">
        <f>Inputs!$B$3&gt;=66</f>
        <v/>
      </c>
      <c r="D1320">
        <f>IF(Skills!C17=1,60+Inputs!$B$25+Inputs!$B$29,IF(Skills!C17=2,90+Inputs!$B$26+Inputs!$B$29,IF(Skills!C17=3,120+Inputs!$B$27+Inputs!$B$29,MAX(0,(Inputs!$B$3-100)*3)+Inputs!$B$28+Inputs!$B$29)))</f>
        <v/>
      </c>
      <c r="E1320">
        <f>INDEX(FactorTable!$B$2:$Y$301, MATCH(ROUND(MIN(300,MAX(1,D1320)),0), FactorTable!$A$2:$A$301,0), Skills!M17+1)</f>
        <v/>
      </c>
      <c r="F1320">
        <f>IF(Skills!N17=TRUE,(Skills!L17/10)*(E1320/1000),Skills!L17/10)+Skills!O17</f>
        <v/>
      </c>
      <c r="G1320">
        <f>Skills!G17*IF(Skills!H17&gt;0,Skills!I17/Skills!H17,1)</f>
        <v/>
      </c>
      <c r="H1320">
        <f>1-(1-Skills!J17/100)^Skills!K17</f>
        <v/>
      </c>
      <c r="I1320" t="inlineStr">
        <is>
          <t>1</t>
        </is>
      </c>
      <c r="J1320" t="inlineStr"/>
      <c r="K1320" t="inlineStr"/>
      <c r="L1320" t="inlineStr"/>
      <c r="M1320" t="inlineStr"/>
      <c r="N1320" t="inlineStr"/>
      <c r="O1320">
        <f>(1-Summary!$B$11)*T1320+Summary!$B$11*V1320</f>
        <v/>
      </c>
      <c r="P1320">
        <f>IF(B1344=0,0,O1320/B1344)</f>
        <v/>
      </c>
      <c r="Q1320" t="n">
        <v>0</v>
      </c>
      <c r="R1320" t="n">
        <v>0</v>
      </c>
      <c r="S1320">
        <f>IFERROR(O1320/N1320,0)</f>
        <v/>
      </c>
      <c r="T1320" t="n">
        <v>0</v>
      </c>
      <c r="V1320" t="n">
        <v>0</v>
      </c>
    </row>
    <row r="1321">
      <c r="A1321">
        <f>Skills!A18</f>
        <v/>
      </c>
      <c r="B1321">
        <f>Skills!B18</f>
        <v/>
      </c>
      <c r="C1321">
        <f>Inputs!$B$3&gt;=115</f>
        <v/>
      </c>
      <c r="D1321">
        <f>IF(Skills!C18=1,60+Inputs!$B$25+Inputs!$B$29,IF(Skills!C18=2,90+Inputs!$B$26+Inputs!$B$29,IF(Skills!C18=3,120+Inputs!$B$27+Inputs!$B$29,MAX(0,(Inputs!$B$3-100)*3)+Inputs!$B$28+Inputs!$B$29)))</f>
        <v/>
      </c>
      <c r="E1321">
        <f>INDEX(FactorTable!$B$2:$Y$301, MATCH(ROUND(MIN(300,MAX(1,D1321)),0), FactorTable!$A$2:$A$301,0), Skills!M18+1)</f>
        <v/>
      </c>
      <c r="F1321">
        <f>IF(Skills!N18=TRUE,(Skills!L18/10)*(E1321/1000),Skills!L18/10)+Skills!O18</f>
        <v/>
      </c>
      <c r="G1321">
        <f>Skills!G18*IF(Skills!H18&gt;0,Skills!I18/Skills!H18,1)</f>
        <v/>
      </c>
      <c r="H1321">
        <f>1-(1-Skills!J18/100)^Skills!K18</f>
        <v/>
      </c>
      <c r="I1321" t="inlineStr">
        <is>
          <t>1</t>
        </is>
      </c>
      <c r="J1321" t="inlineStr"/>
      <c r="K1321" t="inlineStr"/>
      <c r="L1321" t="inlineStr"/>
      <c r="M1321" t="inlineStr"/>
      <c r="N1321" t="inlineStr"/>
      <c r="O1321">
        <f>(1-Summary!$B$11)*T1321+Summary!$B$11*V1321</f>
        <v/>
      </c>
      <c r="P1321">
        <f>IF(B1344=0,0,O1321/B1344)</f>
        <v/>
      </c>
      <c r="Q1321">
        <f>IFERROR(1/(IF(Inputs!$B$38="pvp",15,MAX(0.1,Skills!D18-IF(Skills!E18=TRUE,Inputs!$B$32,0)))*(1-IF(AND(ArtifactsInput!$M$27,Inputs!$B$4="Chapter Hunt"),CHOOSE(ArtifactsInput!$N$27+1,20,24,28,32,36,40),0)/100)),0)</f>
        <v/>
      </c>
      <c r="R1321">
        <f>IF(AND(Inputs!$B$38&lt;&gt;"pvp",Inputs!$B$43&gt;0),IF(Inputs!$B$43&lt;=0,0,(INT(Inputs!$B$43/(IF(Inputs!$B$38="pvp",15,MAX(0.1,Skills!D18-IF(Skills!E18=TRUE,Inputs!$B$32,0)))*(1-IF(AND(ArtifactsInput!$M$27,Inputs!$B$4="Chapter Hunt"),CHOOSE(ArtifactsInput!$N$27+1,20,24,28,32,36,40),0)/100)))+1)),0)</f>
        <v/>
      </c>
      <c r="S1321">
        <f>IFERROR(O1321/N1321,0)</f>
        <v/>
      </c>
      <c r="T1321" t="n">
        <v>0</v>
      </c>
      <c r="V1321" t="n">
        <v>0</v>
      </c>
    </row>
    <row r="1322">
      <c r="A1322">
        <f>Skills!A19</f>
        <v/>
      </c>
      <c r="B1322">
        <f>Skills!B19</f>
        <v/>
      </c>
      <c r="C1322">
        <f>Inputs!$B$3&gt;=15</f>
        <v/>
      </c>
      <c r="D1322">
        <f>IF(Skills!C19=1,60+Inputs!$B$25+Inputs!$B$29,IF(Skills!C19=2,90+Inputs!$B$26+Inputs!$B$29,IF(Skills!C19=3,120+Inputs!$B$27+Inputs!$B$29,MAX(0,(Inputs!$B$3-100)*3)+Inputs!$B$28+Inputs!$B$29)))</f>
        <v/>
      </c>
      <c r="E1322">
        <f>INDEX(FactorTable!$B$2:$Y$301, MATCH(ROUND(MIN(300,MAX(1,D1322)),0), FactorTable!$A$2:$A$301,0), Skills!M19+1)</f>
        <v/>
      </c>
      <c r="F1322">
        <f>IF(Skills!N19=TRUE,(Skills!L19/10)*(E1322/1000),Skills!L19/10)+Skills!O19</f>
        <v/>
      </c>
      <c r="G1322">
        <f>Skills!G19*IF(Skills!H19&gt;0,Skills!I19/Skills!H19,1)</f>
        <v/>
      </c>
      <c r="H1322">
        <f>1-(1-Skills!J19/100)^Skills!K19</f>
        <v/>
      </c>
      <c r="I1322" t="inlineStr">
        <is>
          <t>1</t>
        </is>
      </c>
      <c r="J1322" t="inlineStr"/>
      <c r="K1322" t="inlineStr"/>
      <c r="L1322" t="inlineStr"/>
      <c r="M1322" t="inlineStr"/>
      <c r="N1322" t="inlineStr"/>
      <c r="O1322">
        <f>(1-Summary!$B$11)*T1322+Summary!$B$11*V1322</f>
        <v/>
      </c>
      <c r="P1322">
        <f>IF(B1344=0,0,O1322/B1344)</f>
        <v/>
      </c>
      <c r="Q1322" t="n">
        <v>0</v>
      </c>
      <c r="R1322" t="n">
        <v>0</v>
      </c>
      <c r="S1322">
        <f>IFERROR(O1322/N1322,0)</f>
        <v/>
      </c>
      <c r="T1322" t="n">
        <v>0</v>
      </c>
      <c r="V1322" t="n">
        <v>0</v>
      </c>
    </row>
    <row r="1323">
      <c r="A1323">
        <f>Skills!A20</f>
        <v/>
      </c>
      <c r="B1323">
        <f>Skills!B20</f>
        <v/>
      </c>
      <c r="C1323">
        <f>Inputs!$B$3&gt;=10</f>
        <v/>
      </c>
      <c r="D1323">
        <f>IF(Skills!C20=1,60+Inputs!$B$25+Inputs!$B$29,IF(Skills!C20=2,90+Inputs!$B$26+Inputs!$B$29,IF(Skills!C20=3,120+Inputs!$B$27+Inputs!$B$29,MAX(0,(Inputs!$B$3-100)*3)+Inputs!$B$28+Inputs!$B$29)))</f>
        <v/>
      </c>
      <c r="E1323">
        <f>INDEX(FactorTable!$B$2:$Y$301, MATCH(ROUND(MIN(300,MAX(1,D1323)),0), FactorTable!$A$2:$A$301,0), Skills!M20+1)</f>
        <v/>
      </c>
      <c r="F1323">
        <f>IF(Skills!N20=TRUE,(Skills!L20/10)*(E1323/1000),Skills!L20/10)+Skills!O20</f>
        <v/>
      </c>
      <c r="G1323">
        <f>Skills!G20*IF(Skills!H20&gt;0,Skills!I20/Skills!H20,1)</f>
        <v/>
      </c>
      <c r="H1323">
        <f>1-(1-Skills!J20/100)^Skills!K20</f>
        <v/>
      </c>
      <c r="I1323" t="inlineStr">
        <is>
          <t>1</t>
        </is>
      </c>
      <c r="J1323" t="inlineStr"/>
      <c r="K1323" t="inlineStr"/>
      <c r="L1323" t="inlineStr"/>
      <c r="M1323" t="inlineStr"/>
      <c r="N1323" t="inlineStr"/>
      <c r="O1323">
        <f>(1-Summary!$B$11)*T1323+Summary!$B$11*V1323</f>
        <v/>
      </c>
      <c r="P1323">
        <f>IF(B1344=0,0,O1323/B1344)</f>
        <v/>
      </c>
      <c r="Q1323" t="n">
        <v>0</v>
      </c>
      <c r="R1323" t="n">
        <v>0</v>
      </c>
      <c r="S1323">
        <f>IFERROR(O1323/N1323,0)</f>
        <v/>
      </c>
      <c r="T1323" t="n">
        <v>0</v>
      </c>
      <c r="V1323" t="n">
        <v>0</v>
      </c>
    </row>
    <row r="1324">
      <c r="A1324">
        <f>Skills!A21</f>
        <v/>
      </c>
      <c r="B1324">
        <f>Skills!B21</f>
        <v/>
      </c>
      <c r="C1324">
        <f>Inputs!$B$3&gt;=33</f>
        <v/>
      </c>
      <c r="D1324">
        <f>IF(Skills!C21=1,60+Inputs!$B$25+Inputs!$B$29,IF(Skills!C21=2,90+Inputs!$B$26+Inputs!$B$29,IF(Skills!C21=3,120+Inputs!$B$27+Inputs!$B$29,MAX(0,(Inputs!$B$3-100)*3)+Inputs!$B$28+Inputs!$B$29)))</f>
        <v/>
      </c>
      <c r="E1324">
        <f>INDEX(FactorTable!$B$2:$Y$301, MATCH(ROUND(MIN(300,MAX(1,D1324)),0), FactorTable!$A$2:$A$301,0), Skills!M21+1)</f>
        <v/>
      </c>
      <c r="F1324">
        <f>IF(Skills!N21=TRUE,(Skills!L21/10)*(E1324/1000),Skills!L21/10)+Skills!O21</f>
        <v/>
      </c>
      <c r="G1324">
        <f>Skills!G21*IF(Skills!H21&gt;0,Skills!I21/Skills!H21,1)</f>
        <v/>
      </c>
      <c r="H1324">
        <f>1-(1-Skills!J21/100)^Skills!K21</f>
        <v/>
      </c>
      <c r="I1324" t="inlineStr">
        <is>
          <t>1</t>
        </is>
      </c>
      <c r="J1324" t="inlineStr"/>
      <c r="K1324" t="inlineStr"/>
      <c r="L1324" t="inlineStr"/>
      <c r="M1324" t="inlineStr"/>
      <c r="N1324" t="inlineStr"/>
      <c r="O1324">
        <f>(1-Summary!$B$11)*T1324+Summary!$B$11*V1324</f>
        <v/>
      </c>
      <c r="P1324">
        <f>IF(B1344=0,0,O1324/B1344)</f>
        <v/>
      </c>
      <c r="Q1324" t="n">
        <v>0</v>
      </c>
      <c r="R1324" t="n">
        <v>0</v>
      </c>
      <c r="S1324">
        <f>IFERROR(O1324/N1324,0)</f>
        <v/>
      </c>
      <c r="T1324" t="n">
        <v>0</v>
      </c>
      <c r="V1324" t="n">
        <v>0</v>
      </c>
    </row>
    <row r="1325">
      <c r="A1325">
        <f>Skills!A22</f>
        <v/>
      </c>
      <c r="B1325">
        <f>Skills!B22</f>
        <v/>
      </c>
      <c r="C1325">
        <f>Inputs!$B$3&gt;=43</f>
        <v/>
      </c>
      <c r="D1325">
        <f>IF(Skills!C22=1,60+Inputs!$B$25+Inputs!$B$29,IF(Skills!C22=2,90+Inputs!$B$26+Inputs!$B$29,IF(Skills!C22=3,120+Inputs!$B$27+Inputs!$B$29,MAX(0,(Inputs!$B$3-100)*3)+Inputs!$B$28+Inputs!$B$29)))</f>
        <v/>
      </c>
      <c r="E1325">
        <f>INDEX(FactorTable!$B$2:$Y$301, MATCH(ROUND(MIN(300,MAX(1,D1325)),0), FactorTable!$A$2:$A$301,0), Skills!M22+1)</f>
        <v/>
      </c>
      <c r="F1325">
        <f>IF(Skills!N22=TRUE,(Skills!L22/10)*(E1325/1000),Skills!L22/10)+Skills!O22</f>
        <v/>
      </c>
      <c r="G1325">
        <f>Skills!G22*IF(Skills!H22&gt;0,Skills!I22/Skills!H22,1)</f>
        <v/>
      </c>
      <c r="H1325">
        <f>1-(1-Skills!J22/100)^Skills!K22</f>
        <v/>
      </c>
      <c r="I1325" t="inlineStr">
        <is>
          <t>1</t>
        </is>
      </c>
      <c r="J1325" t="inlineStr"/>
      <c r="K1325" t="inlineStr"/>
      <c r="L1325" t="inlineStr"/>
      <c r="M1325" t="inlineStr"/>
      <c r="N1325" t="inlineStr"/>
      <c r="O1325">
        <f>(1-Summary!$B$11)*T1325+Summary!$B$11*V1325</f>
        <v/>
      </c>
      <c r="P1325">
        <f>IF(B1344=0,0,O1325/B1344)</f>
        <v/>
      </c>
      <c r="Q1325" t="n">
        <v>0</v>
      </c>
      <c r="R1325" t="n">
        <v>0</v>
      </c>
      <c r="S1325">
        <f>IFERROR(O1325/N1325,0)</f>
        <v/>
      </c>
      <c r="T1325" t="n">
        <v>0</v>
      </c>
      <c r="V1325" t="n">
        <v>0</v>
      </c>
    </row>
    <row r="1326">
      <c r="A1326">
        <f>Skills!A23</f>
        <v/>
      </c>
      <c r="B1326">
        <f>Skills!B23</f>
        <v/>
      </c>
      <c r="C1326">
        <f>Inputs!$B$3&gt;=38</f>
        <v/>
      </c>
      <c r="D1326">
        <f>IF(Skills!C23=1,60+Inputs!$B$25+Inputs!$B$29,IF(Skills!C23=2,90+Inputs!$B$26+Inputs!$B$29,IF(Skills!C23=3,120+Inputs!$B$27+Inputs!$B$29,MAX(0,(Inputs!$B$3-100)*3)+Inputs!$B$28+Inputs!$B$29)))</f>
        <v/>
      </c>
      <c r="E1326">
        <f>INDEX(FactorTable!$B$2:$Y$301, MATCH(ROUND(MIN(300,MAX(1,D1326)),0), FactorTable!$A$2:$A$301,0), Skills!M23+1)</f>
        <v/>
      </c>
      <c r="F1326">
        <f>IF(Skills!N23=TRUE,(Skills!L23/10)*(E1326/1000),Skills!L23/10)+Skills!O23</f>
        <v/>
      </c>
      <c r="G1326">
        <f>Skills!G23*IF(Skills!H23&gt;0,Skills!I23/Skills!H23,1)</f>
        <v/>
      </c>
      <c r="H1326">
        <f>1-(1-Skills!J23/100)^Skills!K23</f>
        <v/>
      </c>
      <c r="I1326" t="inlineStr">
        <is>
          <t>1</t>
        </is>
      </c>
      <c r="J1326" t="inlineStr"/>
      <c r="K1326" t="inlineStr"/>
      <c r="L1326" t="inlineStr"/>
      <c r="M1326" t="inlineStr"/>
      <c r="N1326" t="inlineStr"/>
      <c r="O1326">
        <f>(1-Summary!$B$11)*T1326+Summary!$B$11*V1326</f>
        <v/>
      </c>
      <c r="P1326">
        <f>IF(B1344=0,0,O1326/B1344)</f>
        <v/>
      </c>
      <c r="Q1326" t="n">
        <v>0</v>
      </c>
      <c r="R1326" t="n">
        <v>0</v>
      </c>
      <c r="S1326">
        <f>IFERROR(O1326/N1326,0)</f>
        <v/>
      </c>
      <c r="T1326" t="n">
        <v>0</v>
      </c>
      <c r="V1326" t="n">
        <v>0</v>
      </c>
    </row>
    <row r="1327">
      <c r="A1327">
        <f>Skills!A24</f>
        <v/>
      </c>
      <c r="B1327">
        <f>Skills!B24</f>
        <v/>
      </c>
      <c r="C1327">
        <f>Inputs!$B$3&gt;=40</f>
        <v/>
      </c>
      <c r="D1327">
        <f>IF(Skills!C24=1,60+Inputs!$B$25+Inputs!$B$29,IF(Skills!C24=2,90+Inputs!$B$26+Inputs!$B$29,IF(Skills!C24=3,120+Inputs!$B$27+Inputs!$B$29,MAX(0,(Inputs!$B$3-100)*3)+Inputs!$B$28+Inputs!$B$29)))</f>
        <v/>
      </c>
      <c r="E1327">
        <f>INDEX(FactorTable!$B$2:$Y$301, MATCH(ROUND(MIN(300,MAX(1,D1327)),0), FactorTable!$A$2:$A$301,0), Skills!M24+1)</f>
        <v/>
      </c>
      <c r="F1327">
        <f>IF(Skills!N24=TRUE,(Skills!L24/10)*(E1327/1000),Skills!L24/10)+Skills!O24</f>
        <v/>
      </c>
      <c r="G1327">
        <f>Skills!G24*IF(Skills!H24&gt;0,Skills!I24/Skills!H24,1)</f>
        <v/>
      </c>
      <c r="H1327">
        <f>1-(1-Skills!J24/100)^Skills!K24</f>
        <v/>
      </c>
      <c r="I1327" t="inlineStr">
        <is>
          <t>1</t>
        </is>
      </c>
      <c r="J1327" t="inlineStr"/>
      <c r="K1327" t="inlineStr"/>
      <c r="L1327" t="inlineStr"/>
      <c r="M1327" t="inlineStr"/>
      <c r="N1327" t="inlineStr"/>
      <c r="O1327">
        <f>(1-Summary!$B$11)*T1327+Summary!$B$11*V1327</f>
        <v/>
      </c>
      <c r="P1327">
        <f>IF(B1344=0,0,O1327/B1344)</f>
        <v/>
      </c>
      <c r="Q1327" t="n">
        <v>0</v>
      </c>
      <c r="R1327" t="n">
        <v>0</v>
      </c>
      <c r="S1327">
        <f>IFERROR(O1327/N1327,0)</f>
        <v/>
      </c>
      <c r="T1327" t="n">
        <v>0</v>
      </c>
      <c r="V1327" t="n">
        <v>0</v>
      </c>
    </row>
    <row r="1328">
      <c r="A1328">
        <f>Skills!A25</f>
        <v/>
      </c>
      <c r="B1328">
        <f>Skills!B25</f>
        <v/>
      </c>
      <c r="C1328">
        <f>Inputs!$B$3&gt;=72</f>
        <v/>
      </c>
      <c r="D1328">
        <f>IF(Skills!C25=1,60+Inputs!$B$25+Inputs!$B$29,IF(Skills!C25=2,90+Inputs!$B$26+Inputs!$B$29,IF(Skills!C25=3,120+Inputs!$B$27+Inputs!$B$29,MAX(0,(Inputs!$B$3-100)*3)+Inputs!$B$28+Inputs!$B$29)))</f>
        <v/>
      </c>
      <c r="E1328">
        <f>INDEX(FactorTable!$B$2:$Y$301, MATCH(ROUND(MIN(300,MAX(1,D1328)),0), FactorTable!$A$2:$A$301,0), Skills!M25+1)</f>
        <v/>
      </c>
      <c r="F1328">
        <f>IF(Skills!N25=TRUE,(Skills!L25/10)*(E1328/1000),Skills!L25/10)+Skills!O25</f>
        <v/>
      </c>
      <c r="G1328">
        <f>Skills!G25*IF(Skills!H25&gt;0,Skills!I25/Skills!H25,1)</f>
        <v/>
      </c>
      <c r="H1328">
        <f>1-(1-Skills!J25/100)^Skills!K25</f>
        <v/>
      </c>
      <c r="I1328" t="inlineStr">
        <is>
          <t>1</t>
        </is>
      </c>
      <c r="J1328" t="inlineStr"/>
      <c r="K1328" t="inlineStr"/>
      <c r="L1328" t="inlineStr"/>
      <c r="M1328" t="inlineStr"/>
      <c r="N1328" t="inlineStr"/>
      <c r="O1328">
        <f>(1-Summary!$B$11)*T1328+Summary!$B$11*V1328</f>
        <v/>
      </c>
      <c r="P1328">
        <f>IF(B1344=0,0,O1328/B1344)</f>
        <v/>
      </c>
      <c r="Q1328" t="n">
        <v>0</v>
      </c>
      <c r="R1328" t="n">
        <v>0</v>
      </c>
      <c r="S1328">
        <f>IFERROR(O1328/N1328,0)</f>
        <v/>
      </c>
      <c r="T1328" t="n">
        <v>0</v>
      </c>
      <c r="V1328" t="n">
        <v>0</v>
      </c>
    </row>
    <row r="1329">
      <c r="A1329">
        <f>Skills!A26</f>
        <v/>
      </c>
      <c r="B1329">
        <f>Skills!B26</f>
        <v/>
      </c>
      <c r="C1329">
        <f>Inputs!$B$3&gt;=75</f>
        <v/>
      </c>
      <c r="D1329">
        <f>IF(Skills!C26=1,60+Inputs!$B$25+Inputs!$B$29,IF(Skills!C26=2,90+Inputs!$B$26+Inputs!$B$29,IF(Skills!C26=3,120+Inputs!$B$27+Inputs!$B$29,MAX(0,(Inputs!$B$3-100)*3)+Inputs!$B$28+Inputs!$B$29)))</f>
        <v/>
      </c>
      <c r="E1329">
        <f>INDEX(FactorTable!$B$2:$Y$301, MATCH(ROUND(MIN(300,MAX(1,D1329)),0), FactorTable!$A$2:$A$301,0), Skills!M26+1)</f>
        <v/>
      </c>
      <c r="F1329">
        <f>IF(Skills!N26=TRUE,(Skills!L26/10)*(E1329/1000),Skills!L26/10)+Skills!O26</f>
        <v/>
      </c>
      <c r="G1329">
        <f>Skills!G26*IF(Skills!H26&gt;0,Skills!I26/Skills!H26,1)</f>
        <v/>
      </c>
      <c r="H1329">
        <f>1-(1-Skills!J26/100)^Skills!K26</f>
        <v/>
      </c>
      <c r="I1329" t="inlineStr">
        <is>
          <t>1</t>
        </is>
      </c>
      <c r="J1329" t="inlineStr"/>
      <c r="K1329" t="inlineStr"/>
      <c r="L1329" t="inlineStr"/>
      <c r="M1329" t="inlineStr"/>
      <c r="N1329" t="inlineStr"/>
      <c r="O1329">
        <f>(1-Summary!$B$11)*T1329+Summary!$B$11*V1329</f>
        <v/>
      </c>
      <c r="P1329">
        <f>IF(B1344=0,0,O1329/B1344)</f>
        <v/>
      </c>
      <c r="Q1329" t="n">
        <v>0</v>
      </c>
      <c r="R1329" t="n">
        <v>0</v>
      </c>
      <c r="S1329">
        <f>IFERROR(O1329/N1329,0)</f>
        <v/>
      </c>
      <c r="T1329" t="n">
        <v>0</v>
      </c>
      <c r="V1329" t="n">
        <v>0</v>
      </c>
    </row>
    <row r="1330">
      <c r="A1330">
        <f>Skills!A27</f>
        <v/>
      </c>
      <c r="B1330">
        <f>Skills!B27</f>
        <v/>
      </c>
      <c r="C1330">
        <f>Inputs!$B$3&gt;=117</f>
        <v/>
      </c>
      <c r="D1330">
        <f>IF(Skills!C27=1,60+Inputs!$B$25+Inputs!$B$29,IF(Skills!C27=2,90+Inputs!$B$26+Inputs!$B$29,IF(Skills!C27=3,120+Inputs!$B$27+Inputs!$B$29,MAX(0,(Inputs!$B$3-100)*3)+Inputs!$B$28+Inputs!$B$29)))</f>
        <v/>
      </c>
      <c r="E1330">
        <f>INDEX(FactorTable!$B$2:$Y$301, MATCH(ROUND(MIN(300,MAX(1,D1330)),0), FactorTable!$A$2:$A$301,0), Skills!M27+1)</f>
        <v/>
      </c>
      <c r="F1330">
        <f>IF(Skills!N27=TRUE,(Skills!L27/10)*(E1330/1000),Skills!L27/10)+Skills!O27</f>
        <v/>
      </c>
      <c r="G1330">
        <f>Skills!G27*IF(Skills!H27&gt;0,Skills!I27/Skills!H27,1)</f>
        <v/>
      </c>
      <c r="H1330">
        <f>1-(1-Skills!J27/100)^Skills!K27</f>
        <v/>
      </c>
      <c r="I1330" t="inlineStr">
        <is>
          <t>1</t>
        </is>
      </c>
      <c r="J1330" t="inlineStr"/>
      <c r="K1330" t="inlineStr"/>
      <c r="L1330" t="inlineStr"/>
      <c r="M1330" t="inlineStr"/>
      <c r="N1330" t="inlineStr"/>
      <c r="O1330">
        <f>(1-Summary!$B$11)*T1330+Summary!$B$11*V1330</f>
        <v/>
      </c>
      <c r="P1330">
        <f>IF(B1344=0,0,O1330/B1344)</f>
        <v/>
      </c>
      <c r="Q1330" t="n">
        <v>0</v>
      </c>
      <c r="R1330" t="n">
        <v>0</v>
      </c>
      <c r="S1330">
        <f>IFERROR(O1330/N1330,0)</f>
        <v/>
      </c>
      <c r="T1330" t="n">
        <v>0</v>
      </c>
      <c r="V1330" t="n">
        <v>0</v>
      </c>
    </row>
    <row r="1331">
      <c r="A1331">
        <f>Skills!A28</f>
        <v/>
      </c>
      <c r="B1331">
        <f>Skills!B28</f>
        <v/>
      </c>
      <c r="C1331">
        <f>TRUE</f>
        <v/>
      </c>
      <c r="D1331">
        <f>IF(Skills!C28=1,60+Inputs!$B$25+Inputs!$B$29,IF(Skills!C28=2,90+Inputs!$B$26+Inputs!$B$29,IF(Skills!C28=3,120+Inputs!$B$27+Inputs!$B$29,MAX(0,(Inputs!$B$3-100)*3)+Inputs!$B$28+Inputs!$B$29)))</f>
        <v/>
      </c>
      <c r="E1331">
        <f>INDEX(FactorTable!$B$2:$Y$301, MATCH(ROUND(MIN(300,MAX(1,D1331)),0), FactorTable!$A$2:$A$301,0), Skills!M28+1)</f>
        <v/>
      </c>
      <c r="F1331">
        <f>IF(Skills!N28=TRUE,(Skills!L28/10)*(E1331/1000),Skills!L28/10)+Skills!O28</f>
        <v/>
      </c>
      <c r="G1331">
        <f>Skills!G28*IF(Skills!H28&gt;0,Skills!I28/Skills!H28,1)</f>
        <v/>
      </c>
      <c r="H1331">
        <f>1-(1-Skills!J28/100)^Skills!K28</f>
        <v/>
      </c>
      <c r="I1331" t="inlineStr">
        <is>
          <t>1</t>
        </is>
      </c>
      <c r="J1331" t="inlineStr"/>
      <c r="K1331" t="inlineStr"/>
      <c r="L1331" t="inlineStr"/>
      <c r="M1331" t="inlineStr"/>
      <c r="N1331" t="inlineStr"/>
      <c r="O1331">
        <f>(1-Summary!$B$11)*T1331+Summary!$B$11*V1331</f>
        <v/>
      </c>
      <c r="P1331">
        <f>IF(B1344=0,0,O1331/B1344)</f>
        <v/>
      </c>
      <c r="Q1331">
        <f>IFERROR(1/(IF(Inputs!$B$38="pvp",15,MAX(0.1,Skills!D28-IF(Skills!E28=TRUE,Inputs!$B$32,0)))*(1-IF(AND(ArtifactsInput!$M$27,Inputs!$B$4="Chapter Hunt"),CHOOSE(ArtifactsInput!$N$27+1,20,24,28,32,36,40),0)/100)),0)</f>
        <v/>
      </c>
      <c r="R1331">
        <f>IF(AND(Inputs!$B$38&lt;&gt;"pvp",Inputs!$B$43&gt;0),IF(Inputs!$B$43&lt;=0,0,(INT(Inputs!$B$43/(IF(Inputs!$B$38="pvp",15,MAX(0.1,Skills!D28-IF(Skills!E28=TRUE,Inputs!$B$32,0)))*(1-IF(AND(ArtifactsInput!$M$27,Inputs!$B$4="Chapter Hunt"),CHOOSE(ArtifactsInput!$N$27+1,20,24,28,32,36,40),0)/100)))+1)),0)</f>
        <v/>
      </c>
      <c r="S1331">
        <f>IFERROR(O1331/N1331,0)</f>
        <v/>
      </c>
      <c r="T1331" t="n">
        <v>0</v>
      </c>
      <c r="V1331" t="n">
        <v>0</v>
      </c>
    </row>
    <row r="1333">
      <c r="A1333" t="inlineStr">
        <is>
          <t>Attack% Bucket Multiplier</t>
        </is>
      </c>
      <c r="B1333">
        <f>(1+(((C1320=TRUE)*F1320*5/7)+((C1327=TRUE)*(F1327-Calc!F24))+(IF(ArtifactsInput!$M$21,CHOOSE(ArtifactsInput!$N$21+1,25,30,35,40,45,50)*(IF(OR(Inputs!$B$4="Chapter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34">
      <c r="A1334" t="inlineStr">
        <is>
          <t>Global Crit Rate Bonus %</t>
        </is>
      </c>
      <c r="B1334" t="n">
        <v>0</v>
      </c>
    </row>
    <row r="1335">
      <c r="A1335" t="inlineStr">
        <is>
          <t>Attack Speed Buff Bonus % (Nimble Feet, duty-cycle averaged)</t>
        </is>
      </c>
      <c r="B1335">
        <f>((C1331=TRUE)*F1331*IF(AND(Inputs!$B$38&lt;&gt;"pvp",Inputs!$B$43&gt;0),(((R1331-1)*(Skills!T28*(1+Inputs!$B$34/100))+MIN((Skills!T28*(1+Inputs!$B$34/100)),MAX(0,Inputs!$B$43-((R1331-1)*Skills!D28))))/Inputs!$B$43),IF(Inputs!$B$38="pvp",MIN((Skills!T28*(1+Inputs!$B$34/100)),15)/15,(Skills!T28*(1+Inputs!$B$34/100))/Skills!D28)))</f>
        <v/>
      </c>
    </row>
    <row r="1336">
      <c r="A1336" t="inlineStr">
        <is>
          <t>Actions Per Second</t>
        </is>
      </c>
      <c r="B1336">
        <f>1+MIN(150,150*(1-(1-(Inputs!$B$11+((C1323=TRUE)*(F1323-Calc!F20))+((C1324=TRUE)*(F1324-Calc!F21)))/150)*(1-B1335/150)))/100</f>
        <v/>
      </c>
    </row>
    <row r="1337">
      <c r="A1337" t="inlineStr">
        <is>
          <t>Skill + Buff Cast Rate</t>
        </is>
      </c>
      <c r="B1337">
        <f>IF(AND(Inputs!$B$38&lt;&gt;"pvp",Inputs!$B$43&gt;0),SUMPRODUCT((Skills!E2:E28=TRUE)*(C1305:C1331=TRUE)*R1305:R1331*Skills!F2:F28)/Inputs!$B$43,SUMPRODUCT((Skills!E2:E28=TRUE)*(C1305:C1331=TRUE)*Q1305:Q1331*Skills!F2:F28))</f>
        <v/>
      </c>
    </row>
    <row r="1338">
      <c r="A1338" t="inlineStr">
        <is>
          <t>Eight-Legs Easton Casts Per Second</t>
        </is>
      </c>
      <c r="B1338">
        <f>MAX(0,B1336-B1337)</f>
        <v/>
      </c>
    </row>
    <row r="1339">
      <c r="A1339" t="inlineStr">
        <is>
          <t>Global Critical Damage Bonus % (unused)</t>
        </is>
      </c>
      <c r="B1339" t="n">
        <v>0</v>
      </c>
    </row>
    <row r="1340">
      <c r="A1340" t="inlineStr">
        <is>
          <t>Global Final Damage Bonus % (Jolly Roger + Ahoy Mateys - Final Damage proc)</t>
        </is>
      </c>
      <c r="B1340">
        <f>((C1321=TRUE)*F1321*IF(AND(Inputs!$B$38&lt;&gt;"pvp",Inputs!$B$43&gt;0),(((R1321-1)*(Skills!T18*(1+Inputs!$B$34/100))+MIN((Skills!T18*(1+Inputs!$B$34/100)),MAX(0,Inputs!$B$43-((R1321-1)*Skills!D18))))/Inputs!$B$43),IF(Inputs!$B$38="pvp",MIN((Skills!T18*(1+Inputs!$B$34/100)),15)/15,(Skills!T18*(1+Inputs!$B$34/100))/Skills!D18)))+IF(Inputs!$B$3&gt;=122,20*IF(Inputs!$B$38="pvp",MIN((20*(1+Inputs!$B$34/100)),15)/15,(20*(1+Inputs!$B$34/100))/Skills!D4),0)</f>
        <v/>
      </c>
    </row>
    <row r="1341">
      <c r="A1341" t="inlineStr">
        <is>
          <t>Buff-Casting Startup Delay (s, fixed-duration only)</t>
        </is>
      </c>
      <c r="B1341">
        <f>IF(AND(Inputs!$B$38&lt;&gt;"pvp",Inputs!$B$43&gt;0),SUMPRODUCT((Skills!T2:T28&gt;0)*(Skills!E2:E28=TRUE)*(C1305:C1331=TRUE))/B1336,0)</f>
        <v/>
      </c>
    </row>
    <row r="1342">
      <c r="A1342" t="inlineStr">
        <is>
          <t>Boss-Only Total DPS (this block's swept value)</t>
        </is>
      </c>
      <c r="B1342">
        <f>SUM(T1305:T1331)</f>
        <v/>
      </c>
    </row>
    <row r="1343">
      <c r="A1343" t="inlineStr">
        <is>
          <t>Normal-Only Total DPS (this block's swept value)</t>
        </is>
      </c>
      <c r="B1343">
        <f>SUM(V1305:V1331)</f>
        <v/>
      </c>
    </row>
    <row r="1344">
      <c r="A1344" s="6" t="inlineStr">
        <is>
          <t>TOTAL DPS</t>
        </is>
      </c>
      <c r="B1344" s="6">
        <f>SUM(O1305:O1331)</f>
        <v/>
      </c>
    </row>
    <row r="1347">
      <c r="A1347" s="6" t="inlineStr">
        <is>
          <t>Stat: The Contract of Darkness (Equip)</t>
        </is>
      </c>
    </row>
    <row r="1348">
      <c r="A1348" s="5" t="inlineStr">
        <is>
          <t>Key</t>
        </is>
      </c>
      <c r="B1348" s="5" t="inlineStr">
        <is>
          <t>Name</t>
        </is>
      </c>
      <c r="C1348" s="5" t="inlineStr">
        <is>
          <t>Unlocked</t>
        </is>
      </c>
      <c r="D1348" s="5" t="inlineStr">
        <is>
          <t>InputLevel</t>
        </is>
      </c>
      <c r="E1348" s="5" t="inlineStr">
        <is>
          <t>Factor</t>
        </is>
      </c>
      <c r="F1348" s="5" t="inlineStr">
        <is>
          <t>CoefficientPercent</t>
        </is>
      </c>
      <c r="G1348" s="5" t="inlineStr">
        <is>
          <t>EffectiveHits</t>
        </is>
      </c>
      <c r="H1348" s="5" t="inlineStr">
        <is>
          <t>ProcProbability</t>
        </is>
      </c>
      <c r="I1348" s="5" t="inlineStr">
        <is>
          <t>MapleHeroMultiplier</t>
        </is>
      </c>
      <c r="J1348" s="5" t="inlineStr">
        <is>
          <t>BaseDamage</t>
        </is>
      </c>
      <c r="K1348" s="5" t="inlineStr">
        <is>
          <t>BaseHitDamage</t>
        </is>
      </c>
      <c r="L1348" s="5" t="inlineStr">
        <is>
          <t>NonCritAvg</t>
        </is>
      </c>
      <c r="M1348" s="5" t="inlineStr">
        <is>
          <t>CritAvg</t>
        </is>
      </c>
      <c r="N1348" s="5" t="inlineStr">
        <is>
          <t>ExpectedDamage(perHit)</t>
        </is>
      </c>
      <c r="O1348" s="5" t="inlineStr">
        <is>
          <t>DPS</t>
        </is>
      </c>
      <c r="P1348" s="5" t="inlineStr">
        <is>
          <t>% of Total</t>
        </is>
      </c>
      <c r="Q1348" s="5" t="inlineStr">
        <is>
          <t>InvCooldown</t>
        </is>
      </c>
      <c r="R1348" s="5" t="inlineStr">
        <is>
          <t>CastsInFight</t>
        </is>
      </c>
      <c r="S1348" s="5" t="inlineStr">
        <is>
          <t>HitRate(perSec)</t>
        </is>
      </c>
      <c r="U1348" t="inlineStr">
        <is>
          <t>helpers</t>
        </is>
      </c>
    </row>
    <row r="1349">
      <c r="A1349">
        <f>Skills!A2</f>
        <v/>
      </c>
      <c r="B1349">
        <f>Skills!B2</f>
        <v/>
      </c>
      <c r="C1349">
        <f>Inputs!$B$3&gt;=100</f>
        <v/>
      </c>
      <c r="D1349" t="inlineStr"/>
      <c r="E1349" t="inlineStr"/>
      <c r="F1349">
        <f>U1351+Skills!O2</f>
        <v/>
      </c>
      <c r="G1349">
        <f>Skills!G2*IF(Skills!H2&gt;0,Skills!I2/Skills!H2,1)</f>
        <v/>
      </c>
      <c r="H1349">
        <f>1-(1-Skills!J2/100)^Skills!K2</f>
        <v/>
      </c>
      <c r="I1349" t="inlineStr">
        <is>
          <t>1</t>
        </is>
      </c>
      <c r="J1349">
        <f>((Inputs!$B$6*(1+Inputs!$B$7/100))+(((Inputs!$B$12*(1+Inputs!$B$13/100))-(Inputs!$B$12*(1+Inputs!$B$13/100)))+0.25*(Inputs!$B$14-Inputs!$B$14))*(1+Inputs!$B$7/100))*(F1349/100)</f>
        <v/>
      </c>
      <c r="K1349">
        <f>J1349*(1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1349)</f>
        <v/>
      </c>
      <c r="L1349">
        <f>K1349*(MIN(Inputs!$B$22+((C1369=TRUE)*(F1369-Calc!F22)),(Inputs!$B$23+0+(IF(ArtifactsInput!$M$15,CHOOSE(ArtifactsInput!$N$15+1,25,30,35,40,45,50)/100*(Inputs!$B$11-Inputs!$B$11),0))))/100+(Inputs!$B$23+0+(IF(ArtifactsInput!$M$15,CHOOSE(ArtifactsInput!$N$15+1,25,30,35,40,45,50)/100*(Inputs!$B$11-Inputs!$B$11),0)))/100)/2</f>
        <v/>
      </c>
      <c r="M1349">
        <f>L1349*(1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9">
        <f>L1349*(1-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1349*(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9">
        <f>(1-Summary!$B$11)*T1349+Summary!$B$11*V1349</f>
        <v/>
      </c>
      <c r="P1349">
        <f>IF(B1388=0,0,O1349/B1388)</f>
        <v/>
      </c>
      <c r="Q1349" t="n">
        <v>0</v>
      </c>
      <c r="R1349" t="n">
        <v>0</v>
      </c>
      <c r="S1349">
        <f>IFERROR(O1349/N1349,0)</f>
        <v/>
      </c>
      <c r="T1349">
        <f>IF(C1349,(Skills!G2*N1349*B1382)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1349*(1-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1349*(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1349*(1-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1349*(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49">
        <f>MAX(0,(Inputs!$B$3-100)*3)+Inputs!$B$28+Inputs!$B$29</f>
        <v/>
      </c>
      <c r="V1349">
        <f>IF(C1349,(Skills!G2*N1349*B1382)*IF(Inputs!$B$38="pvp",1,(1+(Inputs!$B$21+Skills!Q2+(IF(ArtifactsInput!$M$33,CHOOSE(ArtifactsInput!$N$33+1,30,36,42,48,54,60),0))+(IF(AND(ArtifactsInput!$M$35,Inputs!$B$4&lt;&gt;"Chapter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0">
      <c r="A1350">
        <f>Skills!A3</f>
        <v/>
      </c>
      <c r="B1350">
        <f>Skills!B3</f>
        <v/>
      </c>
      <c r="C1350">
        <f>Inputs!$B$3&gt;=35</f>
        <v/>
      </c>
      <c r="D1350">
        <f>IF(Skills!C3=1,60+Inputs!$B$25+Inputs!$B$29,IF(Skills!C3=2,90+Inputs!$B$26+Inputs!$B$29,IF(Skills!C3=3,120+Inputs!$B$27+Inputs!$B$29,MAX(0,(Inputs!$B$3-100)*3)+Inputs!$B$28+Inputs!$B$29)))</f>
        <v/>
      </c>
      <c r="E1350">
        <f>INDEX(FactorTable!$B$2:$Y$301, MATCH(ROUND(MIN(300,MAX(1,D1350)),0), FactorTable!$A$2:$A$301,0), Skills!M3+1)</f>
        <v/>
      </c>
      <c r="F1350">
        <f>IF(Skills!N3=TRUE,(Skills!L3/10)*(E1350/1000),Skills!L3/10)+Skills!O3</f>
        <v/>
      </c>
      <c r="G1350">
        <f>Skills!G3*IF(Skills!H3&gt;0,Skills!I3/Skills!H3,1)</f>
        <v/>
      </c>
      <c r="H1350">
        <f>1-(1-Skills!J3/100)^Skills!K3</f>
        <v/>
      </c>
      <c r="I1350" t="inlineStr">
        <is>
          <t>1</t>
        </is>
      </c>
      <c r="J1350">
        <f>((Inputs!$B$6*(1+Inputs!$B$7/100))+(((Inputs!$B$12*(1+Inputs!$B$13/100))-(Inputs!$B$12*(1+Inputs!$B$13/100)))+0.25*(Inputs!$B$14-Inputs!$B$14))*(1+Inputs!$B$7/100))*(F1350/100)</f>
        <v/>
      </c>
      <c r="K1350">
        <f>J1350*(1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1362=TRUE,F1362,0)/100)*(1+(IF(Skills!A3="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1350)</f>
        <v/>
      </c>
      <c r="L1350">
        <f>K1350*(MIN(Inputs!$B$22+((C1369=TRUE)*(F1369-Calc!F22)),(Inputs!$B$23+0+(IF(ArtifactsInput!$M$15,CHOOSE(ArtifactsInput!$N$15+1,25,30,35,40,45,50)/100*(Inputs!$B$11-Inputs!$B$11),0))))/100+(Inputs!$B$23+0+(IF(ArtifactsInput!$M$15,CHOOSE(ArtifactsInput!$N$15+1,25,30,35,40,45,50)/100*(Inputs!$B$11-Inputs!$B$11),0)))/100)/2</f>
        <v/>
      </c>
      <c r="M1350">
        <f>L1350*(1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0">
        <f>L1350*(1-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1350*(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0">
        <f>(1-Summary!$B$11)*T1350+Summary!$B$11*V1350</f>
        <v/>
      </c>
      <c r="P1350">
        <f>IF(B1388=0,0,O1350/B1388)</f>
        <v/>
      </c>
      <c r="Q1350">
        <f>IFERROR(1/(IF(Inputs!$B$38="pvp",15,MAX(0.1,Skills!D3-IF(Skills!E3=TRUE,Inputs!$B$32,0)))*(1-IF(AND(ArtifactsInput!$M$27,Inputs!$B$4="Chapter Hunt"),CHOOSE(ArtifactsInput!$N$27+1,20,24,28,32,36,40),0)/100)),0)</f>
        <v/>
      </c>
      <c r="R1350">
        <f>IF(AND(Inputs!$B$38&lt;&gt;"pvp",Inputs!$B$43&gt;0),IF(MAX(0,Inputs!$B$43-B1385)&lt;=0,0,(INT(MAX(0,Inputs!$B$43-B1385)/(IF(Inputs!$B$38="pvp",15,MAX(0.1,Skills!D3-IF(Skills!E3=TRUE,Inputs!$B$32,0)))*(1-IF(AND(ArtifactsInput!$M$27,Inputs!$B$4="Chapter Hunt"),CHOOSE(ArtifactsInput!$N$27+1,20,24,28,32,36,40),0)/100)))+1)),0)</f>
        <v/>
      </c>
      <c r="S1350">
        <f>IFERROR(O1350/N1350,0)</f>
        <v/>
      </c>
      <c r="T1350">
        <f>IF(C1350,(H1350*N1350*IF(AND(Inputs!$B$38&lt;&gt;"pvp",Inputs!$B$43&gt;0),((Skills!G3*((R1350-1)*IF(Skills!H3&gt;0,Skills!I3/Skills!H3,1)+IF(Skills!H3&gt;0,MIN(Skills!I3,MAX(0,MAX(0,Inputs!$B$43-B1385)-((R1350-1)*(IF(Inputs!$B$38="pvp",15,MAX(0.1,Skills!D3-IF(Skills!E3=TRUE,Inputs!$B$32,0)))*(1-IF(AND(ArtifactsInput!$M$27,Inputs!$B$4="Chapter Hunt"),CHOOSE(ArtifactsInput!$N$27+1,20,24,28,32,36,40),0)/100)))))/Skills!H3,1)))/Inputs!$B$43),G1350*Q1350)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1350*(1-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1350*(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1350*(1-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1350*(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0">
        <f>INDEX(FactorTable!$B$2:$Y$301, MATCH(ROUND(MIN(300,MAX(1,U1349)),0), FactorTable!$A$2:$A$301,0), 22)</f>
        <v/>
      </c>
      <c r="V1350">
        <f>IF(C1350,(H1350*N1350*IF(AND(Inputs!$B$38&lt;&gt;"pvp",Inputs!$B$43&gt;0),((Skills!G3*((R1350-1)*IF(Skills!H3&gt;0,Skills!I3/Skills!H3,1)+IF(Skills!H3&gt;0,MIN(Skills!I3,MAX(0,MAX(0,Inputs!$B$43-B1385)-((R1350-1)*(IF(Inputs!$B$38="pvp",15,MAX(0.1,Skills!D3-IF(Skills!E3=TRUE,Inputs!$B$32,0)))*(1-IF(AND(ArtifactsInput!$M$27,Inputs!$B$4="Chapter Hunt"),CHOOSE(ArtifactsInput!$N$27+1,20,24,28,32,36,40),0)/100)))))/Skills!H3,1)))/Inputs!$B$43),G1350*Q1350))*IF(Inputs!$B$38="pvp",1,(1+(Inputs!$B$21+Skills!Q3+(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1">
      <c r="A1351">
        <f>Skills!A4</f>
        <v/>
      </c>
      <c r="B1351">
        <f>Skills!B4</f>
        <v/>
      </c>
      <c r="C1351">
        <f>Inputs!$B$3&gt;=40</f>
        <v/>
      </c>
      <c r="D1351">
        <f>IF(Skills!C4=1,60+Inputs!$B$25+Inputs!$B$29,IF(Skills!C4=2,90+Inputs!$B$26+Inputs!$B$29,IF(Skills!C4=3,120+Inputs!$B$27+Inputs!$B$29,MAX(0,(Inputs!$B$3-100)*3)+Inputs!$B$28+Inputs!$B$29)))</f>
        <v/>
      </c>
      <c r="E1351">
        <f>INDEX(FactorTable!$B$2:$Y$301, MATCH(ROUND(MIN(300,MAX(1,D1351)),0), FactorTable!$A$2:$A$301,0), Skills!M4+1)</f>
        <v/>
      </c>
      <c r="F1351">
        <f>IF(Skills!N4=TRUE,(Skills!L4/10)*(E1351/1000),Skills!L4/10)+Skills!O4</f>
        <v/>
      </c>
      <c r="G1351">
        <f>Skills!G4*IF(Skills!H4&gt;0,Skills!I4/Skills!H4,1)</f>
        <v/>
      </c>
      <c r="H1351">
        <f>1-(1-Skills!J4/100)^Skills!K4</f>
        <v/>
      </c>
      <c r="I1351" t="inlineStr">
        <is>
          <t>1</t>
        </is>
      </c>
      <c r="J1351">
        <f>((Inputs!$B$6*(1+Inputs!$B$7/100))+(((Inputs!$B$12*(1+Inputs!$B$13/100))-(Inputs!$B$12*(1+Inputs!$B$13/100)))+0.25*(Inputs!$B$14-Inputs!$B$14))*(1+Inputs!$B$7/100))*(F1351/100)</f>
        <v/>
      </c>
      <c r="K1351">
        <f>J1351*(1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1363=TRUE,F1363,0)/100)*(1+(IF(Skills!A4="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1351)</f>
        <v/>
      </c>
      <c r="L1351">
        <f>K1351*(MIN(Inputs!$B$22+((C1369=TRUE)*(F1369-Calc!F22)),(Inputs!$B$23+0+(IF(ArtifactsInput!$M$15,CHOOSE(ArtifactsInput!$N$15+1,25,30,35,40,45,50)/100*(Inputs!$B$11-Inputs!$B$11),0))))/100+(Inputs!$B$23+0+(IF(ArtifactsInput!$M$15,CHOOSE(ArtifactsInput!$N$15+1,25,30,35,40,45,50)/100*(Inputs!$B$11-Inputs!$B$11),0)))/100)/2</f>
        <v/>
      </c>
      <c r="M1351">
        <f>L1351*(1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1">
        <f>L1351*(1-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1">
        <f>(1-Summary!$B$11)*T1351+Summary!$B$11*V1351</f>
        <v/>
      </c>
      <c r="P1351">
        <f>IF(B1388=0,0,O1351/B1388)</f>
        <v/>
      </c>
      <c r="Q1351">
        <f>IFERROR(1/(IF(Inputs!$B$38="pvp",15,MAX(0.1,Skills!D4-IF(Skills!E4=TRUE,Inputs!$B$32,0)))*(1-IF(AND(ArtifactsInput!$M$27,Inputs!$B$4="Chapter Hunt"),CHOOSE(ArtifactsInput!$N$27+1,20,24,28,32,36,40),0)/100)),0)</f>
        <v/>
      </c>
      <c r="R1351">
        <f>IF(AND(Inputs!$B$38&lt;&gt;"pvp",Inputs!$B$43&gt;0),IF(MAX(0,Inputs!$B$43-B1385)&lt;=0,0,(INT(MAX(0,Inputs!$B$43-B1385)/(IF(Inputs!$B$38="pvp",15,MAX(0.1,Skills!D4-IF(Skills!E4=TRUE,Inputs!$B$32,0)))*(1-IF(AND(ArtifactsInput!$M$27,Inputs!$B$4="Chapter Hunt"),CHOOSE(ArtifactsInput!$N$27+1,20,24,28,32,36,40),0)/100)))+1)),0)</f>
        <v/>
      </c>
      <c r="S1351">
        <f>IFERROR(O1351/N1351,0)</f>
        <v/>
      </c>
      <c r="T1351">
        <f>IF(C1351,(H1351*N1351*IF(AND(Inputs!$B$38&lt;&gt;"pvp",Inputs!$B$43&gt;0),((Skills!G4*((R1351-1)*IF(Skills!H4&gt;0,Skills!I4/Skills!H4,1)+IF(Skills!H4&gt;0,MIN(Skills!I4,MAX(0,MAX(0,Inputs!$B$43-B1385)-((R1351-1)*(IF(Inputs!$B$38="pvp",15,MAX(0.1,Skills!D4-IF(Skills!E4=TRUE,Inputs!$B$32,0)))*(1-IF(AND(ArtifactsInput!$M$27,Inputs!$B$4="Chapter Hunt"),CHOOSE(ArtifactsInput!$N$27+1,20,24,28,32,36,40),0)/100)))))/Skills!H4,1)))/Inputs!$B$43),G1351*Q1351)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1351*(1-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1351*(1-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1">
        <f>290*U1350/1000</f>
        <v/>
      </c>
      <c r="V1351">
        <f>IF(C1351,(H1351*N1351*IF(AND(Inputs!$B$38&lt;&gt;"pvp",Inputs!$B$43&gt;0),((Skills!G4*((R1351-1)*IF(Skills!H4&gt;0,Skills!I4/Skills!H4,1)+IF(Skills!H4&gt;0,MIN(Skills!I4,MAX(0,MAX(0,Inputs!$B$43-B1385)-((R1351-1)*(IF(Inputs!$B$38="pvp",15,MAX(0.1,Skills!D4-IF(Skills!E4=TRUE,Inputs!$B$32,0)))*(1-IF(AND(ArtifactsInput!$M$27,Inputs!$B$4="Chapter Hunt"),CHOOSE(ArtifactsInput!$N$27+1,20,24,28,32,36,40),0)/100)))))/Skills!H4,1)))/Inputs!$B$43),G1351*Q1351))*IF(Inputs!$B$38="pvp",1,(1+(Inputs!$B$21+Skills!Q4+(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2">
      <c r="A1352">
        <f>Skills!A5</f>
        <v/>
      </c>
      <c r="B1352">
        <f>Skills!B5</f>
        <v/>
      </c>
      <c r="C1352">
        <f>Inputs!$B$3&gt;=45</f>
        <v/>
      </c>
      <c r="D1352">
        <f>IF(Skills!C5=1,60+Inputs!$B$25+Inputs!$B$29,IF(Skills!C5=2,90+Inputs!$B$26+Inputs!$B$29,IF(Skills!C5=3,120+Inputs!$B$27+Inputs!$B$29,MAX(0,(Inputs!$B$3-100)*3)+Inputs!$B$28+Inputs!$B$29)))</f>
        <v/>
      </c>
      <c r="E1352">
        <f>INDEX(FactorTable!$B$2:$Y$301, MATCH(ROUND(MIN(300,MAX(1,D1352)),0), FactorTable!$A$2:$A$301,0), Skills!M5+1)</f>
        <v/>
      </c>
      <c r="F1352">
        <f>IF(Skills!N5=TRUE,(Skills!L5/10)*(E1352/1000),Skills!L5/10)+Skills!O5</f>
        <v/>
      </c>
      <c r="G1352">
        <f>Skills!G5*IF(Skills!H5&gt;0,Skills!I5/Skills!H5,1)</f>
        <v/>
      </c>
      <c r="H1352">
        <f>1-(1-Skills!J5/100)^Skills!K5</f>
        <v/>
      </c>
      <c r="I1352" t="inlineStr">
        <is>
          <t>1</t>
        </is>
      </c>
      <c r="J1352">
        <f>((Inputs!$B$6*(1+Inputs!$B$7/100))+(((Inputs!$B$12*(1+Inputs!$B$13/100))-(Inputs!$B$12*(1+Inputs!$B$13/100)))+0.25*(Inputs!$B$14-Inputs!$B$14))*(1+Inputs!$B$7/100))*(F1352/100)</f>
        <v/>
      </c>
      <c r="K1352">
        <f>J1352*(1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1363=TRUE,F1363,0)/100)*(1+(IF(Skills!A5="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1352)</f>
        <v/>
      </c>
      <c r="L1352">
        <f>K1352*(MIN(Inputs!$B$22+((C1369=TRUE)*(F1369-Calc!F22)),(Inputs!$B$23+0+(IF(ArtifactsInput!$M$15,CHOOSE(ArtifactsInput!$N$15+1,25,30,35,40,45,50)/100*(Inputs!$B$11-Inputs!$B$11),0))))/100+(Inputs!$B$23+0+(IF(ArtifactsInput!$M$15,CHOOSE(ArtifactsInput!$N$15+1,25,30,35,40,45,50)/100*(Inputs!$B$11-Inputs!$B$11),0)))/100)/2</f>
        <v/>
      </c>
      <c r="M1352">
        <f>L1352*(1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2">
        <f>L1352*(1-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1352*(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2">
        <f>(1-Summary!$B$11)*T1352+Summary!$B$11*V1352</f>
        <v/>
      </c>
      <c r="P1352">
        <f>IF(B1388=0,0,O1352/B1388)</f>
        <v/>
      </c>
      <c r="Q1352">
        <f>IFERROR(1/(IF(Inputs!$B$38="pvp",15,MAX(0.1,Skills!D5-IF(Skills!E5=TRUE,Inputs!$B$32,0)))*(1-IF(AND(ArtifactsInput!$M$27,Inputs!$B$4="Chapter Hunt"),CHOOSE(ArtifactsInput!$N$27+1,20,24,28,32,36,40),0)/100)),0)</f>
        <v/>
      </c>
      <c r="R1352">
        <f>IF(AND(Inputs!$B$38&lt;&gt;"pvp",Inputs!$B$43&gt;0),IF(MAX(0,Inputs!$B$43-B1385)&lt;=0,0,(INT(MAX(0,Inputs!$B$43-B1385)/(IF(Inputs!$B$38="pvp",15,MAX(0.1,Skills!D5-IF(Skills!E5=TRUE,Inputs!$B$32,0)))*(1-IF(AND(ArtifactsInput!$M$27,Inputs!$B$4="Chapter Hunt"),CHOOSE(ArtifactsInput!$N$27+1,20,24,28,32,36,40),0)/100)))+1)),0)</f>
        <v/>
      </c>
      <c r="S1352">
        <f>IFERROR(O1352/N1352,0)</f>
        <v/>
      </c>
      <c r="T1352">
        <f>IF(C1352,(H1352*N1352*IF(AND(Inputs!$B$38&lt;&gt;"pvp",Inputs!$B$43&gt;0),((Skills!G5*((R1352-1)*IF(Skills!H5&gt;0,Skills!I5/Skills!H5,1)+IF(Skills!H5&gt;0,MIN(Skills!I5,MAX(0,MAX(0,Inputs!$B$43-B1385)-((R1352-1)*(IF(Inputs!$B$38="pvp",15,MAX(0.1,Skills!D5-IF(Skills!E5=TRUE,Inputs!$B$32,0)))*(1-IF(AND(ArtifactsInput!$M$27,Inputs!$B$4="Chapter Hunt"),CHOOSE(ArtifactsInput!$N$27+1,20,24,28,32,36,40),0)/100)))))/Skills!H5,1)))/Inputs!$B$43),G1352*Q1352)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1352*(1-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1352*(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1352*(1-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1352*(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2">
        <f>IF(C1352,(H1352*N1352*IF(AND(Inputs!$B$38&lt;&gt;"pvp",Inputs!$B$43&gt;0),((Skills!G5*((R1352-1)*IF(Skills!H5&gt;0,Skills!I5/Skills!H5,1)+IF(Skills!H5&gt;0,MIN(Skills!I5,MAX(0,MAX(0,Inputs!$B$43-B1385)-((R1352-1)*(IF(Inputs!$B$38="pvp",15,MAX(0.1,Skills!D5-IF(Skills!E5=TRUE,Inputs!$B$32,0)))*(1-IF(AND(ArtifactsInput!$M$27,Inputs!$B$4="Chapter Hunt"),CHOOSE(ArtifactsInput!$N$27+1,20,24,28,32,36,40),0)/100)))))/Skills!H5,1)))/Inputs!$B$43),G1352*Q1352))*IF(Inputs!$B$38="pvp",1,(1+(Inputs!$B$21+Skills!Q5+(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3">
      <c r="A1353">
        <f>Skills!A6</f>
        <v/>
      </c>
      <c r="B1353">
        <f>Skills!B6</f>
        <v/>
      </c>
      <c r="C1353">
        <f>Inputs!$B$3&gt;=63</f>
        <v/>
      </c>
      <c r="D1353">
        <f>IF(Skills!C6=1,60+Inputs!$B$25+Inputs!$B$29,IF(Skills!C6=2,90+Inputs!$B$26+Inputs!$B$29,IF(Skills!C6=3,120+Inputs!$B$27+Inputs!$B$29,MAX(0,(Inputs!$B$3-100)*3)+Inputs!$B$28+Inputs!$B$29)))</f>
        <v/>
      </c>
      <c r="E1353">
        <f>INDEX(FactorTable!$B$2:$Y$301, MATCH(ROUND(MIN(300,MAX(1,D1353)),0), FactorTable!$A$2:$A$301,0), Skills!M6+1)</f>
        <v/>
      </c>
      <c r="F1353">
        <f>IF(Skills!N6=TRUE,(Skills!L6/10)*(E1353/1000),Skills!L6/10)+Skills!O6</f>
        <v/>
      </c>
      <c r="G1353">
        <f>Skills!G6*IF(Skills!H6&gt;0,Skills!I6/Skills!H6,1)</f>
        <v/>
      </c>
      <c r="H1353">
        <f>1-(1-Skills!J6/100)^Skills!K6</f>
        <v/>
      </c>
      <c r="I1353" t="inlineStr">
        <is>
          <t>1</t>
        </is>
      </c>
      <c r="J1353">
        <f>((Inputs!$B$6*(1+Inputs!$B$7/100))+(((Inputs!$B$12*(1+Inputs!$B$13/100))-(Inputs!$B$12*(1+Inputs!$B$13/100)))+0.25*(Inputs!$B$14-Inputs!$B$14))*(1+Inputs!$B$7/100))*(F1353/100)</f>
        <v/>
      </c>
      <c r="K1353">
        <f>J1353*(1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1362=TRUE,F1362,0)/100)*(1+(IF(Skills!A6="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1353)</f>
        <v/>
      </c>
      <c r="L1353">
        <f>K1353*(MIN(Inputs!$B$22+((C1369=TRUE)*(F1369-Calc!F22)),(Inputs!$B$23+0+(IF(ArtifactsInput!$M$15,CHOOSE(ArtifactsInput!$N$15+1,25,30,35,40,45,50)/100*(Inputs!$B$11-Inputs!$B$11),0))))/100+(Inputs!$B$23+0+(IF(ArtifactsInput!$M$15,CHOOSE(ArtifactsInput!$N$15+1,25,30,35,40,45,50)/100*(Inputs!$B$11-Inputs!$B$11),0)))/100)/2</f>
        <v/>
      </c>
      <c r="M1353">
        <f>L1353*(1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3">
        <f>L1353*(1-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1353*(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3">
        <f>(1-Summary!$B$11)*T1353+Summary!$B$11*V1353</f>
        <v/>
      </c>
      <c r="P1353">
        <f>IF(B1388=0,0,O1353/B1388)</f>
        <v/>
      </c>
      <c r="Q1353">
        <f>IFERROR(1/(IF(Inputs!$B$38="pvp",15,MAX(0.1,Skills!D6-IF(Skills!E6=TRUE,Inputs!$B$32,0)))*(1-IF(AND(ArtifactsInput!$M$27,Inputs!$B$4="Chapter Hunt"),CHOOSE(ArtifactsInput!$N$27+1,20,24,28,32,36,40),0)/100)),0)</f>
        <v/>
      </c>
      <c r="R1353">
        <f>IF(AND(Inputs!$B$38&lt;&gt;"pvp",Inputs!$B$43&gt;0),IF(MAX(0,Inputs!$B$43-B1385)&lt;=0,0,(INT(MAX(0,Inputs!$B$43-B1385)/(IF(Inputs!$B$38="pvp",15,MAX(0.1,Skills!D6-IF(Skills!E6=TRUE,Inputs!$B$32,0)))*(1-IF(AND(ArtifactsInput!$M$27,Inputs!$B$4="Chapter Hunt"),CHOOSE(ArtifactsInput!$N$27+1,20,24,28,32,36,40),0)/100)))+1)),0)</f>
        <v/>
      </c>
      <c r="S1353">
        <f>IFERROR(O1353/N1353,0)</f>
        <v/>
      </c>
      <c r="T1353">
        <f>IF(C1353,(H1353*N1353*IF(AND(Inputs!$B$38&lt;&gt;"pvp",Inputs!$B$43&gt;0),((Skills!G6*((R1353-1)*IF(Skills!H6&gt;0,Skills!I6/Skills!H6,1)+IF(Skills!H6&gt;0,MIN(Skills!I6,MAX(0,MAX(0,Inputs!$B$43-B1385)-((R1353-1)*(IF(Inputs!$B$38="pvp",15,MAX(0.1,Skills!D6-IF(Skills!E6=TRUE,Inputs!$B$32,0)))*(1-IF(AND(ArtifactsInput!$M$27,Inputs!$B$4="Chapter Hunt"),CHOOSE(ArtifactsInput!$N$27+1,20,24,28,32,36,40),0)/100)))))/Skills!H6,1)))/Inputs!$B$43),G1353*Q1353)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1353*(1-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1353*(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1353*(1-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1353*(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3">
        <f>IF(C1353,(H1353*N1353*IF(AND(Inputs!$B$38&lt;&gt;"pvp",Inputs!$B$43&gt;0),((Skills!G6*((R1353-1)*IF(Skills!H6&gt;0,Skills!I6/Skills!H6,1)+IF(Skills!H6&gt;0,MIN(Skills!I6,MAX(0,MAX(0,Inputs!$B$43-B1385)-((R1353-1)*(IF(Inputs!$B$38="pvp",15,MAX(0.1,Skills!D6-IF(Skills!E6=TRUE,Inputs!$B$32,0)))*(1-IF(AND(ArtifactsInput!$M$27,Inputs!$B$4="Chapter Hunt"),CHOOSE(ArtifactsInput!$N$27+1,20,24,28,32,36,40),0)/100)))))/Skills!H6,1)))/Inputs!$B$43),G1353*Q1353))*IF(Inputs!$B$38="pvp",1,(1+(Inputs!$B$21+Skills!Q6+(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4">
      <c r="A1354">
        <f>Skills!A7</f>
        <v/>
      </c>
      <c r="B1354">
        <f>Skills!B7</f>
        <v/>
      </c>
      <c r="C1354">
        <f>Inputs!$B$3&gt;=66</f>
        <v/>
      </c>
      <c r="D1354">
        <f>IF(Skills!C7=1,60+Inputs!$B$25+Inputs!$B$29,IF(Skills!C7=2,90+Inputs!$B$26+Inputs!$B$29,IF(Skills!C7=3,120+Inputs!$B$27+Inputs!$B$29,MAX(0,(Inputs!$B$3-100)*3)+Inputs!$B$28+Inputs!$B$29)))</f>
        <v/>
      </c>
      <c r="E1354">
        <f>INDEX(FactorTable!$B$2:$Y$301, MATCH(ROUND(MIN(300,MAX(1,D1354)),0), FactorTable!$A$2:$A$301,0), Skills!M7+1)</f>
        <v/>
      </c>
      <c r="F1354">
        <f>IF(Skills!N7=TRUE,(Skills!L7/10)*(E1354/1000),Skills!L7/10)+Skills!O7</f>
        <v/>
      </c>
      <c r="G1354">
        <f>Skills!G7*IF(Skills!H7&gt;0,Skills!I7/Skills!H7,1)</f>
        <v/>
      </c>
      <c r="H1354">
        <f>1-(1-Skills!J7/100)^Skills!K7</f>
        <v/>
      </c>
      <c r="I1354" t="inlineStr">
        <is>
          <t>1</t>
        </is>
      </c>
      <c r="J1354">
        <f>((Inputs!$B$6*(1+Inputs!$B$7/100))+(((Inputs!$B$12*(1+Inputs!$B$13/100))-(Inputs!$B$12*(1+Inputs!$B$13/100)))+0.25*(Inputs!$B$14-Inputs!$B$14))*(1+Inputs!$B$7/100))*(F1354/100)</f>
        <v/>
      </c>
      <c r="K1354">
        <f>J1354*(1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1362=TRUE,F1362,0)/100)*(1+(IF(Skills!A7="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1354)</f>
        <v/>
      </c>
      <c r="L1354">
        <f>K1354*(MIN(Inputs!$B$22+((C1369=TRUE)*(F1369-Calc!F22)),(Inputs!$B$23+0+(IF(ArtifactsInput!$M$15,CHOOSE(ArtifactsInput!$N$15+1,25,30,35,40,45,50)/100*(Inputs!$B$11-Inputs!$B$11),0))))/100+(Inputs!$B$23+0+(IF(ArtifactsInput!$M$15,CHOOSE(ArtifactsInput!$N$15+1,25,30,35,40,45,50)/100*(Inputs!$B$11-Inputs!$B$11),0)))/100)/2</f>
        <v/>
      </c>
      <c r="M1354">
        <f>L1354*(1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4">
        <f>L1354*(1-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1354*(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4">
        <f>(1-Summary!$B$11)*T1354+Summary!$B$11*V1354</f>
        <v/>
      </c>
      <c r="P1354">
        <f>IF(B1388=0,0,O1354/B1388)</f>
        <v/>
      </c>
      <c r="Q1354">
        <f>IFERROR(1/(IF(Inputs!$B$38="pvp",15,MAX(0.1,Skills!D7-IF(Skills!E7=TRUE,Inputs!$B$32,0)))*(1-IF(AND(ArtifactsInput!$M$27,Inputs!$B$4="Chapter Hunt"),CHOOSE(ArtifactsInput!$N$27+1,20,24,28,32,36,40),0)/100)),0)</f>
        <v/>
      </c>
      <c r="R1354">
        <f>IF(AND(Inputs!$B$38&lt;&gt;"pvp",Inputs!$B$43&gt;0),IF(MAX(0,Inputs!$B$43-B1385)&lt;=0,0,(INT(MAX(0,Inputs!$B$43-B1385)/(IF(Inputs!$B$38="pvp",15,MAX(0.1,Skills!D7-IF(Skills!E7=TRUE,Inputs!$B$32,0)))*(1-IF(AND(ArtifactsInput!$M$27,Inputs!$B$4="Chapter Hunt"),CHOOSE(ArtifactsInput!$N$27+1,20,24,28,32,36,40),0)/100)))+1)),0)</f>
        <v/>
      </c>
      <c r="S1354">
        <f>IFERROR(O1354/N1354,0)</f>
        <v/>
      </c>
      <c r="T1354">
        <f>IF(C1354,(H1354*N1354*IF(AND(Inputs!$B$38&lt;&gt;"pvp",Inputs!$B$43&gt;0),((Skills!G7*((R1354-1)*IF(Skills!H7&gt;0,Skills!I7/Skills!H7,1)+IF(Skills!H7&gt;0,MIN(Skills!I7,MAX(0,MAX(0,Inputs!$B$43-B1385)-((R1354-1)*(IF(Inputs!$B$38="pvp",15,MAX(0.1,Skills!D7-IF(Skills!E7=TRUE,Inputs!$B$32,0)))*(1-IF(AND(ArtifactsInput!$M$27,Inputs!$B$4="Chapter Hunt"),CHOOSE(ArtifactsInput!$N$27+1,20,24,28,32,36,40),0)/100)))))/Skills!H7,1)))/Inputs!$B$43),G1354*Q1354)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1354*(1-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1354*(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1354*(1-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1354*(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4">
        <f>IF(C1354,(H1354*N1354*IF(AND(Inputs!$B$38&lt;&gt;"pvp",Inputs!$B$43&gt;0),((Skills!G7*((R1354-1)*IF(Skills!H7&gt;0,Skills!I7/Skills!H7,1)+IF(Skills!H7&gt;0,MIN(Skills!I7,MAX(0,MAX(0,Inputs!$B$43-B1385)-((R1354-1)*(IF(Inputs!$B$38="pvp",15,MAX(0.1,Skills!D7-IF(Skills!E7=TRUE,Inputs!$B$32,0)))*(1-IF(AND(ArtifactsInput!$M$27,Inputs!$B$4="Chapter Hunt"),CHOOSE(ArtifactsInput!$N$27+1,20,24,28,32,36,40),0)/100)))))/Skills!H7,1)))/Inputs!$B$43),G1354*Q1354))*IF(Inputs!$B$38="pvp",1,(1+(Inputs!$B$21+Skills!Q7+(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5">
      <c r="A1355">
        <f>Skills!A8</f>
        <v/>
      </c>
      <c r="B1355">
        <f>Skills!B8</f>
        <v/>
      </c>
      <c r="C1355">
        <f>Inputs!$B$3&gt;=100</f>
        <v/>
      </c>
      <c r="D1355">
        <f>IF(Skills!C8=1,60+Inputs!$B$25+Inputs!$B$29,IF(Skills!C8=2,90+Inputs!$B$26+Inputs!$B$29,IF(Skills!C8=3,120+Inputs!$B$27+Inputs!$B$29,MAX(0,(Inputs!$B$3-100)*3)+Inputs!$B$28+Inputs!$B$29)))</f>
        <v/>
      </c>
      <c r="E1355">
        <f>INDEX(FactorTable!$B$2:$Y$301, MATCH(ROUND(MIN(300,MAX(1,D1355)),0), FactorTable!$A$2:$A$301,0), Skills!M8+1)</f>
        <v/>
      </c>
      <c r="F1355">
        <f>IF(Skills!N8=TRUE,(Skills!L8/10)*(E1355/1000),Skills!L8/10)+Skills!O8</f>
        <v/>
      </c>
      <c r="G1355">
        <f>Skills!G8*IF(Skills!H8&gt;0,Skills!I8/Skills!H8,1)</f>
        <v/>
      </c>
      <c r="H1355">
        <f>1-(1-Skills!J8/100)^Skills!K8</f>
        <v/>
      </c>
      <c r="I1355" t="inlineStr">
        <is>
          <t>1</t>
        </is>
      </c>
      <c r="J1355">
        <f>((Inputs!$B$6*(1+Inputs!$B$7/100))+(((Inputs!$B$12*(1+Inputs!$B$13/100))-(Inputs!$B$12*(1+Inputs!$B$13/100)))+0.25*(Inputs!$B$14-Inputs!$B$14))*(1+Inputs!$B$7/100))*(F1355/100)</f>
        <v/>
      </c>
      <c r="K1355">
        <f>J1355*(1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1355)</f>
        <v/>
      </c>
      <c r="L1355">
        <f>K1355*(MIN(Inputs!$B$22+((C1369=TRUE)*(F1369-Calc!F22)),(Inputs!$B$23+0+(IF(ArtifactsInput!$M$15,CHOOSE(ArtifactsInput!$N$15+1,25,30,35,40,45,50)/100*(Inputs!$B$11-Inputs!$B$11),0))))/100+(Inputs!$B$23+0+(IF(ArtifactsInput!$M$15,CHOOSE(ArtifactsInput!$N$15+1,25,30,35,40,45,50)/100*(Inputs!$B$11-Inputs!$B$11),0)))/100)/2</f>
        <v/>
      </c>
      <c r="M1355">
        <f>L1355*(1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5">
        <f>L1355*(1-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1355*(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5">
        <f>(1-Summary!$B$11)*T1355+Summary!$B$11*V1355</f>
        <v/>
      </c>
      <c r="P1355">
        <f>IF(B1388=0,0,O1355/B1388)</f>
        <v/>
      </c>
      <c r="Q1355">
        <f>IFERROR(1/(IF(Inputs!$B$38="pvp",15,MAX(0.1,Skills!D8-IF(Skills!E8=TRUE,Inputs!$B$32,0)))*(1-IF(AND(ArtifactsInput!$M$27,Inputs!$B$4="Chapter Hunt"),CHOOSE(ArtifactsInput!$N$27+1,20,24,28,32,36,40),0)/100)),0)</f>
        <v/>
      </c>
      <c r="R1355">
        <f>IF(AND(Inputs!$B$38&lt;&gt;"pvp",Inputs!$B$43&gt;0),IF(MAX(0,Inputs!$B$43-B1385)&lt;=0,0,(INT(MAX(0,Inputs!$B$43-B1385)/(IF(Inputs!$B$38="pvp",15,MAX(0.1,Skills!D8-IF(Skills!E8=TRUE,Inputs!$B$32,0)))*(1-IF(AND(ArtifactsInput!$M$27,Inputs!$B$4="Chapter Hunt"),CHOOSE(ArtifactsInput!$N$27+1,20,24,28,32,36,40),0)/100)))+1)),0)</f>
        <v/>
      </c>
      <c r="S1355">
        <f>IFERROR(O1355/N1355,0)</f>
        <v/>
      </c>
      <c r="T1355">
        <f>IF(C1355,(H1355*N1355*IF(AND(Inputs!$B$38&lt;&gt;"pvp",Inputs!$B$43&gt;0),((Skills!G8*((R1355-1)*IF(Skills!H8&gt;0,Skills!I8/Skills!H8,1)+IF(Skills!H8&gt;0,MIN(Skills!I8,MAX(0,MAX(0,Inputs!$B$43-B1385)-((R1355-1)*(IF(Inputs!$B$38="pvp",15,MAX(0.1,Skills!D8-IF(Skills!E8=TRUE,Inputs!$B$32,0)))*(1-IF(AND(ArtifactsInput!$M$27,Inputs!$B$4="Chapter Hunt"),CHOOSE(ArtifactsInput!$N$27+1,20,24,28,32,36,40),0)/100)))))/Skills!H8,1)))/Inputs!$B$43),G1355*Q1355)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1355*(1-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1355*(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1355*(1-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1355*(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5">
        <f>IF(C1355,(H1355*N1355*IF(AND(Inputs!$B$38&lt;&gt;"pvp",Inputs!$B$43&gt;0),((Skills!G8*((R1355-1)*IF(Skills!H8&gt;0,Skills!I8/Skills!H8,1)+IF(Skills!H8&gt;0,MIN(Skills!I8,MAX(0,MAX(0,Inputs!$B$43-B1385)-((R1355-1)*(IF(Inputs!$B$38="pvp",15,MAX(0.1,Skills!D8-IF(Skills!E8=TRUE,Inputs!$B$32,0)))*(1-IF(AND(ArtifactsInput!$M$27,Inputs!$B$4="Chapter Hunt"),CHOOSE(ArtifactsInput!$N$27+1,20,24,28,32,36,40),0)/100)))))/Skills!H8,1)))/Inputs!$B$43),G1355*Q1355))*IF(Inputs!$B$38="pvp",1,(1+(Inputs!$B$21+Skills!Q8+(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6">
      <c r="A1356">
        <f>Skills!A9</f>
        <v/>
      </c>
      <c r="B1356">
        <f>Skills!B9</f>
        <v/>
      </c>
      <c r="C1356">
        <f>Inputs!$B$3&gt;=103</f>
        <v/>
      </c>
      <c r="D1356">
        <f>IF(Skills!C9=1,60+Inputs!$B$25+Inputs!$B$29,IF(Skills!C9=2,90+Inputs!$B$26+Inputs!$B$29,IF(Skills!C9=3,120+Inputs!$B$27+Inputs!$B$29,MAX(0,(Inputs!$B$3-100)*3)+Inputs!$B$28+Inputs!$B$29)))</f>
        <v/>
      </c>
      <c r="E1356">
        <f>INDEX(FactorTable!$B$2:$Y$301, MATCH(ROUND(MIN(300,MAX(1,D1356)),0), FactorTable!$A$2:$A$301,0), Skills!M9+1)</f>
        <v/>
      </c>
      <c r="F1356">
        <f>IF(Skills!N9=TRUE,(Skills!L9/10)*(E1356/1000),Skills!L9/10)+Skills!O9</f>
        <v/>
      </c>
      <c r="G1356">
        <f>Skills!G9*IF(Skills!H9&gt;0,Skills!I9/Skills!H9,1)</f>
        <v/>
      </c>
      <c r="H1356">
        <f>1-(1-Skills!J9/100)^Skills!K9</f>
        <v/>
      </c>
      <c r="I1356" t="inlineStr">
        <is>
          <t>1</t>
        </is>
      </c>
      <c r="J1356">
        <f>((Inputs!$B$6*(1+Inputs!$B$7/100))+(((Inputs!$B$12*(1+Inputs!$B$13/100))-(Inputs!$B$12*(1+Inputs!$B$13/100)))+0.25*(Inputs!$B$14-Inputs!$B$14))*(1+Inputs!$B$7/100))*(F1356/100)</f>
        <v/>
      </c>
      <c r="K1356">
        <f>J1356*(1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1356)</f>
        <v/>
      </c>
      <c r="L1356">
        <f>K1356*(MIN(Inputs!$B$22+((C1369=TRUE)*(F1369-Calc!F22)),(Inputs!$B$23+0+(IF(ArtifactsInput!$M$15,CHOOSE(ArtifactsInput!$N$15+1,25,30,35,40,45,50)/100*(Inputs!$B$11-Inputs!$B$11),0))))/100+(Inputs!$B$23+0+(IF(ArtifactsInput!$M$15,CHOOSE(ArtifactsInput!$N$15+1,25,30,35,40,45,50)/100*(Inputs!$B$11-Inputs!$B$11),0)))/100)/2</f>
        <v/>
      </c>
      <c r="M1356">
        <f>L1356*(1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6">
        <f>L1356*(1-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1356*(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6">
        <f>(1-Summary!$B$11)*T1356+Summary!$B$11*V1356</f>
        <v/>
      </c>
      <c r="P1356">
        <f>IF(B1388=0,0,O1356/B1388)</f>
        <v/>
      </c>
      <c r="Q1356">
        <f>IFERROR(1/(IF(Inputs!$B$38="pvp",15,MAX(0.1,Skills!D9-IF(Skills!E9=TRUE,Inputs!$B$32,0)))*(1-IF(AND(ArtifactsInput!$M$27,Inputs!$B$4="Chapter Hunt"),CHOOSE(ArtifactsInput!$N$27+1,20,24,28,32,36,40),0)/100)),0)</f>
        <v/>
      </c>
      <c r="R1356">
        <f>IF(AND(Inputs!$B$38&lt;&gt;"pvp",Inputs!$B$43&gt;0),IF(MAX(0,Inputs!$B$43-B1385)&lt;=0,0,(INT(MAX(0,Inputs!$B$43-B1385)/(IF(Inputs!$B$38="pvp",15,MAX(0.1,Skills!D9-IF(Skills!E9=TRUE,Inputs!$B$32,0)))*(1-IF(AND(ArtifactsInput!$M$27,Inputs!$B$4="Chapter Hunt"),CHOOSE(ArtifactsInput!$N$27+1,20,24,28,32,36,40),0)/100)))+1)),0)</f>
        <v/>
      </c>
      <c r="S1356">
        <f>IFERROR(O1356/N1356,0)</f>
        <v/>
      </c>
      <c r="T1356">
        <f>IF(C1356,(H1356*N1356*IF(AND(Inputs!$B$38&lt;&gt;"pvp",Inputs!$B$43&gt;0),((Skills!G9*((R1356-1)*IF(Skills!H9&gt;0,Skills!I9/Skills!H9,1)+IF(Skills!H9&gt;0,MIN(Skills!I9,MAX(0,MAX(0,Inputs!$B$43-B1385)-((R1356-1)*(IF(Inputs!$B$38="pvp",15,MAX(0.1,Skills!D9-IF(Skills!E9=TRUE,Inputs!$B$32,0)))*(1-IF(AND(ArtifactsInput!$M$27,Inputs!$B$4="Chapter Hunt"),CHOOSE(ArtifactsInput!$N$27+1,20,24,28,32,36,40),0)/100)))))/Skills!H9,1)))/Inputs!$B$43),G1356*Q1356)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1356*(1-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1356*(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1356*(1-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1356*(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6">
        <f>IF(C1356,(H1356*N1356*IF(AND(Inputs!$B$38&lt;&gt;"pvp",Inputs!$B$43&gt;0),((Skills!G9*((R1356-1)*IF(Skills!H9&gt;0,Skills!I9/Skills!H9,1)+IF(Skills!H9&gt;0,MIN(Skills!I9,MAX(0,MAX(0,Inputs!$B$43-B1385)-((R1356-1)*(IF(Inputs!$B$38="pvp",15,MAX(0.1,Skills!D9-IF(Skills!E9=TRUE,Inputs!$B$32,0)))*(1-IF(AND(ArtifactsInput!$M$27,Inputs!$B$4="Chapter Hunt"),CHOOSE(ArtifactsInput!$N$27+1,20,24,28,32,36,40),0)/100)))))/Skills!H9,1)))/Inputs!$B$43),G1356*Q1356))*IF(Inputs!$B$38="pvp",1,(1+(Inputs!$B$21+Skills!Q9+(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7">
      <c r="A1357">
        <f>Skills!A10</f>
        <v/>
      </c>
      <c r="B1357">
        <f>Skills!B10</f>
        <v/>
      </c>
      <c r="C1357">
        <f>Inputs!$B$3&gt;=113</f>
        <v/>
      </c>
      <c r="D1357">
        <f>IF(Skills!C10=1,60+Inputs!$B$25+Inputs!$B$29,IF(Skills!C10=2,90+Inputs!$B$26+Inputs!$B$29,IF(Skills!C10=3,120+Inputs!$B$27+Inputs!$B$29,MAX(0,(Inputs!$B$3-100)*3)+Inputs!$B$28+Inputs!$B$29)))</f>
        <v/>
      </c>
      <c r="E1357">
        <f>INDEX(FactorTable!$B$2:$Y$301, MATCH(ROUND(MIN(300,MAX(1,D1357)),0), FactorTable!$A$2:$A$301,0), Skills!M10+1)</f>
        <v/>
      </c>
      <c r="F1357">
        <f>IF(Skills!N10=TRUE,(Skills!L10/10)*(E1357/1000),Skills!L10/10)+Skills!O10</f>
        <v/>
      </c>
      <c r="G1357">
        <f>Skills!G10*IF(Skills!H10&gt;0,Skills!I10/Skills!H10,1)</f>
        <v/>
      </c>
      <c r="H1357">
        <f>1-(1-Skills!J10/100)^Skills!K10</f>
        <v/>
      </c>
      <c r="I1357" t="inlineStr">
        <is>
          <t>1</t>
        </is>
      </c>
      <c r="J1357">
        <f>((Inputs!$B$6*(1+Inputs!$B$7/100))+(((Inputs!$B$12*(1+Inputs!$B$13/100))-(Inputs!$B$12*(1+Inputs!$B$13/100)))+0.25*(Inputs!$B$14-Inputs!$B$14))*(1+Inputs!$B$7/100))*(F1357/100)</f>
        <v/>
      </c>
      <c r="K1357">
        <f>J1357*(1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1357)</f>
        <v/>
      </c>
      <c r="L1357">
        <f>K1357*(MIN(Inputs!$B$22+((C1369=TRUE)*(F1369-Calc!F22)),(Inputs!$B$23+0+(IF(ArtifactsInput!$M$15,CHOOSE(ArtifactsInput!$N$15+1,25,30,35,40,45,50)/100*(Inputs!$B$11-Inputs!$B$11),0))))/100+(Inputs!$B$23+0+(IF(ArtifactsInput!$M$15,CHOOSE(ArtifactsInput!$N$15+1,25,30,35,40,45,50)/100*(Inputs!$B$11-Inputs!$B$11),0)))/100)/2</f>
        <v/>
      </c>
      <c r="M1357">
        <f>L1357*(1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7">
        <f>L1357*(1-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1357*(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7">
        <f>(1-Summary!$B$11)*T1357+Summary!$B$11*V1357</f>
        <v/>
      </c>
      <c r="P1357">
        <f>IF(B1388=0,0,O1357/B1388)</f>
        <v/>
      </c>
      <c r="Q1357">
        <f>IFERROR(1/(IF(Inputs!$B$38="pvp",15,MAX(0.1,Skills!D10-IF(Skills!E10=TRUE,Inputs!$B$32,0)))*(1-IF(AND(ArtifactsInput!$M$27,Inputs!$B$4="Chapter Hunt"),CHOOSE(ArtifactsInput!$N$27+1,20,24,28,32,36,40),0)/100)),0)</f>
        <v/>
      </c>
      <c r="R1357">
        <f>IF(AND(Inputs!$B$38&lt;&gt;"pvp",Inputs!$B$43&gt;0),IF(MAX(0,Inputs!$B$43-B1385)&lt;=0,0,(INT(MAX(0,Inputs!$B$43-B1385)/(IF(Inputs!$B$38="pvp",15,MAX(0.1,Skills!D10-IF(Skills!E10=TRUE,Inputs!$B$32,0)))*(1-IF(AND(ArtifactsInput!$M$27,Inputs!$B$4="Chapter Hunt"),CHOOSE(ArtifactsInput!$N$27+1,20,24,28,32,36,40),0)/100)))+1)),0)</f>
        <v/>
      </c>
      <c r="S1357">
        <f>IFERROR(O1357/N1357,0)</f>
        <v/>
      </c>
      <c r="T1357">
        <f>IF(C1357,(H1357*N1357*IF(AND(Inputs!$B$38&lt;&gt;"pvp",Inputs!$B$43&gt;0),((Skills!G10*((R1357-1)*IF(Skills!H10&gt;0,Skills!I10/Skills!H10,1)+IF(Skills!H10&gt;0,MIN(Skills!I10,MAX(0,MAX(0,Inputs!$B$43-B1385)-((R1357-1)*(IF(Inputs!$B$38="pvp",15,MAX(0.1,Skills!D10-IF(Skills!E10=TRUE,Inputs!$B$32,0)))*(1-IF(AND(ArtifactsInput!$M$27,Inputs!$B$4="Chapter Hunt"),CHOOSE(ArtifactsInput!$N$27+1,20,24,28,32,36,40),0)/100)))))/Skills!H10,1)))/Inputs!$B$43),G1357*Q1357)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1357*(1-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1357*(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1357*(1-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1357*(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7">
        <f>IF(C1357,(H1357*N1357*IF(AND(Inputs!$B$38&lt;&gt;"pvp",Inputs!$B$43&gt;0),((Skills!G10*((R1357-1)*IF(Skills!H10&gt;0,Skills!I10/Skills!H10,1)+IF(Skills!H10&gt;0,MIN(Skills!I10,MAX(0,MAX(0,Inputs!$B$43-B1385)-((R1357-1)*(IF(Inputs!$B$38="pvp",15,MAX(0.1,Skills!D10-IF(Skills!E10=TRUE,Inputs!$B$32,0)))*(1-IF(AND(ArtifactsInput!$M$27,Inputs!$B$4="Chapter Hunt"),CHOOSE(ArtifactsInput!$N$27+1,20,24,28,32,36,40),0)/100)))))/Skills!H10,1)))/Inputs!$B$43),G1357*Q1357))*IF(Inputs!$B$38="pvp",1,(1+(Inputs!$B$21+Skills!Q10+(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8">
      <c r="A1358">
        <f>Skills!A11</f>
        <v/>
      </c>
      <c r="B1358">
        <f>Skills!B11</f>
        <v/>
      </c>
      <c r="C1358">
        <f>Inputs!$B$3&gt;=107</f>
        <v/>
      </c>
      <c r="D1358">
        <f>IF(Skills!C11=1,60+Inputs!$B$25+Inputs!$B$29,IF(Skills!C11=2,90+Inputs!$B$26+Inputs!$B$29,IF(Skills!C11=3,120+Inputs!$B$27+Inputs!$B$29,MAX(0,(Inputs!$B$3-100)*3)+Inputs!$B$28+Inputs!$B$29)))</f>
        <v/>
      </c>
      <c r="E1358">
        <f>INDEX(FactorTable!$B$2:$Y$301, MATCH(ROUND(MIN(300,MAX(1,D1358)),0), FactorTable!$A$2:$A$301,0), Skills!M11+1)</f>
        <v/>
      </c>
      <c r="F1358">
        <f>IF(Skills!N11=TRUE,(Skills!L11/10)*(E1358/1000),Skills!L11/10)+Skills!O11</f>
        <v/>
      </c>
      <c r="G1358">
        <f>Skills!G11*IF(Skills!H11&gt;0,Skills!I11/Skills!H11,1)</f>
        <v/>
      </c>
      <c r="H1358">
        <f>1-(1-Skills!J11/100)^Skills!K11</f>
        <v/>
      </c>
      <c r="I1358" t="inlineStr">
        <is>
          <t>1</t>
        </is>
      </c>
      <c r="J1358">
        <f>((Inputs!$B$6*(1+Inputs!$B$7/100))+(((Inputs!$B$12*(1+Inputs!$B$13/100))-(Inputs!$B$12*(1+Inputs!$B$13/100)))+0.25*(Inputs!$B$14-Inputs!$B$14))*(1+Inputs!$B$7/100))*(F1358/100)</f>
        <v/>
      </c>
      <c r="K1358">
        <f>J1358*(1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1358)</f>
        <v/>
      </c>
      <c r="L1358">
        <f>K1358*(MIN(Inputs!$B$22+((C1369=TRUE)*(F1369-Calc!F22)),(Inputs!$B$23+0+(IF(ArtifactsInput!$M$15,CHOOSE(ArtifactsInput!$N$15+1,25,30,35,40,45,50)/100*(Inputs!$B$11-Inputs!$B$11),0))))/100+(Inputs!$B$23+0+(IF(ArtifactsInput!$M$15,CHOOSE(ArtifactsInput!$N$15+1,25,30,35,40,45,50)/100*(Inputs!$B$11-Inputs!$B$11),0)))/100)/2</f>
        <v/>
      </c>
      <c r="M1358">
        <f>L1358*(1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8">
        <f>L1358*(1-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1358*(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8">
        <f>(1-Summary!$B$11)*T1358+Summary!$B$11*V1358</f>
        <v/>
      </c>
      <c r="P1358">
        <f>IF(B1388=0,0,O1358/B1388)</f>
        <v/>
      </c>
      <c r="Q1358">
        <f>IFERROR(1/(IF(Inputs!$B$38="pvp",15,MAX(0.1,Skills!D11-IF(Skills!E11=TRUE,Inputs!$B$32,0)))*(1-IF(AND(ArtifactsInput!$M$27,Inputs!$B$4="Chapter Hunt"),CHOOSE(ArtifactsInput!$N$27+1,20,24,28,32,36,40),0)/100)),0)</f>
        <v/>
      </c>
      <c r="R1358">
        <f>IF(AND(Inputs!$B$38&lt;&gt;"pvp",Inputs!$B$43&gt;0),IF(MAX(0,Inputs!$B$43-B1385)&lt;=0,0,(INT(MAX(0,Inputs!$B$43-B1385)/(IF(Inputs!$B$38="pvp",15,MAX(0.1,Skills!D11-IF(Skills!E11=TRUE,Inputs!$B$32,0)))*(1-IF(AND(ArtifactsInput!$M$27,Inputs!$B$4="Chapter Hunt"),CHOOSE(ArtifactsInput!$N$27+1,20,24,28,32,36,40),0)/100)))+1)),0)</f>
        <v/>
      </c>
      <c r="S1358">
        <f>IFERROR(O1358/N1358,0)</f>
        <v/>
      </c>
      <c r="T1358">
        <f>IF(C1358,(H1358*N1358*IF(AND(Inputs!$B$38&lt;&gt;"pvp",Inputs!$B$43&gt;0),((Skills!G11*((R1358-1)*IF(Skills!H11&gt;0,Skills!I11/Skills!H11,1)+IF(Skills!H11&gt;0,MIN(Skills!I11,MAX(0,MAX(0,Inputs!$B$43-B1385)-((R1358-1)*(IF(Inputs!$B$38="pvp",15,MAX(0.1,Skills!D11-IF(Skills!E11=TRUE,Inputs!$B$32,0)))*(1-IF(AND(ArtifactsInput!$M$27,Inputs!$B$4="Chapter Hunt"),CHOOSE(ArtifactsInput!$N$27+1,20,24,28,32,36,40),0)/100)))))/Skills!H11,1)))/Inputs!$B$43),G1358*Q1358)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1358*(1-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1358*(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1358*(1-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1358*(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8">
        <f>IF(C1358,(H1358*N1358*IF(AND(Inputs!$B$38&lt;&gt;"pvp",Inputs!$B$43&gt;0),((Skills!G11*((R1358-1)*IF(Skills!H11&gt;0,Skills!I11/Skills!H11,1)+IF(Skills!H11&gt;0,MIN(Skills!I11,MAX(0,MAX(0,Inputs!$B$43-B1385)-((R1358-1)*(IF(Inputs!$B$38="pvp",15,MAX(0.1,Skills!D11-IF(Skills!E11=TRUE,Inputs!$B$32,0)))*(1-IF(AND(ArtifactsInput!$M$27,Inputs!$B$4="Chapter Hunt"),CHOOSE(ArtifactsInput!$N$27+1,20,24,28,32,36,40),0)/100)))))/Skills!H11,1)))/Inputs!$B$43),G1358*Q1358))*IF(Inputs!$B$38="pvp",1,(1+(Inputs!$B$21+Skills!Q11+(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9">
      <c r="A1359">
        <f>Skills!A12</f>
        <v/>
      </c>
      <c r="B1359">
        <f>Skills!B12</f>
        <v/>
      </c>
      <c r="C1359">
        <f>Inputs!$B$3&gt;=110</f>
        <v/>
      </c>
      <c r="D1359">
        <f>IF(Skills!C12=1,60+Inputs!$B$25+Inputs!$B$29,IF(Skills!C12=2,90+Inputs!$B$26+Inputs!$B$29,IF(Skills!C12=3,120+Inputs!$B$27+Inputs!$B$29,MAX(0,(Inputs!$B$3-100)*3)+Inputs!$B$28+Inputs!$B$29)))</f>
        <v/>
      </c>
      <c r="E1359">
        <f>INDEX(FactorTable!$B$2:$Y$301, MATCH(ROUND(MIN(300,MAX(1,D1359)),0), FactorTable!$A$2:$A$301,0), Skills!M12+1)</f>
        <v/>
      </c>
      <c r="F1359">
        <f>IF(Skills!N12=TRUE,(Skills!L12/10)*(E1359/1000),Skills!L12/10)+Skills!O12</f>
        <v/>
      </c>
      <c r="G1359">
        <f>Skills!G12*IF(Skills!H12&gt;0,Skills!I12/Skills!H12,1)</f>
        <v/>
      </c>
      <c r="H1359">
        <f>1-(1-Skills!J12/100)^Skills!K12</f>
        <v/>
      </c>
      <c r="I1359" t="inlineStr">
        <is>
          <t>1</t>
        </is>
      </c>
      <c r="J1359">
        <f>((Inputs!$B$6*(1+Inputs!$B$7/100))+(((Inputs!$B$12*(1+Inputs!$B$13/100))-(Inputs!$B$12*(1+Inputs!$B$13/100)))+0.25*(Inputs!$B$14-Inputs!$B$14))*(1+Inputs!$B$7/100))*(F1359/100)</f>
        <v/>
      </c>
      <c r="K1359">
        <f>J1359*(1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1359)</f>
        <v/>
      </c>
      <c r="L1359">
        <f>K1359*(MIN(Inputs!$B$22+((C1369=TRUE)*(F1369-Calc!F22)),(Inputs!$B$23+0+(IF(ArtifactsInput!$M$15,CHOOSE(ArtifactsInput!$N$15+1,25,30,35,40,45,50)/100*(Inputs!$B$11-Inputs!$B$11),0))))/100+(Inputs!$B$23+0+(IF(ArtifactsInput!$M$15,CHOOSE(ArtifactsInput!$N$15+1,25,30,35,40,45,50)/100*(Inputs!$B$11-Inputs!$B$11),0)))/100)/2</f>
        <v/>
      </c>
      <c r="M1359">
        <f>L1359*(1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9">
        <f>L1359*(1-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1359*(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9">
        <f>(1-Summary!$B$11)*T1359+Summary!$B$11*V1359</f>
        <v/>
      </c>
      <c r="P1359">
        <f>IF(B1388=0,0,O1359/B1388)</f>
        <v/>
      </c>
      <c r="Q1359">
        <f>IFERROR(1/(IF(Inputs!$B$38="pvp",15,MAX(0.1,Skills!D12-IF(Skills!E12=TRUE,Inputs!$B$32,0)))*(1-IF(AND(ArtifactsInput!$M$27,Inputs!$B$4="Chapter Hunt"),CHOOSE(ArtifactsInput!$N$27+1,20,24,28,32,36,40),0)/100)),0)</f>
        <v/>
      </c>
      <c r="R1359">
        <f>IF(AND(Inputs!$B$38&lt;&gt;"pvp",Inputs!$B$43&gt;0),IF(MAX(0,Inputs!$B$43-B1385)&lt;=0,0,(INT(MAX(0,Inputs!$B$43-B1385)/(IF(Inputs!$B$38="pvp",15,MAX(0.1,Skills!D12-IF(Skills!E12=TRUE,Inputs!$B$32,0)))*(1-IF(AND(ArtifactsInput!$M$27,Inputs!$B$4="Chapter Hunt"),CHOOSE(ArtifactsInput!$N$27+1,20,24,28,32,36,40),0)/100)))+1)),0)</f>
        <v/>
      </c>
      <c r="S1359">
        <f>IFERROR(O1359/N1359,0)</f>
        <v/>
      </c>
      <c r="T1359">
        <f>IF(C1359,(H1359*N1359*IF(AND(Inputs!$B$38&lt;&gt;"pvp",Inputs!$B$43&gt;0),((Skills!G12*((R1359-1)*IF(Skills!H12&gt;0,Skills!I12/Skills!H12,1)+IF(Skills!H12&gt;0,MIN(Skills!I12,MAX(0,MAX(0,Inputs!$B$43-B1385)-((R1359-1)*(IF(Inputs!$B$38="pvp",15,MAX(0.1,Skills!D12-IF(Skills!E12=TRUE,Inputs!$B$32,0)))*(1-IF(AND(ArtifactsInput!$M$27,Inputs!$B$4="Chapter Hunt"),CHOOSE(ArtifactsInput!$N$27+1,20,24,28,32,36,40),0)/100)))))/Skills!H12,1)))/Inputs!$B$43),G1359*Q1359)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1359*(1-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1359*(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1359*(1-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1359*(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9">
        <f>IF(C1359,(H1359*N1359*IF(AND(Inputs!$B$38&lt;&gt;"pvp",Inputs!$B$43&gt;0),((Skills!G12*((R1359-1)*IF(Skills!H12&gt;0,Skills!I12/Skills!H12,1)+IF(Skills!H12&gt;0,MIN(Skills!I12,MAX(0,MAX(0,Inputs!$B$43-B1385)-((R1359-1)*(IF(Inputs!$B$38="pvp",15,MAX(0.1,Skills!D12-IF(Skills!E12=TRUE,Inputs!$B$32,0)))*(1-IF(AND(ArtifactsInput!$M$27,Inputs!$B$4="Chapter Hunt"),CHOOSE(ArtifactsInput!$N$27+1,20,24,28,32,36,40),0)/100)))))/Skills!H12,1)))/Inputs!$B$43),G1359*Q1359))*IF(Inputs!$B$38="pvp",1,(1+(Inputs!$B$21+Skills!Q12+(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0">
      <c r="A1360">
        <f>Skills!A13</f>
        <v/>
      </c>
      <c r="B1360">
        <f>Skills!B13</f>
        <v/>
      </c>
      <c r="C1360">
        <f>Inputs!$B$3&gt;=110</f>
        <v/>
      </c>
      <c r="D1360">
        <f>IF(Skills!C13=1,60+Inputs!$B$25+Inputs!$B$29,IF(Skills!C13=2,90+Inputs!$B$26+Inputs!$B$29,IF(Skills!C13=3,120+Inputs!$B$27+Inputs!$B$29,MAX(0,(Inputs!$B$3-100)*3)+Inputs!$B$28+Inputs!$B$29)))</f>
        <v/>
      </c>
      <c r="E1360">
        <f>INDEX(FactorTable!$B$2:$Y$301, MATCH(ROUND(MIN(300,MAX(1,D1360)),0), FactorTable!$A$2:$A$301,0), Skills!M13+1)</f>
        <v/>
      </c>
      <c r="F1360">
        <f>IF(Skills!N13=TRUE,(Skills!L13/10)*(E1360/1000),Skills!L13/10)+Skills!O13</f>
        <v/>
      </c>
      <c r="G1360">
        <f>Skills!G13*IF(Skills!H13&gt;0,Skills!I13/Skills!H13,1)</f>
        <v/>
      </c>
      <c r="H1360">
        <f>1-(1-Skills!J13/100)^Skills!K13</f>
        <v/>
      </c>
      <c r="I1360" t="inlineStr">
        <is>
          <t>1</t>
        </is>
      </c>
      <c r="J1360">
        <f>((Inputs!$B$6*(1+Inputs!$B$7/100))+(((Inputs!$B$12*(1+Inputs!$B$13/100))-(Inputs!$B$12*(1+Inputs!$B$13/100)))+0.25*(Inputs!$B$14-Inputs!$B$14))*(1+Inputs!$B$7/100))*(F1360/100)</f>
        <v/>
      </c>
      <c r="K1360">
        <f>J1360*(1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1360)</f>
        <v/>
      </c>
      <c r="L1360">
        <f>K1360*(MIN(Inputs!$B$22+((C1369=TRUE)*(F1369-Calc!F22)),(Inputs!$B$23+0+(IF(ArtifactsInput!$M$15,CHOOSE(ArtifactsInput!$N$15+1,25,30,35,40,45,50)/100*(Inputs!$B$11-Inputs!$B$11),0))))/100+(Inputs!$B$23+0+(IF(ArtifactsInput!$M$15,CHOOSE(ArtifactsInput!$N$15+1,25,30,35,40,45,50)/100*(Inputs!$B$11-Inputs!$B$11),0)))/100)/2</f>
        <v/>
      </c>
      <c r="M1360">
        <f>L1360*(1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0">
        <f>L1360*(1-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1360*(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0">
        <f>(1-Summary!$B$11)*T1360+Summary!$B$11*V1360</f>
        <v/>
      </c>
      <c r="P1360">
        <f>IF(B1388=0,0,O1360/B1388)</f>
        <v/>
      </c>
      <c r="Q1360">
        <f>IFERROR(1/(IF(Inputs!$B$38="pvp",15,MAX(0.1,Skills!D13-IF(Skills!E13=TRUE,Inputs!$B$32,0)))*(1-IF(AND(ArtifactsInput!$M$27,Inputs!$B$4="Chapter Hunt"),CHOOSE(ArtifactsInput!$N$27+1,20,24,28,32,36,40),0)/100)),0)</f>
        <v/>
      </c>
      <c r="R1360">
        <f>IF(AND(Inputs!$B$38&lt;&gt;"pvp",Inputs!$B$43&gt;0),IF(MAX(0,Inputs!$B$43-B1385)&lt;=0,0,(INT(MAX(0,Inputs!$B$43-B1385)/(IF(Inputs!$B$38="pvp",15,MAX(0.1,Skills!D13-IF(Skills!E13=TRUE,Inputs!$B$32,0)))*(1-IF(AND(ArtifactsInput!$M$27,Inputs!$B$4="Chapter Hunt"),CHOOSE(ArtifactsInput!$N$27+1,20,24,28,32,36,40),0)/100)))+1)),0)</f>
        <v/>
      </c>
      <c r="S1360">
        <f>IFERROR(O1360/N1360,0)</f>
        <v/>
      </c>
      <c r="T1360">
        <f>IF(C1360,(H1360*N1360*IF(AND(Inputs!$B$38&lt;&gt;"pvp",Inputs!$B$43&gt;0),((Skills!G13*((R1360-1)*IF(Skills!H13&gt;0,Skills!I13/Skills!H13,1)+IF(Skills!H13&gt;0,MIN(Skills!I13,MAX(0,MAX(0,Inputs!$B$43-B1385)-((R1360-1)*(IF(Inputs!$B$38="pvp",15,MAX(0.1,Skills!D13-IF(Skills!E13=TRUE,Inputs!$B$32,0)))*(1-IF(AND(ArtifactsInput!$M$27,Inputs!$B$4="Chapter Hunt"),CHOOSE(ArtifactsInput!$N$27+1,20,24,28,32,36,40),0)/100)))))/Skills!H13,1)))/Inputs!$B$43),G1360*Q1360)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1360*(1-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1360*(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1360*(1-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1360*(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0">
        <f>IF(C1360,(H1360*N1360*IF(AND(Inputs!$B$38&lt;&gt;"pvp",Inputs!$B$43&gt;0),((Skills!G13*((R1360-1)*IF(Skills!H13&gt;0,Skills!I13/Skills!H13,1)+IF(Skills!H13&gt;0,MIN(Skills!I13,MAX(0,MAX(0,Inputs!$B$43-B1385)-((R1360-1)*(IF(Inputs!$B$38="pvp",15,MAX(0.1,Skills!D13-IF(Skills!E13=TRUE,Inputs!$B$32,0)))*(1-IF(AND(ArtifactsInput!$M$27,Inputs!$B$4="Chapter Hunt"),CHOOSE(ArtifactsInput!$N$27+1,20,24,28,32,36,40),0)/100)))))/Skills!H13,1)))/Inputs!$B$43),G1360*Q1360))*IF(Inputs!$B$38="pvp",1,(1+(Inputs!$B$21+Skills!Q13+(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1">
      <c r="A1361">
        <f>Skills!A14</f>
        <v/>
      </c>
      <c r="B1361">
        <f>Skills!B14</f>
        <v/>
      </c>
      <c r="C1361">
        <f>Inputs!$B$3&gt;=125</f>
        <v/>
      </c>
      <c r="D1361">
        <f>IF(Skills!C14=1,60+Inputs!$B$25+Inputs!$B$29,IF(Skills!C14=2,90+Inputs!$B$26+Inputs!$B$29,IF(Skills!C14=3,120+Inputs!$B$27+Inputs!$B$29,MAX(0,(Inputs!$B$3-100)*3)+Inputs!$B$28+Inputs!$B$29)))</f>
        <v/>
      </c>
      <c r="E1361">
        <f>INDEX(FactorTable!$B$2:$Y$301, MATCH(ROUND(MIN(300,MAX(1,D1361)),0), FactorTable!$A$2:$A$301,0), Skills!M14+1)</f>
        <v/>
      </c>
      <c r="F1361">
        <f>IF(Skills!N14=TRUE,(Skills!L14/10)*(E1361/1000),Skills!L14/10)+Skills!O14</f>
        <v/>
      </c>
      <c r="G1361">
        <f>Skills!G14*IF(Skills!H14&gt;0,Skills!I14/Skills!H14,1)</f>
        <v/>
      </c>
      <c r="H1361">
        <f>1-(1-Skills!J14/100)^Skills!K14</f>
        <v/>
      </c>
      <c r="I1361" t="inlineStr">
        <is>
          <t>1</t>
        </is>
      </c>
      <c r="J1361">
        <f>((Inputs!$B$6*(1+Inputs!$B$7/100))+(((Inputs!$B$12*(1+Inputs!$B$13/100))-(Inputs!$B$12*(1+Inputs!$B$13/100)))+0.25*(Inputs!$B$14-Inputs!$B$14))*(1+Inputs!$B$7/100))*(F1361/100)</f>
        <v/>
      </c>
      <c r="K1361">
        <f>J1361*(1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1361)</f>
        <v/>
      </c>
      <c r="L1361">
        <f>K1361*(MIN(Inputs!$B$22+((C1369=TRUE)*(F1369-Calc!F22)),(Inputs!$B$23+0+(IF(ArtifactsInput!$M$15,CHOOSE(ArtifactsInput!$N$15+1,25,30,35,40,45,50)/100*(Inputs!$B$11-Inputs!$B$11),0))))/100+(Inputs!$B$23+0+(IF(ArtifactsInput!$M$15,CHOOSE(ArtifactsInput!$N$15+1,25,30,35,40,45,50)/100*(Inputs!$B$11-Inputs!$B$11),0)))/100)/2</f>
        <v/>
      </c>
      <c r="M1361">
        <f>L1361*(1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1">
        <f>L1361*(1-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1">
        <f>(1-Summary!$B$11)*T1361+Summary!$B$11*V1361</f>
        <v/>
      </c>
      <c r="P1361">
        <f>IF(B1388=0,0,O1361/B1388)</f>
        <v/>
      </c>
      <c r="Q1361" t="n">
        <v>0</v>
      </c>
      <c r="R1361" t="n">
        <v>0</v>
      </c>
      <c r="S1361">
        <f>IFERROR(O1361/N1361,0)</f>
        <v/>
      </c>
      <c r="T1361">
        <f>IF(C1361,(H1361*N1361*(B1382+IF(AND(Inputs!$B$38&lt;&gt;"pvp",Inputs!$B$43&gt;0),((Skills!G8*((R1355-1)*IF(Skills!H8&gt;0,Skills!I8/Skills!H8,1)+IF(Skills!H8&gt;0,MIN(Skills!I8,MAX(0,MAX(0,Inputs!$B$43-B1385)-((R1355-1)*(IF(Inputs!$B$38="pvp",15,MAX(0.1,Skills!D8-IF(Skills!E8=TRUE,Inputs!$B$32,0)))*(1-IF(AND(ArtifactsInput!$M$27,Inputs!$B$4="Chapter Hunt"),CHOOSE(ArtifactsInput!$N$27+1,20,24,28,32,36,40),0)/100)))))/Skills!H8,1)))/Inputs!$B$43),G1355*Q1355)+IF(AND(Inputs!$B$38&lt;&gt;"pvp",Inputs!$B$43&gt;0),((Skills!G11*((R1358-1)*IF(Skills!H11&gt;0,Skills!I11/Skills!H11,1)+IF(Skills!H11&gt;0,MIN(Skills!I11,MAX(0,MAX(0,Inputs!$B$43-B1385)-((R1358-1)*(IF(Inputs!$B$38="pvp",15,MAX(0.1,Skills!D11-IF(Skills!E11=TRUE,Inputs!$B$32,0)))*(1-IF(AND(ArtifactsInput!$M$27,Inputs!$B$4="Chapter Hunt"),CHOOSE(ArtifactsInput!$N$27+1,20,24,28,32,36,40),0)/100)))))/Skills!H11,1)))/Inputs!$B$43),G1358*Q1358)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1361*(1-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1361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1361*(1-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1">
        <f>IF(C1361,(H1361*N1361*(B1382+IF(AND(Inputs!$B$38&lt;&gt;"pvp",Inputs!$B$43&gt;0),((Skills!G8*((R1355-1)*IF(Skills!H8&gt;0,Skills!I8/Skills!H8,1)+IF(Skills!H8&gt;0,MIN(Skills!I8,MAX(0,MAX(0,Inputs!$B$43-B1385)-((R1355-1)*(IF(Inputs!$B$38="pvp",15,MAX(0.1,Skills!D8-IF(Skills!E8=TRUE,Inputs!$B$32,0)))*(1-IF(AND(ArtifactsInput!$M$27,Inputs!$B$4="Chapter Hunt"),CHOOSE(ArtifactsInput!$N$27+1,20,24,28,32,36,40),0)/100)))))/Skills!H8,1)))/Inputs!$B$43),G1355*Q1355)+IF(AND(Inputs!$B$38&lt;&gt;"pvp",Inputs!$B$43&gt;0),((Skills!G11*((R1358-1)*IF(Skills!H11&gt;0,Skills!I11/Skills!H11,1)+IF(Skills!H11&gt;0,MIN(Skills!I11,MAX(0,MAX(0,Inputs!$B$43-B1385)-((R1358-1)*(IF(Inputs!$B$38="pvp",15,MAX(0.1,Skills!D11-IF(Skills!E11=TRUE,Inputs!$B$32,0)))*(1-IF(AND(ArtifactsInput!$M$27,Inputs!$B$4="Chapter Hunt"),CHOOSE(ArtifactsInput!$N$27+1,20,24,28,32,36,40),0)/100)))))/Skills!H11,1)))/Inputs!$B$43),G1358*Q1358)))*IF(Inputs!$B$38="pvp",1,(1+(Inputs!$B$21+Skills!Q14+(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2">
      <c r="A1362">
        <f>Skills!A15</f>
        <v/>
      </c>
      <c r="B1362">
        <f>Skills!B15</f>
        <v/>
      </c>
      <c r="C1362">
        <f>Inputs!$B$3&gt;=100</f>
        <v/>
      </c>
      <c r="D1362">
        <f>IF(Skills!C15=1,60+Inputs!$B$25+Inputs!$B$29,IF(Skills!C15=2,90+Inputs!$B$26+Inputs!$B$29,IF(Skills!C15=3,120+Inputs!$B$27+Inputs!$B$29,MAX(0,(Inputs!$B$3-100)*3)+Inputs!$B$28+Inputs!$B$29)))</f>
        <v/>
      </c>
      <c r="E1362">
        <f>INDEX(FactorTable!$B$2:$Y$301, MATCH(ROUND(MIN(300,MAX(1,D1362)),0), FactorTable!$A$2:$A$301,0), Skills!M15+1)</f>
        <v/>
      </c>
      <c r="F1362">
        <f>IF(Skills!N15=TRUE,(Skills!L15/10)*(E1362/1000),Skills!L15/10)+Skills!O15</f>
        <v/>
      </c>
      <c r="G1362" t="inlineStr"/>
      <c r="H1362" t="inlineStr"/>
      <c r="I1362" t="inlineStr">
        <is>
          <t>1</t>
        </is>
      </c>
      <c r="J1362" t="inlineStr"/>
      <c r="K1362" t="inlineStr"/>
      <c r="L1362" t="inlineStr"/>
      <c r="M1362" t="inlineStr"/>
      <c r="N1362" t="inlineStr"/>
      <c r="O1362" t="inlineStr"/>
      <c r="P1362" t="inlineStr"/>
      <c r="Q1362" t="inlineStr"/>
      <c r="R1362" t="inlineStr"/>
      <c r="S1362" t="inlineStr"/>
    </row>
    <row r="1363">
      <c r="A1363">
        <f>Skills!A16</f>
        <v/>
      </c>
      <c r="B1363">
        <f>Skills!B16</f>
        <v/>
      </c>
      <c r="C1363">
        <f>Inputs!$B$3&gt;=120</f>
        <v/>
      </c>
      <c r="D1363">
        <f>IF(Skills!C16=1,60+Inputs!$B$25+Inputs!$B$29,IF(Skills!C16=2,90+Inputs!$B$26+Inputs!$B$29,IF(Skills!C16=3,120+Inputs!$B$27+Inputs!$B$29,MAX(0,(Inputs!$B$3-100)*3)+Inputs!$B$28+Inputs!$B$29)))</f>
        <v/>
      </c>
      <c r="E1363">
        <f>INDEX(FactorTable!$B$2:$Y$301, MATCH(ROUND(MIN(300,MAX(1,D1363)),0), FactorTable!$A$2:$A$301,0), Skills!M16+1)</f>
        <v/>
      </c>
      <c r="F1363">
        <f>IF(Skills!N16=TRUE,(Skills!L16/10)*(E1363/1000),Skills!L16/10)+Skills!O16</f>
        <v/>
      </c>
      <c r="G1363" t="inlineStr"/>
      <c r="H1363" t="inlineStr"/>
      <c r="I1363" t="inlineStr">
        <is>
          <t>1</t>
        </is>
      </c>
      <c r="J1363" t="inlineStr"/>
      <c r="K1363" t="inlineStr"/>
      <c r="L1363" t="inlineStr"/>
      <c r="M1363" t="inlineStr"/>
      <c r="N1363" t="inlineStr"/>
      <c r="O1363" t="inlineStr"/>
      <c r="P1363" t="inlineStr"/>
      <c r="Q1363" t="inlineStr"/>
      <c r="R1363" t="inlineStr"/>
      <c r="S1363" t="inlineStr"/>
    </row>
    <row r="1364">
      <c r="A1364">
        <f>Skills!A17</f>
        <v/>
      </c>
      <c r="B1364">
        <f>Skills!B17</f>
        <v/>
      </c>
      <c r="C1364">
        <f>Inputs!$B$3&gt;=66</f>
        <v/>
      </c>
      <c r="D1364">
        <f>IF(Skills!C17=1,60+Inputs!$B$25+Inputs!$B$29,IF(Skills!C17=2,90+Inputs!$B$26+Inputs!$B$29,IF(Skills!C17=3,120+Inputs!$B$27+Inputs!$B$29,MAX(0,(Inputs!$B$3-100)*3)+Inputs!$B$28+Inputs!$B$29)))</f>
        <v/>
      </c>
      <c r="E1364">
        <f>INDEX(FactorTable!$B$2:$Y$301, MATCH(ROUND(MIN(300,MAX(1,D1364)),0), FactorTable!$A$2:$A$301,0), Skills!M17+1)</f>
        <v/>
      </c>
      <c r="F1364">
        <f>IF(Skills!N17=TRUE,(Skills!L17/10)*(E1364/1000),Skills!L17/10)+Skills!O17</f>
        <v/>
      </c>
      <c r="G1364">
        <f>Skills!G17*IF(Skills!H17&gt;0,Skills!I17/Skills!H17,1)</f>
        <v/>
      </c>
      <c r="H1364">
        <f>1-(1-Skills!J17/100)^Skills!K17</f>
        <v/>
      </c>
      <c r="I1364" t="inlineStr">
        <is>
          <t>1</t>
        </is>
      </c>
      <c r="J1364" t="inlineStr"/>
      <c r="K1364" t="inlineStr"/>
      <c r="L1364" t="inlineStr"/>
      <c r="M1364" t="inlineStr"/>
      <c r="N1364" t="inlineStr"/>
      <c r="O1364">
        <f>(1-Summary!$B$11)*T1364+Summary!$B$11*V1364</f>
        <v/>
      </c>
      <c r="P1364">
        <f>IF(B1388=0,0,O1364/B1388)</f>
        <v/>
      </c>
      <c r="Q1364" t="n">
        <v>0</v>
      </c>
      <c r="R1364" t="n">
        <v>0</v>
      </c>
      <c r="S1364">
        <f>IFERROR(O1364/N1364,0)</f>
        <v/>
      </c>
      <c r="T1364" t="n">
        <v>0</v>
      </c>
      <c r="V1364" t="n">
        <v>0</v>
      </c>
    </row>
    <row r="1365">
      <c r="A1365">
        <f>Skills!A18</f>
        <v/>
      </c>
      <c r="B1365">
        <f>Skills!B18</f>
        <v/>
      </c>
      <c r="C1365">
        <f>Inputs!$B$3&gt;=115</f>
        <v/>
      </c>
      <c r="D1365">
        <f>IF(Skills!C18=1,60+Inputs!$B$25+Inputs!$B$29,IF(Skills!C18=2,90+Inputs!$B$26+Inputs!$B$29,IF(Skills!C18=3,120+Inputs!$B$27+Inputs!$B$29,MAX(0,(Inputs!$B$3-100)*3)+Inputs!$B$28+Inputs!$B$29)))</f>
        <v/>
      </c>
      <c r="E1365">
        <f>INDEX(FactorTable!$B$2:$Y$301, MATCH(ROUND(MIN(300,MAX(1,D1365)),0), FactorTable!$A$2:$A$301,0), Skills!M18+1)</f>
        <v/>
      </c>
      <c r="F1365">
        <f>IF(Skills!N18=TRUE,(Skills!L18/10)*(E1365/1000),Skills!L18/10)+Skills!O18</f>
        <v/>
      </c>
      <c r="G1365">
        <f>Skills!G18*IF(Skills!H18&gt;0,Skills!I18/Skills!H18,1)</f>
        <v/>
      </c>
      <c r="H1365">
        <f>1-(1-Skills!J18/100)^Skills!K18</f>
        <v/>
      </c>
      <c r="I1365" t="inlineStr">
        <is>
          <t>1</t>
        </is>
      </c>
      <c r="J1365" t="inlineStr"/>
      <c r="K1365" t="inlineStr"/>
      <c r="L1365" t="inlineStr"/>
      <c r="M1365" t="inlineStr"/>
      <c r="N1365" t="inlineStr"/>
      <c r="O1365">
        <f>(1-Summary!$B$11)*T1365+Summary!$B$11*V1365</f>
        <v/>
      </c>
      <c r="P1365">
        <f>IF(B1388=0,0,O1365/B1388)</f>
        <v/>
      </c>
      <c r="Q1365">
        <f>IFERROR(1/(IF(Inputs!$B$38="pvp",15,MAX(0.1,Skills!D18-IF(Skills!E18=TRUE,Inputs!$B$32,0)))*(1-IF(AND(ArtifactsInput!$M$27,Inputs!$B$4="Chapter Hunt"),CHOOSE(ArtifactsInput!$N$27+1,20,24,28,32,36,40),0)/100)),0)</f>
        <v/>
      </c>
      <c r="R1365">
        <f>IF(AND(Inputs!$B$38&lt;&gt;"pvp",Inputs!$B$43&gt;0),IF(Inputs!$B$43&lt;=0,0,(INT(Inputs!$B$43/(IF(Inputs!$B$38="pvp",15,MAX(0.1,Skills!D18-IF(Skills!E18=TRUE,Inputs!$B$32,0)))*(1-IF(AND(ArtifactsInput!$M$27,Inputs!$B$4="Chapter Hunt"),CHOOSE(ArtifactsInput!$N$27+1,20,24,28,32,36,40),0)/100)))+1)),0)</f>
        <v/>
      </c>
      <c r="S1365">
        <f>IFERROR(O1365/N1365,0)</f>
        <v/>
      </c>
      <c r="T1365" t="n">
        <v>0</v>
      </c>
      <c r="V1365" t="n">
        <v>0</v>
      </c>
    </row>
    <row r="1366">
      <c r="A1366">
        <f>Skills!A19</f>
        <v/>
      </c>
      <c r="B1366">
        <f>Skills!B19</f>
        <v/>
      </c>
      <c r="C1366">
        <f>Inputs!$B$3&gt;=15</f>
        <v/>
      </c>
      <c r="D1366">
        <f>IF(Skills!C19=1,60+Inputs!$B$25+Inputs!$B$29,IF(Skills!C19=2,90+Inputs!$B$26+Inputs!$B$29,IF(Skills!C19=3,120+Inputs!$B$27+Inputs!$B$29,MAX(0,(Inputs!$B$3-100)*3)+Inputs!$B$28+Inputs!$B$29)))</f>
        <v/>
      </c>
      <c r="E1366">
        <f>INDEX(FactorTable!$B$2:$Y$301, MATCH(ROUND(MIN(300,MAX(1,D1366)),0), FactorTable!$A$2:$A$301,0), Skills!M19+1)</f>
        <v/>
      </c>
      <c r="F1366">
        <f>IF(Skills!N19=TRUE,(Skills!L19/10)*(E1366/1000),Skills!L19/10)+Skills!O19</f>
        <v/>
      </c>
      <c r="G1366">
        <f>Skills!G19*IF(Skills!H19&gt;0,Skills!I19/Skills!H19,1)</f>
        <v/>
      </c>
      <c r="H1366">
        <f>1-(1-Skills!J19/100)^Skills!K19</f>
        <v/>
      </c>
      <c r="I1366" t="inlineStr">
        <is>
          <t>1</t>
        </is>
      </c>
      <c r="J1366" t="inlineStr"/>
      <c r="K1366" t="inlineStr"/>
      <c r="L1366" t="inlineStr"/>
      <c r="M1366" t="inlineStr"/>
      <c r="N1366" t="inlineStr"/>
      <c r="O1366">
        <f>(1-Summary!$B$11)*T1366+Summary!$B$11*V1366</f>
        <v/>
      </c>
      <c r="P1366">
        <f>IF(B1388=0,0,O1366/B1388)</f>
        <v/>
      </c>
      <c r="Q1366" t="n">
        <v>0</v>
      </c>
      <c r="R1366" t="n">
        <v>0</v>
      </c>
      <c r="S1366">
        <f>IFERROR(O1366/N1366,0)</f>
        <v/>
      </c>
      <c r="T1366" t="n">
        <v>0</v>
      </c>
      <c r="V1366" t="n">
        <v>0</v>
      </c>
    </row>
    <row r="1367">
      <c r="A1367">
        <f>Skills!A20</f>
        <v/>
      </c>
      <c r="B1367">
        <f>Skills!B20</f>
        <v/>
      </c>
      <c r="C1367">
        <f>Inputs!$B$3&gt;=10</f>
        <v/>
      </c>
      <c r="D1367">
        <f>IF(Skills!C20=1,60+Inputs!$B$25+Inputs!$B$29,IF(Skills!C20=2,90+Inputs!$B$26+Inputs!$B$29,IF(Skills!C20=3,120+Inputs!$B$27+Inputs!$B$29,MAX(0,(Inputs!$B$3-100)*3)+Inputs!$B$28+Inputs!$B$29)))</f>
        <v/>
      </c>
      <c r="E1367">
        <f>INDEX(FactorTable!$B$2:$Y$301, MATCH(ROUND(MIN(300,MAX(1,D1367)),0), FactorTable!$A$2:$A$301,0), Skills!M20+1)</f>
        <v/>
      </c>
      <c r="F1367">
        <f>IF(Skills!N20=TRUE,(Skills!L20/10)*(E1367/1000),Skills!L20/10)+Skills!O20</f>
        <v/>
      </c>
      <c r="G1367">
        <f>Skills!G20*IF(Skills!H20&gt;0,Skills!I20/Skills!H20,1)</f>
        <v/>
      </c>
      <c r="H1367">
        <f>1-(1-Skills!J20/100)^Skills!K20</f>
        <v/>
      </c>
      <c r="I1367" t="inlineStr">
        <is>
          <t>1</t>
        </is>
      </c>
      <c r="J1367" t="inlineStr"/>
      <c r="K1367" t="inlineStr"/>
      <c r="L1367" t="inlineStr"/>
      <c r="M1367" t="inlineStr"/>
      <c r="N1367" t="inlineStr"/>
      <c r="O1367">
        <f>(1-Summary!$B$11)*T1367+Summary!$B$11*V1367</f>
        <v/>
      </c>
      <c r="P1367">
        <f>IF(B1388=0,0,O1367/B1388)</f>
        <v/>
      </c>
      <c r="Q1367" t="n">
        <v>0</v>
      </c>
      <c r="R1367" t="n">
        <v>0</v>
      </c>
      <c r="S1367">
        <f>IFERROR(O1367/N1367,0)</f>
        <v/>
      </c>
      <c r="T1367" t="n">
        <v>0</v>
      </c>
      <c r="V1367" t="n">
        <v>0</v>
      </c>
    </row>
    <row r="1368">
      <c r="A1368">
        <f>Skills!A21</f>
        <v/>
      </c>
      <c r="B1368">
        <f>Skills!B21</f>
        <v/>
      </c>
      <c r="C1368">
        <f>Inputs!$B$3&gt;=33</f>
        <v/>
      </c>
      <c r="D1368">
        <f>IF(Skills!C21=1,60+Inputs!$B$25+Inputs!$B$29,IF(Skills!C21=2,90+Inputs!$B$26+Inputs!$B$29,IF(Skills!C21=3,120+Inputs!$B$27+Inputs!$B$29,MAX(0,(Inputs!$B$3-100)*3)+Inputs!$B$28+Inputs!$B$29)))</f>
        <v/>
      </c>
      <c r="E1368">
        <f>INDEX(FactorTable!$B$2:$Y$301, MATCH(ROUND(MIN(300,MAX(1,D1368)),0), FactorTable!$A$2:$A$301,0), Skills!M21+1)</f>
        <v/>
      </c>
      <c r="F1368">
        <f>IF(Skills!N21=TRUE,(Skills!L21/10)*(E1368/1000),Skills!L21/10)+Skills!O21</f>
        <v/>
      </c>
      <c r="G1368">
        <f>Skills!G21*IF(Skills!H21&gt;0,Skills!I21/Skills!H21,1)</f>
        <v/>
      </c>
      <c r="H1368">
        <f>1-(1-Skills!J21/100)^Skills!K21</f>
        <v/>
      </c>
      <c r="I1368" t="inlineStr">
        <is>
          <t>1</t>
        </is>
      </c>
      <c r="J1368" t="inlineStr"/>
      <c r="K1368" t="inlineStr"/>
      <c r="L1368" t="inlineStr"/>
      <c r="M1368" t="inlineStr"/>
      <c r="N1368" t="inlineStr"/>
      <c r="O1368">
        <f>(1-Summary!$B$11)*T1368+Summary!$B$11*V1368</f>
        <v/>
      </c>
      <c r="P1368">
        <f>IF(B1388=0,0,O1368/B1388)</f>
        <v/>
      </c>
      <c r="Q1368" t="n">
        <v>0</v>
      </c>
      <c r="R1368" t="n">
        <v>0</v>
      </c>
      <c r="S1368">
        <f>IFERROR(O1368/N1368,0)</f>
        <v/>
      </c>
      <c r="T1368" t="n">
        <v>0</v>
      </c>
      <c r="V1368" t="n">
        <v>0</v>
      </c>
    </row>
    <row r="1369">
      <c r="A1369">
        <f>Skills!A22</f>
        <v/>
      </c>
      <c r="B1369">
        <f>Skills!B22</f>
        <v/>
      </c>
      <c r="C1369">
        <f>Inputs!$B$3&gt;=43</f>
        <v/>
      </c>
      <c r="D1369">
        <f>IF(Skills!C22=1,60+Inputs!$B$25+Inputs!$B$29,IF(Skills!C22=2,90+Inputs!$B$26+Inputs!$B$29,IF(Skills!C22=3,120+Inputs!$B$27+Inputs!$B$29,MAX(0,(Inputs!$B$3-100)*3)+Inputs!$B$28+Inputs!$B$29)))</f>
        <v/>
      </c>
      <c r="E1369">
        <f>INDEX(FactorTable!$B$2:$Y$301, MATCH(ROUND(MIN(300,MAX(1,D1369)),0), FactorTable!$A$2:$A$301,0), Skills!M22+1)</f>
        <v/>
      </c>
      <c r="F1369">
        <f>IF(Skills!N22=TRUE,(Skills!L22/10)*(E1369/1000),Skills!L22/10)+Skills!O22</f>
        <v/>
      </c>
      <c r="G1369">
        <f>Skills!G22*IF(Skills!H22&gt;0,Skills!I22/Skills!H22,1)</f>
        <v/>
      </c>
      <c r="H1369">
        <f>1-(1-Skills!J22/100)^Skills!K22</f>
        <v/>
      </c>
      <c r="I1369" t="inlineStr">
        <is>
          <t>1</t>
        </is>
      </c>
      <c r="J1369" t="inlineStr"/>
      <c r="K1369" t="inlineStr"/>
      <c r="L1369" t="inlineStr"/>
      <c r="M1369" t="inlineStr"/>
      <c r="N1369" t="inlineStr"/>
      <c r="O1369">
        <f>(1-Summary!$B$11)*T1369+Summary!$B$11*V1369</f>
        <v/>
      </c>
      <c r="P1369">
        <f>IF(B1388=0,0,O1369/B1388)</f>
        <v/>
      </c>
      <c r="Q1369" t="n">
        <v>0</v>
      </c>
      <c r="R1369" t="n">
        <v>0</v>
      </c>
      <c r="S1369">
        <f>IFERROR(O1369/N1369,0)</f>
        <v/>
      </c>
      <c r="T1369" t="n">
        <v>0</v>
      </c>
      <c r="V1369" t="n">
        <v>0</v>
      </c>
    </row>
    <row r="1370">
      <c r="A1370">
        <f>Skills!A23</f>
        <v/>
      </c>
      <c r="B1370">
        <f>Skills!B23</f>
        <v/>
      </c>
      <c r="C1370">
        <f>Inputs!$B$3&gt;=38</f>
        <v/>
      </c>
      <c r="D1370">
        <f>IF(Skills!C23=1,60+Inputs!$B$25+Inputs!$B$29,IF(Skills!C23=2,90+Inputs!$B$26+Inputs!$B$29,IF(Skills!C23=3,120+Inputs!$B$27+Inputs!$B$29,MAX(0,(Inputs!$B$3-100)*3)+Inputs!$B$28+Inputs!$B$29)))</f>
        <v/>
      </c>
      <c r="E1370">
        <f>INDEX(FactorTable!$B$2:$Y$301, MATCH(ROUND(MIN(300,MAX(1,D1370)),0), FactorTable!$A$2:$A$301,0), Skills!M23+1)</f>
        <v/>
      </c>
      <c r="F1370">
        <f>IF(Skills!N23=TRUE,(Skills!L23/10)*(E1370/1000),Skills!L23/10)+Skills!O23</f>
        <v/>
      </c>
      <c r="G1370">
        <f>Skills!G23*IF(Skills!H23&gt;0,Skills!I23/Skills!H23,1)</f>
        <v/>
      </c>
      <c r="H1370">
        <f>1-(1-Skills!J23/100)^Skills!K23</f>
        <v/>
      </c>
      <c r="I1370" t="inlineStr">
        <is>
          <t>1</t>
        </is>
      </c>
      <c r="J1370" t="inlineStr"/>
      <c r="K1370" t="inlineStr"/>
      <c r="L1370" t="inlineStr"/>
      <c r="M1370" t="inlineStr"/>
      <c r="N1370" t="inlineStr"/>
      <c r="O1370">
        <f>(1-Summary!$B$11)*T1370+Summary!$B$11*V1370</f>
        <v/>
      </c>
      <c r="P1370">
        <f>IF(B1388=0,0,O1370/B1388)</f>
        <v/>
      </c>
      <c r="Q1370" t="n">
        <v>0</v>
      </c>
      <c r="R1370" t="n">
        <v>0</v>
      </c>
      <c r="S1370">
        <f>IFERROR(O1370/N1370,0)</f>
        <v/>
      </c>
      <c r="T1370" t="n">
        <v>0</v>
      </c>
      <c r="V1370" t="n">
        <v>0</v>
      </c>
    </row>
    <row r="1371">
      <c r="A1371">
        <f>Skills!A24</f>
        <v/>
      </c>
      <c r="B1371">
        <f>Skills!B24</f>
        <v/>
      </c>
      <c r="C1371">
        <f>Inputs!$B$3&gt;=40</f>
        <v/>
      </c>
      <c r="D1371">
        <f>IF(Skills!C24=1,60+Inputs!$B$25+Inputs!$B$29,IF(Skills!C24=2,90+Inputs!$B$26+Inputs!$B$29,IF(Skills!C24=3,120+Inputs!$B$27+Inputs!$B$29,MAX(0,(Inputs!$B$3-100)*3)+Inputs!$B$28+Inputs!$B$29)))</f>
        <v/>
      </c>
      <c r="E1371">
        <f>INDEX(FactorTable!$B$2:$Y$301, MATCH(ROUND(MIN(300,MAX(1,D1371)),0), FactorTable!$A$2:$A$301,0), Skills!M24+1)</f>
        <v/>
      </c>
      <c r="F1371">
        <f>IF(Skills!N24=TRUE,(Skills!L24/10)*(E1371/1000),Skills!L24/10)+Skills!O24</f>
        <v/>
      </c>
      <c r="G1371">
        <f>Skills!G24*IF(Skills!H24&gt;0,Skills!I24/Skills!H24,1)</f>
        <v/>
      </c>
      <c r="H1371">
        <f>1-(1-Skills!J24/100)^Skills!K24</f>
        <v/>
      </c>
      <c r="I1371" t="inlineStr">
        <is>
          <t>1</t>
        </is>
      </c>
      <c r="J1371" t="inlineStr"/>
      <c r="K1371" t="inlineStr"/>
      <c r="L1371" t="inlineStr"/>
      <c r="M1371" t="inlineStr"/>
      <c r="N1371" t="inlineStr"/>
      <c r="O1371">
        <f>(1-Summary!$B$11)*T1371+Summary!$B$11*V1371</f>
        <v/>
      </c>
      <c r="P1371">
        <f>IF(B1388=0,0,O1371/B1388)</f>
        <v/>
      </c>
      <c r="Q1371" t="n">
        <v>0</v>
      </c>
      <c r="R1371" t="n">
        <v>0</v>
      </c>
      <c r="S1371">
        <f>IFERROR(O1371/N1371,0)</f>
        <v/>
      </c>
      <c r="T1371" t="n">
        <v>0</v>
      </c>
      <c r="V1371" t="n">
        <v>0</v>
      </c>
    </row>
    <row r="1372">
      <c r="A1372">
        <f>Skills!A25</f>
        <v/>
      </c>
      <c r="B1372">
        <f>Skills!B25</f>
        <v/>
      </c>
      <c r="C1372">
        <f>Inputs!$B$3&gt;=72</f>
        <v/>
      </c>
      <c r="D1372">
        <f>IF(Skills!C25=1,60+Inputs!$B$25+Inputs!$B$29,IF(Skills!C25=2,90+Inputs!$B$26+Inputs!$B$29,IF(Skills!C25=3,120+Inputs!$B$27+Inputs!$B$29,MAX(0,(Inputs!$B$3-100)*3)+Inputs!$B$28+Inputs!$B$29)))</f>
        <v/>
      </c>
      <c r="E1372">
        <f>INDEX(FactorTable!$B$2:$Y$301, MATCH(ROUND(MIN(300,MAX(1,D1372)),0), FactorTable!$A$2:$A$301,0), Skills!M25+1)</f>
        <v/>
      </c>
      <c r="F1372">
        <f>IF(Skills!N25=TRUE,(Skills!L25/10)*(E1372/1000),Skills!L25/10)+Skills!O25</f>
        <v/>
      </c>
      <c r="G1372">
        <f>Skills!G25*IF(Skills!H25&gt;0,Skills!I25/Skills!H25,1)</f>
        <v/>
      </c>
      <c r="H1372">
        <f>1-(1-Skills!J25/100)^Skills!K25</f>
        <v/>
      </c>
      <c r="I1372" t="inlineStr">
        <is>
          <t>1</t>
        </is>
      </c>
      <c r="J1372" t="inlineStr"/>
      <c r="K1372" t="inlineStr"/>
      <c r="L1372" t="inlineStr"/>
      <c r="M1372" t="inlineStr"/>
      <c r="N1372" t="inlineStr"/>
      <c r="O1372">
        <f>(1-Summary!$B$11)*T1372+Summary!$B$11*V1372</f>
        <v/>
      </c>
      <c r="P1372">
        <f>IF(B1388=0,0,O1372/B1388)</f>
        <v/>
      </c>
      <c r="Q1372" t="n">
        <v>0</v>
      </c>
      <c r="R1372" t="n">
        <v>0</v>
      </c>
      <c r="S1372">
        <f>IFERROR(O1372/N1372,0)</f>
        <v/>
      </c>
      <c r="T1372" t="n">
        <v>0</v>
      </c>
      <c r="V1372" t="n">
        <v>0</v>
      </c>
    </row>
    <row r="1373">
      <c r="A1373">
        <f>Skills!A26</f>
        <v/>
      </c>
      <c r="B1373">
        <f>Skills!B26</f>
        <v/>
      </c>
      <c r="C1373">
        <f>Inputs!$B$3&gt;=75</f>
        <v/>
      </c>
      <c r="D1373">
        <f>IF(Skills!C26=1,60+Inputs!$B$25+Inputs!$B$29,IF(Skills!C26=2,90+Inputs!$B$26+Inputs!$B$29,IF(Skills!C26=3,120+Inputs!$B$27+Inputs!$B$29,MAX(0,(Inputs!$B$3-100)*3)+Inputs!$B$28+Inputs!$B$29)))</f>
        <v/>
      </c>
      <c r="E1373">
        <f>INDEX(FactorTable!$B$2:$Y$301, MATCH(ROUND(MIN(300,MAX(1,D1373)),0), FactorTable!$A$2:$A$301,0), Skills!M26+1)</f>
        <v/>
      </c>
      <c r="F1373">
        <f>IF(Skills!N26=TRUE,(Skills!L26/10)*(E1373/1000),Skills!L26/10)+Skills!O26</f>
        <v/>
      </c>
      <c r="G1373">
        <f>Skills!G26*IF(Skills!H26&gt;0,Skills!I26/Skills!H26,1)</f>
        <v/>
      </c>
      <c r="H1373">
        <f>1-(1-Skills!J26/100)^Skills!K26</f>
        <v/>
      </c>
      <c r="I1373" t="inlineStr">
        <is>
          <t>1</t>
        </is>
      </c>
      <c r="J1373" t="inlineStr"/>
      <c r="K1373" t="inlineStr"/>
      <c r="L1373" t="inlineStr"/>
      <c r="M1373" t="inlineStr"/>
      <c r="N1373" t="inlineStr"/>
      <c r="O1373">
        <f>(1-Summary!$B$11)*T1373+Summary!$B$11*V1373</f>
        <v/>
      </c>
      <c r="P1373">
        <f>IF(B1388=0,0,O1373/B1388)</f>
        <v/>
      </c>
      <c r="Q1373" t="n">
        <v>0</v>
      </c>
      <c r="R1373" t="n">
        <v>0</v>
      </c>
      <c r="S1373">
        <f>IFERROR(O1373/N1373,0)</f>
        <v/>
      </c>
      <c r="T1373" t="n">
        <v>0</v>
      </c>
      <c r="V1373" t="n">
        <v>0</v>
      </c>
    </row>
    <row r="1374">
      <c r="A1374">
        <f>Skills!A27</f>
        <v/>
      </c>
      <c r="B1374">
        <f>Skills!B27</f>
        <v/>
      </c>
      <c r="C1374">
        <f>Inputs!$B$3&gt;=117</f>
        <v/>
      </c>
      <c r="D1374">
        <f>IF(Skills!C27=1,60+Inputs!$B$25+Inputs!$B$29,IF(Skills!C27=2,90+Inputs!$B$26+Inputs!$B$29,IF(Skills!C27=3,120+Inputs!$B$27+Inputs!$B$29,MAX(0,(Inputs!$B$3-100)*3)+Inputs!$B$28+Inputs!$B$29)))</f>
        <v/>
      </c>
      <c r="E1374">
        <f>INDEX(FactorTable!$B$2:$Y$301, MATCH(ROUND(MIN(300,MAX(1,D1374)),0), FactorTable!$A$2:$A$301,0), Skills!M27+1)</f>
        <v/>
      </c>
      <c r="F1374">
        <f>IF(Skills!N27=TRUE,(Skills!L27/10)*(E1374/1000),Skills!L27/10)+Skills!O27</f>
        <v/>
      </c>
      <c r="G1374">
        <f>Skills!G27*IF(Skills!H27&gt;0,Skills!I27/Skills!H27,1)</f>
        <v/>
      </c>
      <c r="H1374">
        <f>1-(1-Skills!J27/100)^Skills!K27</f>
        <v/>
      </c>
      <c r="I1374" t="inlineStr">
        <is>
          <t>1</t>
        </is>
      </c>
      <c r="J1374" t="inlineStr"/>
      <c r="K1374" t="inlineStr"/>
      <c r="L1374" t="inlineStr"/>
      <c r="M1374" t="inlineStr"/>
      <c r="N1374" t="inlineStr"/>
      <c r="O1374">
        <f>(1-Summary!$B$11)*T1374+Summary!$B$11*V1374</f>
        <v/>
      </c>
      <c r="P1374">
        <f>IF(B1388=0,0,O1374/B1388)</f>
        <v/>
      </c>
      <c r="Q1374" t="n">
        <v>0</v>
      </c>
      <c r="R1374" t="n">
        <v>0</v>
      </c>
      <c r="S1374">
        <f>IFERROR(O1374/N1374,0)</f>
        <v/>
      </c>
      <c r="T1374" t="n">
        <v>0</v>
      </c>
      <c r="V1374" t="n">
        <v>0</v>
      </c>
    </row>
    <row r="1375">
      <c r="A1375">
        <f>Skills!A28</f>
        <v/>
      </c>
      <c r="B1375">
        <f>Skills!B28</f>
        <v/>
      </c>
      <c r="C1375">
        <f>TRUE</f>
        <v/>
      </c>
      <c r="D1375">
        <f>IF(Skills!C28=1,60+Inputs!$B$25+Inputs!$B$29,IF(Skills!C28=2,90+Inputs!$B$26+Inputs!$B$29,IF(Skills!C28=3,120+Inputs!$B$27+Inputs!$B$29,MAX(0,(Inputs!$B$3-100)*3)+Inputs!$B$28+Inputs!$B$29)))</f>
        <v/>
      </c>
      <c r="E1375">
        <f>INDEX(FactorTable!$B$2:$Y$301, MATCH(ROUND(MIN(300,MAX(1,D1375)),0), FactorTable!$A$2:$A$301,0), Skills!M28+1)</f>
        <v/>
      </c>
      <c r="F1375">
        <f>IF(Skills!N28=TRUE,(Skills!L28/10)*(E1375/1000),Skills!L28/10)+Skills!O28</f>
        <v/>
      </c>
      <c r="G1375">
        <f>Skills!G28*IF(Skills!H28&gt;0,Skills!I28/Skills!H28,1)</f>
        <v/>
      </c>
      <c r="H1375">
        <f>1-(1-Skills!J28/100)^Skills!K28</f>
        <v/>
      </c>
      <c r="I1375" t="inlineStr">
        <is>
          <t>1</t>
        </is>
      </c>
      <c r="J1375" t="inlineStr"/>
      <c r="K1375" t="inlineStr"/>
      <c r="L1375" t="inlineStr"/>
      <c r="M1375" t="inlineStr"/>
      <c r="N1375" t="inlineStr"/>
      <c r="O1375">
        <f>(1-Summary!$B$11)*T1375+Summary!$B$11*V1375</f>
        <v/>
      </c>
      <c r="P1375">
        <f>IF(B1388=0,0,O1375/B1388)</f>
        <v/>
      </c>
      <c r="Q1375">
        <f>IFERROR(1/(IF(Inputs!$B$38="pvp",15,MAX(0.1,Skills!D28-IF(Skills!E28=TRUE,Inputs!$B$32,0)))*(1-IF(AND(ArtifactsInput!$M$27,Inputs!$B$4="Chapter Hunt"),CHOOSE(ArtifactsInput!$N$27+1,20,24,28,32,36,40),0)/100)),0)</f>
        <v/>
      </c>
      <c r="R1375">
        <f>IF(AND(Inputs!$B$38&lt;&gt;"pvp",Inputs!$B$43&gt;0),IF(Inputs!$B$43&lt;=0,0,(INT(Inputs!$B$43/(IF(Inputs!$B$38="pvp",15,MAX(0.1,Skills!D28-IF(Skills!E28=TRUE,Inputs!$B$32,0)))*(1-IF(AND(ArtifactsInput!$M$27,Inputs!$B$4="Chapter Hunt"),CHOOSE(ArtifactsInput!$N$27+1,20,24,28,32,36,40),0)/100)))+1)),0)</f>
        <v/>
      </c>
      <c r="S1375">
        <f>IFERROR(O1375/N1375,0)</f>
        <v/>
      </c>
      <c r="T1375" t="n">
        <v>0</v>
      </c>
      <c r="V1375" t="n">
        <v>0</v>
      </c>
    </row>
    <row r="1377">
      <c r="A1377" t="inlineStr">
        <is>
          <t>Attack% Bucket Multiplier</t>
        </is>
      </c>
      <c r="B1377">
        <f>(1+(((C1364=TRUE)*F1364*5/7)+((C1371=TRUE)*(F1371-Calc!F24))+(IF(ArtifactsInput!$M$21,CHOOSE(ArtifactsInput!$N$21+1,25,30,35,40,45,50)*(IF(OR(Inputs!$B$4="Chapter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78">
      <c r="A1378" t="inlineStr">
        <is>
          <t>Global Crit Rate Bonus %</t>
        </is>
      </c>
      <c r="B1378" t="n">
        <v>0</v>
      </c>
    </row>
    <row r="1379">
      <c r="A1379" t="inlineStr">
        <is>
          <t>Attack Speed Buff Bonus % (Nimble Feet, duty-cycle averaged)</t>
        </is>
      </c>
      <c r="B1379">
        <f>((C1375=TRUE)*F1375*IF(AND(Inputs!$B$38&lt;&gt;"pvp",Inputs!$B$43&gt;0),(((R1375-1)*(Skills!T28*(1+Inputs!$B$34/100))+MIN((Skills!T28*(1+Inputs!$B$34/100)),MAX(0,Inputs!$B$43-((R1375-1)*Skills!D28))))/Inputs!$B$43),IF(Inputs!$B$38="pvp",MIN((Skills!T28*(1+Inputs!$B$34/100)),15)/15,(Skills!T28*(1+Inputs!$B$34/100))/Skills!D28)))</f>
        <v/>
      </c>
    </row>
    <row r="1380">
      <c r="A1380" t="inlineStr">
        <is>
          <t>Actions Per Second</t>
        </is>
      </c>
      <c r="B1380">
        <f>1+MIN(150,150*(1-(1-(Inputs!$B$11+((C1367=TRUE)*(F1367-Calc!F20))+((C1368=TRUE)*(F1368-Calc!F21)))/150)*(1-B1379/150)))/100</f>
        <v/>
      </c>
    </row>
    <row r="1381">
      <c r="A1381" t="inlineStr">
        <is>
          <t>Skill + Buff Cast Rate</t>
        </is>
      </c>
      <c r="B1381">
        <f>IF(AND(Inputs!$B$38&lt;&gt;"pvp",Inputs!$B$43&gt;0),SUMPRODUCT((Skills!E2:E28=TRUE)*(C1349:C1375=TRUE)*R1349:R1375*Skills!F2:F28)/Inputs!$B$43,SUMPRODUCT((Skills!E2:E28=TRUE)*(C1349:C1375=TRUE)*Q1349:Q1375*Skills!F2:F28))</f>
        <v/>
      </c>
    </row>
    <row r="1382">
      <c r="A1382" t="inlineStr">
        <is>
          <t>Eight-Legs Easton Casts Per Second</t>
        </is>
      </c>
      <c r="B1382">
        <f>MAX(0,B1380-B1381)</f>
        <v/>
      </c>
    </row>
    <row r="1383">
      <c r="A1383" t="inlineStr">
        <is>
          <t>Global Critical Damage Bonus % (unused)</t>
        </is>
      </c>
      <c r="B1383" t="n">
        <v>0</v>
      </c>
    </row>
    <row r="1384">
      <c r="A1384" t="inlineStr">
        <is>
          <t>Global Final Damage Bonus % (Jolly Roger + Ahoy Mateys - Final Damage proc)</t>
        </is>
      </c>
      <c r="B1384">
        <f>((C1365=TRUE)*F1365*IF(AND(Inputs!$B$38&lt;&gt;"pvp",Inputs!$B$43&gt;0),(((R1365-1)*(Skills!T18*(1+Inputs!$B$34/100))+MIN((Skills!T18*(1+Inputs!$B$34/100)),MAX(0,Inputs!$B$43-((R1365-1)*Skills!D18))))/Inputs!$B$43),IF(Inputs!$B$38="pvp",MIN((Skills!T18*(1+Inputs!$B$34/100)),15)/15,(Skills!T18*(1+Inputs!$B$34/100))/Skills!D18)))+IF(Inputs!$B$3&gt;=122,20*IF(Inputs!$B$38="pvp",MIN((20*(1+Inputs!$B$34/100)),15)/15,(20*(1+Inputs!$B$34/100))/Skills!D4),0)</f>
        <v/>
      </c>
    </row>
    <row r="1385">
      <c r="A1385" t="inlineStr">
        <is>
          <t>Buff-Casting Startup Delay (s, fixed-duration only)</t>
        </is>
      </c>
      <c r="B1385">
        <f>IF(AND(Inputs!$B$38&lt;&gt;"pvp",Inputs!$B$43&gt;0),SUMPRODUCT((Skills!T2:T28&gt;0)*(Skills!E2:E28=TRUE)*(C1349:C1375=TRUE))/B1380,0)</f>
        <v/>
      </c>
    </row>
    <row r="1386">
      <c r="A1386" t="inlineStr">
        <is>
          <t>Boss-Only Total DPS (this block's swept value)</t>
        </is>
      </c>
      <c r="B1386">
        <f>SUM(T1349:T1375)</f>
        <v/>
      </c>
    </row>
    <row r="1387">
      <c r="A1387" t="inlineStr">
        <is>
          <t>Normal-Only Total DPS (this block's swept value)</t>
        </is>
      </c>
      <c r="B1387">
        <f>SUM(V1349:V1375)</f>
        <v/>
      </c>
    </row>
    <row r="1388">
      <c r="A1388" s="6" t="inlineStr">
        <is>
          <t>TOTAL DPS</t>
        </is>
      </c>
      <c r="B1388" s="6">
        <f>SUM(O1349:O1375)</f>
        <v/>
      </c>
    </row>
    <row r="1391">
      <c r="A1391" s="6" t="inlineStr">
        <is>
          <t>Stat: Rainbow-colored Snail Shell (Equip)</t>
        </is>
      </c>
    </row>
    <row r="1392">
      <c r="A1392" s="5" t="inlineStr">
        <is>
          <t>Key</t>
        </is>
      </c>
      <c r="B1392" s="5" t="inlineStr">
        <is>
          <t>Name</t>
        </is>
      </c>
      <c r="C1392" s="5" t="inlineStr">
        <is>
          <t>Unlocked</t>
        </is>
      </c>
      <c r="D1392" s="5" t="inlineStr">
        <is>
          <t>InputLevel</t>
        </is>
      </c>
      <c r="E1392" s="5" t="inlineStr">
        <is>
          <t>Factor</t>
        </is>
      </c>
      <c r="F1392" s="5" t="inlineStr">
        <is>
          <t>CoefficientPercent</t>
        </is>
      </c>
      <c r="G1392" s="5" t="inlineStr">
        <is>
          <t>EffectiveHits</t>
        </is>
      </c>
      <c r="H1392" s="5" t="inlineStr">
        <is>
          <t>ProcProbability</t>
        </is>
      </c>
      <c r="I1392" s="5" t="inlineStr">
        <is>
          <t>MapleHeroMultiplier</t>
        </is>
      </c>
      <c r="J1392" s="5" t="inlineStr">
        <is>
          <t>BaseDamage</t>
        </is>
      </c>
      <c r="K1392" s="5" t="inlineStr">
        <is>
          <t>BaseHitDamage</t>
        </is>
      </c>
      <c r="L1392" s="5" t="inlineStr">
        <is>
          <t>NonCritAvg</t>
        </is>
      </c>
      <c r="M1392" s="5" t="inlineStr">
        <is>
          <t>CritAvg</t>
        </is>
      </c>
      <c r="N1392" s="5" t="inlineStr">
        <is>
          <t>ExpectedDamage(perHit)</t>
        </is>
      </c>
      <c r="O1392" s="5" t="inlineStr">
        <is>
          <t>DPS</t>
        </is>
      </c>
      <c r="P1392" s="5" t="inlineStr">
        <is>
          <t>% of Total</t>
        </is>
      </c>
      <c r="Q1392" s="5" t="inlineStr">
        <is>
          <t>InvCooldown</t>
        </is>
      </c>
      <c r="R1392" s="5" t="inlineStr">
        <is>
          <t>CastsInFight</t>
        </is>
      </c>
      <c r="S1392" s="5" t="inlineStr">
        <is>
          <t>HitRate(perSec)</t>
        </is>
      </c>
      <c r="U1392" t="inlineStr">
        <is>
          <t>helpers</t>
        </is>
      </c>
    </row>
    <row r="1393">
      <c r="A1393">
        <f>Skills!A2</f>
        <v/>
      </c>
      <c r="B1393">
        <f>Skills!B2</f>
        <v/>
      </c>
      <c r="C1393">
        <f>Inputs!$B$3&gt;=100</f>
        <v/>
      </c>
      <c r="D1393" t="inlineStr"/>
      <c r="E1393" t="inlineStr"/>
      <c r="F1393">
        <f>U1395+Skills!O2</f>
        <v/>
      </c>
      <c r="G1393">
        <f>Skills!G2*IF(Skills!H2&gt;0,Skills!I2/Skills!H2,1)</f>
        <v/>
      </c>
      <c r="H1393">
        <f>1-(1-Skills!J2/100)^Skills!K2</f>
        <v/>
      </c>
      <c r="I1393" t="inlineStr">
        <is>
          <t>1</t>
        </is>
      </c>
      <c r="J1393">
        <f>((Inputs!$B$6*(1+Inputs!$B$7/100))+(((Inputs!$B$12*(1+Inputs!$B$13/100))-(Inputs!$B$12*(1+Inputs!$B$13/100)))+0.25*(Inputs!$B$14-Inputs!$B$14))*(1+Inputs!$B$7/100))*(F1393/100)</f>
        <v/>
      </c>
      <c r="K1393">
        <f>J1393*(1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1393)</f>
        <v/>
      </c>
      <c r="L1393">
        <f>K1393*(MIN(Inputs!$B$22+((C1413=TRUE)*(F1413-Calc!F22)),(Inputs!$B$23+0+(IF(ArtifactsInput!$M$15,CHOOSE(ArtifactsInput!$N$15+1,25,30,35,40,45,50)/100*(Inputs!$B$11-Inputs!$B$11),0))))/100+(Inputs!$B$23+0+(IF(ArtifactsInput!$M$15,CHOOSE(ArtifactsInput!$N$15+1,25,30,35,40,45,50)/100*(Inputs!$B$11-Inputs!$B$11),0)))/100)/2</f>
        <v/>
      </c>
      <c r="M1393">
        <f>L1393*(1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93">
        <f>L1393*(1-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1393*(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93">
        <f>(1-Summary!$B$11)*T1393+Summary!$B$11*V1393</f>
        <v/>
      </c>
      <c r="P1393">
        <f>IF(B1432=0,0,O1393/B1432)</f>
        <v/>
      </c>
      <c r="Q1393" t="n">
        <v>0</v>
      </c>
      <c r="R1393" t="n">
        <v>0</v>
      </c>
      <c r="S1393">
        <f>IFERROR(O1393/N1393,0)</f>
        <v/>
      </c>
      <c r="T1393">
        <f>IF(C1393,(Skills!G2*N1393*B1426)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1393*(1-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1393*(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1393*(1-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1393*(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3">
        <f>MAX(0,(Inputs!$B$3-100)*3)+Inputs!$B$28+Inputs!$B$29</f>
        <v/>
      </c>
      <c r="V1393">
        <f>IF(C1393,(Skills!G2*N1393*B1426)*IF(Inputs!$B$38="pvp",1,(1+(Inputs!$B$21+Skills!Q2+(IF(ArtifactsInput!$M$33,CHOOSE(ArtifactsInput!$N$33+1,30,36,42,48,54,60),0))+(IF(AND(ArtifactsInput!$M$35,Inputs!$B$4&lt;&gt;"Chapter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4">
      <c r="A1394">
        <f>Skills!A3</f>
        <v/>
      </c>
      <c r="B1394">
        <f>Skills!B3</f>
        <v/>
      </c>
      <c r="C1394">
        <f>Inputs!$B$3&gt;=35</f>
        <v/>
      </c>
      <c r="D1394">
        <f>IF(Skills!C3=1,60+Inputs!$B$25+Inputs!$B$29,IF(Skills!C3=2,90+Inputs!$B$26+Inputs!$B$29,IF(Skills!C3=3,120+Inputs!$B$27+Inputs!$B$29,MAX(0,(Inputs!$B$3-100)*3)+Inputs!$B$28+Inputs!$B$29)))</f>
        <v/>
      </c>
      <c r="E1394">
        <f>INDEX(FactorTable!$B$2:$Y$301, MATCH(ROUND(MIN(300,MAX(1,D1394)),0), FactorTable!$A$2:$A$301,0), Skills!M3+1)</f>
        <v/>
      </c>
      <c r="F1394">
        <f>IF(Skills!N3=TRUE,(Skills!L3/10)*(E1394/1000),Skills!L3/10)+Skills!O3</f>
        <v/>
      </c>
      <c r="G1394">
        <f>Skills!G3*IF(Skills!H3&gt;0,Skills!I3/Skills!H3,1)</f>
        <v/>
      </c>
      <c r="H1394">
        <f>1-(1-Skills!J3/100)^Skills!K3</f>
        <v/>
      </c>
      <c r="I1394" t="inlineStr">
        <is>
          <t>1</t>
        </is>
      </c>
      <c r="J1394">
        <f>((Inputs!$B$6*(1+Inputs!$B$7/100))+(((Inputs!$B$12*(1+Inputs!$B$13/100))-(Inputs!$B$12*(1+Inputs!$B$13/100)))+0.25*(Inputs!$B$14-Inputs!$B$14))*(1+Inputs!$B$7/100))*(F1394/100)</f>
        <v/>
      </c>
      <c r="K1394">
        <f>J1394*(1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1406=TRUE,F1406,0)/100)*(1+(IF(Skills!A3="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1394)</f>
        <v/>
      </c>
      <c r="L1394">
        <f>K1394*(MIN(Inputs!$B$22+((C1413=TRUE)*(F1413-Calc!F22)),(Inputs!$B$23+0+(IF(ArtifactsInput!$M$15,CHOOSE(ArtifactsInput!$N$15+1,25,30,35,40,45,50)/100*(Inputs!$B$11-Inputs!$B$11),0))))/100+(Inputs!$B$23+0+(IF(ArtifactsInput!$M$15,CHOOSE(ArtifactsInput!$N$15+1,25,30,35,40,45,50)/100*(Inputs!$B$11-Inputs!$B$11),0)))/100)/2</f>
        <v/>
      </c>
      <c r="M1394">
        <f>L1394*(1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94">
        <f>L1394*(1-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1394*(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94">
        <f>(1-Summary!$B$11)*T1394+Summary!$B$11*V1394</f>
        <v/>
      </c>
      <c r="P1394">
        <f>IF(B1432=0,0,O1394/B1432)</f>
        <v/>
      </c>
      <c r="Q1394">
        <f>IFERROR(1/(IF(Inputs!$B$38="pvp",15,MAX(0.1,Skills!D3-IF(Skills!E3=TRUE,Inputs!$B$32,0)))*(1-IF(AND(ArtifactsInput!$M$27,Inputs!$B$4="Chapter Hunt"),CHOOSE(ArtifactsInput!$N$27+1,20,24,28,32,36,40),0)/100)),0)</f>
        <v/>
      </c>
      <c r="R1394">
        <f>IF(AND(Inputs!$B$38&lt;&gt;"pvp",Inputs!$B$43&gt;0),IF(MAX(0,Inputs!$B$43-B1429)&lt;=0,0,(INT(MAX(0,Inputs!$B$43-B1429)/(IF(Inputs!$B$38="pvp",15,MAX(0.1,Skills!D3-IF(Skills!E3=TRUE,Inputs!$B$32,0)))*(1-IF(AND(ArtifactsInput!$M$27,Inputs!$B$4="Chapter Hunt"),CHOOSE(ArtifactsInput!$N$27+1,20,24,28,32,36,40),0)/100)))+1)),0)</f>
        <v/>
      </c>
      <c r="S1394">
        <f>IFERROR(O1394/N1394,0)</f>
        <v/>
      </c>
      <c r="T1394">
        <f>IF(C1394,(H1394*N1394*IF(AND(Inputs!$B$38&lt;&gt;"pvp",Inputs!$B$43&gt;0),((Skills!G3*((R1394-1)*IF(Skills!H3&gt;0,Skills!I3/Skills!H3,1)+IF(Skills!H3&gt;0,MIN(Skills!I3,MAX(0,MAX(0,Inputs!$B$43-B1429)-((R1394-1)*(IF(Inputs!$B$38="pvp",15,MAX(0.1,Skills!D3-IF(Skills!E3=TRUE,Inputs!$B$32,0)))*(1-IF(AND(ArtifactsInput!$M$27,Inputs!$B$4="Chapter Hunt"),CHOOSE(ArtifactsInput!$N$27+1,20,24,28,32,36,40),0)/100)))))/Skills!H3,1)))/Inputs!$B$43),G1394*Q1394)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1394*(1-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1394*(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1394*(1-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1394*(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4">
        <f>INDEX(FactorTable!$B$2:$Y$301, MATCH(ROUND(MIN(300,MAX(1,U1393)),0), FactorTable!$A$2:$A$301,0), 22)</f>
        <v/>
      </c>
      <c r="V1394">
        <f>IF(C1394,(H1394*N1394*IF(AND(Inputs!$B$38&lt;&gt;"pvp",Inputs!$B$43&gt;0),((Skills!G3*((R1394-1)*IF(Skills!H3&gt;0,Skills!I3/Skills!H3,1)+IF(Skills!H3&gt;0,MIN(Skills!I3,MAX(0,MAX(0,Inputs!$B$43-B1429)-((R1394-1)*(IF(Inputs!$B$38="pvp",15,MAX(0.1,Skills!D3-IF(Skills!E3=TRUE,Inputs!$B$32,0)))*(1-IF(AND(ArtifactsInput!$M$27,Inputs!$B$4="Chapter Hunt"),CHOOSE(ArtifactsInput!$N$27+1,20,24,28,32,36,40),0)/100)))))/Skills!H3,1)))/Inputs!$B$43),G1394*Q1394))*IF(Inputs!$B$38="pvp",1,(1+(Inputs!$B$21+Skills!Q3+(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5">
      <c r="A1395">
        <f>Skills!A4</f>
        <v/>
      </c>
      <c r="B1395">
        <f>Skills!B4</f>
        <v/>
      </c>
      <c r="C1395">
        <f>Inputs!$B$3&gt;=40</f>
        <v/>
      </c>
      <c r="D1395">
        <f>IF(Skills!C4=1,60+Inputs!$B$25+Inputs!$B$29,IF(Skills!C4=2,90+Inputs!$B$26+Inputs!$B$29,IF(Skills!C4=3,120+Inputs!$B$27+Inputs!$B$29,MAX(0,(Inputs!$B$3-100)*3)+Inputs!$B$28+Inputs!$B$29)))</f>
        <v/>
      </c>
      <c r="E1395">
        <f>INDEX(FactorTable!$B$2:$Y$301, MATCH(ROUND(MIN(300,MAX(1,D1395)),0), FactorTable!$A$2:$A$301,0), Skills!M4+1)</f>
        <v/>
      </c>
      <c r="F1395">
        <f>IF(Skills!N4=TRUE,(Skills!L4/10)*(E1395/1000),Skills!L4/10)+Skills!O4</f>
        <v/>
      </c>
      <c r="G1395">
        <f>Skills!G4*IF(Skills!H4&gt;0,Skills!I4/Skills!H4,1)</f>
        <v/>
      </c>
      <c r="H1395">
        <f>1-(1-Skills!J4/100)^Skills!K4</f>
        <v/>
      </c>
      <c r="I1395" t="inlineStr">
        <is>
          <t>1</t>
        </is>
      </c>
      <c r="J1395">
        <f>((Inputs!$B$6*(1+Inputs!$B$7/100))+(((Inputs!$B$12*(1+Inputs!$B$13/100))-(Inputs!$B$12*(1+Inputs!$B$13/100)))+0.25*(Inputs!$B$14-Inputs!$B$14))*(1+Inputs!$B$7/100))*(F1395/100)</f>
        <v/>
      </c>
      <c r="K1395">
        <f>J1395*(1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1407=TRUE,F1407,0)/100)*(1+(IF(Skills!A4="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1395)</f>
        <v/>
      </c>
      <c r="L1395">
        <f>K1395*(MIN(Inputs!$B$22+((C1413=TRUE)*(F1413-Calc!F22)),(Inputs!$B$23+0+(IF(ArtifactsInput!$M$15,CHOOSE(ArtifactsInput!$N$15+1,25,30,35,40,45,50)/100*(Inputs!$B$11-Inputs!$B$11),0))))/100+(Inputs!$B$23+0+(IF(ArtifactsInput!$M$15,CHOOSE(ArtifactsInput!$N$15+1,25,30,35,40,45,50)/100*(Inputs!$B$11-Inputs!$B$11),0)))/100)/2</f>
        <v/>
      </c>
      <c r="M1395">
        <f>L1395*(1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95">
        <f>L1395*(1-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1395*(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95">
        <f>(1-Summary!$B$11)*T1395+Summary!$B$11*V1395</f>
        <v/>
      </c>
      <c r="P1395">
        <f>IF(B1432=0,0,O1395/B1432)</f>
        <v/>
      </c>
      <c r="Q1395">
        <f>IFERROR(1/(IF(Inputs!$B$38="pvp",15,MAX(0.1,Skills!D4-IF(Skills!E4=TRUE,Inputs!$B$32,0)))*(1-IF(AND(ArtifactsInput!$M$27,Inputs!$B$4="Chapter Hunt"),CHOOSE(ArtifactsInput!$N$27+1,20,24,28,32,36,40),0)/100)),0)</f>
        <v/>
      </c>
      <c r="R1395">
        <f>IF(AND(Inputs!$B$38&lt;&gt;"pvp",Inputs!$B$43&gt;0),IF(MAX(0,Inputs!$B$43-B1429)&lt;=0,0,(INT(MAX(0,Inputs!$B$43-B1429)/(IF(Inputs!$B$38="pvp",15,MAX(0.1,Skills!D4-IF(Skills!E4=TRUE,Inputs!$B$32,0)))*(1-IF(AND(ArtifactsInput!$M$27,Inputs!$B$4="Chapter Hunt"),CHOOSE(ArtifactsInput!$N$27+1,20,24,28,32,36,40),0)/100)))+1)),0)</f>
        <v/>
      </c>
      <c r="S1395">
        <f>IFERROR(O1395/N1395,0)</f>
        <v/>
      </c>
      <c r="T1395">
        <f>IF(C1395,(H1395*N1395*IF(AND(Inputs!$B$38&lt;&gt;"pvp",Inputs!$B$43&gt;0),((Skills!G4*((R1395-1)*IF(Skills!H4&gt;0,Skills!I4/Skills!H4,1)+IF(Skills!H4&gt;0,MIN(Skills!I4,MAX(0,MAX(0,Inputs!$B$43-B1429)-((R1395-1)*(IF(Inputs!$B$38="pvp",15,MAX(0.1,Skills!D4-IF(Skills!E4=TRUE,Inputs!$B$32,0)))*(1-IF(AND(ArtifactsInput!$M$27,Inputs!$B$4="Chapter Hunt"),CHOOSE(ArtifactsInput!$N$27+1,20,24,28,32,36,40),0)/100)))))/Skills!H4,1)))/Inputs!$B$43),G1395*Q1395)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1395*(1-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1395*(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1395*(1-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1395*(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5">
        <f>290*U1394/1000</f>
        <v/>
      </c>
      <c r="V1395">
        <f>IF(C1395,(H1395*N1395*IF(AND(Inputs!$B$38&lt;&gt;"pvp",Inputs!$B$43&gt;0),((Skills!G4*((R1395-1)*IF(Skills!H4&gt;0,Skills!I4/Skills!H4,1)+IF(Skills!H4&gt;0,MIN(Skills!I4,MAX(0,MAX(0,Inputs!$B$43-B1429)-((R1395-1)*(IF(Inputs!$B$38="pvp",15,MAX(0.1,Skills!D4-IF(Skills!E4=TRUE,Inputs!$B$32,0)))*(1-IF(AND(ArtifactsInput!$M$27,Inputs!$B$4="Chapter Hunt"),CHOOSE(ArtifactsInput!$N$27+1,20,24,28,32,36,40),0)/100)))))/Skills!H4,1)))/Inputs!$B$43),G1395*Q1395))*IF(Inputs!$B$38="pvp",1,(1+(Inputs!$B$21+Skills!Q4+(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6">
      <c r="A1396">
        <f>Skills!A5</f>
        <v/>
      </c>
      <c r="B1396">
        <f>Skills!B5</f>
        <v/>
      </c>
      <c r="C1396">
        <f>Inputs!$B$3&gt;=45</f>
        <v/>
      </c>
      <c r="D1396">
        <f>IF(Skills!C5=1,60+Inputs!$B$25+Inputs!$B$29,IF(Skills!C5=2,90+Inputs!$B$26+Inputs!$B$29,IF(Skills!C5=3,120+Inputs!$B$27+Inputs!$B$29,MAX(0,(Inputs!$B$3-100)*3)+Inputs!$B$28+Inputs!$B$29)))</f>
        <v/>
      </c>
      <c r="E1396">
        <f>INDEX(FactorTable!$B$2:$Y$301, MATCH(ROUND(MIN(300,MAX(1,D1396)),0), FactorTable!$A$2:$A$301,0), Skills!M5+1)</f>
        <v/>
      </c>
      <c r="F1396">
        <f>IF(Skills!N5=TRUE,(Skills!L5/10)*(E1396/1000),Skills!L5/10)+Skills!O5</f>
        <v/>
      </c>
      <c r="G1396">
        <f>Skills!G5*IF(Skills!H5&gt;0,Skills!I5/Skills!H5,1)</f>
        <v/>
      </c>
      <c r="H1396">
        <f>1-(1-Skills!J5/100)^Skills!K5</f>
        <v/>
      </c>
      <c r="I1396" t="inlineStr">
        <is>
          <t>1</t>
        </is>
      </c>
      <c r="J1396">
        <f>((Inputs!$B$6*(1+Inputs!$B$7/100))+(((Inputs!$B$12*(1+Inputs!$B$13/100))-(Inputs!$B$12*(1+Inputs!$B$13/100)))+0.25*(Inputs!$B$14-Inputs!$B$14))*(1+Inputs!$B$7/100))*(F1396/100)</f>
        <v/>
      </c>
      <c r="K1396">
        <f>J1396*(1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1407=TRUE,F1407,0)/100)*(1+(IF(Skills!A5="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1396)</f>
        <v/>
      </c>
      <c r="L1396">
        <f>K1396*(MIN(Inputs!$B$22+((C1413=TRUE)*(F1413-Calc!F22)),(Inputs!$B$23+0+(IF(ArtifactsInput!$M$15,CHOOSE(ArtifactsInput!$N$15+1,25,30,35,40,45,50)/100*(Inputs!$B$11-Inputs!$B$11),0))))/100+(Inputs!$B$23+0+(IF(ArtifactsInput!$M$15,CHOOSE(ArtifactsInput!$N$15+1,25,30,35,40,45,50)/100*(Inputs!$B$11-Inputs!$B$11),0)))/100)/2</f>
        <v/>
      </c>
      <c r="M1396">
        <f>L1396*(1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96">
        <f>L1396*(1-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1396*(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96">
        <f>(1-Summary!$B$11)*T1396+Summary!$B$11*V1396</f>
        <v/>
      </c>
      <c r="P1396">
        <f>IF(B1432=0,0,O1396/B1432)</f>
        <v/>
      </c>
      <c r="Q1396">
        <f>IFERROR(1/(IF(Inputs!$B$38="pvp",15,MAX(0.1,Skills!D5-IF(Skills!E5=TRUE,Inputs!$B$32,0)))*(1-IF(AND(ArtifactsInput!$M$27,Inputs!$B$4="Chapter Hunt"),CHOOSE(ArtifactsInput!$N$27+1,20,24,28,32,36,40),0)/100)),0)</f>
        <v/>
      </c>
      <c r="R1396">
        <f>IF(AND(Inputs!$B$38&lt;&gt;"pvp",Inputs!$B$43&gt;0),IF(MAX(0,Inputs!$B$43-B1429)&lt;=0,0,(INT(MAX(0,Inputs!$B$43-B1429)/(IF(Inputs!$B$38="pvp",15,MAX(0.1,Skills!D5-IF(Skills!E5=TRUE,Inputs!$B$32,0)))*(1-IF(AND(ArtifactsInput!$M$27,Inputs!$B$4="Chapter Hunt"),CHOOSE(ArtifactsInput!$N$27+1,20,24,28,32,36,40),0)/100)))+1)),0)</f>
        <v/>
      </c>
      <c r="S1396">
        <f>IFERROR(O1396/N1396,0)</f>
        <v/>
      </c>
      <c r="T1396">
        <f>IF(C1396,(H1396*N1396*IF(AND(Inputs!$B$38&lt;&gt;"pvp",Inputs!$B$43&gt;0),((Skills!G5*((R1396-1)*IF(Skills!H5&gt;0,Skills!I5/Skills!H5,1)+IF(Skills!H5&gt;0,MIN(Skills!I5,MAX(0,MAX(0,Inputs!$B$43-B1429)-((R1396-1)*(IF(Inputs!$B$38="pvp",15,MAX(0.1,Skills!D5-IF(Skills!E5=TRUE,Inputs!$B$32,0)))*(1-IF(AND(ArtifactsInput!$M$27,Inputs!$B$4="Chapter Hunt"),CHOOSE(ArtifactsInput!$N$27+1,20,24,28,32,36,40),0)/100)))))/Skills!H5,1)))/Inputs!$B$43),G1396*Q1396)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1396*(1-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1396*(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1396*(1-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1396*(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6">
        <f>IF(C1396,(H1396*N1396*IF(AND(Inputs!$B$38&lt;&gt;"pvp",Inputs!$B$43&gt;0),((Skills!G5*((R1396-1)*IF(Skills!H5&gt;0,Skills!I5/Skills!H5,1)+IF(Skills!H5&gt;0,MIN(Skills!I5,MAX(0,MAX(0,Inputs!$B$43-B1429)-((R1396-1)*(IF(Inputs!$B$38="pvp",15,MAX(0.1,Skills!D5-IF(Skills!E5=TRUE,Inputs!$B$32,0)))*(1-IF(AND(ArtifactsInput!$M$27,Inputs!$B$4="Chapter Hunt"),CHOOSE(ArtifactsInput!$N$27+1,20,24,28,32,36,40),0)/100)))))/Skills!H5,1)))/Inputs!$B$43),G1396*Q1396))*IF(Inputs!$B$38="pvp",1,(1+(Inputs!$B$21+Skills!Q5+(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7">
      <c r="A1397">
        <f>Skills!A6</f>
        <v/>
      </c>
      <c r="B1397">
        <f>Skills!B6</f>
        <v/>
      </c>
      <c r="C1397">
        <f>Inputs!$B$3&gt;=63</f>
        <v/>
      </c>
      <c r="D1397">
        <f>IF(Skills!C6=1,60+Inputs!$B$25+Inputs!$B$29,IF(Skills!C6=2,90+Inputs!$B$26+Inputs!$B$29,IF(Skills!C6=3,120+Inputs!$B$27+Inputs!$B$29,MAX(0,(Inputs!$B$3-100)*3)+Inputs!$B$28+Inputs!$B$29)))</f>
        <v/>
      </c>
      <c r="E1397">
        <f>INDEX(FactorTable!$B$2:$Y$301, MATCH(ROUND(MIN(300,MAX(1,D1397)),0), FactorTable!$A$2:$A$301,0), Skills!M6+1)</f>
        <v/>
      </c>
      <c r="F1397">
        <f>IF(Skills!N6=TRUE,(Skills!L6/10)*(E1397/1000),Skills!L6/10)+Skills!O6</f>
        <v/>
      </c>
      <c r="G1397">
        <f>Skills!G6*IF(Skills!H6&gt;0,Skills!I6/Skills!H6,1)</f>
        <v/>
      </c>
      <c r="H1397">
        <f>1-(1-Skills!J6/100)^Skills!K6</f>
        <v/>
      </c>
      <c r="I1397" t="inlineStr">
        <is>
          <t>1</t>
        </is>
      </c>
      <c r="J1397">
        <f>((Inputs!$B$6*(1+Inputs!$B$7/100))+(((Inputs!$B$12*(1+Inputs!$B$13/100))-(Inputs!$B$12*(1+Inputs!$B$13/100)))+0.25*(Inputs!$B$14-Inputs!$B$14))*(1+Inputs!$B$7/100))*(F1397/100)</f>
        <v/>
      </c>
      <c r="K1397">
        <f>J1397*(1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1406=TRUE,F1406,0)/100)*(1+(IF(Skills!A6="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1397)</f>
        <v/>
      </c>
      <c r="L1397">
        <f>K1397*(MIN(Inputs!$B$22+((C1413=TRUE)*(F1413-Calc!F22)),(Inputs!$B$23+0+(IF(ArtifactsInput!$M$15,CHOOSE(ArtifactsInput!$N$15+1,25,30,35,40,45,50)/100*(Inputs!$B$11-Inputs!$B$11),0))))/100+(Inputs!$B$23+0+(IF(ArtifactsInput!$M$15,CHOOSE(ArtifactsInput!$N$15+1,25,30,35,40,45,50)/100*(Inputs!$B$11-Inputs!$B$11),0)))/100)/2</f>
        <v/>
      </c>
      <c r="M1397">
        <f>L1397*(1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97">
        <f>L1397*(1-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1397*(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97">
        <f>(1-Summary!$B$11)*T1397+Summary!$B$11*V1397</f>
        <v/>
      </c>
      <c r="P1397">
        <f>IF(B1432=0,0,O1397/B1432)</f>
        <v/>
      </c>
      <c r="Q1397">
        <f>IFERROR(1/(IF(Inputs!$B$38="pvp",15,MAX(0.1,Skills!D6-IF(Skills!E6=TRUE,Inputs!$B$32,0)))*(1-IF(AND(ArtifactsInput!$M$27,Inputs!$B$4="Chapter Hunt"),CHOOSE(ArtifactsInput!$N$27+1,20,24,28,32,36,40),0)/100)),0)</f>
        <v/>
      </c>
      <c r="R1397">
        <f>IF(AND(Inputs!$B$38&lt;&gt;"pvp",Inputs!$B$43&gt;0),IF(MAX(0,Inputs!$B$43-B1429)&lt;=0,0,(INT(MAX(0,Inputs!$B$43-B1429)/(IF(Inputs!$B$38="pvp",15,MAX(0.1,Skills!D6-IF(Skills!E6=TRUE,Inputs!$B$32,0)))*(1-IF(AND(ArtifactsInput!$M$27,Inputs!$B$4="Chapter Hunt"),CHOOSE(ArtifactsInput!$N$27+1,20,24,28,32,36,40),0)/100)))+1)),0)</f>
        <v/>
      </c>
      <c r="S1397">
        <f>IFERROR(O1397/N1397,0)</f>
        <v/>
      </c>
      <c r="T1397">
        <f>IF(C1397,(H1397*N1397*IF(AND(Inputs!$B$38&lt;&gt;"pvp",Inputs!$B$43&gt;0),((Skills!G6*((R1397-1)*IF(Skills!H6&gt;0,Skills!I6/Skills!H6,1)+IF(Skills!H6&gt;0,MIN(Skills!I6,MAX(0,MAX(0,Inputs!$B$43-B1429)-((R1397-1)*(IF(Inputs!$B$38="pvp",15,MAX(0.1,Skills!D6-IF(Skills!E6=TRUE,Inputs!$B$32,0)))*(1-IF(AND(ArtifactsInput!$M$27,Inputs!$B$4="Chapter Hunt"),CHOOSE(ArtifactsInput!$N$27+1,20,24,28,32,36,40),0)/100)))))/Skills!H6,1)))/Inputs!$B$43),G1397*Q1397)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1397*(1-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1397*(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1397*(1-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1397*(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7">
        <f>IF(C1397,(H1397*N1397*IF(AND(Inputs!$B$38&lt;&gt;"pvp",Inputs!$B$43&gt;0),((Skills!G6*((R1397-1)*IF(Skills!H6&gt;0,Skills!I6/Skills!H6,1)+IF(Skills!H6&gt;0,MIN(Skills!I6,MAX(0,MAX(0,Inputs!$B$43-B1429)-((R1397-1)*(IF(Inputs!$B$38="pvp",15,MAX(0.1,Skills!D6-IF(Skills!E6=TRUE,Inputs!$B$32,0)))*(1-IF(AND(ArtifactsInput!$M$27,Inputs!$B$4="Chapter Hunt"),CHOOSE(ArtifactsInput!$N$27+1,20,24,28,32,36,40),0)/100)))))/Skills!H6,1)))/Inputs!$B$43),G1397*Q1397))*IF(Inputs!$B$38="pvp",1,(1+(Inputs!$B$21+Skills!Q6+(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8">
      <c r="A1398">
        <f>Skills!A7</f>
        <v/>
      </c>
      <c r="B1398">
        <f>Skills!B7</f>
        <v/>
      </c>
      <c r="C1398">
        <f>Inputs!$B$3&gt;=66</f>
        <v/>
      </c>
      <c r="D1398">
        <f>IF(Skills!C7=1,60+Inputs!$B$25+Inputs!$B$29,IF(Skills!C7=2,90+Inputs!$B$26+Inputs!$B$29,IF(Skills!C7=3,120+Inputs!$B$27+Inputs!$B$29,MAX(0,(Inputs!$B$3-100)*3)+Inputs!$B$28+Inputs!$B$29)))</f>
        <v/>
      </c>
      <c r="E1398">
        <f>INDEX(FactorTable!$B$2:$Y$301, MATCH(ROUND(MIN(300,MAX(1,D1398)),0), FactorTable!$A$2:$A$301,0), Skills!M7+1)</f>
        <v/>
      </c>
      <c r="F1398">
        <f>IF(Skills!N7=TRUE,(Skills!L7/10)*(E1398/1000),Skills!L7/10)+Skills!O7</f>
        <v/>
      </c>
      <c r="G1398">
        <f>Skills!G7*IF(Skills!H7&gt;0,Skills!I7/Skills!H7,1)</f>
        <v/>
      </c>
      <c r="H1398">
        <f>1-(1-Skills!J7/100)^Skills!K7</f>
        <v/>
      </c>
      <c r="I1398" t="inlineStr">
        <is>
          <t>1</t>
        </is>
      </c>
      <c r="J1398">
        <f>((Inputs!$B$6*(1+Inputs!$B$7/100))+(((Inputs!$B$12*(1+Inputs!$B$13/100))-(Inputs!$B$12*(1+Inputs!$B$13/100)))+0.25*(Inputs!$B$14-Inputs!$B$14))*(1+Inputs!$B$7/100))*(F1398/100)</f>
        <v/>
      </c>
      <c r="K1398">
        <f>J1398*(1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1406=TRUE,F1406,0)/100)*(1+(IF(Skills!A7="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1398)</f>
        <v/>
      </c>
      <c r="L1398">
        <f>K1398*(MIN(Inputs!$B$22+((C1413=TRUE)*(F1413-Calc!F22)),(Inputs!$B$23+0+(IF(ArtifactsInput!$M$15,CHOOSE(ArtifactsInput!$N$15+1,25,30,35,40,45,50)/100*(Inputs!$B$11-Inputs!$B$11),0))))/100+(Inputs!$B$23+0+(IF(ArtifactsInput!$M$15,CHOOSE(ArtifactsInput!$N$15+1,25,30,35,40,45,50)/100*(Inputs!$B$11-Inputs!$B$11),0)))/100)/2</f>
        <v/>
      </c>
      <c r="M1398">
        <f>L1398*(1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98">
        <f>L1398*(1-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1398*(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98">
        <f>(1-Summary!$B$11)*T1398+Summary!$B$11*V1398</f>
        <v/>
      </c>
      <c r="P1398">
        <f>IF(B1432=0,0,O1398/B1432)</f>
        <v/>
      </c>
      <c r="Q1398">
        <f>IFERROR(1/(IF(Inputs!$B$38="pvp",15,MAX(0.1,Skills!D7-IF(Skills!E7=TRUE,Inputs!$B$32,0)))*(1-IF(AND(ArtifactsInput!$M$27,Inputs!$B$4="Chapter Hunt"),CHOOSE(ArtifactsInput!$N$27+1,20,24,28,32,36,40),0)/100)),0)</f>
        <v/>
      </c>
      <c r="R1398">
        <f>IF(AND(Inputs!$B$38&lt;&gt;"pvp",Inputs!$B$43&gt;0),IF(MAX(0,Inputs!$B$43-B1429)&lt;=0,0,(INT(MAX(0,Inputs!$B$43-B1429)/(IF(Inputs!$B$38="pvp",15,MAX(0.1,Skills!D7-IF(Skills!E7=TRUE,Inputs!$B$32,0)))*(1-IF(AND(ArtifactsInput!$M$27,Inputs!$B$4="Chapter Hunt"),CHOOSE(ArtifactsInput!$N$27+1,20,24,28,32,36,40),0)/100)))+1)),0)</f>
        <v/>
      </c>
      <c r="S1398">
        <f>IFERROR(O1398/N1398,0)</f>
        <v/>
      </c>
      <c r="T1398">
        <f>IF(C1398,(H1398*N1398*IF(AND(Inputs!$B$38&lt;&gt;"pvp",Inputs!$B$43&gt;0),((Skills!G7*((R1398-1)*IF(Skills!H7&gt;0,Skills!I7/Skills!H7,1)+IF(Skills!H7&gt;0,MIN(Skills!I7,MAX(0,MAX(0,Inputs!$B$43-B1429)-((R1398-1)*(IF(Inputs!$B$38="pvp",15,MAX(0.1,Skills!D7-IF(Skills!E7=TRUE,Inputs!$B$32,0)))*(1-IF(AND(ArtifactsInput!$M$27,Inputs!$B$4="Chapter Hunt"),CHOOSE(ArtifactsInput!$N$27+1,20,24,28,32,36,40),0)/100)))))/Skills!H7,1)))/Inputs!$B$43),G1398*Q1398)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1398*(1-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1398*(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1398*(1-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1398*(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8">
        <f>IF(C1398,(H1398*N1398*IF(AND(Inputs!$B$38&lt;&gt;"pvp",Inputs!$B$43&gt;0),((Skills!G7*((R1398-1)*IF(Skills!H7&gt;0,Skills!I7/Skills!H7,1)+IF(Skills!H7&gt;0,MIN(Skills!I7,MAX(0,MAX(0,Inputs!$B$43-B1429)-((R1398-1)*(IF(Inputs!$B$38="pvp",15,MAX(0.1,Skills!D7-IF(Skills!E7=TRUE,Inputs!$B$32,0)))*(1-IF(AND(ArtifactsInput!$M$27,Inputs!$B$4="Chapter Hunt"),CHOOSE(ArtifactsInput!$N$27+1,20,24,28,32,36,40),0)/100)))))/Skills!H7,1)))/Inputs!$B$43),G1398*Q1398))*IF(Inputs!$B$38="pvp",1,(1+(Inputs!$B$21+Skills!Q7+(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9">
      <c r="A1399">
        <f>Skills!A8</f>
        <v/>
      </c>
      <c r="B1399">
        <f>Skills!B8</f>
        <v/>
      </c>
      <c r="C1399">
        <f>Inputs!$B$3&gt;=100</f>
        <v/>
      </c>
      <c r="D1399">
        <f>IF(Skills!C8=1,60+Inputs!$B$25+Inputs!$B$29,IF(Skills!C8=2,90+Inputs!$B$26+Inputs!$B$29,IF(Skills!C8=3,120+Inputs!$B$27+Inputs!$B$29,MAX(0,(Inputs!$B$3-100)*3)+Inputs!$B$28+Inputs!$B$29)))</f>
        <v/>
      </c>
      <c r="E1399">
        <f>INDEX(FactorTable!$B$2:$Y$301, MATCH(ROUND(MIN(300,MAX(1,D1399)),0), FactorTable!$A$2:$A$301,0), Skills!M8+1)</f>
        <v/>
      </c>
      <c r="F1399">
        <f>IF(Skills!N8=TRUE,(Skills!L8/10)*(E1399/1000),Skills!L8/10)+Skills!O8</f>
        <v/>
      </c>
      <c r="G1399">
        <f>Skills!G8*IF(Skills!H8&gt;0,Skills!I8/Skills!H8,1)</f>
        <v/>
      </c>
      <c r="H1399">
        <f>1-(1-Skills!J8/100)^Skills!K8</f>
        <v/>
      </c>
      <c r="I1399" t="inlineStr">
        <is>
          <t>1</t>
        </is>
      </c>
      <c r="J1399">
        <f>((Inputs!$B$6*(1+Inputs!$B$7/100))+(((Inputs!$B$12*(1+Inputs!$B$13/100))-(Inputs!$B$12*(1+Inputs!$B$13/100)))+0.25*(Inputs!$B$14-Inputs!$B$14))*(1+Inputs!$B$7/100))*(F1399/100)</f>
        <v/>
      </c>
      <c r="K1399">
        <f>J1399*(1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1399)</f>
        <v/>
      </c>
      <c r="L1399">
        <f>K1399*(MIN(Inputs!$B$22+((C1413=TRUE)*(F1413-Calc!F22)),(Inputs!$B$23+0+(IF(ArtifactsInput!$M$15,CHOOSE(ArtifactsInput!$N$15+1,25,30,35,40,45,50)/100*(Inputs!$B$11-Inputs!$B$11),0))))/100+(Inputs!$B$23+0+(IF(ArtifactsInput!$M$15,CHOOSE(ArtifactsInput!$N$15+1,25,30,35,40,45,50)/100*(Inputs!$B$11-Inputs!$B$11),0)))/100)/2</f>
        <v/>
      </c>
      <c r="M1399">
        <f>L1399*(1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99">
        <f>L1399*(1-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1399*(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99">
        <f>(1-Summary!$B$11)*T1399+Summary!$B$11*V1399</f>
        <v/>
      </c>
      <c r="P1399">
        <f>IF(B1432=0,0,O1399/B1432)</f>
        <v/>
      </c>
      <c r="Q1399">
        <f>IFERROR(1/(IF(Inputs!$B$38="pvp",15,MAX(0.1,Skills!D8-IF(Skills!E8=TRUE,Inputs!$B$32,0)))*(1-IF(AND(ArtifactsInput!$M$27,Inputs!$B$4="Chapter Hunt"),CHOOSE(ArtifactsInput!$N$27+1,20,24,28,32,36,40),0)/100)),0)</f>
        <v/>
      </c>
      <c r="R1399">
        <f>IF(AND(Inputs!$B$38&lt;&gt;"pvp",Inputs!$B$43&gt;0),IF(MAX(0,Inputs!$B$43-B1429)&lt;=0,0,(INT(MAX(0,Inputs!$B$43-B1429)/(IF(Inputs!$B$38="pvp",15,MAX(0.1,Skills!D8-IF(Skills!E8=TRUE,Inputs!$B$32,0)))*(1-IF(AND(ArtifactsInput!$M$27,Inputs!$B$4="Chapter Hunt"),CHOOSE(ArtifactsInput!$N$27+1,20,24,28,32,36,40),0)/100)))+1)),0)</f>
        <v/>
      </c>
      <c r="S1399">
        <f>IFERROR(O1399/N1399,0)</f>
        <v/>
      </c>
      <c r="T1399">
        <f>IF(C1399,(H1399*N1399*IF(AND(Inputs!$B$38&lt;&gt;"pvp",Inputs!$B$43&gt;0),((Skills!G8*((R1399-1)*IF(Skills!H8&gt;0,Skills!I8/Skills!H8,1)+IF(Skills!H8&gt;0,MIN(Skills!I8,MAX(0,MAX(0,Inputs!$B$43-B1429)-((R1399-1)*(IF(Inputs!$B$38="pvp",15,MAX(0.1,Skills!D8-IF(Skills!E8=TRUE,Inputs!$B$32,0)))*(1-IF(AND(ArtifactsInput!$M$27,Inputs!$B$4="Chapter Hunt"),CHOOSE(ArtifactsInput!$N$27+1,20,24,28,32,36,40),0)/100)))))/Skills!H8,1)))/Inputs!$B$43),G1399*Q1399)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1399*(1-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1399*(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1399*(1-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1399*(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9">
        <f>IF(C1399,(H1399*N1399*IF(AND(Inputs!$B$38&lt;&gt;"pvp",Inputs!$B$43&gt;0),((Skills!G8*((R1399-1)*IF(Skills!H8&gt;0,Skills!I8/Skills!H8,1)+IF(Skills!H8&gt;0,MIN(Skills!I8,MAX(0,MAX(0,Inputs!$B$43-B1429)-((R1399-1)*(IF(Inputs!$B$38="pvp",15,MAX(0.1,Skills!D8-IF(Skills!E8=TRUE,Inputs!$B$32,0)))*(1-IF(AND(ArtifactsInput!$M$27,Inputs!$B$4="Chapter Hunt"),CHOOSE(ArtifactsInput!$N$27+1,20,24,28,32,36,40),0)/100)))))/Skills!H8,1)))/Inputs!$B$43),G1399*Q1399))*IF(Inputs!$B$38="pvp",1,(1+(Inputs!$B$21+Skills!Q8+(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0">
      <c r="A1400">
        <f>Skills!A9</f>
        <v/>
      </c>
      <c r="B1400">
        <f>Skills!B9</f>
        <v/>
      </c>
      <c r="C1400">
        <f>Inputs!$B$3&gt;=103</f>
        <v/>
      </c>
      <c r="D1400">
        <f>IF(Skills!C9=1,60+Inputs!$B$25+Inputs!$B$29,IF(Skills!C9=2,90+Inputs!$B$26+Inputs!$B$29,IF(Skills!C9=3,120+Inputs!$B$27+Inputs!$B$29,MAX(0,(Inputs!$B$3-100)*3)+Inputs!$B$28+Inputs!$B$29)))</f>
        <v/>
      </c>
      <c r="E1400">
        <f>INDEX(FactorTable!$B$2:$Y$301, MATCH(ROUND(MIN(300,MAX(1,D1400)),0), FactorTable!$A$2:$A$301,0), Skills!M9+1)</f>
        <v/>
      </c>
      <c r="F1400">
        <f>IF(Skills!N9=TRUE,(Skills!L9/10)*(E1400/1000),Skills!L9/10)+Skills!O9</f>
        <v/>
      </c>
      <c r="G1400">
        <f>Skills!G9*IF(Skills!H9&gt;0,Skills!I9/Skills!H9,1)</f>
        <v/>
      </c>
      <c r="H1400">
        <f>1-(1-Skills!J9/100)^Skills!K9</f>
        <v/>
      </c>
      <c r="I1400" t="inlineStr">
        <is>
          <t>1</t>
        </is>
      </c>
      <c r="J1400">
        <f>((Inputs!$B$6*(1+Inputs!$B$7/100))+(((Inputs!$B$12*(1+Inputs!$B$13/100))-(Inputs!$B$12*(1+Inputs!$B$13/100)))+0.25*(Inputs!$B$14-Inputs!$B$14))*(1+Inputs!$B$7/100))*(F1400/100)</f>
        <v/>
      </c>
      <c r="K1400">
        <f>J1400*(1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1400)</f>
        <v/>
      </c>
      <c r="L1400">
        <f>K1400*(MIN(Inputs!$B$22+((C1413=TRUE)*(F1413-Calc!F22)),(Inputs!$B$23+0+(IF(ArtifactsInput!$M$15,CHOOSE(ArtifactsInput!$N$15+1,25,30,35,40,45,50)/100*(Inputs!$B$11-Inputs!$B$11),0))))/100+(Inputs!$B$23+0+(IF(ArtifactsInput!$M$15,CHOOSE(ArtifactsInput!$N$15+1,25,30,35,40,45,50)/100*(Inputs!$B$11-Inputs!$B$11),0)))/100)/2</f>
        <v/>
      </c>
      <c r="M1400">
        <f>L1400*(1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00">
        <f>L1400*(1-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1400*(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00">
        <f>(1-Summary!$B$11)*T1400+Summary!$B$11*V1400</f>
        <v/>
      </c>
      <c r="P1400">
        <f>IF(B1432=0,0,O1400/B1432)</f>
        <v/>
      </c>
      <c r="Q1400">
        <f>IFERROR(1/(IF(Inputs!$B$38="pvp",15,MAX(0.1,Skills!D9-IF(Skills!E9=TRUE,Inputs!$B$32,0)))*(1-IF(AND(ArtifactsInput!$M$27,Inputs!$B$4="Chapter Hunt"),CHOOSE(ArtifactsInput!$N$27+1,20,24,28,32,36,40),0)/100)),0)</f>
        <v/>
      </c>
      <c r="R1400">
        <f>IF(AND(Inputs!$B$38&lt;&gt;"pvp",Inputs!$B$43&gt;0),IF(MAX(0,Inputs!$B$43-B1429)&lt;=0,0,(INT(MAX(0,Inputs!$B$43-B1429)/(IF(Inputs!$B$38="pvp",15,MAX(0.1,Skills!D9-IF(Skills!E9=TRUE,Inputs!$B$32,0)))*(1-IF(AND(ArtifactsInput!$M$27,Inputs!$B$4="Chapter Hunt"),CHOOSE(ArtifactsInput!$N$27+1,20,24,28,32,36,40),0)/100)))+1)),0)</f>
        <v/>
      </c>
      <c r="S1400">
        <f>IFERROR(O1400/N1400,0)</f>
        <v/>
      </c>
      <c r="T1400">
        <f>IF(C1400,(H1400*N1400*IF(AND(Inputs!$B$38&lt;&gt;"pvp",Inputs!$B$43&gt;0),((Skills!G9*((R1400-1)*IF(Skills!H9&gt;0,Skills!I9/Skills!H9,1)+IF(Skills!H9&gt;0,MIN(Skills!I9,MAX(0,MAX(0,Inputs!$B$43-B1429)-((R1400-1)*(IF(Inputs!$B$38="pvp",15,MAX(0.1,Skills!D9-IF(Skills!E9=TRUE,Inputs!$B$32,0)))*(1-IF(AND(ArtifactsInput!$M$27,Inputs!$B$4="Chapter Hunt"),CHOOSE(ArtifactsInput!$N$27+1,20,24,28,32,36,40),0)/100)))))/Skills!H9,1)))/Inputs!$B$43),G1400*Q1400)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1400*(1-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1400*(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1400*(1-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1400*(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0">
        <f>IF(C1400,(H1400*N1400*IF(AND(Inputs!$B$38&lt;&gt;"pvp",Inputs!$B$43&gt;0),((Skills!G9*((R1400-1)*IF(Skills!H9&gt;0,Skills!I9/Skills!H9,1)+IF(Skills!H9&gt;0,MIN(Skills!I9,MAX(0,MAX(0,Inputs!$B$43-B1429)-((R1400-1)*(IF(Inputs!$B$38="pvp",15,MAX(0.1,Skills!D9-IF(Skills!E9=TRUE,Inputs!$B$32,0)))*(1-IF(AND(ArtifactsInput!$M$27,Inputs!$B$4="Chapter Hunt"),CHOOSE(ArtifactsInput!$N$27+1,20,24,28,32,36,40),0)/100)))))/Skills!H9,1)))/Inputs!$B$43),G1400*Q1400))*IF(Inputs!$B$38="pvp",1,(1+(Inputs!$B$21+Skills!Q9+(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1">
      <c r="A1401">
        <f>Skills!A10</f>
        <v/>
      </c>
      <c r="B1401">
        <f>Skills!B10</f>
        <v/>
      </c>
      <c r="C1401">
        <f>Inputs!$B$3&gt;=113</f>
        <v/>
      </c>
      <c r="D1401">
        <f>IF(Skills!C10=1,60+Inputs!$B$25+Inputs!$B$29,IF(Skills!C10=2,90+Inputs!$B$26+Inputs!$B$29,IF(Skills!C10=3,120+Inputs!$B$27+Inputs!$B$29,MAX(0,(Inputs!$B$3-100)*3)+Inputs!$B$28+Inputs!$B$29)))</f>
        <v/>
      </c>
      <c r="E1401">
        <f>INDEX(FactorTable!$B$2:$Y$301, MATCH(ROUND(MIN(300,MAX(1,D1401)),0), FactorTable!$A$2:$A$301,0), Skills!M10+1)</f>
        <v/>
      </c>
      <c r="F1401">
        <f>IF(Skills!N10=TRUE,(Skills!L10/10)*(E1401/1000),Skills!L10/10)+Skills!O10</f>
        <v/>
      </c>
      <c r="G1401">
        <f>Skills!G10*IF(Skills!H10&gt;0,Skills!I10/Skills!H10,1)</f>
        <v/>
      </c>
      <c r="H1401">
        <f>1-(1-Skills!J10/100)^Skills!K10</f>
        <v/>
      </c>
      <c r="I1401" t="inlineStr">
        <is>
          <t>1</t>
        </is>
      </c>
      <c r="J1401">
        <f>((Inputs!$B$6*(1+Inputs!$B$7/100))+(((Inputs!$B$12*(1+Inputs!$B$13/100))-(Inputs!$B$12*(1+Inputs!$B$13/100)))+0.25*(Inputs!$B$14-Inputs!$B$14))*(1+Inputs!$B$7/100))*(F1401/100)</f>
        <v/>
      </c>
      <c r="K1401">
        <f>J1401*(1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1401)</f>
        <v/>
      </c>
      <c r="L1401">
        <f>K1401*(MIN(Inputs!$B$22+((C1413=TRUE)*(F1413-Calc!F22)),(Inputs!$B$23+0+(IF(ArtifactsInput!$M$15,CHOOSE(ArtifactsInput!$N$15+1,25,30,35,40,45,50)/100*(Inputs!$B$11-Inputs!$B$11),0))))/100+(Inputs!$B$23+0+(IF(ArtifactsInput!$M$15,CHOOSE(ArtifactsInput!$N$15+1,25,30,35,40,45,50)/100*(Inputs!$B$11-Inputs!$B$11),0)))/100)/2</f>
        <v/>
      </c>
      <c r="M1401">
        <f>L1401*(1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01">
        <f>L1401*(1-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1401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01">
        <f>(1-Summary!$B$11)*T1401+Summary!$B$11*V1401</f>
        <v/>
      </c>
      <c r="P1401">
        <f>IF(B1432=0,0,O1401/B1432)</f>
        <v/>
      </c>
      <c r="Q1401">
        <f>IFERROR(1/(IF(Inputs!$B$38="pvp",15,MAX(0.1,Skills!D10-IF(Skills!E10=TRUE,Inputs!$B$32,0)))*(1-IF(AND(ArtifactsInput!$M$27,Inputs!$B$4="Chapter Hunt"),CHOOSE(ArtifactsInput!$N$27+1,20,24,28,32,36,40),0)/100)),0)</f>
        <v/>
      </c>
      <c r="R1401">
        <f>IF(AND(Inputs!$B$38&lt;&gt;"pvp",Inputs!$B$43&gt;0),IF(MAX(0,Inputs!$B$43-B1429)&lt;=0,0,(INT(MAX(0,Inputs!$B$43-B1429)/(IF(Inputs!$B$38="pvp",15,MAX(0.1,Skills!D10-IF(Skills!E10=TRUE,Inputs!$B$32,0)))*(1-IF(AND(ArtifactsInput!$M$27,Inputs!$B$4="Chapter Hunt"),CHOOSE(ArtifactsInput!$N$27+1,20,24,28,32,36,40),0)/100)))+1)),0)</f>
        <v/>
      </c>
      <c r="S1401">
        <f>IFERROR(O1401/N1401,0)</f>
        <v/>
      </c>
      <c r="T1401">
        <f>IF(C1401,(H1401*N1401*IF(AND(Inputs!$B$38&lt;&gt;"pvp",Inputs!$B$43&gt;0),((Skills!G10*((R1401-1)*IF(Skills!H10&gt;0,Skills!I10/Skills!H10,1)+IF(Skills!H10&gt;0,MIN(Skills!I10,MAX(0,MAX(0,Inputs!$B$43-B1429)-((R1401-1)*(IF(Inputs!$B$38="pvp",15,MAX(0.1,Skills!D10-IF(Skills!E10=TRUE,Inputs!$B$32,0)))*(1-IF(AND(ArtifactsInput!$M$27,Inputs!$B$4="Chapter Hunt"),CHOOSE(ArtifactsInput!$N$27+1,20,24,28,32,36,40),0)/100)))))/Skills!H10,1)))/Inputs!$B$43),G1401*Q1401)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1401*(1-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1401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1401*(1-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1401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1">
        <f>IF(C1401,(H1401*N1401*IF(AND(Inputs!$B$38&lt;&gt;"pvp",Inputs!$B$43&gt;0),((Skills!G10*((R1401-1)*IF(Skills!H10&gt;0,Skills!I10/Skills!H10,1)+IF(Skills!H10&gt;0,MIN(Skills!I10,MAX(0,MAX(0,Inputs!$B$43-B1429)-((R1401-1)*(IF(Inputs!$B$38="pvp",15,MAX(0.1,Skills!D10-IF(Skills!E10=TRUE,Inputs!$B$32,0)))*(1-IF(AND(ArtifactsInput!$M$27,Inputs!$B$4="Chapter Hunt"),CHOOSE(ArtifactsInput!$N$27+1,20,24,28,32,36,40),0)/100)))))/Skills!H10,1)))/Inputs!$B$43),G1401*Q1401))*IF(Inputs!$B$38="pvp",1,(1+(Inputs!$B$21+Skills!Q10+(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2">
      <c r="A1402">
        <f>Skills!A11</f>
        <v/>
      </c>
      <c r="B1402">
        <f>Skills!B11</f>
        <v/>
      </c>
      <c r="C1402">
        <f>Inputs!$B$3&gt;=107</f>
        <v/>
      </c>
      <c r="D1402">
        <f>IF(Skills!C11=1,60+Inputs!$B$25+Inputs!$B$29,IF(Skills!C11=2,90+Inputs!$B$26+Inputs!$B$29,IF(Skills!C11=3,120+Inputs!$B$27+Inputs!$B$29,MAX(0,(Inputs!$B$3-100)*3)+Inputs!$B$28+Inputs!$B$29)))</f>
        <v/>
      </c>
      <c r="E1402">
        <f>INDEX(FactorTable!$B$2:$Y$301, MATCH(ROUND(MIN(300,MAX(1,D1402)),0), FactorTable!$A$2:$A$301,0), Skills!M11+1)</f>
        <v/>
      </c>
      <c r="F1402">
        <f>IF(Skills!N11=TRUE,(Skills!L11/10)*(E1402/1000),Skills!L11/10)+Skills!O11</f>
        <v/>
      </c>
      <c r="G1402">
        <f>Skills!G11*IF(Skills!H11&gt;0,Skills!I11/Skills!H11,1)</f>
        <v/>
      </c>
      <c r="H1402">
        <f>1-(1-Skills!J11/100)^Skills!K11</f>
        <v/>
      </c>
      <c r="I1402" t="inlineStr">
        <is>
          <t>1</t>
        </is>
      </c>
      <c r="J1402">
        <f>((Inputs!$B$6*(1+Inputs!$B$7/100))+(((Inputs!$B$12*(1+Inputs!$B$13/100))-(Inputs!$B$12*(1+Inputs!$B$13/100)))+0.25*(Inputs!$B$14-Inputs!$B$14))*(1+Inputs!$B$7/100))*(F1402/100)</f>
        <v/>
      </c>
      <c r="K1402">
        <f>J1402*(1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1402)</f>
        <v/>
      </c>
      <c r="L1402">
        <f>K1402*(MIN(Inputs!$B$22+((C1413=TRUE)*(F1413-Calc!F22)),(Inputs!$B$23+0+(IF(ArtifactsInput!$M$15,CHOOSE(ArtifactsInput!$N$15+1,25,30,35,40,45,50)/100*(Inputs!$B$11-Inputs!$B$11),0))))/100+(Inputs!$B$23+0+(IF(ArtifactsInput!$M$15,CHOOSE(ArtifactsInput!$N$15+1,25,30,35,40,45,50)/100*(Inputs!$B$11-Inputs!$B$11),0)))/100)/2</f>
        <v/>
      </c>
      <c r="M1402">
        <f>L1402*(1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02">
        <f>L1402*(1-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1402*(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02">
        <f>(1-Summary!$B$11)*T1402+Summary!$B$11*V1402</f>
        <v/>
      </c>
      <c r="P1402">
        <f>IF(B1432=0,0,O1402/B1432)</f>
        <v/>
      </c>
      <c r="Q1402">
        <f>IFERROR(1/(IF(Inputs!$B$38="pvp",15,MAX(0.1,Skills!D11-IF(Skills!E11=TRUE,Inputs!$B$32,0)))*(1-IF(AND(ArtifactsInput!$M$27,Inputs!$B$4="Chapter Hunt"),CHOOSE(ArtifactsInput!$N$27+1,20,24,28,32,36,40),0)/100)),0)</f>
        <v/>
      </c>
      <c r="R1402">
        <f>IF(AND(Inputs!$B$38&lt;&gt;"pvp",Inputs!$B$43&gt;0),IF(MAX(0,Inputs!$B$43-B1429)&lt;=0,0,(INT(MAX(0,Inputs!$B$43-B1429)/(IF(Inputs!$B$38="pvp",15,MAX(0.1,Skills!D11-IF(Skills!E11=TRUE,Inputs!$B$32,0)))*(1-IF(AND(ArtifactsInput!$M$27,Inputs!$B$4="Chapter Hunt"),CHOOSE(ArtifactsInput!$N$27+1,20,24,28,32,36,40),0)/100)))+1)),0)</f>
        <v/>
      </c>
      <c r="S1402">
        <f>IFERROR(O1402/N1402,0)</f>
        <v/>
      </c>
      <c r="T1402">
        <f>IF(C1402,(H1402*N1402*IF(AND(Inputs!$B$38&lt;&gt;"pvp",Inputs!$B$43&gt;0),((Skills!G11*((R1402-1)*IF(Skills!H11&gt;0,Skills!I11/Skills!H11,1)+IF(Skills!H11&gt;0,MIN(Skills!I11,MAX(0,MAX(0,Inputs!$B$43-B1429)-((R1402-1)*(IF(Inputs!$B$38="pvp",15,MAX(0.1,Skills!D11-IF(Skills!E11=TRUE,Inputs!$B$32,0)))*(1-IF(AND(ArtifactsInput!$M$27,Inputs!$B$4="Chapter Hunt"),CHOOSE(ArtifactsInput!$N$27+1,20,24,28,32,36,40),0)/100)))))/Skills!H11,1)))/Inputs!$B$43),G1402*Q1402)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1402*(1-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1402*(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1402*(1-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1402*(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2">
        <f>IF(C1402,(H1402*N1402*IF(AND(Inputs!$B$38&lt;&gt;"pvp",Inputs!$B$43&gt;0),((Skills!G11*((R1402-1)*IF(Skills!H11&gt;0,Skills!I11/Skills!H11,1)+IF(Skills!H11&gt;0,MIN(Skills!I11,MAX(0,MAX(0,Inputs!$B$43-B1429)-((R1402-1)*(IF(Inputs!$B$38="pvp",15,MAX(0.1,Skills!D11-IF(Skills!E11=TRUE,Inputs!$B$32,0)))*(1-IF(AND(ArtifactsInput!$M$27,Inputs!$B$4="Chapter Hunt"),CHOOSE(ArtifactsInput!$N$27+1,20,24,28,32,36,40),0)/100)))))/Skills!H11,1)))/Inputs!$B$43),G1402*Q1402))*IF(Inputs!$B$38="pvp",1,(1+(Inputs!$B$21+Skills!Q11+(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3">
      <c r="A1403">
        <f>Skills!A12</f>
        <v/>
      </c>
      <c r="B1403">
        <f>Skills!B12</f>
        <v/>
      </c>
      <c r="C1403">
        <f>Inputs!$B$3&gt;=110</f>
        <v/>
      </c>
      <c r="D1403">
        <f>IF(Skills!C12=1,60+Inputs!$B$25+Inputs!$B$29,IF(Skills!C12=2,90+Inputs!$B$26+Inputs!$B$29,IF(Skills!C12=3,120+Inputs!$B$27+Inputs!$B$29,MAX(0,(Inputs!$B$3-100)*3)+Inputs!$B$28+Inputs!$B$29)))</f>
        <v/>
      </c>
      <c r="E1403">
        <f>INDEX(FactorTable!$B$2:$Y$301, MATCH(ROUND(MIN(300,MAX(1,D1403)),0), FactorTable!$A$2:$A$301,0), Skills!M12+1)</f>
        <v/>
      </c>
      <c r="F1403">
        <f>IF(Skills!N12=TRUE,(Skills!L12/10)*(E1403/1000),Skills!L12/10)+Skills!O12</f>
        <v/>
      </c>
      <c r="G1403">
        <f>Skills!G12*IF(Skills!H12&gt;0,Skills!I12/Skills!H12,1)</f>
        <v/>
      </c>
      <c r="H1403">
        <f>1-(1-Skills!J12/100)^Skills!K12</f>
        <v/>
      </c>
      <c r="I1403" t="inlineStr">
        <is>
          <t>1</t>
        </is>
      </c>
      <c r="J1403">
        <f>((Inputs!$B$6*(1+Inputs!$B$7/100))+(((Inputs!$B$12*(1+Inputs!$B$13/100))-(Inputs!$B$12*(1+Inputs!$B$13/100)))+0.25*(Inputs!$B$14-Inputs!$B$14))*(1+Inputs!$B$7/100))*(F1403/100)</f>
        <v/>
      </c>
      <c r="K1403">
        <f>J1403*(1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1403)</f>
        <v/>
      </c>
      <c r="L1403">
        <f>K1403*(MIN(Inputs!$B$22+((C1413=TRUE)*(F1413-Calc!F22)),(Inputs!$B$23+0+(IF(ArtifactsInput!$M$15,CHOOSE(ArtifactsInput!$N$15+1,25,30,35,40,45,50)/100*(Inputs!$B$11-Inputs!$B$11),0))))/100+(Inputs!$B$23+0+(IF(ArtifactsInput!$M$15,CHOOSE(ArtifactsInput!$N$15+1,25,30,35,40,45,50)/100*(Inputs!$B$11-Inputs!$B$11),0)))/100)/2</f>
        <v/>
      </c>
      <c r="M1403">
        <f>L1403*(1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03">
        <f>L1403*(1-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1403*(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03">
        <f>(1-Summary!$B$11)*T1403+Summary!$B$11*V1403</f>
        <v/>
      </c>
      <c r="P1403">
        <f>IF(B1432=0,0,O1403/B1432)</f>
        <v/>
      </c>
      <c r="Q1403">
        <f>IFERROR(1/(IF(Inputs!$B$38="pvp",15,MAX(0.1,Skills!D12-IF(Skills!E12=TRUE,Inputs!$B$32,0)))*(1-IF(AND(ArtifactsInput!$M$27,Inputs!$B$4="Chapter Hunt"),CHOOSE(ArtifactsInput!$N$27+1,20,24,28,32,36,40),0)/100)),0)</f>
        <v/>
      </c>
      <c r="R1403">
        <f>IF(AND(Inputs!$B$38&lt;&gt;"pvp",Inputs!$B$43&gt;0),IF(MAX(0,Inputs!$B$43-B1429)&lt;=0,0,(INT(MAX(0,Inputs!$B$43-B1429)/(IF(Inputs!$B$38="pvp",15,MAX(0.1,Skills!D12-IF(Skills!E12=TRUE,Inputs!$B$32,0)))*(1-IF(AND(ArtifactsInput!$M$27,Inputs!$B$4="Chapter Hunt"),CHOOSE(ArtifactsInput!$N$27+1,20,24,28,32,36,40),0)/100)))+1)),0)</f>
        <v/>
      </c>
      <c r="S1403">
        <f>IFERROR(O1403/N1403,0)</f>
        <v/>
      </c>
      <c r="T1403">
        <f>IF(C1403,(H1403*N1403*IF(AND(Inputs!$B$38&lt;&gt;"pvp",Inputs!$B$43&gt;0),((Skills!G12*((R1403-1)*IF(Skills!H12&gt;0,Skills!I12/Skills!H12,1)+IF(Skills!H12&gt;0,MIN(Skills!I12,MAX(0,MAX(0,Inputs!$B$43-B1429)-((R1403-1)*(IF(Inputs!$B$38="pvp",15,MAX(0.1,Skills!D12-IF(Skills!E12=TRUE,Inputs!$B$32,0)))*(1-IF(AND(ArtifactsInput!$M$27,Inputs!$B$4="Chapter Hunt"),CHOOSE(ArtifactsInput!$N$27+1,20,24,28,32,36,40),0)/100)))))/Skills!H12,1)))/Inputs!$B$43),G1403*Q1403)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1403*(1-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1403*(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1403*(1-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1403*(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3">
        <f>IF(C1403,(H1403*N1403*IF(AND(Inputs!$B$38&lt;&gt;"pvp",Inputs!$B$43&gt;0),((Skills!G12*((R1403-1)*IF(Skills!H12&gt;0,Skills!I12/Skills!H12,1)+IF(Skills!H12&gt;0,MIN(Skills!I12,MAX(0,MAX(0,Inputs!$B$43-B1429)-((R1403-1)*(IF(Inputs!$B$38="pvp",15,MAX(0.1,Skills!D12-IF(Skills!E12=TRUE,Inputs!$B$32,0)))*(1-IF(AND(ArtifactsInput!$M$27,Inputs!$B$4="Chapter Hunt"),CHOOSE(ArtifactsInput!$N$27+1,20,24,28,32,36,40),0)/100)))))/Skills!H12,1)))/Inputs!$B$43),G1403*Q1403))*IF(Inputs!$B$38="pvp",1,(1+(Inputs!$B$21+Skills!Q12+(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4">
      <c r="A1404">
        <f>Skills!A13</f>
        <v/>
      </c>
      <c r="B1404">
        <f>Skills!B13</f>
        <v/>
      </c>
      <c r="C1404">
        <f>Inputs!$B$3&gt;=110</f>
        <v/>
      </c>
      <c r="D1404">
        <f>IF(Skills!C13=1,60+Inputs!$B$25+Inputs!$B$29,IF(Skills!C13=2,90+Inputs!$B$26+Inputs!$B$29,IF(Skills!C13=3,120+Inputs!$B$27+Inputs!$B$29,MAX(0,(Inputs!$B$3-100)*3)+Inputs!$B$28+Inputs!$B$29)))</f>
        <v/>
      </c>
      <c r="E1404">
        <f>INDEX(FactorTable!$B$2:$Y$301, MATCH(ROUND(MIN(300,MAX(1,D1404)),0), FactorTable!$A$2:$A$301,0), Skills!M13+1)</f>
        <v/>
      </c>
      <c r="F1404">
        <f>IF(Skills!N13=TRUE,(Skills!L13/10)*(E1404/1000),Skills!L13/10)+Skills!O13</f>
        <v/>
      </c>
      <c r="G1404">
        <f>Skills!G13*IF(Skills!H13&gt;0,Skills!I13/Skills!H13,1)</f>
        <v/>
      </c>
      <c r="H1404">
        <f>1-(1-Skills!J13/100)^Skills!K13</f>
        <v/>
      </c>
      <c r="I1404" t="inlineStr">
        <is>
          <t>1</t>
        </is>
      </c>
      <c r="J1404">
        <f>((Inputs!$B$6*(1+Inputs!$B$7/100))+(((Inputs!$B$12*(1+Inputs!$B$13/100))-(Inputs!$B$12*(1+Inputs!$B$13/100)))+0.25*(Inputs!$B$14-Inputs!$B$14))*(1+Inputs!$B$7/100))*(F1404/100)</f>
        <v/>
      </c>
      <c r="K1404">
        <f>J1404*(1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1404)</f>
        <v/>
      </c>
      <c r="L1404">
        <f>K1404*(MIN(Inputs!$B$22+((C1413=TRUE)*(F1413-Calc!F22)),(Inputs!$B$23+0+(IF(ArtifactsInput!$M$15,CHOOSE(ArtifactsInput!$N$15+1,25,30,35,40,45,50)/100*(Inputs!$B$11-Inputs!$B$11),0))))/100+(Inputs!$B$23+0+(IF(ArtifactsInput!$M$15,CHOOSE(ArtifactsInput!$N$15+1,25,30,35,40,45,50)/100*(Inputs!$B$11-Inputs!$B$11),0)))/100)/2</f>
        <v/>
      </c>
      <c r="M1404">
        <f>L1404*(1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04">
        <f>L1404*(1-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1404*(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04">
        <f>(1-Summary!$B$11)*T1404+Summary!$B$11*V1404</f>
        <v/>
      </c>
      <c r="P1404">
        <f>IF(B1432=0,0,O1404/B1432)</f>
        <v/>
      </c>
      <c r="Q1404">
        <f>IFERROR(1/(IF(Inputs!$B$38="pvp",15,MAX(0.1,Skills!D13-IF(Skills!E13=TRUE,Inputs!$B$32,0)))*(1-IF(AND(ArtifactsInput!$M$27,Inputs!$B$4="Chapter Hunt"),CHOOSE(ArtifactsInput!$N$27+1,20,24,28,32,36,40),0)/100)),0)</f>
        <v/>
      </c>
      <c r="R1404">
        <f>IF(AND(Inputs!$B$38&lt;&gt;"pvp",Inputs!$B$43&gt;0),IF(MAX(0,Inputs!$B$43-B1429)&lt;=0,0,(INT(MAX(0,Inputs!$B$43-B1429)/(IF(Inputs!$B$38="pvp",15,MAX(0.1,Skills!D13-IF(Skills!E13=TRUE,Inputs!$B$32,0)))*(1-IF(AND(ArtifactsInput!$M$27,Inputs!$B$4="Chapter Hunt"),CHOOSE(ArtifactsInput!$N$27+1,20,24,28,32,36,40),0)/100)))+1)),0)</f>
        <v/>
      </c>
      <c r="S1404">
        <f>IFERROR(O1404/N1404,0)</f>
        <v/>
      </c>
      <c r="T1404">
        <f>IF(C1404,(H1404*N1404*IF(AND(Inputs!$B$38&lt;&gt;"pvp",Inputs!$B$43&gt;0),((Skills!G13*((R1404-1)*IF(Skills!H13&gt;0,Skills!I13/Skills!H13,1)+IF(Skills!H13&gt;0,MIN(Skills!I13,MAX(0,MAX(0,Inputs!$B$43-B1429)-((R1404-1)*(IF(Inputs!$B$38="pvp",15,MAX(0.1,Skills!D13-IF(Skills!E13=TRUE,Inputs!$B$32,0)))*(1-IF(AND(ArtifactsInput!$M$27,Inputs!$B$4="Chapter Hunt"),CHOOSE(ArtifactsInput!$N$27+1,20,24,28,32,36,40),0)/100)))))/Skills!H13,1)))/Inputs!$B$43),G1404*Q1404)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1404*(1-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1404*(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1404*(1-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1404*(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4">
        <f>IF(C1404,(H1404*N1404*IF(AND(Inputs!$B$38&lt;&gt;"pvp",Inputs!$B$43&gt;0),((Skills!G13*((R1404-1)*IF(Skills!H13&gt;0,Skills!I13/Skills!H13,1)+IF(Skills!H13&gt;0,MIN(Skills!I13,MAX(0,MAX(0,Inputs!$B$43-B1429)-((R1404-1)*(IF(Inputs!$B$38="pvp",15,MAX(0.1,Skills!D13-IF(Skills!E13=TRUE,Inputs!$B$32,0)))*(1-IF(AND(ArtifactsInput!$M$27,Inputs!$B$4="Chapter Hunt"),CHOOSE(ArtifactsInput!$N$27+1,20,24,28,32,36,40),0)/100)))))/Skills!H13,1)))/Inputs!$B$43),G1404*Q1404))*IF(Inputs!$B$38="pvp",1,(1+(Inputs!$B$21+Skills!Q13+(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5">
      <c r="A1405">
        <f>Skills!A14</f>
        <v/>
      </c>
      <c r="B1405">
        <f>Skills!B14</f>
        <v/>
      </c>
      <c r="C1405">
        <f>Inputs!$B$3&gt;=125</f>
        <v/>
      </c>
      <c r="D1405">
        <f>IF(Skills!C14=1,60+Inputs!$B$25+Inputs!$B$29,IF(Skills!C14=2,90+Inputs!$B$26+Inputs!$B$29,IF(Skills!C14=3,120+Inputs!$B$27+Inputs!$B$29,MAX(0,(Inputs!$B$3-100)*3)+Inputs!$B$28+Inputs!$B$29)))</f>
        <v/>
      </c>
      <c r="E1405">
        <f>INDEX(FactorTable!$B$2:$Y$301, MATCH(ROUND(MIN(300,MAX(1,D1405)),0), FactorTable!$A$2:$A$301,0), Skills!M14+1)</f>
        <v/>
      </c>
      <c r="F1405">
        <f>IF(Skills!N14=TRUE,(Skills!L14/10)*(E1405/1000),Skills!L14/10)+Skills!O14</f>
        <v/>
      </c>
      <c r="G1405">
        <f>Skills!G14*IF(Skills!H14&gt;0,Skills!I14/Skills!H14,1)</f>
        <v/>
      </c>
      <c r="H1405">
        <f>1-(1-Skills!J14/100)^Skills!K14</f>
        <v/>
      </c>
      <c r="I1405" t="inlineStr">
        <is>
          <t>1</t>
        </is>
      </c>
      <c r="J1405">
        <f>((Inputs!$B$6*(1+Inputs!$B$7/100))+(((Inputs!$B$12*(1+Inputs!$B$13/100))-(Inputs!$B$12*(1+Inputs!$B$13/100)))+0.25*(Inputs!$B$14-Inputs!$B$14))*(1+Inputs!$B$7/100))*(F1405/100)</f>
        <v/>
      </c>
      <c r="K1405">
        <f>J1405*(1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1405)</f>
        <v/>
      </c>
      <c r="L1405">
        <f>K1405*(MIN(Inputs!$B$22+((C1413=TRUE)*(F1413-Calc!F22)),(Inputs!$B$23+0+(IF(ArtifactsInput!$M$15,CHOOSE(ArtifactsInput!$N$15+1,25,30,35,40,45,50)/100*(Inputs!$B$11-Inputs!$B$11),0))))/100+(Inputs!$B$23+0+(IF(ArtifactsInput!$M$15,CHOOSE(ArtifactsInput!$N$15+1,25,30,35,40,45,50)/100*(Inputs!$B$11-Inputs!$B$11),0)))/100)/2</f>
        <v/>
      </c>
      <c r="M1405">
        <f>L1405*(1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05">
        <f>L1405*(1-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1405*(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05">
        <f>(1-Summary!$B$11)*T1405+Summary!$B$11*V1405</f>
        <v/>
      </c>
      <c r="P1405">
        <f>IF(B1432=0,0,O1405/B1432)</f>
        <v/>
      </c>
      <c r="Q1405" t="n">
        <v>0</v>
      </c>
      <c r="R1405" t="n">
        <v>0</v>
      </c>
      <c r="S1405">
        <f>IFERROR(O1405/N1405,0)</f>
        <v/>
      </c>
      <c r="T1405">
        <f>IF(C1405,(H1405*N1405*(B1426+IF(AND(Inputs!$B$38&lt;&gt;"pvp",Inputs!$B$43&gt;0),((Skills!G8*((R1399-1)*IF(Skills!H8&gt;0,Skills!I8/Skills!H8,1)+IF(Skills!H8&gt;0,MIN(Skills!I8,MAX(0,MAX(0,Inputs!$B$43-B1429)-((R1399-1)*(IF(Inputs!$B$38="pvp",15,MAX(0.1,Skills!D8-IF(Skills!E8=TRUE,Inputs!$B$32,0)))*(1-IF(AND(ArtifactsInput!$M$27,Inputs!$B$4="Chapter Hunt"),CHOOSE(ArtifactsInput!$N$27+1,20,24,28,32,36,40),0)/100)))))/Skills!H8,1)))/Inputs!$B$43),G1399*Q1399)+IF(AND(Inputs!$B$38&lt;&gt;"pvp",Inputs!$B$43&gt;0),((Skills!G11*((R1402-1)*IF(Skills!H11&gt;0,Skills!I11/Skills!H11,1)+IF(Skills!H11&gt;0,MIN(Skills!I11,MAX(0,MAX(0,Inputs!$B$43-B1429)-((R1402-1)*(IF(Inputs!$B$38="pvp",15,MAX(0.1,Skills!D11-IF(Skills!E11=TRUE,Inputs!$B$32,0)))*(1-IF(AND(ArtifactsInput!$M$27,Inputs!$B$4="Chapter Hunt"),CHOOSE(ArtifactsInput!$N$27+1,20,24,28,32,36,40),0)/100)))))/Skills!H11,1)))/Inputs!$B$43),G1402*Q1402)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1405*(1-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1405*(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1405*(1-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1405*(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5">
        <f>IF(C1405,(H1405*N1405*(B1426+IF(AND(Inputs!$B$38&lt;&gt;"pvp",Inputs!$B$43&gt;0),((Skills!G8*((R1399-1)*IF(Skills!H8&gt;0,Skills!I8/Skills!H8,1)+IF(Skills!H8&gt;0,MIN(Skills!I8,MAX(0,MAX(0,Inputs!$B$43-B1429)-((R1399-1)*(IF(Inputs!$B$38="pvp",15,MAX(0.1,Skills!D8-IF(Skills!E8=TRUE,Inputs!$B$32,0)))*(1-IF(AND(ArtifactsInput!$M$27,Inputs!$B$4="Chapter Hunt"),CHOOSE(ArtifactsInput!$N$27+1,20,24,28,32,36,40),0)/100)))))/Skills!H8,1)))/Inputs!$B$43),G1399*Q1399)+IF(AND(Inputs!$B$38&lt;&gt;"pvp",Inputs!$B$43&gt;0),((Skills!G11*((R1402-1)*IF(Skills!H11&gt;0,Skills!I11/Skills!H11,1)+IF(Skills!H11&gt;0,MIN(Skills!I11,MAX(0,MAX(0,Inputs!$B$43-B1429)-((R1402-1)*(IF(Inputs!$B$38="pvp",15,MAX(0.1,Skills!D11-IF(Skills!E11=TRUE,Inputs!$B$32,0)))*(1-IF(AND(ArtifactsInput!$M$27,Inputs!$B$4="Chapter Hunt"),CHOOSE(ArtifactsInput!$N$27+1,20,24,28,32,36,40),0)/100)))))/Skills!H11,1)))/Inputs!$B$43),G1402*Q1402)))*IF(Inputs!$B$38="pvp",1,(1+(Inputs!$B$21+Skills!Q14+(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6">
      <c r="A1406">
        <f>Skills!A15</f>
        <v/>
      </c>
      <c r="B1406">
        <f>Skills!B15</f>
        <v/>
      </c>
      <c r="C1406">
        <f>Inputs!$B$3&gt;=100</f>
        <v/>
      </c>
      <c r="D1406">
        <f>IF(Skills!C15=1,60+Inputs!$B$25+Inputs!$B$29,IF(Skills!C15=2,90+Inputs!$B$26+Inputs!$B$29,IF(Skills!C15=3,120+Inputs!$B$27+Inputs!$B$29,MAX(0,(Inputs!$B$3-100)*3)+Inputs!$B$28+Inputs!$B$29)))</f>
        <v/>
      </c>
      <c r="E1406">
        <f>INDEX(FactorTable!$B$2:$Y$301, MATCH(ROUND(MIN(300,MAX(1,D1406)),0), FactorTable!$A$2:$A$301,0), Skills!M15+1)</f>
        <v/>
      </c>
      <c r="F1406">
        <f>IF(Skills!N15=TRUE,(Skills!L15/10)*(E1406/1000),Skills!L15/10)+Skills!O15</f>
        <v/>
      </c>
      <c r="G1406" t="inlineStr"/>
      <c r="H1406" t="inlineStr"/>
      <c r="I1406" t="inlineStr">
        <is>
          <t>1</t>
        </is>
      </c>
      <c r="J1406" t="inlineStr"/>
      <c r="K1406" t="inlineStr"/>
      <c r="L1406" t="inlineStr"/>
      <c r="M1406" t="inlineStr"/>
      <c r="N1406" t="inlineStr"/>
      <c r="O1406" t="inlineStr"/>
      <c r="P1406" t="inlineStr"/>
      <c r="Q1406" t="inlineStr"/>
      <c r="R1406" t="inlineStr"/>
      <c r="S1406" t="inlineStr"/>
    </row>
    <row r="1407">
      <c r="A1407">
        <f>Skills!A16</f>
        <v/>
      </c>
      <c r="B1407">
        <f>Skills!B16</f>
        <v/>
      </c>
      <c r="C1407">
        <f>Inputs!$B$3&gt;=120</f>
        <v/>
      </c>
      <c r="D1407">
        <f>IF(Skills!C16=1,60+Inputs!$B$25+Inputs!$B$29,IF(Skills!C16=2,90+Inputs!$B$26+Inputs!$B$29,IF(Skills!C16=3,120+Inputs!$B$27+Inputs!$B$29,MAX(0,(Inputs!$B$3-100)*3)+Inputs!$B$28+Inputs!$B$29)))</f>
        <v/>
      </c>
      <c r="E1407">
        <f>INDEX(FactorTable!$B$2:$Y$301, MATCH(ROUND(MIN(300,MAX(1,D1407)),0), FactorTable!$A$2:$A$301,0), Skills!M16+1)</f>
        <v/>
      </c>
      <c r="F1407">
        <f>IF(Skills!N16=TRUE,(Skills!L16/10)*(E1407/1000),Skills!L16/10)+Skills!O16</f>
        <v/>
      </c>
      <c r="G1407" t="inlineStr"/>
      <c r="H1407" t="inlineStr"/>
      <c r="I1407" t="inlineStr">
        <is>
          <t>1</t>
        </is>
      </c>
      <c r="J1407" t="inlineStr"/>
      <c r="K1407" t="inlineStr"/>
      <c r="L1407" t="inlineStr"/>
      <c r="M1407" t="inlineStr"/>
      <c r="N1407" t="inlineStr"/>
      <c r="O1407" t="inlineStr"/>
      <c r="P1407" t="inlineStr"/>
      <c r="Q1407" t="inlineStr"/>
      <c r="R1407" t="inlineStr"/>
      <c r="S1407" t="inlineStr"/>
    </row>
    <row r="1408">
      <c r="A1408">
        <f>Skills!A17</f>
        <v/>
      </c>
      <c r="B1408">
        <f>Skills!B17</f>
        <v/>
      </c>
      <c r="C1408">
        <f>Inputs!$B$3&gt;=66</f>
        <v/>
      </c>
      <c r="D1408">
        <f>IF(Skills!C17=1,60+Inputs!$B$25+Inputs!$B$29,IF(Skills!C17=2,90+Inputs!$B$26+Inputs!$B$29,IF(Skills!C17=3,120+Inputs!$B$27+Inputs!$B$29,MAX(0,(Inputs!$B$3-100)*3)+Inputs!$B$28+Inputs!$B$29)))</f>
        <v/>
      </c>
      <c r="E1408">
        <f>INDEX(FactorTable!$B$2:$Y$301, MATCH(ROUND(MIN(300,MAX(1,D1408)),0), FactorTable!$A$2:$A$301,0), Skills!M17+1)</f>
        <v/>
      </c>
      <c r="F1408">
        <f>IF(Skills!N17=TRUE,(Skills!L17/10)*(E1408/1000),Skills!L17/10)+Skills!O17</f>
        <v/>
      </c>
      <c r="G1408">
        <f>Skills!G17*IF(Skills!H17&gt;0,Skills!I17/Skills!H17,1)</f>
        <v/>
      </c>
      <c r="H1408">
        <f>1-(1-Skills!J17/100)^Skills!K17</f>
        <v/>
      </c>
      <c r="I1408" t="inlineStr">
        <is>
          <t>1</t>
        </is>
      </c>
      <c r="J1408" t="inlineStr"/>
      <c r="K1408" t="inlineStr"/>
      <c r="L1408" t="inlineStr"/>
      <c r="M1408" t="inlineStr"/>
      <c r="N1408" t="inlineStr"/>
      <c r="O1408">
        <f>(1-Summary!$B$11)*T1408+Summary!$B$11*V1408</f>
        <v/>
      </c>
      <c r="P1408">
        <f>IF(B1432=0,0,O1408/B1432)</f>
        <v/>
      </c>
      <c r="Q1408" t="n">
        <v>0</v>
      </c>
      <c r="R1408" t="n">
        <v>0</v>
      </c>
      <c r="S1408">
        <f>IFERROR(O1408/N1408,0)</f>
        <v/>
      </c>
      <c r="T1408" t="n">
        <v>0</v>
      </c>
      <c r="V1408" t="n">
        <v>0</v>
      </c>
    </row>
    <row r="1409">
      <c r="A1409">
        <f>Skills!A18</f>
        <v/>
      </c>
      <c r="B1409">
        <f>Skills!B18</f>
        <v/>
      </c>
      <c r="C1409">
        <f>Inputs!$B$3&gt;=115</f>
        <v/>
      </c>
      <c r="D1409">
        <f>IF(Skills!C18=1,60+Inputs!$B$25+Inputs!$B$29,IF(Skills!C18=2,90+Inputs!$B$26+Inputs!$B$29,IF(Skills!C18=3,120+Inputs!$B$27+Inputs!$B$29,MAX(0,(Inputs!$B$3-100)*3)+Inputs!$B$28+Inputs!$B$29)))</f>
        <v/>
      </c>
      <c r="E1409">
        <f>INDEX(FactorTable!$B$2:$Y$301, MATCH(ROUND(MIN(300,MAX(1,D1409)),0), FactorTable!$A$2:$A$301,0), Skills!M18+1)</f>
        <v/>
      </c>
      <c r="F1409">
        <f>IF(Skills!N18=TRUE,(Skills!L18/10)*(E1409/1000),Skills!L18/10)+Skills!O18</f>
        <v/>
      </c>
      <c r="G1409">
        <f>Skills!G18*IF(Skills!H18&gt;0,Skills!I18/Skills!H18,1)</f>
        <v/>
      </c>
      <c r="H1409">
        <f>1-(1-Skills!J18/100)^Skills!K18</f>
        <v/>
      </c>
      <c r="I1409" t="inlineStr">
        <is>
          <t>1</t>
        </is>
      </c>
      <c r="J1409" t="inlineStr"/>
      <c r="K1409" t="inlineStr"/>
      <c r="L1409" t="inlineStr"/>
      <c r="M1409" t="inlineStr"/>
      <c r="N1409" t="inlineStr"/>
      <c r="O1409">
        <f>(1-Summary!$B$11)*T1409+Summary!$B$11*V1409</f>
        <v/>
      </c>
      <c r="P1409">
        <f>IF(B1432=0,0,O1409/B1432)</f>
        <v/>
      </c>
      <c r="Q1409">
        <f>IFERROR(1/(IF(Inputs!$B$38="pvp",15,MAX(0.1,Skills!D18-IF(Skills!E18=TRUE,Inputs!$B$32,0)))*(1-IF(AND(ArtifactsInput!$M$27,Inputs!$B$4="Chapter Hunt"),CHOOSE(ArtifactsInput!$N$27+1,20,24,28,32,36,40),0)/100)),0)</f>
        <v/>
      </c>
      <c r="R1409">
        <f>IF(AND(Inputs!$B$38&lt;&gt;"pvp",Inputs!$B$43&gt;0),IF(Inputs!$B$43&lt;=0,0,(INT(Inputs!$B$43/(IF(Inputs!$B$38="pvp",15,MAX(0.1,Skills!D18-IF(Skills!E18=TRUE,Inputs!$B$32,0)))*(1-IF(AND(ArtifactsInput!$M$27,Inputs!$B$4="Chapter Hunt"),CHOOSE(ArtifactsInput!$N$27+1,20,24,28,32,36,40),0)/100)))+1)),0)</f>
        <v/>
      </c>
      <c r="S1409">
        <f>IFERROR(O1409/N1409,0)</f>
        <v/>
      </c>
      <c r="T1409" t="n">
        <v>0</v>
      </c>
      <c r="V1409" t="n">
        <v>0</v>
      </c>
    </row>
    <row r="1410">
      <c r="A1410">
        <f>Skills!A19</f>
        <v/>
      </c>
      <c r="B1410">
        <f>Skills!B19</f>
        <v/>
      </c>
      <c r="C1410">
        <f>Inputs!$B$3&gt;=15</f>
        <v/>
      </c>
      <c r="D1410">
        <f>IF(Skills!C19=1,60+Inputs!$B$25+Inputs!$B$29,IF(Skills!C19=2,90+Inputs!$B$26+Inputs!$B$29,IF(Skills!C19=3,120+Inputs!$B$27+Inputs!$B$29,MAX(0,(Inputs!$B$3-100)*3)+Inputs!$B$28+Inputs!$B$29)))</f>
        <v/>
      </c>
      <c r="E1410">
        <f>INDEX(FactorTable!$B$2:$Y$301, MATCH(ROUND(MIN(300,MAX(1,D1410)),0), FactorTable!$A$2:$A$301,0), Skills!M19+1)</f>
        <v/>
      </c>
      <c r="F1410">
        <f>IF(Skills!N19=TRUE,(Skills!L19/10)*(E1410/1000),Skills!L19/10)+Skills!O19</f>
        <v/>
      </c>
      <c r="G1410">
        <f>Skills!G19*IF(Skills!H19&gt;0,Skills!I19/Skills!H19,1)</f>
        <v/>
      </c>
      <c r="H1410">
        <f>1-(1-Skills!J19/100)^Skills!K19</f>
        <v/>
      </c>
      <c r="I1410" t="inlineStr">
        <is>
          <t>1</t>
        </is>
      </c>
      <c r="J1410" t="inlineStr"/>
      <c r="K1410" t="inlineStr"/>
      <c r="L1410" t="inlineStr"/>
      <c r="M1410" t="inlineStr"/>
      <c r="N1410" t="inlineStr"/>
      <c r="O1410">
        <f>(1-Summary!$B$11)*T1410+Summary!$B$11*V1410</f>
        <v/>
      </c>
      <c r="P1410">
        <f>IF(B1432=0,0,O1410/B1432)</f>
        <v/>
      </c>
      <c r="Q1410" t="n">
        <v>0</v>
      </c>
      <c r="R1410" t="n">
        <v>0</v>
      </c>
      <c r="S1410">
        <f>IFERROR(O1410/N1410,0)</f>
        <v/>
      </c>
      <c r="T1410" t="n">
        <v>0</v>
      </c>
      <c r="V1410" t="n">
        <v>0</v>
      </c>
    </row>
    <row r="1411">
      <c r="A1411">
        <f>Skills!A20</f>
        <v/>
      </c>
      <c r="B1411">
        <f>Skills!B20</f>
        <v/>
      </c>
      <c r="C1411">
        <f>Inputs!$B$3&gt;=10</f>
        <v/>
      </c>
      <c r="D1411">
        <f>IF(Skills!C20=1,60+Inputs!$B$25+Inputs!$B$29,IF(Skills!C20=2,90+Inputs!$B$26+Inputs!$B$29,IF(Skills!C20=3,120+Inputs!$B$27+Inputs!$B$29,MAX(0,(Inputs!$B$3-100)*3)+Inputs!$B$28+Inputs!$B$29)))</f>
        <v/>
      </c>
      <c r="E1411">
        <f>INDEX(FactorTable!$B$2:$Y$301, MATCH(ROUND(MIN(300,MAX(1,D1411)),0), FactorTable!$A$2:$A$301,0), Skills!M20+1)</f>
        <v/>
      </c>
      <c r="F1411">
        <f>IF(Skills!N20=TRUE,(Skills!L20/10)*(E1411/1000),Skills!L20/10)+Skills!O20</f>
        <v/>
      </c>
      <c r="G1411">
        <f>Skills!G20*IF(Skills!H20&gt;0,Skills!I20/Skills!H20,1)</f>
        <v/>
      </c>
      <c r="H1411">
        <f>1-(1-Skills!J20/100)^Skills!K20</f>
        <v/>
      </c>
      <c r="I1411" t="inlineStr">
        <is>
          <t>1</t>
        </is>
      </c>
      <c r="J1411" t="inlineStr"/>
      <c r="K1411" t="inlineStr"/>
      <c r="L1411" t="inlineStr"/>
      <c r="M1411" t="inlineStr"/>
      <c r="N1411" t="inlineStr"/>
      <c r="O1411">
        <f>(1-Summary!$B$11)*T1411+Summary!$B$11*V1411</f>
        <v/>
      </c>
      <c r="P1411">
        <f>IF(B1432=0,0,O1411/B1432)</f>
        <v/>
      </c>
      <c r="Q1411" t="n">
        <v>0</v>
      </c>
      <c r="R1411" t="n">
        <v>0</v>
      </c>
      <c r="S1411">
        <f>IFERROR(O1411/N1411,0)</f>
        <v/>
      </c>
      <c r="T1411" t="n">
        <v>0</v>
      </c>
      <c r="V1411" t="n">
        <v>0</v>
      </c>
    </row>
    <row r="1412">
      <c r="A1412">
        <f>Skills!A21</f>
        <v/>
      </c>
      <c r="B1412">
        <f>Skills!B21</f>
        <v/>
      </c>
      <c r="C1412">
        <f>Inputs!$B$3&gt;=33</f>
        <v/>
      </c>
      <c r="D1412">
        <f>IF(Skills!C21=1,60+Inputs!$B$25+Inputs!$B$29,IF(Skills!C21=2,90+Inputs!$B$26+Inputs!$B$29,IF(Skills!C21=3,120+Inputs!$B$27+Inputs!$B$29,MAX(0,(Inputs!$B$3-100)*3)+Inputs!$B$28+Inputs!$B$29)))</f>
        <v/>
      </c>
      <c r="E1412">
        <f>INDEX(FactorTable!$B$2:$Y$301, MATCH(ROUND(MIN(300,MAX(1,D1412)),0), FactorTable!$A$2:$A$301,0), Skills!M21+1)</f>
        <v/>
      </c>
      <c r="F1412">
        <f>IF(Skills!N21=TRUE,(Skills!L21/10)*(E1412/1000),Skills!L21/10)+Skills!O21</f>
        <v/>
      </c>
      <c r="G1412">
        <f>Skills!G21*IF(Skills!H21&gt;0,Skills!I21/Skills!H21,1)</f>
        <v/>
      </c>
      <c r="H1412">
        <f>1-(1-Skills!J21/100)^Skills!K21</f>
        <v/>
      </c>
      <c r="I1412" t="inlineStr">
        <is>
          <t>1</t>
        </is>
      </c>
      <c r="J1412" t="inlineStr"/>
      <c r="K1412" t="inlineStr"/>
      <c r="L1412" t="inlineStr"/>
      <c r="M1412" t="inlineStr"/>
      <c r="N1412" t="inlineStr"/>
      <c r="O1412">
        <f>(1-Summary!$B$11)*T1412+Summary!$B$11*V1412</f>
        <v/>
      </c>
      <c r="P1412">
        <f>IF(B1432=0,0,O1412/B1432)</f>
        <v/>
      </c>
      <c r="Q1412" t="n">
        <v>0</v>
      </c>
      <c r="R1412" t="n">
        <v>0</v>
      </c>
      <c r="S1412">
        <f>IFERROR(O1412/N1412,0)</f>
        <v/>
      </c>
      <c r="T1412" t="n">
        <v>0</v>
      </c>
      <c r="V1412" t="n">
        <v>0</v>
      </c>
    </row>
    <row r="1413">
      <c r="A1413">
        <f>Skills!A22</f>
        <v/>
      </c>
      <c r="B1413">
        <f>Skills!B22</f>
        <v/>
      </c>
      <c r="C1413">
        <f>Inputs!$B$3&gt;=43</f>
        <v/>
      </c>
      <c r="D1413">
        <f>IF(Skills!C22=1,60+Inputs!$B$25+Inputs!$B$29,IF(Skills!C22=2,90+Inputs!$B$26+Inputs!$B$29,IF(Skills!C22=3,120+Inputs!$B$27+Inputs!$B$29,MAX(0,(Inputs!$B$3-100)*3)+Inputs!$B$28+Inputs!$B$29)))</f>
        <v/>
      </c>
      <c r="E1413">
        <f>INDEX(FactorTable!$B$2:$Y$301, MATCH(ROUND(MIN(300,MAX(1,D1413)),0), FactorTable!$A$2:$A$301,0), Skills!M22+1)</f>
        <v/>
      </c>
      <c r="F1413">
        <f>IF(Skills!N22=TRUE,(Skills!L22/10)*(E1413/1000),Skills!L22/10)+Skills!O22</f>
        <v/>
      </c>
      <c r="G1413">
        <f>Skills!G22*IF(Skills!H22&gt;0,Skills!I22/Skills!H22,1)</f>
        <v/>
      </c>
      <c r="H1413">
        <f>1-(1-Skills!J22/100)^Skills!K22</f>
        <v/>
      </c>
      <c r="I1413" t="inlineStr">
        <is>
          <t>1</t>
        </is>
      </c>
      <c r="J1413" t="inlineStr"/>
      <c r="K1413" t="inlineStr"/>
      <c r="L1413" t="inlineStr"/>
      <c r="M1413" t="inlineStr"/>
      <c r="N1413" t="inlineStr"/>
      <c r="O1413">
        <f>(1-Summary!$B$11)*T1413+Summary!$B$11*V1413</f>
        <v/>
      </c>
      <c r="P1413">
        <f>IF(B1432=0,0,O1413/B1432)</f>
        <v/>
      </c>
      <c r="Q1413" t="n">
        <v>0</v>
      </c>
      <c r="R1413" t="n">
        <v>0</v>
      </c>
      <c r="S1413">
        <f>IFERROR(O1413/N1413,0)</f>
        <v/>
      </c>
      <c r="T1413" t="n">
        <v>0</v>
      </c>
      <c r="V1413" t="n">
        <v>0</v>
      </c>
    </row>
    <row r="1414">
      <c r="A1414">
        <f>Skills!A23</f>
        <v/>
      </c>
      <c r="B1414">
        <f>Skills!B23</f>
        <v/>
      </c>
      <c r="C1414">
        <f>Inputs!$B$3&gt;=38</f>
        <v/>
      </c>
      <c r="D1414">
        <f>IF(Skills!C23=1,60+Inputs!$B$25+Inputs!$B$29,IF(Skills!C23=2,90+Inputs!$B$26+Inputs!$B$29,IF(Skills!C23=3,120+Inputs!$B$27+Inputs!$B$29,MAX(0,(Inputs!$B$3-100)*3)+Inputs!$B$28+Inputs!$B$29)))</f>
        <v/>
      </c>
      <c r="E1414">
        <f>INDEX(FactorTable!$B$2:$Y$301, MATCH(ROUND(MIN(300,MAX(1,D1414)),0), FactorTable!$A$2:$A$301,0), Skills!M23+1)</f>
        <v/>
      </c>
      <c r="F1414">
        <f>IF(Skills!N23=TRUE,(Skills!L23/10)*(E1414/1000),Skills!L23/10)+Skills!O23</f>
        <v/>
      </c>
      <c r="G1414">
        <f>Skills!G23*IF(Skills!H23&gt;0,Skills!I23/Skills!H23,1)</f>
        <v/>
      </c>
      <c r="H1414">
        <f>1-(1-Skills!J23/100)^Skills!K23</f>
        <v/>
      </c>
      <c r="I1414" t="inlineStr">
        <is>
          <t>1</t>
        </is>
      </c>
      <c r="J1414" t="inlineStr"/>
      <c r="K1414" t="inlineStr"/>
      <c r="L1414" t="inlineStr"/>
      <c r="M1414" t="inlineStr"/>
      <c r="N1414" t="inlineStr"/>
      <c r="O1414">
        <f>(1-Summary!$B$11)*T1414+Summary!$B$11*V1414</f>
        <v/>
      </c>
      <c r="P1414">
        <f>IF(B1432=0,0,O1414/B1432)</f>
        <v/>
      </c>
      <c r="Q1414" t="n">
        <v>0</v>
      </c>
      <c r="R1414" t="n">
        <v>0</v>
      </c>
      <c r="S1414">
        <f>IFERROR(O1414/N1414,0)</f>
        <v/>
      </c>
      <c r="T1414" t="n">
        <v>0</v>
      </c>
      <c r="V1414" t="n">
        <v>0</v>
      </c>
    </row>
    <row r="1415">
      <c r="A1415">
        <f>Skills!A24</f>
        <v/>
      </c>
      <c r="B1415">
        <f>Skills!B24</f>
        <v/>
      </c>
      <c r="C1415">
        <f>Inputs!$B$3&gt;=40</f>
        <v/>
      </c>
      <c r="D1415">
        <f>IF(Skills!C24=1,60+Inputs!$B$25+Inputs!$B$29,IF(Skills!C24=2,90+Inputs!$B$26+Inputs!$B$29,IF(Skills!C24=3,120+Inputs!$B$27+Inputs!$B$29,MAX(0,(Inputs!$B$3-100)*3)+Inputs!$B$28+Inputs!$B$29)))</f>
        <v/>
      </c>
      <c r="E1415">
        <f>INDEX(FactorTable!$B$2:$Y$301, MATCH(ROUND(MIN(300,MAX(1,D1415)),0), FactorTable!$A$2:$A$301,0), Skills!M24+1)</f>
        <v/>
      </c>
      <c r="F1415">
        <f>IF(Skills!N24=TRUE,(Skills!L24/10)*(E1415/1000),Skills!L24/10)+Skills!O24</f>
        <v/>
      </c>
      <c r="G1415">
        <f>Skills!G24*IF(Skills!H24&gt;0,Skills!I24/Skills!H24,1)</f>
        <v/>
      </c>
      <c r="H1415">
        <f>1-(1-Skills!J24/100)^Skills!K24</f>
        <v/>
      </c>
      <c r="I1415" t="inlineStr">
        <is>
          <t>1</t>
        </is>
      </c>
      <c r="J1415" t="inlineStr"/>
      <c r="K1415" t="inlineStr"/>
      <c r="L1415" t="inlineStr"/>
      <c r="M1415" t="inlineStr"/>
      <c r="N1415" t="inlineStr"/>
      <c r="O1415">
        <f>(1-Summary!$B$11)*T1415+Summary!$B$11*V1415</f>
        <v/>
      </c>
      <c r="P1415">
        <f>IF(B1432=0,0,O1415/B1432)</f>
        <v/>
      </c>
      <c r="Q1415" t="n">
        <v>0</v>
      </c>
      <c r="R1415" t="n">
        <v>0</v>
      </c>
      <c r="S1415">
        <f>IFERROR(O1415/N1415,0)</f>
        <v/>
      </c>
      <c r="T1415" t="n">
        <v>0</v>
      </c>
      <c r="V1415" t="n">
        <v>0</v>
      </c>
    </row>
    <row r="1416">
      <c r="A1416">
        <f>Skills!A25</f>
        <v/>
      </c>
      <c r="B1416">
        <f>Skills!B25</f>
        <v/>
      </c>
      <c r="C1416">
        <f>Inputs!$B$3&gt;=72</f>
        <v/>
      </c>
      <c r="D1416">
        <f>IF(Skills!C25=1,60+Inputs!$B$25+Inputs!$B$29,IF(Skills!C25=2,90+Inputs!$B$26+Inputs!$B$29,IF(Skills!C25=3,120+Inputs!$B$27+Inputs!$B$29,MAX(0,(Inputs!$B$3-100)*3)+Inputs!$B$28+Inputs!$B$29)))</f>
        <v/>
      </c>
      <c r="E1416">
        <f>INDEX(FactorTable!$B$2:$Y$301, MATCH(ROUND(MIN(300,MAX(1,D1416)),0), FactorTable!$A$2:$A$301,0), Skills!M25+1)</f>
        <v/>
      </c>
      <c r="F1416">
        <f>IF(Skills!N25=TRUE,(Skills!L25/10)*(E1416/1000),Skills!L25/10)+Skills!O25</f>
        <v/>
      </c>
      <c r="G1416">
        <f>Skills!G25*IF(Skills!H25&gt;0,Skills!I25/Skills!H25,1)</f>
        <v/>
      </c>
      <c r="H1416">
        <f>1-(1-Skills!J25/100)^Skills!K25</f>
        <v/>
      </c>
      <c r="I1416" t="inlineStr">
        <is>
          <t>1</t>
        </is>
      </c>
      <c r="J1416" t="inlineStr"/>
      <c r="K1416" t="inlineStr"/>
      <c r="L1416" t="inlineStr"/>
      <c r="M1416" t="inlineStr"/>
      <c r="N1416" t="inlineStr"/>
      <c r="O1416">
        <f>(1-Summary!$B$11)*T1416+Summary!$B$11*V1416</f>
        <v/>
      </c>
      <c r="P1416">
        <f>IF(B1432=0,0,O1416/B1432)</f>
        <v/>
      </c>
      <c r="Q1416" t="n">
        <v>0</v>
      </c>
      <c r="R1416" t="n">
        <v>0</v>
      </c>
      <c r="S1416">
        <f>IFERROR(O1416/N1416,0)</f>
        <v/>
      </c>
      <c r="T1416" t="n">
        <v>0</v>
      </c>
      <c r="V1416" t="n">
        <v>0</v>
      </c>
    </row>
    <row r="1417">
      <c r="A1417">
        <f>Skills!A26</f>
        <v/>
      </c>
      <c r="B1417">
        <f>Skills!B26</f>
        <v/>
      </c>
      <c r="C1417">
        <f>Inputs!$B$3&gt;=75</f>
        <v/>
      </c>
      <c r="D1417">
        <f>IF(Skills!C26=1,60+Inputs!$B$25+Inputs!$B$29,IF(Skills!C26=2,90+Inputs!$B$26+Inputs!$B$29,IF(Skills!C26=3,120+Inputs!$B$27+Inputs!$B$29,MAX(0,(Inputs!$B$3-100)*3)+Inputs!$B$28+Inputs!$B$29)))</f>
        <v/>
      </c>
      <c r="E1417">
        <f>INDEX(FactorTable!$B$2:$Y$301, MATCH(ROUND(MIN(300,MAX(1,D1417)),0), FactorTable!$A$2:$A$301,0), Skills!M26+1)</f>
        <v/>
      </c>
      <c r="F1417">
        <f>IF(Skills!N26=TRUE,(Skills!L26/10)*(E1417/1000),Skills!L26/10)+Skills!O26</f>
        <v/>
      </c>
      <c r="G1417">
        <f>Skills!G26*IF(Skills!H26&gt;0,Skills!I26/Skills!H26,1)</f>
        <v/>
      </c>
      <c r="H1417">
        <f>1-(1-Skills!J26/100)^Skills!K26</f>
        <v/>
      </c>
      <c r="I1417" t="inlineStr">
        <is>
          <t>1</t>
        </is>
      </c>
      <c r="J1417" t="inlineStr"/>
      <c r="K1417" t="inlineStr"/>
      <c r="L1417" t="inlineStr"/>
      <c r="M1417" t="inlineStr"/>
      <c r="N1417" t="inlineStr"/>
      <c r="O1417">
        <f>(1-Summary!$B$11)*T1417+Summary!$B$11*V1417</f>
        <v/>
      </c>
      <c r="P1417">
        <f>IF(B1432=0,0,O1417/B1432)</f>
        <v/>
      </c>
      <c r="Q1417" t="n">
        <v>0</v>
      </c>
      <c r="R1417" t="n">
        <v>0</v>
      </c>
      <c r="S1417">
        <f>IFERROR(O1417/N1417,0)</f>
        <v/>
      </c>
      <c r="T1417" t="n">
        <v>0</v>
      </c>
      <c r="V1417" t="n">
        <v>0</v>
      </c>
    </row>
    <row r="1418">
      <c r="A1418">
        <f>Skills!A27</f>
        <v/>
      </c>
      <c r="B1418">
        <f>Skills!B27</f>
        <v/>
      </c>
      <c r="C1418">
        <f>Inputs!$B$3&gt;=117</f>
        <v/>
      </c>
      <c r="D1418">
        <f>IF(Skills!C27=1,60+Inputs!$B$25+Inputs!$B$29,IF(Skills!C27=2,90+Inputs!$B$26+Inputs!$B$29,IF(Skills!C27=3,120+Inputs!$B$27+Inputs!$B$29,MAX(0,(Inputs!$B$3-100)*3)+Inputs!$B$28+Inputs!$B$29)))</f>
        <v/>
      </c>
      <c r="E1418">
        <f>INDEX(FactorTable!$B$2:$Y$301, MATCH(ROUND(MIN(300,MAX(1,D1418)),0), FactorTable!$A$2:$A$301,0), Skills!M27+1)</f>
        <v/>
      </c>
      <c r="F1418">
        <f>IF(Skills!N27=TRUE,(Skills!L27/10)*(E1418/1000),Skills!L27/10)+Skills!O27</f>
        <v/>
      </c>
      <c r="G1418">
        <f>Skills!G27*IF(Skills!H27&gt;0,Skills!I27/Skills!H27,1)</f>
        <v/>
      </c>
      <c r="H1418">
        <f>1-(1-Skills!J27/100)^Skills!K27</f>
        <v/>
      </c>
      <c r="I1418" t="inlineStr">
        <is>
          <t>1</t>
        </is>
      </c>
      <c r="J1418" t="inlineStr"/>
      <c r="K1418" t="inlineStr"/>
      <c r="L1418" t="inlineStr"/>
      <c r="M1418" t="inlineStr"/>
      <c r="N1418" t="inlineStr"/>
      <c r="O1418">
        <f>(1-Summary!$B$11)*T1418+Summary!$B$11*V1418</f>
        <v/>
      </c>
      <c r="P1418">
        <f>IF(B1432=0,0,O1418/B1432)</f>
        <v/>
      </c>
      <c r="Q1418" t="n">
        <v>0</v>
      </c>
      <c r="R1418" t="n">
        <v>0</v>
      </c>
      <c r="S1418">
        <f>IFERROR(O1418/N1418,0)</f>
        <v/>
      </c>
      <c r="T1418" t="n">
        <v>0</v>
      </c>
      <c r="V1418" t="n">
        <v>0</v>
      </c>
    </row>
    <row r="1419">
      <c r="A1419">
        <f>Skills!A28</f>
        <v/>
      </c>
      <c r="B1419">
        <f>Skills!B28</f>
        <v/>
      </c>
      <c r="C1419">
        <f>TRUE</f>
        <v/>
      </c>
      <c r="D1419">
        <f>IF(Skills!C28=1,60+Inputs!$B$25+Inputs!$B$29,IF(Skills!C28=2,90+Inputs!$B$26+Inputs!$B$29,IF(Skills!C28=3,120+Inputs!$B$27+Inputs!$B$29,MAX(0,(Inputs!$B$3-100)*3)+Inputs!$B$28+Inputs!$B$29)))</f>
        <v/>
      </c>
      <c r="E1419">
        <f>INDEX(FactorTable!$B$2:$Y$301, MATCH(ROUND(MIN(300,MAX(1,D1419)),0), FactorTable!$A$2:$A$301,0), Skills!M28+1)</f>
        <v/>
      </c>
      <c r="F1419">
        <f>IF(Skills!N28=TRUE,(Skills!L28/10)*(E1419/1000),Skills!L28/10)+Skills!O28</f>
        <v/>
      </c>
      <c r="G1419">
        <f>Skills!G28*IF(Skills!H28&gt;0,Skills!I28/Skills!H28,1)</f>
        <v/>
      </c>
      <c r="H1419">
        <f>1-(1-Skills!J28/100)^Skills!K28</f>
        <v/>
      </c>
      <c r="I1419" t="inlineStr">
        <is>
          <t>1</t>
        </is>
      </c>
      <c r="J1419" t="inlineStr"/>
      <c r="K1419" t="inlineStr"/>
      <c r="L1419" t="inlineStr"/>
      <c r="M1419" t="inlineStr"/>
      <c r="N1419" t="inlineStr"/>
      <c r="O1419">
        <f>(1-Summary!$B$11)*T1419+Summary!$B$11*V1419</f>
        <v/>
      </c>
      <c r="P1419">
        <f>IF(B1432=0,0,O1419/B1432)</f>
        <v/>
      </c>
      <c r="Q1419">
        <f>IFERROR(1/(IF(Inputs!$B$38="pvp",15,MAX(0.1,Skills!D28-IF(Skills!E28=TRUE,Inputs!$B$32,0)))*(1-IF(AND(ArtifactsInput!$M$27,Inputs!$B$4="Chapter Hunt"),CHOOSE(ArtifactsInput!$N$27+1,20,24,28,32,36,40),0)/100)),0)</f>
        <v/>
      </c>
      <c r="R1419">
        <f>IF(AND(Inputs!$B$38&lt;&gt;"pvp",Inputs!$B$43&gt;0),IF(Inputs!$B$43&lt;=0,0,(INT(Inputs!$B$43/(IF(Inputs!$B$38="pvp",15,MAX(0.1,Skills!D28-IF(Skills!E28=TRUE,Inputs!$B$32,0)))*(1-IF(AND(ArtifactsInput!$M$27,Inputs!$B$4="Chapter Hunt"),CHOOSE(ArtifactsInput!$N$27+1,20,24,28,32,36,40),0)/100)))+1)),0)</f>
        <v/>
      </c>
      <c r="S1419">
        <f>IFERROR(O1419/N1419,0)</f>
        <v/>
      </c>
      <c r="T1419" t="n">
        <v>0</v>
      </c>
      <c r="V1419" t="n">
        <v>0</v>
      </c>
    </row>
    <row r="1421">
      <c r="A1421" t="inlineStr">
        <is>
          <t>Attack% Bucket Multiplier</t>
        </is>
      </c>
      <c r="B1421">
        <f>(1+(((C1408=TRUE)*F1408*5/7)+((C1415=TRUE)*(F1415-Calc!F24))+(IF(ArtifactsInput!$M$21,CHOOSE(ArtifactsInput!$N$21+1,25,30,35,40,45,50)*(IF(OR(Inputs!$B$4="Chapter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22">
      <c r="A1422" t="inlineStr">
        <is>
          <t>Global Crit Rate Bonus %</t>
        </is>
      </c>
      <c r="B1422" t="n">
        <v>0</v>
      </c>
    </row>
    <row r="1423">
      <c r="A1423" t="inlineStr">
        <is>
          <t>Attack Speed Buff Bonus % (Nimble Feet, duty-cycle averaged)</t>
        </is>
      </c>
      <c r="B1423">
        <f>((C1419=TRUE)*F1419*IF(AND(Inputs!$B$38&lt;&gt;"pvp",Inputs!$B$43&gt;0),(((R1419-1)*(Skills!T28*(1+Inputs!$B$34/100))+MIN((Skills!T28*(1+Inputs!$B$34/100)),MAX(0,Inputs!$B$43-((R1419-1)*Skills!D28))))/Inputs!$B$43),IF(Inputs!$B$38="pvp",MIN((Skills!T28*(1+Inputs!$B$34/100)),15)/15,(Skills!T28*(1+Inputs!$B$34/100))/Skills!D28)))</f>
        <v/>
      </c>
    </row>
    <row r="1424">
      <c r="A1424" t="inlineStr">
        <is>
          <t>Actions Per Second</t>
        </is>
      </c>
      <c r="B1424">
        <f>1+MIN(150,150*(1-(1-(Inputs!$B$11+((C1411=TRUE)*(F1411-Calc!F20))+((C1412=TRUE)*(F1412-Calc!F21)))/150)*(1-B1423/150)))/100</f>
        <v/>
      </c>
    </row>
    <row r="1425">
      <c r="A1425" t="inlineStr">
        <is>
          <t>Skill + Buff Cast Rate</t>
        </is>
      </c>
      <c r="B1425">
        <f>IF(AND(Inputs!$B$38&lt;&gt;"pvp",Inputs!$B$43&gt;0),SUMPRODUCT((Skills!E2:E28=TRUE)*(C1393:C1419=TRUE)*R1393:R1419*Skills!F2:F28)/Inputs!$B$43,SUMPRODUCT((Skills!E2:E28=TRUE)*(C1393:C1419=TRUE)*Q1393:Q1419*Skills!F2:F28))</f>
        <v/>
      </c>
    </row>
    <row r="1426">
      <c r="A1426" t="inlineStr">
        <is>
          <t>Eight-Legs Easton Casts Per Second</t>
        </is>
      </c>
      <c r="B1426">
        <f>MAX(0,B1424-B1425)</f>
        <v/>
      </c>
    </row>
    <row r="1427">
      <c r="A1427" t="inlineStr">
        <is>
          <t>Global Critical Damage Bonus % (unused)</t>
        </is>
      </c>
      <c r="B1427" t="n">
        <v>0</v>
      </c>
    </row>
    <row r="1428">
      <c r="A1428" t="inlineStr">
        <is>
          <t>Global Final Damage Bonus % (Jolly Roger + Ahoy Mateys - Final Damage proc)</t>
        </is>
      </c>
      <c r="B1428">
        <f>((C1409=TRUE)*F1409*IF(AND(Inputs!$B$38&lt;&gt;"pvp",Inputs!$B$43&gt;0),(((R1409-1)*(Skills!T18*(1+Inputs!$B$34/100))+MIN((Skills!T18*(1+Inputs!$B$34/100)),MAX(0,Inputs!$B$43-((R1409-1)*Skills!D18))))/Inputs!$B$43),IF(Inputs!$B$38="pvp",MIN((Skills!T18*(1+Inputs!$B$34/100)),15)/15,(Skills!T18*(1+Inputs!$B$34/100))/Skills!D18)))+IF(Inputs!$B$3&gt;=122,20*IF(Inputs!$B$38="pvp",MIN((20*(1+Inputs!$B$34/100)),15)/15,(20*(1+Inputs!$B$34/100))/Skills!D4),0)</f>
        <v/>
      </c>
    </row>
    <row r="1429">
      <c r="A1429" t="inlineStr">
        <is>
          <t>Buff-Casting Startup Delay (s, fixed-duration only)</t>
        </is>
      </c>
      <c r="B1429">
        <f>IF(AND(Inputs!$B$38&lt;&gt;"pvp",Inputs!$B$43&gt;0),SUMPRODUCT((Skills!T2:T28&gt;0)*(Skills!E2:E28=TRUE)*(C1393:C1419=TRUE))/B1424,0)</f>
        <v/>
      </c>
    </row>
    <row r="1430">
      <c r="A1430" t="inlineStr">
        <is>
          <t>Boss-Only Total DPS (this block's swept value)</t>
        </is>
      </c>
      <c r="B1430">
        <f>SUM(T1393:T1419)</f>
        <v/>
      </c>
    </row>
    <row r="1431">
      <c r="A1431" t="inlineStr">
        <is>
          <t>Normal-Only Total DPS (this block's swept value)</t>
        </is>
      </c>
      <c r="B1431">
        <f>SUM(V1393:V1419)</f>
        <v/>
      </c>
    </row>
    <row r="1432">
      <c r="A1432" s="6" t="inlineStr">
        <is>
          <t>TOTAL DPS</t>
        </is>
      </c>
      <c r="B1432" s="6">
        <f>SUM(O1393:O1419)</f>
        <v/>
      </c>
    </row>
    <row r="1435">
      <c r="A1435" s="6" t="inlineStr">
        <is>
          <t>Stat: Hexagon Necklace (Equip)</t>
        </is>
      </c>
    </row>
    <row r="1436">
      <c r="A1436" s="5" t="inlineStr">
        <is>
          <t>Key</t>
        </is>
      </c>
      <c r="B1436" s="5" t="inlineStr">
        <is>
          <t>Name</t>
        </is>
      </c>
      <c r="C1436" s="5" t="inlineStr">
        <is>
          <t>Unlocked</t>
        </is>
      </c>
      <c r="D1436" s="5" t="inlineStr">
        <is>
          <t>InputLevel</t>
        </is>
      </c>
      <c r="E1436" s="5" t="inlineStr">
        <is>
          <t>Factor</t>
        </is>
      </c>
      <c r="F1436" s="5" t="inlineStr">
        <is>
          <t>CoefficientPercent</t>
        </is>
      </c>
      <c r="G1436" s="5" t="inlineStr">
        <is>
          <t>EffectiveHits</t>
        </is>
      </c>
      <c r="H1436" s="5" t="inlineStr">
        <is>
          <t>ProcProbability</t>
        </is>
      </c>
      <c r="I1436" s="5" t="inlineStr">
        <is>
          <t>MapleHeroMultiplier</t>
        </is>
      </c>
      <c r="J1436" s="5" t="inlineStr">
        <is>
          <t>BaseDamage</t>
        </is>
      </c>
      <c r="K1436" s="5" t="inlineStr">
        <is>
          <t>BaseHitDamage</t>
        </is>
      </c>
      <c r="L1436" s="5" t="inlineStr">
        <is>
          <t>NonCritAvg</t>
        </is>
      </c>
      <c r="M1436" s="5" t="inlineStr">
        <is>
          <t>CritAvg</t>
        </is>
      </c>
      <c r="N1436" s="5" t="inlineStr">
        <is>
          <t>ExpectedDamage(perHit)</t>
        </is>
      </c>
      <c r="O1436" s="5" t="inlineStr">
        <is>
          <t>DPS</t>
        </is>
      </c>
      <c r="P1436" s="5" t="inlineStr">
        <is>
          <t>% of Total</t>
        </is>
      </c>
      <c r="Q1436" s="5" t="inlineStr">
        <is>
          <t>InvCooldown</t>
        </is>
      </c>
      <c r="R1436" s="5" t="inlineStr">
        <is>
          <t>CastsInFight</t>
        </is>
      </c>
      <c r="S1436" s="5" t="inlineStr">
        <is>
          <t>HitRate(perSec)</t>
        </is>
      </c>
      <c r="U1436" t="inlineStr">
        <is>
          <t>helpers</t>
        </is>
      </c>
    </row>
    <row r="1437">
      <c r="A1437">
        <f>Skills!A2</f>
        <v/>
      </c>
      <c r="B1437">
        <f>Skills!B2</f>
        <v/>
      </c>
      <c r="C1437">
        <f>Inputs!$B$3&gt;=100</f>
        <v/>
      </c>
      <c r="D1437" t="inlineStr"/>
      <c r="E1437" t="inlineStr"/>
      <c r="F1437">
        <f>U1439+Skills!O2</f>
        <v/>
      </c>
      <c r="G1437">
        <f>Skills!G2*IF(Skills!H2&gt;0,Skills!I2/Skills!H2,1)</f>
        <v/>
      </c>
      <c r="H1437">
        <f>1-(1-Skills!J2/100)^Skills!K2</f>
        <v/>
      </c>
      <c r="I1437" t="inlineStr">
        <is>
          <t>1</t>
        </is>
      </c>
      <c r="J1437">
        <f>((Inputs!$B$6*(1+Inputs!$B$7/100))+(((Inputs!$B$12*(1+Inputs!$B$13/100))-(Inputs!$B$12*(1+Inputs!$B$13/100)))+0.25*(Inputs!$B$14-Inputs!$B$14))*(1+Inputs!$B$7/100))*(F1437/100)</f>
        <v/>
      </c>
      <c r="K1437">
        <f>J1437*(1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1437)</f>
        <v/>
      </c>
      <c r="L1437">
        <f>K1437*(MIN(Inputs!$B$22+((C1457=TRUE)*(F1457-Calc!F22)),(Inputs!$B$23+0+(IF(ArtifactsInput!$M$15,CHOOSE(ArtifactsInput!$N$15+1,25,30,35,40,45,50)/100*(Inputs!$B$11-Inputs!$B$11),0))))/100+(Inputs!$B$23+0+(IF(ArtifactsInput!$M$15,CHOOSE(ArtifactsInput!$N$15+1,25,30,35,40,45,50)/100*(Inputs!$B$11-Inputs!$B$11),0)))/100)/2</f>
        <v/>
      </c>
      <c r="M1437">
        <f>L1437*(1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7">
        <f>L1437*(1-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1437*(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7">
        <f>(1-Summary!$B$11)*T1437+Summary!$B$11*V1437</f>
        <v/>
      </c>
      <c r="P1437">
        <f>IF(B1476=0,0,O1437/B1476)</f>
        <v/>
      </c>
      <c r="Q1437" t="n">
        <v>0</v>
      </c>
      <c r="R1437" t="n">
        <v>0</v>
      </c>
      <c r="S1437">
        <f>IFERROR(O1437/N1437,0)</f>
        <v/>
      </c>
      <c r="T1437">
        <f>IF(C1437,(Skills!G2*N1437*B1470)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1437*(1-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1437*(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1437*(1-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1437*(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7">
        <f>MAX(0,(Inputs!$B$3-100)*3)+Inputs!$B$28+Inputs!$B$29</f>
        <v/>
      </c>
      <c r="V1437">
        <f>IF(C1437,(Skills!G2*N1437*B1470)*IF(Inputs!$B$38="pvp",1,(1+(Inputs!$B$21+Skills!Q2+(IF(ArtifactsInput!$M$33,CHOOSE(ArtifactsInput!$N$33+1,30,36,42,48,54,60),0))+(IF(AND(ArtifactsInput!$M$35,Inputs!$B$4&lt;&gt;"Chapter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8">
      <c r="A1438">
        <f>Skills!A3</f>
        <v/>
      </c>
      <c r="B1438">
        <f>Skills!B3</f>
        <v/>
      </c>
      <c r="C1438">
        <f>Inputs!$B$3&gt;=35</f>
        <v/>
      </c>
      <c r="D1438">
        <f>IF(Skills!C3=1,60+Inputs!$B$25+Inputs!$B$29,IF(Skills!C3=2,90+Inputs!$B$26+Inputs!$B$29,IF(Skills!C3=3,120+Inputs!$B$27+Inputs!$B$29,MAX(0,(Inputs!$B$3-100)*3)+Inputs!$B$28+Inputs!$B$29)))</f>
        <v/>
      </c>
      <c r="E1438">
        <f>INDEX(FactorTable!$B$2:$Y$301, MATCH(ROUND(MIN(300,MAX(1,D1438)),0), FactorTable!$A$2:$A$301,0), Skills!M3+1)</f>
        <v/>
      </c>
      <c r="F1438">
        <f>IF(Skills!N3=TRUE,(Skills!L3/10)*(E1438/1000),Skills!L3/10)+Skills!O3</f>
        <v/>
      </c>
      <c r="G1438">
        <f>Skills!G3*IF(Skills!H3&gt;0,Skills!I3/Skills!H3,1)</f>
        <v/>
      </c>
      <c r="H1438">
        <f>1-(1-Skills!J3/100)^Skills!K3</f>
        <v/>
      </c>
      <c r="I1438" t="inlineStr">
        <is>
          <t>1</t>
        </is>
      </c>
      <c r="J1438">
        <f>((Inputs!$B$6*(1+Inputs!$B$7/100))+(((Inputs!$B$12*(1+Inputs!$B$13/100))-(Inputs!$B$12*(1+Inputs!$B$13/100)))+0.25*(Inputs!$B$14-Inputs!$B$14))*(1+Inputs!$B$7/100))*(F1438/100)</f>
        <v/>
      </c>
      <c r="K1438">
        <f>J1438*(1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1450=TRUE,F1450,0)/100)*(1+(IF(Skills!A3="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1438)</f>
        <v/>
      </c>
      <c r="L1438">
        <f>K1438*(MIN(Inputs!$B$22+((C1457=TRUE)*(F1457-Calc!F22)),(Inputs!$B$23+0+(IF(ArtifactsInput!$M$15,CHOOSE(ArtifactsInput!$N$15+1,25,30,35,40,45,50)/100*(Inputs!$B$11-Inputs!$B$11),0))))/100+(Inputs!$B$23+0+(IF(ArtifactsInput!$M$15,CHOOSE(ArtifactsInput!$N$15+1,25,30,35,40,45,50)/100*(Inputs!$B$11-Inputs!$B$11),0)))/100)/2</f>
        <v/>
      </c>
      <c r="M1438">
        <f>L1438*(1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8">
        <f>L1438*(1-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1438*(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8">
        <f>(1-Summary!$B$11)*T1438+Summary!$B$11*V1438</f>
        <v/>
      </c>
      <c r="P1438">
        <f>IF(B1476=0,0,O1438/B1476)</f>
        <v/>
      </c>
      <c r="Q1438">
        <f>IFERROR(1/(IF(Inputs!$B$38="pvp",15,MAX(0.1,Skills!D3-IF(Skills!E3=TRUE,Inputs!$B$32,0)))*(1-IF(AND(ArtifactsInput!$M$27,Inputs!$B$4="Chapter Hunt"),CHOOSE(ArtifactsInput!$N$27+1,20,24,28,32,36,40),0)/100)),0)</f>
        <v/>
      </c>
      <c r="R1438">
        <f>IF(AND(Inputs!$B$38&lt;&gt;"pvp",Inputs!$B$43&gt;0),IF(MAX(0,Inputs!$B$43-B1473)&lt;=0,0,(INT(MAX(0,Inputs!$B$43-B1473)/(IF(Inputs!$B$38="pvp",15,MAX(0.1,Skills!D3-IF(Skills!E3=TRUE,Inputs!$B$32,0)))*(1-IF(AND(ArtifactsInput!$M$27,Inputs!$B$4="Chapter Hunt"),CHOOSE(ArtifactsInput!$N$27+1,20,24,28,32,36,40),0)/100)))+1)),0)</f>
        <v/>
      </c>
      <c r="S1438">
        <f>IFERROR(O1438/N1438,0)</f>
        <v/>
      </c>
      <c r="T1438">
        <f>IF(C1438,(H1438*N1438*IF(AND(Inputs!$B$38&lt;&gt;"pvp",Inputs!$B$43&gt;0),((Skills!G3*((R1438-1)*IF(Skills!H3&gt;0,Skills!I3/Skills!H3,1)+IF(Skills!H3&gt;0,MIN(Skills!I3,MAX(0,MAX(0,Inputs!$B$43-B1473)-((R1438-1)*(IF(Inputs!$B$38="pvp",15,MAX(0.1,Skills!D3-IF(Skills!E3=TRUE,Inputs!$B$32,0)))*(1-IF(AND(ArtifactsInput!$M$27,Inputs!$B$4="Chapter Hunt"),CHOOSE(ArtifactsInput!$N$27+1,20,24,28,32,36,40),0)/100)))))/Skills!H3,1)))/Inputs!$B$43),G1438*Q1438)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1438*(1-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1438*(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1438*(1-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1438*(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8">
        <f>INDEX(FactorTable!$B$2:$Y$301, MATCH(ROUND(MIN(300,MAX(1,U1437)),0), FactorTable!$A$2:$A$301,0), 22)</f>
        <v/>
      </c>
      <c r="V1438">
        <f>IF(C1438,(H1438*N1438*IF(AND(Inputs!$B$38&lt;&gt;"pvp",Inputs!$B$43&gt;0),((Skills!G3*((R1438-1)*IF(Skills!H3&gt;0,Skills!I3/Skills!H3,1)+IF(Skills!H3&gt;0,MIN(Skills!I3,MAX(0,MAX(0,Inputs!$B$43-B1473)-((R1438-1)*(IF(Inputs!$B$38="pvp",15,MAX(0.1,Skills!D3-IF(Skills!E3=TRUE,Inputs!$B$32,0)))*(1-IF(AND(ArtifactsInput!$M$27,Inputs!$B$4="Chapter Hunt"),CHOOSE(ArtifactsInput!$N$27+1,20,24,28,32,36,40),0)/100)))))/Skills!H3,1)))/Inputs!$B$43),G1438*Q1438))*IF(Inputs!$B$38="pvp",1,(1+(Inputs!$B$21+Skills!Q3+(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9">
      <c r="A1439">
        <f>Skills!A4</f>
        <v/>
      </c>
      <c r="B1439">
        <f>Skills!B4</f>
        <v/>
      </c>
      <c r="C1439">
        <f>Inputs!$B$3&gt;=40</f>
        <v/>
      </c>
      <c r="D1439">
        <f>IF(Skills!C4=1,60+Inputs!$B$25+Inputs!$B$29,IF(Skills!C4=2,90+Inputs!$B$26+Inputs!$B$29,IF(Skills!C4=3,120+Inputs!$B$27+Inputs!$B$29,MAX(0,(Inputs!$B$3-100)*3)+Inputs!$B$28+Inputs!$B$29)))</f>
        <v/>
      </c>
      <c r="E1439">
        <f>INDEX(FactorTable!$B$2:$Y$301, MATCH(ROUND(MIN(300,MAX(1,D1439)),0), FactorTable!$A$2:$A$301,0), Skills!M4+1)</f>
        <v/>
      </c>
      <c r="F1439">
        <f>IF(Skills!N4=TRUE,(Skills!L4/10)*(E1439/1000),Skills!L4/10)+Skills!O4</f>
        <v/>
      </c>
      <c r="G1439">
        <f>Skills!G4*IF(Skills!H4&gt;0,Skills!I4/Skills!H4,1)</f>
        <v/>
      </c>
      <c r="H1439">
        <f>1-(1-Skills!J4/100)^Skills!K4</f>
        <v/>
      </c>
      <c r="I1439" t="inlineStr">
        <is>
          <t>1</t>
        </is>
      </c>
      <c r="J1439">
        <f>((Inputs!$B$6*(1+Inputs!$B$7/100))+(((Inputs!$B$12*(1+Inputs!$B$13/100))-(Inputs!$B$12*(1+Inputs!$B$13/100)))+0.25*(Inputs!$B$14-Inputs!$B$14))*(1+Inputs!$B$7/100))*(F1439/100)</f>
        <v/>
      </c>
      <c r="K1439">
        <f>J1439*(1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1451=TRUE,F1451,0)/100)*(1+(IF(Skills!A4="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1439)</f>
        <v/>
      </c>
      <c r="L1439">
        <f>K1439*(MIN(Inputs!$B$22+((C1457=TRUE)*(F1457-Calc!F22)),(Inputs!$B$23+0+(IF(ArtifactsInput!$M$15,CHOOSE(ArtifactsInput!$N$15+1,25,30,35,40,45,50)/100*(Inputs!$B$11-Inputs!$B$11),0))))/100+(Inputs!$B$23+0+(IF(ArtifactsInput!$M$15,CHOOSE(ArtifactsInput!$N$15+1,25,30,35,40,45,50)/100*(Inputs!$B$11-Inputs!$B$11),0)))/100)/2</f>
        <v/>
      </c>
      <c r="M1439">
        <f>L1439*(1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9">
        <f>L1439*(1-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1439*(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9">
        <f>(1-Summary!$B$11)*T1439+Summary!$B$11*V1439</f>
        <v/>
      </c>
      <c r="P1439">
        <f>IF(B1476=0,0,O1439/B1476)</f>
        <v/>
      </c>
      <c r="Q1439">
        <f>IFERROR(1/(IF(Inputs!$B$38="pvp",15,MAX(0.1,Skills!D4-IF(Skills!E4=TRUE,Inputs!$B$32,0)))*(1-IF(AND(ArtifactsInput!$M$27,Inputs!$B$4="Chapter Hunt"),CHOOSE(ArtifactsInput!$N$27+1,20,24,28,32,36,40),0)/100)),0)</f>
        <v/>
      </c>
      <c r="R1439">
        <f>IF(AND(Inputs!$B$38&lt;&gt;"pvp",Inputs!$B$43&gt;0),IF(MAX(0,Inputs!$B$43-B1473)&lt;=0,0,(INT(MAX(0,Inputs!$B$43-B1473)/(IF(Inputs!$B$38="pvp",15,MAX(0.1,Skills!D4-IF(Skills!E4=TRUE,Inputs!$B$32,0)))*(1-IF(AND(ArtifactsInput!$M$27,Inputs!$B$4="Chapter Hunt"),CHOOSE(ArtifactsInput!$N$27+1,20,24,28,32,36,40),0)/100)))+1)),0)</f>
        <v/>
      </c>
      <c r="S1439">
        <f>IFERROR(O1439/N1439,0)</f>
        <v/>
      </c>
      <c r="T1439">
        <f>IF(C1439,(H1439*N1439*IF(AND(Inputs!$B$38&lt;&gt;"pvp",Inputs!$B$43&gt;0),((Skills!G4*((R1439-1)*IF(Skills!H4&gt;0,Skills!I4/Skills!H4,1)+IF(Skills!H4&gt;0,MIN(Skills!I4,MAX(0,MAX(0,Inputs!$B$43-B1473)-((R1439-1)*(IF(Inputs!$B$38="pvp",15,MAX(0.1,Skills!D4-IF(Skills!E4=TRUE,Inputs!$B$32,0)))*(1-IF(AND(ArtifactsInput!$M$27,Inputs!$B$4="Chapter Hunt"),CHOOSE(ArtifactsInput!$N$27+1,20,24,28,32,36,40),0)/100)))))/Skills!H4,1)))/Inputs!$B$43),G1439*Q1439)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1439*(1-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1439*(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1439*(1-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1439*(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9">
        <f>290*U1438/1000</f>
        <v/>
      </c>
      <c r="V1439">
        <f>IF(C1439,(H1439*N1439*IF(AND(Inputs!$B$38&lt;&gt;"pvp",Inputs!$B$43&gt;0),((Skills!G4*((R1439-1)*IF(Skills!H4&gt;0,Skills!I4/Skills!H4,1)+IF(Skills!H4&gt;0,MIN(Skills!I4,MAX(0,MAX(0,Inputs!$B$43-B1473)-((R1439-1)*(IF(Inputs!$B$38="pvp",15,MAX(0.1,Skills!D4-IF(Skills!E4=TRUE,Inputs!$B$32,0)))*(1-IF(AND(ArtifactsInput!$M$27,Inputs!$B$4="Chapter Hunt"),CHOOSE(ArtifactsInput!$N$27+1,20,24,28,32,36,40),0)/100)))))/Skills!H4,1)))/Inputs!$B$43),G1439*Q1439))*IF(Inputs!$B$38="pvp",1,(1+(Inputs!$B$21+Skills!Q4+(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0">
      <c r="A1440">
        <f>Skills!A5</f>
        <v/>
      </c>
      <c r="B1440">
        <f>Skills!B5</f>
        <v/>
      </c>
      <c r="C1440">
        <f>Inputs!$B$3&gt;=45</f>
        <v/>
      </c>
      <c r="D1440">
        <f>IF(Skills!C5=1,60+Inputs!$B$25+Inputs!$B$29,IF(Skills!C5=2,90+Inputs!$B$26+Inputs!$B$29,IF(Skills!C5=3,120+Inputs!$B$27+Inputs!$B$29,MAX(0,(Inputs!$B$3-100)*3)+Inputs!$B$28+Inputs!$B$29)))</f>
        <v/>
      </c>
      <c r="E1440">
        <f>INDEX(FactorTable!$B$2:$Y$301, MATCH(ROUND(MIN(300,MAX(1,D1440)),0), FactorTable!$A$2:$A$301,0), Skills!M5+1)</f>
        <v/>
      </c>
      <c r="F1440">
        <f>IF(Skills!N5=TRUE,(Skills!L5/10)*(E1440/1000),Skills!L5/10)+Skills!O5</f>
        <v/>
      </c>
      <c r="G1440">
        <f>Skills!G5*IF(Skills!H5&gt;0,Skills!I5/Skills!H5,1)</f>
        <v/>
      </c>
      <c r="H1440">
        <f>1-(1-Skills!J5/100)^Skills!K5</f>
        <v/>
      </c>
      <c r="I1440" t="inlineStr">
        <is>
          <t>1</t>
        </is>
      </c>
      <c r="J1440">
        <f>((Inputs!$B$6*(1+Inputs!$B$7/100))+(((Inputs!$B$12*(1+Inputs!$B$13/100))-(Inputs!$B$12*(1+Inputs!$B$13/100)))+0.25*(Inputs!$B$14-Inputs!$B$14))*(1+Inputs!$B$7/100))*(F1440/100)</f>
        <v/>
      </c>
      <c r="K1440">
        <f>J1440*(1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1451=TRUE,F1451,0)/100)*(1+(IF(Skills!A5="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1440)</f>
        <v/>
      </c>
      <c r="L1440">
        <f>K1440*(MIN(Inputs!$B$22+((C1457=TRUE)*(F1457-Calc!F22)),(Inputs!$B$23+0+(IF(ArtifactsInput!$M$15,CHOOSE(ArtifactsInput!$N$15+1,25,30,35,40,45,50)/100*(Inputs!$B$11-Inputs!$B$11),0))))/100+(Inputs!$B$23+0+(IF(ArtifactsInput!$M$15,CHOOSE(ArtifactsInput!$N$15+1,25,30,35,40,45,50)/100*(Inputs!$B$11-Inputs!$B$11),0)))/100)/2</f>
        <v/>
      </c>
      <c r="M1440">
        <f>L1440*(1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0">
        <f>L1440*(1-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1440*(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0">
        <f>(1-Summary!$B$11)*T1440+Summary!$B$11*V1440</f>
        <v/>
      </c>
      <c r="P1440">
        <f>IF(B1476=0,0,O1440/B1476)</f>
        <v/>
      </c>
      <c r="Q1440">
        <f>IFERROR(1/(IF(Inputs!$B$38="pvp",15,MAX(0.1,Skills!D5-IF(Skills!E5=TRUE,Inputs!$B$32,0)))*(1-IF(AND(ArtifactsInput!$M$27,Inputs!$B$4="Chapter Hunt"),CHOOSE(ArtifactsInput!$N$27+1,20,24,28,32,36,40),0)/100)),0)</f>
        <v/>
      </c>
      <c r="R1440">
        <f>IF(AND(Inputs!$B$38&lt;&gt;"pvp",Inputs!$B$43&gt;0),IF(MAX(0,Inputs!$B$43-B1473)&lt;=0,0,(INT(MAX(0,Inputs!$B$43-B1473)/(IF(Inputs!$B$38="pvp",15,MAX(0.1,Skills!D5-IF(Skills!E5=TRUE,Inputs!$B$32,0)))*(1-IF(AND(ArtifactsInput!$M$27,Inputs!$B$4="Chapter Hunt"),CHOOSE(ArtifactsInput!$N$27+1,20,24,28,32,36,40),0)/100)))+1)),0)</f>
        <v/>
      </c>
      <c r="S1440">
        <f>IFERROR(O1440/N1440,0)</f>
        <v/>
      </c>
      <c r="T1440">
        <f>IF(C1440,(H1440*N1440*IF(AND(Inputs!$B$38&lt;&gt;"pvp",Inputs!$B$43&gt;0),((Skills!G5*((R1440-1)*IF(Skills!H5&gt;0,Skills!I5/Skills!H5,1)+IF(Skills!H5&gt;0,MIN(Skills!I5,MAX(0,MAX(0,Inputs!$B$43-B1473)-((R1440-1)*(IF(Inputs!$B$38="pvp",15,MAX(0.1,Skills!D5-IF(Skills!E5=TRUE,Inputs!$B$32,0)))*(1-IF(AND(ArtifactsInput!$M$27,Inputs!$B$4="Chapter Hunt"),CHOOSE(ArtifactsInput!$N$27+1,20,24,28,32,36,40),0)/100)))))/Skills!H5,1)))/Inputs!$B$43),G1440*Q1440)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1440*(1-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1440*(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1440*(1-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1440*(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0">
        <f>IF(C1440,(H1440*N1440*IF(AND(Inputs!$B$38&lt;&gt;"pvp",Inputs!$B$43&gt;0),((Skills!G5*((R1440-1)*IF(Skills!H5&gt;0,Skills!I5/Skills!H5,1)+IF(Skills!H5&gt;0,MIN(Skills!I5,MAX(0,MAX(0,Inputs!$B$43-B1473)-((R1440-1)*(IF(Inputs!$B$38="pvp",15,MAX(0.1,Skills!D5-IF(Skills!E5=TRUE,Inputs!$B$32,0)))*(1-IF(AND(ArtifactsInput!$M$27,Inputs!$B$4="Chapter Hunt"),CHOOSE(ArtifactsInput!$N$27+1,20,24,28,32,36,40),0)/100)))))/Skills!H5,1)))/Inputs!$B$43),G1440*Q1440))*IF(Inputs!$B$38="pvp",1,(1+(Inputs!$B$21+Skills!Q5+(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1">
      <c r="A1441">
        <f>Skills!A6</f>
        <v/>
      </c>
      <c r="B1441">
        <f>Skills!B6</f>
        <v/>
      </c>
      <c r="C1441">
        <f>Inputs!$B$3&gt;=63</f>
        <v/>
      </c>
      <c r="D1441">
        <f>IF(Skills!C6=1,60+Inputs!$B$25+Inputs!$B$29,IF(Skills!C6=2,90+Inputs!$B$26+Inputs!$B$29,IF(Skills!C6=3,120+Inputs!$B$27+Inputs!$B$29,MAX(0,(Inputs!$B$3-100)*3)+Inputs!$B$28+Inputs!$B$29)))</f>
        <v/>
      </c>
      <c r="E1441">
        <f>INDEX(FactorTable!$B$2:$Y$301, MATCH(ROUND(MIN(300,MAX(1,D1441)),0), FactorTable!$A$2:$A$301,0), Skills!M6+1)</f>
        <v/>
      </c>
      <c r="F1441">
        <f>IF(Skills!N6=TRUE,(Skills!L6/10)*(E1441/1000),Skills!L6/10)+Skills!O6</f>
        <v/>
      </c>
      <c r="G1441">
        <f>Skills!G6*IF(Skills!H6&gt;0,Skills!I6/Skills!H6,1)</f>
        <v/>
      </c>
      <c r="H1441">
        <f>1-(1-Skills!J6/100)^Skills!K6</f>
        <v/>
      </c>
      <c r="I1441" t="inlineStr">
        <is>
          <t>1</t>
        </is>
      </c>
      <c r="J1441">
        <f>((Inputs!$B$6*(1+Inputs!$B$7/100))+(((Inputs!$B$12*(1+Inputs!$B$13/100))-(Inputs!$B$12*(1+Inputs!$B$13/100)))+0.25*(Inputs!$B$14-Inputs!$B$14))*(1+Inputs!$B$7/100))*(F1441/100)</f>
        <v/>
      </c>
      <c r="K1441">
        <f>J1441*(1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1450=TRUE,F1450,0)/100)*(1+(IF(Skills!A6="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1441)</f>
        <v/>
      </c>
      <c r="L1441">
        <f>K1441*(MIN(Inputs!$B$22+((C1457=TRUE)*(F1457-Calc!F22)),(Inputs!$B$23+0+(IF(ArtifactsInput!$M$15,CHOOSE(ArtifactsInput!$N$15+1,25,30,35,40,45,50)/100*(Inputs!$B$11-Inputs!$B$11),0))))/100+(Inputs!$B$23+0+(IF(ArtifactsInput!$M$15,CHOOSE(ArtifactsInput!$N$15+1,25,30,35,40,45,50)/100*(Inputs!$B$11-Inputs!$B$11),0)))/100)/2</f>
        <v/>
      </c>
      <c r="M1441">
        <f>L1441*(1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1">
        <f>L1441*(1-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1">
        <f>(1-Summary!$B$11)*T1441+Summary!$B$11*V1441</f>
        <v/>
      </c>
      <c r="P1441">
        <f>IF(B1476=0,0,O1441/B1476)</f>
        <v/>
      </c>
      <c r="Q1441">
        <f>IFERROR(1/(IF(Inputs!$B$38="pvp",15,MAX(0.1,Skills!D6-IF(Skills!E6=TRUE,Inputs!$B$32,0)))*(1-IF(AND(ArtifactsInput!$M$27,Inputs!$B$4="Chapter Hunt"),CHOOSE(ArtifactsInput!$N$27+1,20,24,28,32,36,40),0)/100)),0)</f>
        <v/>
      </c>
      <c r="R1441">
        <f>IF(AND(Inputs!$B$38&lt;&gt;"pvp",Inputs!$B$43&gt;0),IF(MAX(0,Inputs!$B$43-B1473)&lt;=0,0,(INT(MAX(0,Inputs!$B$43-B1473)/(IF(Inputs!$B$38="pvp",15,MAX(0.1,Skills!D6-IF(Skills!E6=TRUE,Inputs!$B$32,0)))*(1-IF(AND(ArtifactsInput!$M$27,Inputs!$B$4="Chapter Hunt"),CHOOSE(ArtifactsInput!$N$27+1,20,24,28,32,36,40),0)/100)))+1)),0)</f>
        <v/>
      </c>
      <c r="S1441">
        <f>IFERROR(O1441/N1441,0)</f>
        <v/>
      </c>
      <c r="T1441">
        <f>IF(C1441,(H1441*N1441*IF(AND(Inputs!$B$38&lt;&gt;"pvp",Inputs!$B$43&gt;0),((Skills!G6*((R1441-1)*IF(Skills!H6&gt;0,Skills!I6/Skills!H6,1)+IF(Skills!H6&gt;0,MIN(Skills!I6,MAX(0,MAX(0,Inputs!$B$43-B1473)-((R1441-1)*(IF(Inputs!$B$38="pvp",15,MAX(0.1,Skills!D6-IF(Skills!E6=TRUE,Inputs!$B$32,0)))*(1-IF(AND(ArtifactsInput!$M$27,Inputs!$B$4="Chapter Hunt"),CHOOSE(ArtifactsInput!$N$27+1,20,24,28,32,36,40),0)/100)))))/Skills!H6,1)))/Inputs!$B$43),G1441*Q1441)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1441*(1-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1441*(1-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1">
        <f>IF(C1441,(H1441*N1441*IF(AND(Inputs!$B$38&lt;&gt;"pvp",Inputs!$B$43&gt;0),((Skills!G6*((R1441-1)*IF(Skills!H6&gt;0,Skills!I6/Skills!H6,1)+IF(Skills!H6&gt;0,MIN(Skills!I6,MAX(0,MAX(0,Inputs!$B$43-B1473)-((R1441-1)*(IF(Inputs!$B$38="pvp",15,MAX(0.1,Skills!D6-IF(Skills!E6=TRUE,Inputs!$B$32,0)))*(1-IF(AND(ArtifactsInput!$M$27,Inputs!$B$4="Chapter Hunt"),CHOOSE(ArtifactsInput!$N$27+1,20,24,28,32,36,40),0)/100)))))/Skills!H6,1)))/Inputs!$B$43),G1441*Q1441))*IF(Inputs!$B$38="pvp",1,(1+(Inputs!$B$21+Skills!Q6+(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2">
      <c r="A1442">
        <f>Skills!A7</f>
        <v/>
      </c>
      <c r="B1442">
        <f>Skills!B7</f>
        <v/>
      </c>
      <c r="C1442">
        <f>Inputs!$B$3&gt;=66</f>
        <v/>
      </c>
      <c r="D1442">
        <f>IF(Skills!C7=1,60+Inputs!$B$25+Inputs!$B$29,IF(Skills!C7=2,90+Inputs!$B$26+Inputs!$B$29,IF(Skills!C7=3,120+Inputs!$B$27+Inputs!$B$29,MAX(0,(Inputs!$B$3-100)*3)+Inputs!$B$28+Inputs!$B$29)))</f>
        <v/>
      </c>
      <c r="E1442">
        <f>INDEX(FactorTable!$B$2:$Y$301, MATCH(ROUND(MIN(300,MAX(1,D1442)),0), FactorTable!$A$2:$A$301,0), Skills!M7+1)</f>
        <v/>
      </c>
      <c r="F1442">
        <f>IF(Skills!N7=TRUE,(Skills!L7/10)*(E1442/1000),Skills!L7/10)+Skills!O7</f>
        <v/>
      </c>
      <c r="G1442">
        <f>Skills!G7*IF(Skills!H7&gt;0,Skills!I7/Skills!H7,1)</f>
        <v/>
      </c>
      <c r="H1442">
        <f>1-(1-Skills!J7/100)^Skills!K7</f>
        <v/>
      </c>
      <c r="I1442" t="inlineStr">
        <is>
          <t>1</t>
        </is>
      </c>
      <c r="J1442">
        <f>((Inputs!$B$6*(1+Inputs!$B$7/100))+(((Inputs!$B$12*(1+Inputs!$B$13/100))-(Inputs!$B$12*(1+Inputs!$B$13/100)))+0.25*(Inputs!$B$14-Inputs!$B$14))*(1+Inputs!$B$7/100))*(F1442/100)</f>
        <v/>
      </c>
      <c r="K1442">
        <f>J1442*(1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1450=TRUE,F1450,0)/100)*(1+(IF(Skills!A7="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1442)</f>
        <v/>
      </c>
      <c r="L1442">
        <f>K1442*(MIN(Inputs!$B$22+((C1457=TRUE)*(F1457-Calc!F22)),(Inputs!$B$23+0+(IF(ArtifactsInput!$M$15,CHOOSE(ArtifactsInput!$N$15+1,25,30,35,40,45,50)/100*(Inputs!$B$11-Inputs!$B$11),0))))/100+(Inputs!$B$23+0+(IF(ArtifactsInput!$M$15,CHOOSE(ArtifactsInput!$N$15+1,25,30,35,40,45,50)/100*(Inputs!$B$11-Inputs!$B$11),0)))/100)/2</f>
        <v/>
      </c>
      <c r="M1442">
        <f>L1442*(1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2">
        <f>L1442*(1-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1442*(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2">
        <f>(1-Summary!$B$11)*T1442+Summary!$B$11*V1442</f>
        <v/>
      </c>
      <c r="P1442">
        <f>IF(B1476=0,0,O1442/B1476)</f>
        <v/>
      </c>
      <c r="Q1442">
        <f>IFERROR(1/(IF(Inputs!$B$38="pvp",15,MAX(0.1,Skills!D7-IF(Skills!E7=TRUE,Inputs!$B$32,0)))*(1-IF(AND(ArtifactsInput!$M$27,Inputs!$B$4="Chapter Hunt"),CHOOSE(ArtifactsInput!$N$27+1,20,24,28,32,36,40),0)/100)),0)</f>
        <v/>
      </c>
      <c r="R1442">
        <f>IF(AND(Inputs!$B$38&lt;&gt;"pvp",Inputs!$B$43&gt;0),IF(MAX(0,Inputs!$B$43-B1473)&lt;=0,0,(INT(MAX(0,Inputs!$B$43-B1473)/(IF(Inputs!$B$38="pvp",15,MAX(0.1,Skills!D7-IF(Skills!E7=TRUE,Inputs!$B$32,0)))*(1-IF(AND(ArtifactsInput!$M$27,Inputs!$B$4="Chapter Hunt"),CHOOSE(ArtifactsInput!$N$27+1,20,24,28,32,36,40),0)/100)))+1)),0)</f>
        <v/>
      </c>
      <c r="S1442">
        <f>IFERROR(O1442/N1442,0)</f>
        <v/>
      </c>
      <c r="T1442">
        <f>IF(C1442,(H1442*N1442*IF(AND(Inputs!$B$38&lt;&gt;"pvp",Inputs!$B$43&gt;0),((Skills!G7*((R1442-1)*IF(Skills!H7&gt;0,Skills!I7/Skills!H7,1)+IF(Skills!H7&gt;0,MIN(Skills!I7,MAX(0,MAX(0,Inputs!$B$43-B1473)-((R1442-1)*(IF(Inputs!$B$38="pvp",15,MAX(0.1,Skills!D7-IF(Skills!E7=TRUE,Inputs!$B$32,0)))*(1-IF(AND(ArtifactsInput!$M$27,Inputs!$B$4="Chapter Hunt"),CHOOSE(ArtifactsInput!$N$27+1,20,24,28,32,36,40),0)/100)))))/Skills!H7,1)))/Inputs!$B$43),G1442*Q1442)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1442*(1-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1442*(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1442*(1-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1442*(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2">
        <f>IF(C1442,(H1442*N1442*IF(AND(Inputs!$B$38&lt;&gt;"pvp",Inputs!$B$43&gt;0),((Skills!G7*((R1442-1)*IF(Skills!H7&gt;0,Skills!I7/Skills!H7,1)+IF(Skills!H7&gt;0,MIN(Skills!I7,MAX(0,MAX(0,Inputs!$B$43-B1473)-((R1442-1)*(IF(Inputs!$B$38="pvp",15,MAX(0.1,Skills!D7-IF(Skills!E7=TRUE,Inputs!$B$32,0)))*(1-IF(AND(ArtifactsInput!$M$27,Inputs!$B$4="Chapter Hunt"),CHOOSE(ArtifactsInput!$N$27+1,20,24,28,32,36,40),0)/100)))))/Skills!H7,1)))/Inputs!$B$43),G1442*Q1442))*IF(Inputs!$B$38="pvp",1,(1+(Inputs!$B$21+Skills!Q7+(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3">
      <c r="A1443">
        <f>Skills!A8</f>
        <v/>
      </c>
      <c r="B1443">
        <f>Skills!B8</f>
        <v/>
      </c>
      <c r="C1443">
        <f>Inputs!$B$3&gt;=100</f>
        <v/>
      </c>
      <c r="D1443">
        <f>IF(Skills!C8=1,60+Inputs!$B$25+Inputs!$B$29,IF(Skills!C8=2,90+Inputs!$B$26+Inputs!$B$29,IF(Skills!C8=3,120+Inputs!$B$27+Inputs!$B$29,MAX(0,(Inputs!$B$3-100)*3)+Inputs!$B$28+Inputs!$B$29)))</f>
        <v/>
      </c>
      <c r="E1443">
        <f>INDEX(FactorTable!$B$2:$Y$301, MATCH(ROUND(MIN(300,MAX(1,D1443)),0), FactorTable!$A$2:$A$301,0), Skills!M8+1)</f>
        <v/>
      </c>
      <c r="F1443">
        <f>IF(Skills!N8=TRUE,(Skills!L8/10)*(E1443/1000),Skills!L8/10)+Skills!O8</f>
        <v/>
      </c>
      <c r="G1443">
        <f>Skills!G8*IF(Skills!H8&gt;0,Skills!I8/Skills!H8,1)</f>
        <v/>
      </c>
      <c r="H1443">
        <f>1-(1-Skills!J8/100)^Skills!K8</f>
        <v/>
      </c>
      <c r="I1443" t="inlineStr">
        <is>
          <t>1</t>
        </is>
      </c>
      <c r="J1443">
        <f>((Inputs!$B$6*(1+Inputs!$B$7/100))+(((Inputs!$B$12*(1+Inputs!$B$13/100))-(Inputs!$B$12*(1+Inputs!$B$13/100)))+0.25*(Inputs!$B$14-Inputs!$B$14))*(1+Inputs!$B$7/100))*(F1443/100)</f>
        <v/>
      </c>
      <c r="K1443">
        <f>J1443*(1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1443)</f>
        <v/>
      </c>
      <c r="L1443">
        <f>K1443*(MIN(Inputs!$B$22+((C1457=TRUE)*(F1457-Calc!F22)),(Inputs!$B$23+0+(IF(ArtifactsInput!$M$15,CHOOSE(ArtifactsInput!$N$15+1,25,30,35,40,45,50)/100*(Inputs!$B$11-Inputs!$B$11),0))))/100+(Inputs!$B$23+0+(IF(ArtifactsInput!$M$15,CHOOSE(ArtifactsInput!$N$15+1,25,30,35,40,45,50)/100*(Inputs!$B$11-Inputs!$B$11),0)))/100)/2</f>
        <v/>
      </c>
      <c r="M1443">
        <f>L1443*(1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3">
        <f>L1443*(1-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1443*(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3">
        <f>(1-Summary!$B$11)*T1443+Summary!$B$11*V1443</f>
        <v/>
      </c>
      <c r="P1443">
        <f>IF(B1476=0,0,O1443/B1476)</f>
        <v/>
      </c>
      <c r="Q1443">
        <f>IFERROR(1/(IF(Inputs!$B$38="pvp",15,MAX(0.1,Skills!D8-IF(Skills!E8=TRUE,Inputs!$B$32,0)))*(1-IF(AND(ArtifactsInput!$M$27,Inputs!$B$4="Chapter Hunt"),CHOOSE(ArtifactsInput!$N$27+1,20,24,28,32,36,40),0)/100)),0)</f>
        <v/>
      </c>
      <c r="R1443">
        <f>IF(AND(Inputs!$B$38&lt;&gt;"pvp",Inputs!$B$43&gt;0),IF(MAX(0,Inputs!$B$43-B1473)&lt;=0,0,(INT(MAX(0,Inputs!$B$43-B1473)/(IF(Inputs!$B$38="pvp",15,MAX(0.1,Skills!D8-IF(Skills!E8=TRUE,Inputs!$B$32,0)))*(1-IF(AND(ArtifactsInput!$M$27,Inputs!$B$4="Chapter Hunt"),CHOOSE(ArtifactsInput!$N$27+1,20,24,28,32,36,40),0)/100)))+1)),0)</f>
        <v/>
      </c>
      <c r="S1443">
        <f>IFERROR(O1443/N1443,0)</f>
        <v/>
      </c>
      <c r="T1443">
        <f>IF(C1443,(H1443*N1443*IF(AND(Inputs!$B$38&lt;&gt;"pvp",Inputs!$B$43&gt;0),((Skills!G8*((R1443-1)*IF(Skills!H8&gt;0,Skills!I8/Skills!H8,1)+IF(Skills!H8&gt;0,MIN(Skills!I8,MAX(0,MAX(0,Inputs!$B$43-B1473)-((R1443-1)*(IF(Inputs!$B$38="pvp",15,MAX(0.1,Skills!D8-IF(Skills!E8=TRUE,Inputs!$B$32,0)))*(1-IF(AND(ArtifactsInput!$M$27,Inputs!$B$4="Chapter Hunt"),CHOOSE(ArtifactsInput!$N$27+1,20,24,28,32,36,40),0)/100)))))/Skills!H8,1)))/Inputs!$B$43),G1443*Q1443)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1443*(1-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1443*(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1443*(1-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1443*(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3">
        <f>IF(C1443,(H1443*N1443*IF(AND(Inputs!$B$38&lt;&gt;"pvp",Inputs!$B$43&gt;0),((Skills!G8*((R1443-1)*IF(Skills!H8&gt;0,Skills!I8/Skills!H8,1)+IF(Skills!H8&gt;0,MIN(Skills!I8,MAX(0,MAX(0,Inputs!$B$43-B1473)-((R1443-1)*(IF(Inputs!$B$38="pvp",15,MAX(0.1,Skills!D8-IF(Skills!E8=TRUE,Inputs!$B$32,0)))*(1-IF(AND(ArtifactsInput!$M$27,Inputs!$B$4="Chapter Hunt"),CHOOSE(ArtifactsInput!$N$27+1,20,24,28,32,36,40),0)/100)))))/Skills!H8,1)))/Inputs!$B$43),G1443*Q1443))*IF(Inputs!$B$38="pvp",1,(1+(Inputs!$B$21+Skills!Q8+(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4">
      <c r="A1444">
        <f>Skills!A9</f>
        <v/>
      </c>
      <c r="B1444">
        <f>Skills!B9</f>
        <v/>
      </c>
      <c r="C1444">
        <f>Inputs!$B$3&gt;=103</f>
        <v/>
      </c>
      <c r="D1444">
        <f>IF(Skills!C9=1,60+Inputs!$B$25+Inputs!$B$29,IF(Skills!C9=2,90+Inputs!$B$26+Inputs!$B$29,IF(Skills!C9=3,120+Inputs!$B$27+Inputs!$B$29,MAX(0,(Inputs!$B$3-100)*3)+Inputs!$B$28+Inputs!$B$29)))</f>
        <v/>
      </c>
      <c r="E1444">
        <f>INDEX(FactorTable!$B$2:$Y$301, MATCH(ROUND(MIN(300,MAX(1,D1444)),0), FactorTable!$A$2:$A$301,0), Skills!M9+1)</f>
        <v/>
      </c>
      <c r="F1444">
        <f>IF(Skills!N9=TRUE,(Skills!L9/10)*(E1444/1000),Skills!L9/10)+Skills!O9</f>
        <v/>
      </c>
      <c r="G1444">
        <f>Skills!G9*IF(Skills!H9&gt;0,Skills!I9/Skills!H9,1)</f>
        <v/>
      </c>
      <c r="H1444">
        <f>1-(1-Skills!J9/100)^Skills!K9</f>
        <v/>
      </c>
      <c r="I1444" t="inlineStr">
        <is>
          <t>1</t>
        </is>
      </c>
      <c r="J1444">
        <f>((Inputs!$B$6*(1+Inputs!$B$7/100))+(((Inputs!$B$12*(1+Inputs!$B$13/100))-(Inputs!$B$12*(1+Inputs!$B$13/100)))+0.25*(Inputs!$B$14-Inputs!$B$14))*(1+Inputs!$B$7/100))*(F1444/100)</f>
        <v/>
      </c>
      <c r="K1444">
        <f>J1444*(1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1444)</f>
        <v/>
      </c>
      <c r="L1444">
        <f>K1444*(MIN(Inputs!$B$22+((C1457=TRUE)*(F1457-Calc!F22)),(Inputs!$B$23+0+(IF(ArtifactsInput!$M$15,CHOOSE(ArtifactsInput!$N$15+1,25,30,35,40,45,50)/100*(Inputs!$B$11-Inputs!$B$11),0))))/100+(Inputs!$B$23+0+(IF(ArtifactsInput!$M$15,CHOOSE(ArtifactsInput!$N$15+1,25,30,35,40,45,50)/100*(Inputs!$B$11-Inputs!$B$11),0)))/100)/2</f>
        <v/>
      </c>
      <c r="M1444">
        <f>L1444*(1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4">
        <f>L1444*(1-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1444*(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4">
        <f>(1-Summary!$B$11)*T1444+Summary!$B$11*V1444</f>
        <v/>
      </c>
      <c r="P1444">
        <f>IF(B1476=0,0,O1444/B1476)</f>
        <v/>
      </c>
      <c r="Q1444">
        <f>IFERROR(1/(IF(Inputs!$B$38="pvp",15,MAX(0.1,Skills!D9-IF(Skills!E9=TRUE,Inputs!$B$32,0)))*(1-IF(AND(ArtifactsInput!$M$27,Inputs!$B$4="Chapter Hunt"),CHOOSE(ArtifactsInput!$N$27+1,20,24,28,32,36,40),0)/100)),0)</f>
        <v/>
      </c>
      <c r="R1444">
        <f>IF(AND(Inputs!$B$38&lt;&gt;"pvp",Inputs!$B$43&gt;0),IF(MAX(0,Inputs!$B$43-B1473)&lt;=0,0,(INT(MAX(0,Inputs!$B$43-B1473)/(IF(Inputs!$B$38="pvp",15,MAX(0.1,Skills!D9-IF(Skills!E9=TRUE,Inputs!$B$32,0)))*(1-IF(AND(ArtifactsInput!$M$27,Inputs!$B$4="Chapter Hunt"),CHOOSE(ArtifactsInput!$N$27+1,20,24,28,32,36,40),0)/100)))+1)),0)</f>
        <v/>
      </c>
      <c r="S1444">
        <f>IFERROR(O1444/N1444,0)</f>
        <v/>
      </c>
      <c r="T1444">
        <f>IF(C1444,(H1444*N1444*IF(AND(Inputs!$B$38&lt;&gt;"pvp",Inputs!$B$43&gt;0),((Skills!G9*((R1444-1)*IF(Skills!H9&gt;0,Skills!I9/Skills!H9,1)+IF(Skills!H9&gt;0,MIN(Skills!I9,MAX(0,MAX(0,Inputs!$B$43-B1473)-((R1444-1)*(IF(Inputs!$B$38="pvp",15,MAX(0.1,Skills!D9-IF(Skills!E9=TRUE,Inputs!$B$32,0)))*(1-IF(AND(ArtifactsInput!$M$27,Inputs!$B$4="Chapter Hunt"),CHOOSE(ArtifactsInput!$N$27+1,20,24,28,32,36,40),0)/100)))))/Skills!H9,1)))/Inputs!$B$43),G1444*Q1444)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1444*(1-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1444*(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1444*(1-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1444*(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4">
        <f>IF(C1444,(H1444*N1444*IF(AND(Inputs!$B$38&lt;&gt;"pvp",Inputs!$B$43&gt;0),((Skills!G9*((R1444-1)*IF(Skills!H9&gt;0,Skills!I9/Skills!H9,1)+IF(Skills!H9&gt;0,MIN(Skills!I9,MAX(0,MAX(0,Inputs!$B$43-B1473)-((R1444-1)*(IF(Inputs!$B$38="pvp",15,MAX(0.1,Skills!D9-IF(Skills!E9=TRUE,Inputs!$B$32,0)))*(1-IF(AND(ArtifactsInput!$M$27,Inputs!$B$4="Chapter Hunt"),CHOOSE(ArtifactsInput!$N$27+1,20,24,28,32,36,40),0)/100)))))/Skills!H9,1)))/Inputs!$B$43),G1444*Q1444))*IF(Inputs!$B$38="pvp",1,(1+(Inputs!$B$21+Skills!Q9+(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5">
      <c r="A1445">
        <f>Skills!A10</f>
        <v/>
      </c>
      <c r="B1445">
        <f>Skills!B10</f>
        <v/>
      </c>
      <c r="C1445">
        <f>Inputs!$B$3&gt;=113</f>
        <v/>
      </c>
      <c r="D1445">
        <f>IF(Skills!C10=1,60+Inputs!$B$25+Inputs!$B$29,IF(Skills!C10=2,90+Inputs!$B$26+Inputs!$B$29,IF(Skills!C10=3,120+Inputs!$B$27+Inputs!$B$29,MAX(0,(Inputs!$B$3-100)*3)+Inputs!$B$28+Inputs!$B$29)))</f>
        <v/>
      </c>
      <c r="E1445">
        <f>INDEX(FactorTable!$B$2:$Y$301, MATCH(ROUND(MIN(300,MAX(1,D1445)),0), FactorTable!$A$2:$A$301,0), Skills!M10+1)</f>
        <v/>
      </c>
      <c r="F1445">
        <f>IF(Skills!N10=TRUE,(Skills!L10/10)*(E1445/1000),Skills!L10/10)+Skills!O10</f>
        <v/>
      </c>
      <c r="G1445">
        <f>Skills!G10*IF(Skills!H10&gt;0,Skills!I10/Skills!H10,1)</f>
        <v/>
      </c>
      <c r="H1445">
        <f>1-(1-Skills!J10/100)^Skills!K10</f>
        <v/>
      </c>
      <c r="I1445" t="inlineStr">
        <is>
          <t>1</t>
        </is>
      </c>
      <c r="J1445">
        <f>((Inputs!$B$6*(1+Inputs!$B$7/100))+(((Inputs!$B$12*(1+Inputs!$B$13/100))-(Inputs!$B$12*(1+Inputs!$B$13/100)))+0.25*(Inputs!$B$14-Inputs!$B$14))*(1+Inputs!$B$7/100))*(F1445/100)</f>
        <v/>
      </c>
      <c r="K1445">
        <f>J1445*(1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1445)</f>
        <v/>
      </c>
      <c r="L1445">
        <f>K1445*(MIN(Inputs!$B$22+((C1457=TRUE)*(F1457-Calc!F22)),(Inputs!$B$23+0+(IF(ArtifactsInput!$M$15,CHOOSE(ArtifactsInput!$N$15+1,25,30,35,40,45,50)/100*(Inputs!$B$11-Inputs!$B$11),0))))/100+(Inputs!$B$23+0+(IF(ArtifactsInput!$M$15,CHOOSE(ArtifactsInput!$N$15+1,25,30,35,40,45,50)/100*(Inputs!$B$11-Inputs!$B$11),0)))/100)/2</f>
        <v/>
      </c>
      <c r="M1445">
        <f>L1445*(1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5">
        <f>L1445*(1-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1445*(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5">
        <f>(1-Summary!$B$11)*T1445+Summary!$B$11*V1445</f>
        <v/>
      </c>
      <c r="P1445">
        <f>IF(B1476=0,0,O1445/B1476)</f>
        <v/>
      </c>
      <c r="Q1445">
        <f>IFERROR(1/(IF(Inputs!$B$38="pvp",15,MAX(0.1,Skills!D10-IF(Skills!E10=TRUE,Inputs!$B$32,0)))*(1-IF(AND(ArtifactsInput!$M$27,Inputs!$B$4="Chapter Hunt"),CHOOSE(ArtifactsInput!$N$27+1,20,24,28,32,36,40),0)/100)),0)</f>
        <v/>
      </c>
      <c r="R1445">
        <f>IF(AND(Inputs!$B$38&lt;&gt;"pvp",Inputs!$B$43&gt;0),IF(MAX(0,Inputs!$B$43-B1473)&lt;=0,0,(INT(MAX(0,Inputs!$B$43-B1473)/(IF(Inputs!$B$38="pvp",15,MAX(0.1,Skills!D10-IF(Skills!E10=TRUE,Inputs!$B$32,0)))*(1-IF(AND(ArtifactsInput!$M$27,Inputs!$B$4="Chapter Hunt"),CHOOSE(ArtifactsInput!$N$27+1,20,24,28,32,36,40),0)/100)))+1)),0)</f>
        <v/>
      </c>
      <c r="S1445">
        <f>IFERROR(O1445/N1445,0)</f>
        <v/>
      </c>
      <c r="T1445">
        <f>IF(C1445,(H1445*N1445*IF(AND(Inputs!$B$38&lt;&gt;"pvp",Inputs!$B$43&gt;0),((Skills!G10*((R1445-1)*IF(Skills!H10&gt;0,Skills!I10/Skills!H10,1)+IF(Skills!H10&gt;0,MIN(Skills!I10,MAX(0,MAX(0,Inputs!$B$43-B1473)-((R1445-1)*(IF(Inputs!$B$38="pvp",15,MAX(0.1,Skills!D10-IF(Skills!E10=TRUE,Inputs!$B$32,0)))*(1-IF(AND(ArtifactsInput!$M$27,Inputs!$B$4="Chapter Hunt"),CHOOSE(ArtifactsInput!$N$27+1,20,24,28,32,36,40),0)/100)))))/Skills!H10,1)))/Inputs!$B$43),G1445*Q1445)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1445*(1-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1445*(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1445*(1-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1445*(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5">
        <f>IF(C1445,(H1445*N1445*IF(AND(Inputs!$B$38&lt;&gt;"pvp",Inputs!$B$43&gt;0),((Skills!G10*((R1445-1)*IF(Skills!H10&gt;0,Skills!I10/Skills!H10,1)+IF(Skills!H10&gt;0,MIN(Skills!I10,MAX(0,MAX(0,Inputs!$B$43-B1473)-((R1445-1)*(IF(Inputs!$B$38="pvp",15,MAX(0.1,Skills!D10-IF(Skills!E10=TRUE,Inputs!$B$32,0)))*(1-IF(AND(ArtifactsInput!$M$27,Inputs!$B$4="Chapter Hunt"),CHOOSE(ArtifactsInput!$N$27+1,20,24,28,32,36,40),0)/100)))))/Skills!H10,1)))/Inputs!$B$43),G1445*Q1445))*IF(Inputs!$B$38="pvp",1,(1+(Inputs!$B$21+Skills!Q10+(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6">
      <c r="A1446">
        <f>Skills!A11</f>
        <v/>
      </c>
      <c r="B1446">
        <f>Skills!B11</f>
        <v/>
      </c>
      <c r="C1446">
        <f>Inputs!$B$3&gt;=107</f>
        <v/>
      </c>
      <c r="D1446">
        <f>IF(Skills!C11=1,60+Inputs!$B$25+Inputs!$B$29,IF(Skills!C11=2,90+Inputs!$B$26+Inputs!$B$29,IF(Skills!C11=3,120+Inputs!$B$27+Inputs!$B$29,MAX(0,(Inputs!$B$3-100)*3)+Inputs!$B$28+Inputs!$B$29)))</f>
        <v/>
      </c>
      <c r="E1446">
        <f>INDEX(FactorTable!$B$2:$Y$301, MATCH(ROUND(MIN(300,MAX(1,D1446)),0), FactorTable!$A$2:$A$301,0), Skills!M11+1)</f>
        <v/>
      </c>
      <c r="F1446">
        <f>IF(Skills!N11=TRUE,(Skills!L11/10)*(E1446/1000),Skills!L11/10)+Skills!O11</f>
        <v/>
      </c>
      <c r="G1446">
        <f>Skills!G11*IF(Skills!H11&gt;0,Skills!I11/Skills!H11,1)</f>
        <v/>
      </c>
      <c r="H1446">
        <f>1-(1-Skills!J11/100)^Skills!K11</f>
        <v/>
      </c>
      <c r="I1446" t="inlineStr">
        <is>
          <t>1</t>
        </is>
      </c>
      <c r="J1446">
        <f>((Inputs!$B$6*(1+Inputs!$B$7/100))+(((Inputs!$B$12*(1+Inputs!$B$13/100))-(Inputs!$B$12*(1+Inputs!$B$13/100)))+0.25*(Inputs!$B$14-Inputs!$B$14))*(1+Inputs!$B$7/100))*(F1446/100)</f>
        <v/>
      </c>
      <c r="K1446">
        <f>J1446*(1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1446)</f>
        <v/>
      </c>
      <c r="L1446">
        <f>K1446*(MIN(Inputs!$B$22+((C1457=TRUE)*(F1457-Calc!F22)),(Inputs!$B$23+0+(IF(ArtifactsInput!$M$15,CHOOSE(ArtifactsInput!$N$15+1,25,30,35,40,45,50)/100*(Inputs!$B$11-Inputs!$B$11),0))))/100+(Inputs!$B$23+0+(IF(ArtifactsInput!$M$15,CHOOSE(ArtifactsInput!$N$15+1,25,30,35,40,45,50)/100*(Inputs!$B$11-Inputs!$B$11),0)))/100)/2</f>
        <v/>
      </c>
      <c r="M1446">
        <f>L1446*(1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6">
        <f>L1446*(1-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1446*(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6">
        <f>(1-Summary!$B$11)*T1446+Summary!$B$11*V1446</f>
        <v/>
      </c>
      <c r="P1446">
        <f>IF(B1476=0,0,O1446/B1476)</f>
        <v/>
      </c>
      <c r="Q1446">
        <f>IFERROR(1/(IF(Inputs!$B$38="pvp",15,MAX(0.1,Skills!D11-IF(Skills!E11=TRUE,Inputs!$B$32,0)))*(1-IF(AND(ArtifactsInput!$M$27,Inputs!$B$4="Chapter Hunt"),CHOOSE(ArtifactsInput!$N$27+1,20,24,28,32,36,40),0)/100)),0)</f>
        <v/>
      </c>
      <c r="R1446">
        <f>IF(AND(Inputs!$B$38&lt;&gt;"pvp",Inputs!$B$43&gt;0),IF(MAX(0,Inputs!$B$43-B1473)&lt;=0,0,(INT(MAX(0,Inputs!$B$43-B1473)/(IF(Inputs!$B$38="pvp",15,MAX(0.1,Skills!D11-IF(Skills!E11=TRUE,Inputs!$B$32,0)))*(1-IF(AND(ArtifactsInput!$M$27,Inputs!$B$4="Chapter Hunt"),CHOOSE(ArtifactsInput!$N$27+1,20,24,28,32,36,40),0)/100)))+1)),0)</f>
        <v/>
      </c>
      <c r="S1446">
        <f>IFERROR(O1446/N1446,0)</f>
        <v/>
      </c>
      <c r="T1446">
        <f>IF(C1446,(H1446*N1446*IF(AND(Inputs!$B$38&lt;&gt;"pvp",Inputs!$B$43&gt;0),((Skills!G11*((R1446-1)*IF(Skills!H11&gt;0,Skills!I11/Skills!H11,1)+IF(Skills!H11&gt;0,MIN(Skills!I11,MAX(0,MAX(0,Inputs!$B$43-B1473)-((R1446-1)*(IF(Inputs!$B$38="pvp",15,MAX(0.1,Skills!D11-IF(Skills!E11=TRUE,Inputs!$B$32,0)))*(1-IF(AND(ArtifactsInput!$M$27,Inputs!$B$4="Chapter Hunt"),CHOOSE(ArtifactsInput!$N$27+1,20,24,28,32,36,40),0)/100)))))/Skills!H11,1)))/Inputs!$B$43),G1446*Q1446)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1446*(1-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1446*(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1446*(1-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1446*(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6">
        <f>IF(C1446,(H1446*N1446*IF(AND(Inputs!$B$38&lt;&gt;"pvp",Inputs!$B$43&gt;0),((Skills!G11*((R1446-1)*IF(Skills!H11&gt;0,Skills!I11/Skills!H11,1)+IF(Skills!H11&gt;0,MIN(Skills!I11,MAX(0,MAX(0,Inputs!$B$43-B1473)-((R1446-1)*(IF(Inputs!$B$38="pvp",15,MAX(0.1,Skills!D11-IF(Skills!E11=TRUE,Inputs!$B$32,0)))*(1-IF(AND(ArtifactsInput!$M$27,Inputs!$B$4="Chapter Hunt"),CHOOSE(ArtifactsInput!$N$27+1,20,24,28,32,36,40),0)/100)))))/Skills!H11,1)))/Inputs!$B$43),G1446*Q1446))*IF(Inputs!$B$38="pvp",1,(1+(Inputs!$B$21+Skills!Q11+(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7">
      <c r="A1447">
        <f>Skills!A12</f>
        <v/>
      </c>
      <c r="B1447">
        <f>Skills!B12</f>
        <v/>
      </c>
      <c r="C1447">
        <f>Inputs!$B$3&gt;=110</f>
        <v/>
      </c>
      <c r="D1447">
        <f>IF(Skills!C12=1,60+Inputs!$B$25+Inputs!$B$29,IF(Skills!C12=2,90+Inputs!$B$26+Inputs!$B$29,IF(Skills!C12=3,120+Inputs!$B$27+Inputs!$B$29,MAX(0,(Inputs!$B$3-100)*3)+Inputs!$B$28+Inputs!$B$29)))</f>
        <v/>
      </c>
      <c r="E1447">
        <f>INDEX(FactorTable!$B$2:$Y$301, MATCH(ROUND(MIN(300,MAX(1,D1447)),0), FactorTable!$A$2:$A$301,0), Skills!M12+1)</f>
        <v/>
      </c>
      <c r="F1447">
        <f>IF(Skills!N12=TRUE,(Skills!L12/10)*(E1447/1000),Skills!L12/10)+Skills!O12</f>
        <v/>
      </c>
      <c r="G1447">
        <f>Skills!G12*IF(Skills!H12&gt;0,Skills!I12/Skills!H12,1)</f>
        <v/>
      </c>
      <c r="H1447">
        <f>1-(1-Skills!J12/100)^Skills!K12</f>
        <v/>
      </c>
      <c r="I1447" t="inlineStr">
        <is>
          <t>1</t>
        </is>
      </c>
      <c r="J1447">
        <f>((Inputs!$B$6*(1+Inputs!$B$7/100))+(((Inputs!$B$12*(1+Inputs!$B$13/100))-(Inputs!$B$12*(1+Inputs!$B$13/100)))+0.25*(Inputs!$B$14-Inputs!$B$14))*(1+Inputs!$B$7/100))*(F1447/100)</f>
        <v/>
      </c>
      <c r="K1447">
        <f>J1447*(1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1447)</f>
        <v/>
      </c>
      <c r="L1447">
        <f>K1447*(MIN(Inputs!$B$22+((C1457=TRUE)*(F1457-Calc!F22)),(Inputs!$B$23+0+(IF(ArtifactsInput!$M$15,CHOOSE(ArtifactsInput!$N$15+1,25,30,35,40,45,50)/100*(Inputs!$B$11-Inputs!$B$11),0))))/100+(Inputs!$B$23+0+(IF(ArtifactsInput!$M$15,CHOOSE(ArtifactsInput!$N$15+1,25,30,35,40,45,50)/100*(Inputs!$B$11-Inputs!$B$11),0)))/100)/2</f>
        <v/>
      </c>
      <c r="M1447">
        <f>L1447*(1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7">
        <f>L1447*(1-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1447*(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7">
        <f>(1-Summary!$B$11)*T1447+Summary!$B$11*V1447</f>
        <v/>
      </c>
      <c r="P1447">
        <f>IF(B1476=0,0,O1447/B1476)</f>
        <v/>
      </c>
      <c r="Q1447">
        <f>IFERROR(1/(IF(Inputs!$B$38="pvp",15,MAX(0.1,Skills!D12-IF(Skills!E12=TRUE,Inputs!$B$32,0)))*(1-IF(AND(ArtifactsInput!$M$27,Inputs!$B$4="Chapter Hunt"),CHOOSE(ArtifactsInput!$N$27+1,20,24,28,32,36,40),0)/100)),0)</f>
        <v/>
      </c>
      <c r="R1447">
        <f>IF(AND(Inputs!$B$38&lt;&gt;"pvp",Inputs!$B$43&gt;0),IF(MAX(0,Inputs!$B$43-B1473)&lt;=0,0,(INT(MAX(0,Inputs!$B$43-B1473)/(IF(Inputs!$B$38="pvp",15,MAX(0.1,Skills!D12-IF(Skills!E12=TRUE,Inputs!$B$32,0)))*(1-IF(AND(ArtifactsInput!$M$27,Inputs!$B$4="Chapter Hunt"),CHOOSE(ArtifactsInput!$N$27+1,20,24,28,32,36,40),0)/100)))+1)),0)</f>
        <v/>
      </c>
      <c r="S1447">
        <f>IFERROR(O1447/N1447,0)</f>
        <v/>
      </c>
      <c r="T1447">
        <f>IF(C1447,(H1447*N1447*IF(AND(Inputs!$B$38&lt;&gt;"pvp",Inputs!$B$43&gt;0),((Skills!G12*((R1447-1)*IF(Skills!H12&gt;0,Skills!I12/Skills!H12,1)+IF(Skills!H12&gt;0,MIN(Skills!I12,MAX(0,MAX(0,Inputs!$B$43-B1473)-((R1447-1)*(IF(Inputs!$B$38="pvp",15,MAX(0.1,Skills!D12-IF(Skills!E12=TRUE,Inputs!$B$32,0)))*(1-IF(AND(ArtifactsInput!$M$27,Inputs!$B$4="Chapter Hunt"),CHOOSE(ArtifactsInput!$N$27+1,20,24,28,32,36,40),0)/100)))))/Skills!H12,1)))/Inputs!$B$43),G1447*Q1447)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1447*(1-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1447*(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1447*(1-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1447*(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7">
        <f>IF(C1447,(H1447*N1447*IF(AND(Inputs!$B$38&lt;&gt;"pvp",Inputs!$B$43&gt;0),((Skills!G12*((R1447-1)*IF(Skills!H12&gt;0,Skills!I12/Skills!H12,1)+IF(Skills!H12&gt;0,MIN(Skills!I12,MAX(0,MAX(0,Inputs!$B$43-B1473)-((R1447-1)*(IF(Inputs!$B$38="pvp",15,MAX(0.1,Skills!D12-IF(Skills!E12=TRUE,Inputs!$B$32,0)))*(1-IF(AND(ArtifactsInput!$M$27,Inputs!$B$4="Chapter Hunt"),CHOOSE(ArtifactsInput!$N$27+1,20,24,28,32,36,40),0)/100)))))/Skills!H12,1)))/Inputs!$B$43),G1447*Q1447))*IF(Inputs!$B$38="pvp",1,(1+(Inputs!$B$21+Skills!Q12+(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8">
      <c r="A1448">
        <f>Skills!A13</f>
        <v/>
      </c>
      <c r="B1448">
        <f>Skills!B13</f>
        <v/>
      </c>
      <c r="C1448">
        <f>Inputs!$B$3&gt;=110</f>
        <v/>
      </c>
      <c r="D1448">
        <f>IF(Skills!C13=1,60+Inputs!$B$25+Inputs!$B$29,IF(Skills!C13=2,90+Inputs!$B$26+Inputs!$B$29,IF(Skills!C13=3,120+Inputs!$B$27+Inputs!$B$29,MAX(0,(Inputs!$B$3-100)*3)+Inputs!$B$28+Inputs!$B$29)))</f>
        <v/>
      </c>
      <c r="E1448">
        <f>INDEX(FactorTable!$B$2:$Y$301, MATCH(ROUND(MIN(300,MAX(1,D1448)),0), FactorTable!$A$2:$A$301,0), Skills!M13+1)</f>
        <v/>
      </c>
      <c r="F1448">
        <f>IF(Skills!N13=TRUE,(Skills!L13/10)*(E1448/1000),Skills!L13/10)+Skills!O13</f>
        <v/>
      </c>
      <c r="G1448">
        <f>Skills!G13*IF(Skills!H13&gt;0,Skills!I13/Skills!H13,1)</f>
        <v/>
      </c>
      <c r="H1448">
        <f>1-(1-Skills!J13/100)^Skills!K13</f>
        <v/>
      </c>
      <c r="I1448" t="inlineStr">
        <is>
          <t>1</t>
        </is>
      </c>
      <c r="J1448">
        <f>((Inputs!$B$6*(1+Inputs!$B$7/100))+(((Inputs!$B$12*(1+Inputs!$B$13/100))-(Inputs!$B$12*(1+Inputs!$B$13/100)))+0.25*(Inputs!$B$14-Inputs!$B$14))*(1+Inputs!$B$7/100))*(F1448/100)</f>
        <v/>
      </c>
      <c r="K1448">
        <f>J1448*(1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1448)</f>
        <v/>
      </c>
      <c r="L1448">
        <f>K1448*(MIN(Inputs!$B$22+((C1457=TRUE)*(F1457-Calc!F22)),(Inputs!$B$23+0+(IF(ArtifactsInput!$M$15,CHOOSE(ArtifactsInput!$N$15+1,25,30,35,40,45,50)/100*(Inputs!$B$11-Inputs!$B$11),0))))/100+(Inputs!$B$23+0+(IF(ArtifactsInput!$M$15,CHOOSE(ArtifactsInput!$N$15+1,25,30,35,40,45,50)/100*(Inputs!$B$11-Inputs!$B$11),0)))/100)/2</f>
        <v/>
      </c>
      <c r="M1448">
        <f>L1448*(1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8">
        <f>L1448*(1-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1448*(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8">
        <f>(1-Summary!$B$11)*T1448+Summary!$B$11*V1448</f>
        <v/>
      </c>
      <c r="P1448">
        <f>IF(B1476=0,0,O1448/B1476)</f>
        <v/>
      </c>
      <c r="Q1448">
        <f>IFERROR(1/(IF(Inputs!$B$38="pvp",15,MAX(0.1,Skills!D13-IF(Skills!E13=TRUE,Inputs!$B$32,0)))*(1-IF(AND(ArtifactsInput!$M$27,Inputs!$B$4="Chapter Hunt"),CHOOSE(ArtifactsInput!$N$27+1,20,24,28,32,36,40),0)/100)),0)</f>
        <v/>
      </c>
      <c r="R1448">
        <f>IF(AND(Inputs!$B$38&lt;&gt;"pvp",Inputs!$B$43&gt;0),IF(MAX(0,Inputs!$B$43-B1473)&lt;=0,0,(INT(MAX(0,Inputs!$B$43-B1473)/(IF(Inputs!$B$38="pvp",15,MAX(0.1,Skills!D13-IF(Skills!E13=TRUE,Inputs!$B$32,0)))*(1-IF(AND(ArtifactsInput!$M$27,Inputs!$B$4="Chapter Hunt"),CHOOSE(ArtifactsInput!$N$27+1,20,24,28,32,36,40),0)/100)))+1)),0)</f>
        <v/>
      </c>
      <c r="S1448">
        <f>IFERROR(O1448/N1448,0)</f>
        <v/>
      </c>
      <c r="T1448">
        <f>IF(C1448,(H1448*N1448*IF(AND(Inputs!$B$38&lt;&gt;"pvp",Inputs!$B$43&gt;0),((Skills!G13*((R1448-1)*IF(Skills!H13&gt;0,Skills!I13/Skills!H13,1)+IF(Skills!H13&gt;0,MIN(Skills!I13,MAX(0,MAX(0,Inputs!$B$43-B1473)-((R1448-1)*(IF(Inputs!$B$38="pvp",15,MAX(0.1,Skills!D13-IF(Skills!E13=TRUE,Inputs!$B$32,0)))*(1-IF(AND(ArtifactsInput!$M$27,Inputs!$B$4="Chapter Hunt"),CHOOSE(ArtifactsInput!$N$27+1,20,24,28,32,36,40),0)/100)))))/Skills!H13,1)))/Inputs!$B$43),G1448*Q1448)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1448*(1-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1448*(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1448*(1-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1448*(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8">
        <f>IF(C1448,(H1448*N1448*IF(AND(Inputs!$B$38&lt;&gt;"pvp",Inputs!$B$43&gt;0),((Skills!G13*((R1448-1)*IF(Skills!H13&gt;0,Skills!I13/Skills!H13,1)+IF(Skills!H13&gt;0,MIN(Skills!I13,MAX(0,MAX(0,Inputs!$B$43-B1473)-((R1448-1)*(IF(Inputs!$B$38="pvp",15,MAX(0.1,Skills!D13-IF(Skills!E13=TRUE,Inputs!$B$32,0)))*(1-IF(AND(ArtifactsInput!$M$27,Inputs!$B$4="Chapter Hunt"),CHOOSE(ArtifactsInput!$N$27+1,20,24,28,32,36,40),0)/100)))))/Skills!H13,1)))/Inputs!$B$43),G1448*Q1448))*IF(Inputs!$B$38="pvp",1,(1+(Inputs!$B$21+Skills!Q13+(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9">
      <c r="A1449">
        <f>Skills!A14</f>
        <v/>
      </c>
      <c r="B1449">
        <f>Skills!B14</f>
        <v/>
      </c>
      <c r="C1449">
        <f>Inputs!$B$3&gt;=125</f>
        <v/>
      </c>
      <c r="D1449">
        <f>IF(Skills!C14=1,60+Inputs!$B$25+Inputs!$B$29,IF(Skills!C14=2,90+Inputs!$B$26+Inputs!$B$29,IF(Skills!C14=3,120+Inputs!$B$27+Inputs!$B$29,MAX(0,(Inputs!$B$3-100)*3)+Inputs!$B$28+Inputs!$B$29)))</f>
        <v/>
      </c>
      <c r="E1449">
        <f>INDEX(FactorTable!$B$2:$Y$301, MATCH(ROUND(MIN(300,MAX(1,D1449)),0), FactorTable!$A$2:$A$301,0), Skills!M14+1)</f>
        <v/>
      </c>
      <c r="F1449">
        <f>IF(Skills!N14=TRUE,(Skills!L14/10)*(E1449/1000),Skills!L14/10)+Skills!O14</f>
        <v/>
      </c>
      <c r="G1449">
        <f>Skills!G14*IF(Skills!H14&gt;0,Skills!I14/Skills!H14,1)</f>
        <v/>
      </c>
      <c r="H1449">
        <f>1-(1-Skills!J14/100)^Skills!K14</f>
        <v/>
      </c>
      <c r="I1449" t="inlineStr">
        <is>
          <t>1</t>
        </is>
      </c>
      <c r="J1449">
        <f>((Inputs!$B$6*(1+Inputs!$B$7/100))+(((Inputs!$B$12*(1+Inputs!$B$13/100))-(Inputs!$B$12*(1+Inputs!$B$13/100)))+0.25*(Inputs!$B$14-Inputs!$B$14))*(1+Inputs!$B$7/100))*(F1449/100)</f>
        <v/>
      </c>
      <c r="K1449">
        <f>J1449*(1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1449)</f>
        <v/>
      </c>
      <c r="L1449">
        <f>K1449*(MIN(Inputs!$B$22+((C1457=TRUE)*(F1457-Calc!F22)),(Inputs!$B$23+0+(IF(ArtifactsInput!$M$15,CHOOSE(ArtifactsInput!$N$15+1,25,30,35,40,45,50)/100*(Inputs!$B$11-Inputs!$B$11),0))))/100+(Inputs!$B$23+0+(IF(ArtifactsInput!$M$15,CHOOSE(ArtifactsInput!$N$15+1,25,30,35,40,45,50)/100*(Inputs!$B$11-Inputs!$B$11),0)))/100)/2</f>
        <v/>
      </c>
      <c r="M1449">
        <f>L1449*(1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9">
        <f>L1449*(1-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1449*(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9">
        <f>(1-Summary!$B$11)*T1449+Summary!$B$11*V1449</f>
        <v/>
      </c>
      <c r="P1449">
        <f>IF(B1476=0,0,O1449/B1476)</f>
        <v/>
      </c>
      <c r="Q1449" t="n">
        <v>0</v>
      </c>
      <c r="R1449" t="n">
        <v>0</v>
      </c>
      <c r="S1449">
        <f>IFERROR(O1449/N1449,0)</f>
        <v/>
      </c>
      <c r="T1449">
        <f>IF(C1449,(H1449*N1449*(B1470+IF(AND(Inputs!$B$38&lt;&gt;"pvp",Inputs!$B$43&gt;0),((Skills!G8*((R1443-1)*IF(Skills!H8&gt;0,Skills!I8/Skills!H8,1)+IF(Skills!H8&gt;0,MIN(Skills!I8,MAX(0,MAX(0,Inputs!$B$43-B1473)-((R1443-1)*(IF(Inputs!$B$38="pvp",15,MAX(0.1,Skills!D8-IF(Skills!E8=TRUE,Inputs!$B$32,0)))*(1-IF(AND(ArtifactsInput!$M$27,Inputs!$B$4="Chapter Hunt"),CHOOSE(ArtifactsInput!$N$27+1,20,24,28,32,36,40),0)/100)))))/Skills!H8,1)))/Inputs!$B$43),G1443*Q1443)+IF(AND(Inputs!$B$38&lt;&gt;"pvp",Inputs!$B$43&gt;0),((Skills!G11*((R1446-1)*IF(Skills!H11&gt;0,Skills!I11/Skills!H11,1)+IF(Skills!H11&gt;0,MIN(Skills!I11,MAX(0,MAX(0,Inputs!$B$43-B1473)-((R1446-1)*(IF(Inputs!$B$38="pvp",15,MAX(0.1,Skills!D11-IF(Skills!E11=TRUE,Inputs!$B$32,0)))*(1-IF(AND(ArtifactsInput!$M$27,Inputs!$B$4="Chapter Hunt"),CHOOSE(ArtifactsInput!$N$27+1,20,24,28,32,36,40),0)/100)))))/Skills!H11,1)))/Inputs!$B$43),G1446*Q1446)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1449*(1-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1449*(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1449*(1-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1449*(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9">
        <f>IF(C1449,(H1449*N1449*(B1470+IF(AND(Inputs!$B$38&lt;&gt;"pvp",Inputs!$B$43&gt;0),((Skills!G8*((R1443-1)*IF(Skills!H8&gt;0,Skills!I8/Skills!H8,1)+IF(Skills!H8&gt;0,MIN(Skills!I8,MAX(0,MAX(0,Inputs!$B$43-B1473)-((R1443-1)*(IF(Inputs!$B$38="pvp",15,MAX(0.1,Skills!D8-IF(Skills!E8=TRUE,Inputs!$B$32,0)))*(1-IF(AND(ArtifactsInput!$M$27,Inputs!$B$4="Chapter Hunt"),CHOOSE(ArtifactsInput!$N$27+1,20,24,28,32,36,40),0)/100)))))/Skills!H8,1)))/Inputs!$B$43),G1443*Q1443)+IF(AND(Inputs!$B$38&lt;&gt;"pvp",Inputs!$B$43&gt;0),((Skills!G11*((R1446-1)*IF(Skills!H11&gt;0,Skills!I11/Skills!H11,1)+IF(Skills!H11&gt;0,MIN(Skills!I11,MAX(0,MAX(0,Inputs!$B$43-B1473)-((R1446-1)*(IF(Inputs!$B$38="pvp",15,MAX(0.1,Skills!D11-IF(Skills!E11=TRUE,Inputs!$B$32,0)))*(1-IF(AND(ArtifactsInput!$M$27,Inputs!$B$4="Chapter Hunt"),CHOOSE(ArtifactsInput!$N$27+1,20,24,28,32,36,40),0)/100)))))/Skills!H11,1)))/Inputs!$B$43),G1446*Q1446)))*IF(Inputs!$B$38="pvp",1,(1+(Inputs!$B$21+Skills!Q14+(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0">
      <c r="A1450">
        <f>Skills!A15</f>
        <v/>
      </c>
      <c r="B1450">
        <f>Skills!B15</f>
        <v/>
      </c>
      <c r="C1450">
        <f>Inputs!$B$3&gt;=100</f>
        <v/>
      </c>
      <c r="D1450">
        <f>IF(Skills!C15=1,60+Inputs!$B$25+Inputs!$B$29,IF(Skills!C15=2,90+Inputs!$B$26+Inputs!$B$29,IF(Skills!C15=3,120+Inputs!$B$27+Inputs!$B$29,MAX(0,(Inputs!$B$3-100)*3)+Inputs!$B$28+Inputs!$B$29)))</f>
        <v/>
      </c>
      <c r="E1450">
        <f>INDEX(FactorTable!$B$2:$Y$301, MATCH(ROUND(MIN(300,MAX(1,D1450)),0), FactorTable!$A$2:$A$301,0), Skills!M15+1)</f>
        <v/>
      </c>
      <c r="F1450">
        <f>IF(Skills!N15=TRUE,(Skills!L15/10)*(E1450/1000),Skills!L15/10)+Skills!O15</f>
        <v/>
      </c>
      <c r="G1450" t="inlineStr"/>
      <c r="H1450" t="inlineStr"/>
      <c r="I1450" t="inlineStr">
        <is>
          <t>1</t>
        </is>
      </c>
      <c r="J1450" t="inlineStr"/>
      <c r="K1450" t="inlineStr"/>
      <c r="L1450" t="inlineStr"/>
      <c r="M1450" t="inlineStr"/>
      <c r="N1450" t="inlineStr"/>
      <c r="O1450" t="inlineStr"/>
      <c r="P1450" t="inlineStr"/>
      <c r="Q1450" t="inlineStr"/>
      <c r="R1450" t="inlineStr"/>
      <c r="S1450" t="inlineStr"/>
    </row>
    <row r="1451">
      <c r="A1451">
        <f>Skills!A16</f>
        <v/>
      </c>
      <c r="B1451">
        <f>Skills!B16</f>
        <v/>
      </c>
      <c r="C1451">
        <f>Inputs!$B$3&gt;=120</f>
        <v/>
      </c>
      <c r="D1451">
        <f>IF(Skills!C16=1,60+Inputs!$B$25+Inputs!$B$29,IF(Skills!C16=2,90+Inputs!$B$26+Inputs!$B$29,IF(Skills!C16=3,120+Inputs!$B$27+Inputs!$B$29,MAX(0,(Inputs!$B$3-100)*3)+Inputs!$B$28+Inputs!$B$29)))</f>
        <v/>
      </c>
      <c r="E1451">
        <f>INDEX(FactorTable!$B$2:$Y$301, MATCH(ROUND(MIN(300,MAX(1,D1451)),0), FactorTable!$A$2:$A$301,0), Skills!M16+1)</f>
        <v/>
      </c>
      <c r="F1451">
        <f>IF(Skills!N16=TRUE,(Skills!L16/10)*(E1451/1000),Skills!L16/10)+Skills!O16</f>
        <v/>
      </c>
      <c r="G1451" t="inlineStr"/>
      <c r="H1451" t="inlineStr"/>
      <c r="I1451" t="inlineStr">
        <is>
          <t>1</t>
        </is>
      </c>
      <c r="J1451" t="inlineStr"/>
      <c r="K1451" t="inlineStr"/>
      <c r="L1451" t="inlineStr"/>
      <c r="M1451" t="inlineStr"/>
      <c r="N1451" t="inlineStr"/>
      <c r="O1451" t="inlineStr"/>
      <c r="P1451" t="inlineStr"/>
      <c r="Q1451" t="inlineStr"/>
      <c r="R1451" t="inlineStr"/>
      <c r="S1451" t="inlineStr"/>
    </row>
    <row r="1452">
      <c r="A1452">
        <f>Skills!A17</f>
        <v/>
      </c>
      <c r="B1452">
        <f>Skills!B17</f>
        <v/>
      </c>
      <c r="C1452">
        <f>Inputs!$B$3&gt;=66</f>
        <v/>
      </c>
      <c r="D1452">
        <f>IF(Skills!C17=1,60+Inputs!$B$25+Inputs!$B$29,IF(Skills!C17=2,90+Inputs!$B$26+Inputs!$B$29,IF(Skills!C17=3,120+Inputs!$B$27+Inputs!$B$29,MAX(0,(Inputs!$B$3-100)*3)+Inputs!$B$28+Inputs!$B$29)))</f>
        <v/>
      </c>
      <c r="E1452">
        <f>INDEX(FactorTable!$B$2:$Y$301, MATCH(ROUND(MIN(300,MAX(1,D1452)),0), FactorTable!$A$2:$A$301,0), Skills!M17+1)</f>
        <v/>
      </c>
      <c r="F1452">
        <f>IF(Skills!N17=TRUE,(Skills!L17/10)*(E1452/1000),Skills!L17/10)+Skills!O17</f>
        <v/>
      </c>
      <c r="G1452">
        <f>Skills!G17*IF(Skills!H17&gt;0,Skills!I17/Skills!H17,1)</f>
        <v/>
      </c>
      <c r="H1452">
        <f>1-(1-Skills!J17/100)^Skills!K17</f>
        <v/>
      </c>
      <c r="I1452" t="inlineStr">
        <is>
          <t>1</t>
        </is>
      </c>
      <c r="J1452" t="inlineStr"/>
      <c r="K1452" t="inlineStr"/>
      <c r="L1452" t="inlineStr"/>
      <c r="M1452" t="inlineStr"/>
      <c r="N1452" t="inlineStr"/>
      <c r="O1452">
        <f>(1-Summary!$B$11)*T1452+Summary!$B$11*V1452</f>
        <v/>
      </c>
      <c r="P1452">
        <f>IF(B1476=0,0,O1452/B1476)</f>
        <v/>
      </c>
      <c r="Q1452" t="n">
        <v>0</v>
      </c>
      <c r="R1452" t="n">
        <v>0</v>
      </c>
      <c r="S1452">
        <f>IFERROR(O1452/N1452,0)</f>
        <v/>
      </c>
      <c r="T1452" t="n">
        <v>0</v>
      </c>
      <c r="V1452" t="n">
        <v>0</v>
      </c>
    </row>
    <row r="1453">
      <c r="A1453">
        <f>Skills!A18</f>
        <v/>
      </c>
      <c r="B1453">
        <f>Skills!B18</f>
        <v/>
      </c>
      <c r="C1453">
        <f>Inputs!$B$3&gt;=115</f>
        <v/>
      </c>
      <c r="D1453">
        <f>IF(Skills!C18=1,60+Inputs!$B$25+Inputs!$B$29,IF(Skills!C18=2,90+Inputs!$B$26+Inputs!$B$29,IF(Skills!C18=3,120+Inputs!$B$27+Inputs!$B$29,MAX(0,(Inputs!$B$3-100)*3)+Inputs!$B$28+Inputs!$B$29)))</f>
        <v/>
      </c>
      <c r="E1453">
        <f>INDEX(FactorTable!$B$2:$Y$301, MATCH(ROUND(MIN(300,MAX(1,D1453)),0), FactorTable!$A$2:$A$301,0), Skills!M18+1)</f>
        <v/>
      </c>
      <c r="F1453">
        <f>IF(Skills!N18=TRUE,(Skills!L18/10)*(E1453/1000),Skills!L18/10)+Skills!O18</f>
        <v/>
      </c>
      <c r="G1453">
        <f>Skills!G18*IF(Skills!H18&gt;0,Skills!I18/Skills!H18,1)</f>
        <v/>
      </c>
      <c r="H1453">
        <f>1-(1-Skills!J18/100)^Skills!K18</f>
        <v/>
      </c>
      <c r="I1453" t="inlineStr">
        <is>
          <t>1</t>
        </is>
      </c>
      <c r="J1453" t="inlineStr"/>
      <c r="K1453" t="inlineStr"/>
      <c r="L1453" t="inlineStr"/>
      <c r="M1453" t="inlineStr"/>
      <c r="N1453" t="inlineStr"/>
      <c r="O1453">
        <f>(1-Summary!$B$11)*T1453+Summary!$B$11*V1453</f>
        <v/>
      </c>
      <c r="P1453">
        <f>IF(B1476=0,0,O1453/B1476)</f>
        <v/>
      </c>
      <c r="Q1453">
        <f>IFERROR(1/(IF(Inputs!$B$38="pvp",15,MAX(0.1,Skills!D18-IF(Skills!E18=TRUE,Inputs!$B$32,0)))*(1-IF(AND(ArtifactsInput!$M$27,Inputs!$B$4="Chapter Hunt"),CHOOSE(ArtifactsInput!$N$27+1,20,24,28,32,36,40),0)/100)),0)</f>
        <v/>
      </c>
      <c r="R1453">
        <f>IF(AND(Inputs!$B$38&lt;&gt;"pvp",Inputs!$B$43&gt;0),IF(Inputs!$B$43&lt;=0,0,(INT(Inputs!$B$43/(IF(Inputs!$B$38="pvp",15,MAX(0.1,Skills!D18-IF(Skills!E18=TRUE,Inputs!$B$32,0)))*(1-IF(AND(ArtifactsInput!$M$27,Inputs!$B$4="Chapter Hunt"),CHOOSE(ArtifactsInput!$N$27+1,20,24,28,32,36,40),0)/100)))+1)),0)</f>
        <v/>
      </c>
      <c r="S1453">
        <f>IFERROR(O1453/N1453,0)</f>
        <v/>
      </c>
      <c r="T1453" t="n">
        <v>0</v>
      </c>
      <c r="V1453" t="n">
        <v>0</v>
      </c>
    </row>
    <row r="1454">
      <c r="A1454">
        <f>Skills!A19</f>
        <v/>
      </c>
      <c r="B1454">
        <f>Skills!B19</f>
        <v/>
      </c>
      <c r="C1454">
        <f>Inputs!$B$3&gt;=15</f>
        <v/>
      </c>
      <c r="D1454">
        <f>IF(Skills!C19=1,60+Inputs!$B$25+Inputs!$B$29,IF(Skills!C19=2,90+Inputs!$B$26+Inputs!$B$29,IF(Skills!C19=3,120+Inputs!$B$27+Inputs!$B$29,MAX(0,(Inputs!$B$3-100)*3)+Inputs!$B$28+Inputs!$B$29)))</f>
        <v/>
      </c>
      <c r="E1454">
        <f>INDEX(FactorTable!$B$2:$Y$301, MATCH(ROUND(MIN(300,MAX(1,D1454)),0), FactorTable!$A$2:$A$301,0), Skills!M19+1)</f>
        <v/>
      </c>
      <c r="F1454">
        <f>IF(Skills!N19=TRUE,(Skills!L19/10)*(E1454/1000),Skills!L19/10)+Skills!O19</f>
        <v/>
      </c>
      <c r="G1454">
        <f>Skills!G19*IF(Skills!H19&gt;0,Skills!I19/Skills!H19,1)</f>
        <v/>
      </c>
      <c r="H1454">
        <f>1-(1-Skills!J19/100)^Skills!K19</f>
        <v/>
      </c>
      <c r="I1454" t="inlineStr">
        <is>
          <t>1</t>
        </is>
      </c>
      <c r="J1454" t="inlineStr"/>
      <c r="K1454" t="inlineStr"/>
      <c r="L1454" t="inlineStr"/>
      <c r="M1454" t="inlineStr"/>
      <c r="N1454" t="inlineStr"/>
      <c r="O1454">
        <f>(1-Summary!$B$11)*T1454+Summary!$B$11*V1454</f>
        <v/>
      </c>
      <c r="P1454">
        <f>IF(B1476=0,0,O1454/B1476)</f>
        <v/>
      </c>
      <c r="Q1454" t="n">
        <v>0</v>
      </c>
      <c r="R1454" t="n">
        <v>0</v>
      </c>
      <c r="S1454">
        <f>IFERROR(O1454/N1454,0)</f>
        <v/>
      </c>
      <c r="T1454" t="n">
        <v>0</v>
      </c>
      <c r="V1454" t="n">
        <v>0</v>
      </c>
    </row>
    <row r="1455">
      <c r="A1455">
        <f>Skills!A20</f>
        <v/>
      </c>
      <c r="B1455">
        <f>Skills!B20</f>
        <v/>
      </c>
      <c r="C1455">
        <f>Inputs!$B$3&gt;=10</f>
        <v/>
      </c>
      <c r="D1455">
        <f>IF(Skills!C20=1,60+Inputs!$B$25+Inputs!$B$29,IF(Skills!C20=2,90+Inputs!$B$26+Inputs!$B$29,IF(Skills!C20=3,120+Inputs!$B$27+Inputs!$B$29,MAX(0,(Inputs!$B$3-100)*3)+Inputs!$B$28+Inputs!$B$29)))</f>
        <v/>
      </c>
      <c r="E1455">
        <f>INDEX(FactorTable!$B$2:$Y$301, MATCH(ROUND(MIN(300,MAX(1,D1455)),0), FactorTable!$A$2:$A$301,0), Skills!M20+1)</f>
        <v/>
      </c>
      <c r="F1455">
        <f>IF(Skills!N20=TRUE,(Skills!L20/10)*(E1455/1000),Skills!L20/10)+Skills!O20</f>
        <v/>
      </c>
      <c r="G1455">
        <f>Skills!G20*IF(Skills!H20&gt;0,Skills!I20/Skills!H20,1)</f>
        <v/>
      </c>
      <c r="H1455">
        <f>1-(1-Skills!J20/100)^Skills!K20</f>
        <v/>
      </c>
      <c r="I1455" t="inlineStr">
        <is>
          <t>1</t>
        </is>
      </c>
      <c r="J1455" t="inlineStr"/>
      <c r="K1455" t="inlineStr"/>
      <c r="L1455" t="inlineStr"/>
      <c r="M1455" t="inlineStr"/>
      <c r="N1455" t="inlineStr"/>
      <c r="O1455">
        <f>(1-Summary!$B$11)*T1455+Summary!$B$11*V1455</f>
        <v/>
      </c>
      <c r="P1455">
        <f>IF(B1476=0,0,O1455/B1476)</f>
        <v/>
      </c>
      <c r="Q1455" t="n">
        <v>0</v>
      </c>
      <c r="R1455" t="n">
        <v>0</v>
      </c>
      <c r="S1455">
        <f>IFERROR(O1455/N1455,0)</f>
        <v/>
      </c>
      <c r="T1455" t="n">
        <v>0</v>
      </c>
      <c r="V1455" t="n">
        <v>0</v>
      </c>
    </row>
    <row r="1456">
      <c r="A1456">
        <f>Skills!A21</f>
        <v/>
      </c>
      <c r="B1456">
        <f>Skills!B21</f>
        <v/>
      </c>
      <c r="C1456">
        <f>Inputs!$B$3&gt;=33</f>
        <v/>
      </c>
      <c r="D1456">
        <f>IF(Skills!C21=1,60+Inputs!$B$25+Inputs!$B$29,IF(Skills!C21=2,90+Inputs!$B$26+Inputs!$B$29,IF(Skills!C21=3,120+Inputs!$B$27+Inputs!$B$29,MAX(0,(Inputs!$B$3-100)*3)+Inputs!$B$28+Inputs!$B$29)))</f>
        <v/>
      </c>
      <c r="E1456">
        <f>INDEX(FactorTable!$B$2:$Y$301, MATCH(ROUND(MIN(300,MAX(1,D1456)),0), FactorTable!$A$2:$A$301,0), Skills!M21+1)</f>
        <v/>
      </c>
      <c r="F1456">
        <f>IF(Skills!N21=TRUE,(Skills!L21/10)*(E1456/1000),Skills!L21/10)+Skills!O21</f>
        <v/>
      </c>
      <c r="G1456">
        <f>Skills!G21*IF(Skills!H21&gt;0,Skills!I21/Skills!H21,1)</f>
        <v/>
      </c>
      <c r="H1456">
        <f>1-(1-Skills!J21/100)^Skills!K21</f>
        <v/>
      </c>
      <c r="I1456" t="inlineStr">
        <is>
          <t>1</t>
        </is>
      </c>
      <c r="J1456" t="inlineStr"/>
      <c r="K1456" t="inlineStr"/>
      <c r="L1456" t="inlineStr"/>
      <c r="M1456" t="inlineStr"/>
      <c r="N1456" t="inlineStr"/>
      <c r="O1456">
        <f>(1-Summary!$B$11)*T1456+Summary!$B$11*V1456</f>
        <v/>
      </c>
      <c r="P1456">
        <f>IF(B1476=0,0,O1456/B1476)</f>
        <v/>
      </c>
      <c r="Q1456" t="n">
        <v>0</v>
      </c>
      <c r="R1456" t="n">
        <v>0</v>
      </c>
      <c r="S1456">
        <f>IFERROR(O1456/N1456,0)</f>
        <v/>
      </c>
      <c r="T1456" t="n">
        <v>0</v>
      </c>
      <c r="V1456" t="n">
        <v>0</v>
      </c>
    </row>
    <row r="1457">
      <c r="A1457">
        <f>Skills!A22</f>
        <v/>
      </c>
      <c r="B1457">
        <f>Skills!B22</f>
        <v/>
      </c>
      <c r="C1457">
        <f>Inputs!$B$3&gt;=43</f>
        <v/>
      </c>
      <c r="D1457">
        <f>IF(Skills!C22=1,60+Inputs!$B$25+Inputs!$B$29,IF(Skills!C22=2,90+Inputs!$B$26+Inputs!$B$29,IF(Skills!C22=3,120+Inputs!$B$27+Inputs!$B$29,MAX(0,(Inputs!$B$3-100)*3)+Inputs!$B$28+Inputs!$B$29)))</f>
        <v/>
      </c>
      <c r="E1457">
        <f>INDEX(FactorTable!$B$2:$Y$301, MATCH(ROUND(MIN(300,MAX(1,D1457)),0), FactorTable!$A$2:$A$301,0), Skills!M22+1)</f>
        <v/>
      </c>
      <c r="F1457">
        <f>IF(Skills!N22=TRUE,(Skills!L22/10)*(E1457/1000),Skills!L22/10)+Skills!O22</f>
        <v/>
      </c>
      <c r="G1457">
        <f>Skills!G22*IF(Skills!H22&gt;0,Skills!I22/Skills!H22,1)</f>
        <v/>
      </c>
      <c r="H1457">
        <f>1-(1-Skills!J22/100)^Skills!K22</f>
        <v/>
      </c>
      <c r="I1457" t="inlineStr">
        <is>
          <t>1</t>
        </is>
      </c>
      <c r="J1457" t="inlineStr"/>
      <c r="K1457" t="inlineStr"/>
      <c r="L1457" t="inlineStr"/>
      <c r="M1457" t="inlineStr"/>
      <c r="N1457" t="inlineStr"/>
      <c r="O1457">
        <f>(1-Summary!$B$11)*T1457+Summary!$B$11*V1457</f>
        <v/>
      </c>
      <c r="P1457">
        <f>IF(B1476=0,0,O1457/B1476)</f>
        <v/>
      </c>
      <c r="Q1457" t="n">
        <v>0</v>
      </c>
      <c r="R1457" t="n">
        <v>0</v>
      </c>
      <c r="S1457">
        <f>IFERROR(O1457/N1457,0)</f>
        <v/>
      </c>
      <c r="T1457" t="n">
        <v>0</v>
      </c>
      <c r="V1457" t="n">
        <v>0</v>
      </c>
    </row>
    <row r="1458">
      <c r="A1458">
        <f>Skills!A23</f>
        <v/>
      </c>
      <c r="B1458">
        <f>Skills!B23</f>
        <v/>
      </c>
      <c r="C1458">
        <f>Inputs!$B$3&gt;=38</f>
        <v/>
      </c>
      <c r="D1458">
        <f>IF(Skills!C23=1,60+Inputs!$B$25+Inputs!$B$29,IF(Skills!C23=2,90+Inputs!$B$26+Inputs!$B$29,IF(Skills!C23=3,120+Inputs!$B$27+Inputs!$B$29,MAX(0,(Inputs!$B$3-100)*3)+Inputs!$B$28+Inputs!$B$29)))</f>
        <v/>
      </c>
      <c r="E1458">
        <f>INDEX(FactorTable!$B$2:$Y$301, MATCH(ROUND(MIN(300,MAX(1,D1458)),0), FactorTable!$A$2:$A$301,0), Skills!M23+1)</f>
        <v/>
      </c>
      <c r="F1458">
        <f>IF(Skills!N23=TRUE,(Skills!L23/10)*(E1458/1000),Skills!L23/10)+Skills!O23</f>
        <v/>
      </c>
      <c r="G1458">
        <f>Skills!G23*IF(Skills!H23&gt;0,Skills!I23/Skills!H23,1)</f>
        <v/>
      </c>
      <c r="H1458">
        <f>1-(1-Skills!J23/100)^Skills!K23</f>
        <v/>
      </c>
      <c r="I1458" t="inlineStr">
        <is>
          <t>1</t>
        </is>
      </c>
      <c r="J1458" t="inlineStr"/>
      <c r="K1458" t="inlineStr"/>
      <c r="L1458" t="inlineStr"/>
      <c r="M1458" t="inlineStr"/>
      <c r="N1458" t="inlineStr"/>
      <c r="O1458">
        <f>(1-Summary!$B$11)*T1458+Summary!$B$11*V1458</f>
        <v/>
      </c>
      <c r="P1458">
        <f>IF(B1476=0,0,O1458/B1476)</f>
        <v/>
      </c>
      <c r="Q1458" t="n">
        <v>0</v>
      </c>
      <c r="R1458" t="n">
        <v>0</v>
      </c>
      <c r="S1458">
        <f>IFERROR(O1458/N1458,0)</f>
        <v/>
      </c>
      <c r="T1458" t="n">
        <v>0</v>
      </c>
      <c r="V1458" t="n">
        <v>0</v>
      </c>
    </row>
    <row r="1459">
      <c r="A1459">
        <f>Skills!A24</f>
        <v/>
      </c>
      <c r="B1459">
        <f>Skills!B24</f>
        <v/>
      </c>
      <c r="C1459">
        <f>Inputs!$B$3&gt;=40</f>
        <v/>
      </c>
      <c r="D1459">
        <f>IF(Skills!C24=1,60+Inputs!$B$25+Inputs!$B$29,IF(Skills!C24=2,90+Inputs!$B$26+Inputs!$B$29,IF(Skills!C24=3,120+Inputs!$B$27+Inputs!$B$29,MAX(0,(Inputs!$B$3-100)*3)+Inputs!$B$28+Inputs!$B$29)))</f>
        <v/>
      </c>
      <c r="E1459">
        <f>INDEX(FactorTable!$B$2:$Y$301, MATCH(ROUND(MIN(300,MAX(1,D1459)),0), FactorTable!$A$2:$A$301,0), Skills!M24+1)</f>
        <v/>
      </c>
      <c r="F1459">
        <f>IF(Skills!N24=TRUE,(Skills!L24/10)*(E1459/1000),Skills!L24/10)+Skills!O24</f>
        <v/>
      </c>
      <c r="G1459">
        <f>Skills!G24*IF(Skills!H24&gt;0,Skills!I24/Skills!H24,1)</f>
        <v/>
      </c>
      <c r="H1459">
        <f>1-(1-Skills!J24/100)^Skills!K24</f>
        <v/>
      </c>
      <c r="I1459" t="inlineStr">
        <is>
          <t>1</t>
        </is>
      </c>
      <c r="J1459" t="inlineStr"/>
      <c r="K1459" t="inlineStr"/>
      <c r="L1459" t="inlineStr"/>
      <c r="M1459" t="inlineStr"/>
      <c r="N1459" t="inlineStr"/>
      <c r="O1459">
        <f>(1-Summary!$B$11)*T1459+Summary!$B$11*V1459</f>
        <v/>
      </c>
      <c r="P1459">
        <f>IF(B1476=0,0,O1459/B1476)</f>
        <v/>
      </c>
      <c r="Q1459" t="n">
        <v>0</v>
      </c>
      <c r="R1459" t="n">
        <v>0</v>
      </c>
      <c r="S1459">
        <f>IFERROR(O1459/N1459,0)</f>
        <v/>
      </c>
      <c r="T1459" t="n">
        <v>0</v>
      </c>
      <c r="V1459" t="n">
        <v>0</v>
      </c>
    </row>
    <row r="1460">
      <c r="A1460">
        <f>Skills!A25</f>
        <v/>
      </c>
      <c r="B1460">
        <f>Skills!B25</f>
        <v/>
      </c>
      <c r="C1460">
        <f>Inputs!$B$3&gt;=72</f>
        <v/>
      </c>
      <c r="D1460">
        <f>IF(Skills!C25=1,60+Inputs!$B$25+Inputs!$B$29,IF(Skills!C25=2,90+Inputs!$B$26+Inputs!$B$29,IF(Skills!C25=3,120+Inputs!$B$27+Inputs!$B$29,MAX(0,(Inputs!$B$3-100)*3)+Inputs!$B$28+Inputs!$B$29)))</f>
        <v/>
      </c>
      <c r="E1460">
        <f>INDEX(FactorTable!$B$2:$Y$301, MATCH(ROUND(MIN(300,MAX(1,D1460)),0), FactorTable!$A$2:$A$301,0), Skills!M25+1)</f>
        <v/>
      </c>
      <c r="F1460">
        <f>IF(Skills!N25=TRUE,(Skills!L25/10)*(E1460/1000),Skills!L25/10)+Skills!O25</f>
        <v/>
      </c>
      <c r="G1460">
        <f>Skills!G25*IF(Skills!H25&gt;0,Skills!I25/Skills!H25,1)</f>
        <v/>
      </c>
      <c r="H1460">
        <f>1-(1-Skills!J25/100)^Skills!K25</f>
        <v/>
      </c>
      <c r="I1460" t="inlineStr">
        <is>
          <t>1</t>
        </is>
      </c>
      <c r="J1460" t="inlineStr"/>
      <c r="K1460" t="inlineStr"/>
      <c r="L1460" t="inlineStr"/>
      <c r="M1460" t="inlineStr"/>
      <c r="N1460" t="inlineStr"/>
      <c r="O1460">
        <f>(1-Summary!$B$11)*T1460+Summary!$B$11*V1460</f>
        <v/>
      </c>
      <c r="P1460">
        <f>IF(B1476=0,0,O1460/B1476)</f>
        <v/>
      </c>
      <c r="Q1460" t="n">
        <v>0</v>
      </c>
      <c r="R1460" t="n">
        <v>0</v>
      </c>
      <c r="S1460">
        <f>IFERROR(O1460/N1460,0)</f>
        <v/>
      </c>
      <c r="T1460" t="n">
        <v>0</v>
      </c>
      <c r="V1460" t="n">
        <v>0</v>
      </c>
    </row>
    <row r="1461">
      <c r="A1461">
        <f>Skills!A26</f>
        <v/>
      </c>
      <c r="B1461">
        <f>Skills!B26</f>
        <v/>
      </c>
      <c r="C1461">
        <f>Inputs!$B$3&gt;=75</f>
        <v/>
      </c>
      <c r="D1461">
        <f>IF(Skills!C26=1,60+Inputs!$B$25+Inputs!$B$29,IF(Skills!C26=2,90+Inputs!$B$26+Inputs!$B$29,IF(Skills!C26=3,120+Inputs!$B$27+Inputs!$B$29,MAX(0,(Inputs!$B$3-100)*3)+Inputs!$B$28+Inputs!$B$29)))</f>
        <v/>
      </c>
      <c r="E1461">
        <f>INDEX(FactorTable!$B$2:$Y$301, MATCH(ROUND(MIN(300,MAX(1,D1461)),0), FactorTable!$A$2:$A$301,0), Skills!M26+1)</f>
        <v/>
      </c>
      <c r="F1461">
        <f>IF(Skills!N26=TRUE,(Skills!L26/10)*(E1461/1000),Skills!L26/10)+Skills!O26</f>
        <v/>
      </c>
      <c r="G1461">
        <f>Skills!G26*IF(Skills!H26&gt;0,Skills!I26/Skills!H26,1)</f>
        <v/>
      </c>
      <c r="H1461">
        <f>1-(1-Skills!J26/100)^Skills!K26</f>
        <v/>
      </c>
      <c r="I1461" t="inlineStr">
        <is>
          <t>1</t>
        </is>
      </c>
      <c r="J1461" t="inlineStr"/>
      <c r="K1461" t="inlineStr"/>
      <c r="L1461" t="inlineStr"/>
      <c r="M1461" t="inlineStr"/>
      <c r="N1461" t="inlineStr"/>
      <c r="O1461">
        <f>(1-Summary!$B$11)*T1461+Summary!$B$11*V1461</f>
        <v/>
      </c>
      <c r="P1461">
        <f>IF(B1476=0,0,O1461/B1476)</f>
        <v/>
      </c>
      <c r="Q1461" t="n">
        <v>0</v>
      </c>
      <c r="R1461" t="n">
        <v>0</v>
      </c>
      <c r="S1461">
        <f>IFERROR(O1461/N1461,0)</f>
        <v/>
      </c>
      <c r="T1461" t="n">
        <v>0</v>
      </c>
      <c r="V1461" t="n">
        <v>0</v>
      </c>
    </row>
    <row r="1462">
      <c r="A1462">
        <f>Skills!A27</f>
        <v/>
      </c>
      <c r="B1462">
        <f>Skills!B27</f>
        <v/>
      </c>
      <c r="C1462">
        <f>Inputs!$B$3&gt;=117</f>
        <v/>
      </c>
      <c r="D1462">
        <f>IF(Skills!C27=1,60+Inputs!$B$25+Inputs!$B$29,IF(Skills!C27=2,90+Inputs!$B$26+Inputs!$B$29,IF(Skills!C27=3,120+Inputs!$B$27+Inputs!$B$29,MAX(0,(Inputs!$B$3-100)*3)+Inputs!$B$28+Inputs!$B$29)))</f>
        <v/>
      </c>
      <c r="E1462">
        <f>INDEX(FactorTable!$B$2:$Y$301, MATCH(ROUND(MIN(300,MAX(1,D1462)),0), FactorTable!$A$2:$A$301,0), Skills!M27+1)</f>
        <v/>
      </c>
      <c r="F1462">
        <f>IF(Skills!N27=TRUE,(Skills!L27/10)*(E1462/1000),Skills!L27/10)+Skills!O27</f>
        <v/>
      </c>
      <c r="G1462">
        <f>Skills!G27*IF(Skills!H27&gt;0,Skills!I27/Skills!H27,1)</f>
        <v/>
      </c>
      <c r="H1462">
        <f>1-(1-Skills!J27/100)^Skills!K27</f>
        <v/>
      </c>
      <c r="I1462" t="inlineStr">
        <is>
          <t>1</t>
        </is>
      </c>
      <c r="J1462" t="inlineStr"/>
      <c r="K1462" t="inlineStr"/>
      <c r="L1462" t="inlineStr"/>
      <c r="M1462" t="inlineStr"/>
      <c r="N1462" t="inlineStr"/>
      <c r="O1462">
        <f>(1-Summary!$B$11)*T1462+Summary!$B$11*V1462</f>
        <v/>
      </c>
      <c r="P1462">
        <f>IF(B1476=0,0,O1462/B1476)</f>
        <v/>
      </c>
      <c r="Q1462" t="n">
        <v>0</v>
      </c>
      <c r="R1462" t="n">
        <v>0</v>
      </c>
      <c r="S1462">
        <f>IFERROR(O1462/N1462,0)</f>
        <v/>
      </c>
      <c r="T1462" t="n">
        <v>0</v>
      </c>
      <c r="V1462" t="n">
        <v>0</v>
      </c>
    </row>
    <row r="1463">
      <c r="A1463">
        <f>Skills!A28</f>
        <v/>
      </c>
      <c r="B1463">
        <f>Skills!B28</f>
        <v/>
      </c>
      <c r="C1463">
        <f>TRUE</f>
        <v/>
      </c>
      <c r="D1463">
        <f>IF(Skills!C28=1,60+Inputs!$B$25+Inputs!$B$29,IF(Skills!C28=2,90+Inputs!$B$26+Inputs!$B$29,IF(Skills!C28=3,120+Inputs!$B$27+Inputs!$B$29,MAX(0,(Inputs!$B$3-100)*3)+Inputs!$B$28+Inputs!$B$29)))</f>
        <v/>
      </c>
      <c r="E1463">
        <f>INDEX(FactorTable!$B$2:$Y$301, MATCH(ROUND(MIN(300,MAX(1,D1463)),0), FactorTable!$A$2:$A$301,0), Skills!M28+1)</f>
        <v/>
      </c>
      <c r="F1463">
        <f>IF(Skills!N28=TRUE,(Skills!L28/10)*(E1463/1000),Skills!L28/10)+Skills!O28</f>
        <v/>
      </c>
      <c r="G1463">
        <f>Skills!G28*IF(Skills!H28&gt;0,Skills!I28/Skills!H28,1)</f>
        <v/>
      </c>
      <c r="H1463">
        <f>1-(1-Skills!J28/100)^Skills!K28</f>
        <v/>
      </c>
      <c r="I1463" t="inlineStr">
        <is>
          <t>1</t>
        </is>
      </c>
      <c r="J1463" t="inlineStr"/>
      <c r="K1463" t="inlineStr"/>
      <c r="L1463" t="inlineStr"/>
      <c r="M1463" t="inlineStr"/>
      <c r="N1463" t="inlineStr"/>
      <c r="O1463">
        <f>(1-Summary!$B$11)*T1463+Summary!$B$11*V1463</f>
        <v/>
      </c>
      <c r="P1463">
        <f>IF(B1476=0,0,O1463/B1476)</f>
        <v/>
      </c>
      <c r="Q1463">
        <f>IFERROR(1/(IF(Inputs!$B$38="pvp",15,MAX(0.1,Skills!D28-IF(Skills!E28=TRUE,Inputs!$B$32,0)))*(1-IF(AND(ArtifactsInput!$M$27,Inputs!$B$4="Chapter Hunt"),CHOOSE(ArtifactsInput!$N$27+1,20,24,28,32,36,40),0)/100)),0)</f>
        <v/>
      </c>
      <c r="R1463">
        <f>IF(AND(Inputs!$B$38&lt;&gt;"pvp",Inputs!$B$43&gt;0),IF(Inputs!$B$43&lt;=0,0,(INT(Inputs!$B$43/(IF(Inputs!$B$38="pvp",15,MAX(0.1,Skills!D28-IF(Skills!E28=TRUE,Inputs!$B$32,0)))*(1-IF(AND(ArtifactsInput!$M$27,Inputs!$B$4="Chapter Hunt"),CHOOSE(ArtifactsInput!$N$27+1,20,24,28,32,36,40),0)/100)))+1)),0)</f>
        <v/>
      </c>
      <c r="S1463">
        <f>IFERROR(O1463/N1463,0)</f>
        <v/>
      </c>
      <c r="T1463" t="n">
        <v>0</v>
      </c>
      <c r="V1463" t="n">
        <v>0</v>
      </c>
    </row>
    <row r="1465">
      <c r="A1465" t="inlineStr">
        <is>
          <t>Attack% Bucket Multiplier</t>
        </is>
      </c>
      <c r="B1465">
        <f>(1+(((C1452=TRUE)*F1452*5/7)+((C1459=TRUE)*(F1459-Calc!F24))+(IF(ArtifactsInput!$M$21,CHOOSE(ArtifactsInput!$N$21+1,25,30,35,40,45,50)*(IF(OR(Inputs!$B$4="Chapter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66">
      <c r="A1466" t="inlineStr">
        <is>
          <t>Global Crit Rate Bonus %</t>
        </is>
      </c>
      <c r="B1466" t="n">
        <v>0</v>
      </c>
    </row>
    <row r="1467">
      <c r="A1467" t="inlineStr">
        <is>
          <t>Attack Speed Buff Bonus % (Nimble Feet, duty-cycle averaged)</t>
        </is>
      </c>
      <c r="B1467">
        <f>((C1463=TRUE)*F1463*IF(AND(Inputs!$B$38&lt;&gt;"pvp",Inputs!$B$43&gt;0),(((R1463-1)*(Skills!T28*(1+Inputs!$B$34/100))+MIN((Skills!T28*(1+Inputs!$B$34/100)),MAX(0,Inputs!$B$43-((R1463-1)*Skills!D28))))/Inputs!$B$43),IF(Inputs!$B$38="pvp",MIN((Skills!T28*(1+Inputs!$B$34/100)),15)/15,(Skills!T28*(1+Inputs!$B$34/100))/Skills!D28)))</f>
        <v/>
      </c>
    </row>
    <row r="1468">
      <c r="A1468" t="inlineStr">
        <is>
          <t>Actions Per Second</t>
        </is>
      </c>
      <c r="B1468">
        <f>1+MIN(150,150*(1-(1-(Inputs!$B$11+((C1455=TRUE)*(F1455-Calc!F20))+((C1456=TRUE)*(F1456-Calc!F21)))/150)*(1-B1467/150)))/100</f>
        <v/>
      </c>
    </row>
    <row r="1469">
      <c r="A1469" t="inlineStr">
        <is>
          <t>Skill + Buff Cast Rate</t>
        </is>
      </c>
      <c r="B1469">
        <f>IF(AND(Inputs!$B$38&lt;&gt;"pvp",Inputs!$B$43&gt;0),SUMPRODUCT((Skills!E2:E28=TRUE)*(C1437:C1463=TRUE)*R1437:R1463*Skills!F2:F28)/Inputs!$B$43,SUMPRODUCT((Skills!E2:E28=TRUE)*(C1437:C1463=TRUE)*Q1437:Q1463*Skills!F2:F28))</f>
        <v/>
      </c>
    </row>
    <row r="1470">
      <c r="A1470" t="inlineStr">
        <is>
          <t>Eight-Legs Easton Casts Per Second</t>
        </is>
      </c>
      <c r="B1470">
        <f>MAX(0,B1468-B1469)</f>
        <v/>
      </c>
    </row>
    <row r="1471">
      <c r="A1471" t="inlineStr">
        <is>
          <t>Global Critical Damage Bonus % (unused)</t>
        </is>
      </c>
      <c r="B1471" t="n">
        <v>0</v>
      </c>
    </row>
    <row r="1472">
      <c r="A1472" t="inlineStr">
        <is>
          <t>Global Final Damage Bonus % (Jolly Roger + Ahoy Mateys - Final Damage proc)</t>
        </is>
      </c>
      <c r="B1472">
        <f>((C1453=TRUE)*F1453*IF(AND(Inputs!$B$38&lt;&gt;"pvp",Inputs!$B$43&gt;0),(((R1453-1)*(Skills!T18*(1+Inputs!$B$34/100))+MIN((Skills!T18*(1+Inputs!$B$34/100)),MAX(0,Inputs!$B$43-((R1453-1)*Skills!D18))))/Inputs!$B$43),IF(Inputs!$B$38="pvp",MIN((Skills!T18*(1+Inputs!$B$34/100)),15)/15,(Skills!T18*(1+Inputs!$B$34/100))/Skills!D18)))+IF(Inputs!$B$3&gt;=122,20*IF(Inputs!$B$38="pvp",MIN((20*(1+Inputs!$B$34/100)),15)/15,(20*(1+Inputs!$B$34/100))/Skills!D4),0)</f>
        <v/>
      </c>
    </row>
    <row r="1473">
      <c r="A1473" t="inlineStr">
        <is>
          <t>Buff-Casting Startup Delay (s, fixed-duration only)</t>
        </is>
      </c>
      <c r="B1473">
        <f>IF(AND(Inputs!$B$38&lt;&gt;"pvp",Inputs!$B$43&gt;0),SUMPRODUCT((Skills!T2:T28&gt;0)*(Skills!E2:E28=TRUE)*(C1437:C1463=TRUE))/B1468,0)</f>
        <v/>
      </c>
    </row>
    <row r="1474">
      <c r="A1474" t="inlineStr">
        <is>
          <t>Boss-Only Total DPS (this block's swept value)</t>
        </is>
      </c>
      <c r="B1474">
        <f>SUM(T1437:T1463)</f>
        <v/>
      </c>
    </row>
    <row r="1475">
      <c r="A1475" t="inlineStr">
        <is>
          <t>Normal-Only Total DPS (this block's swept value)</t>
        </is>
      </c>
      <c r="B1475">
        <f>SUM(V1437:V1463)</f>
        <v/>
      </c>
    </row>
    <row r="1476">
      <c r="A1476" s="6" t="inlineStr">
        <is>
          <t>TOTAL DPS</t>
        </is>
      </c>
      <c r="B1476" s="6">
        <f>SUM(O1437:O1463)</f>
        <v/>
      </c>
    </row>
    <row r="1479">
      <c r="A1479" s="6" t="inlineStr">
        <is>
          <t>Stat: Arwen's Glass Shoes (Equip)</t>
        </is>
      </c>
    </row>
    <row r="1480">
      <c r="A1480" s="5" t="inlineStr">
        <is>
          <t>Key</t>
        </is>
      </c>
      <c r="B1480" s="5" t="inlineStr">
        <is>
          <t>Name</t>
        </is>
      </c>
      <c r="C1480" s="5" t="inlineStr">
        <is>
          <t>Unlocked</t>
        </is>
      </c>
      <c r="D1480" s="5" t="inlineStr">
        <is>
          <t>InputLevel</t>
        </is>
      </c>
      <c r="E1480" s="5" t="inlineStr">
        <is>
          <t>Factor</t>
        </is>
      </c>
      <c r="F1480" s="5" t="inlineStr">
        <is>
          <t>CoefficientPercent</t>
        </is>
      </c>
      <c r="G1480" s="5" t="inlineStr">
        <is>
          <t>EffectiveHits</t>
        </is>
      </c>
      <c r="H1480" s="5" t="inlineStr">
        <is>
          <t>ProcProbability</t>
        </is>
      </c>
      <c r="I1480" s="5" t="inlineStr">
        <is>
          <t>MapleHeroMultiplier</t>
        </is>
      </c>
      <c r="J1480" s="5" t="inlineStr">
        <is>
          <t>BaseDamage</t>
        </is>
      </c>
      <c r="K1480" s="5" t="inlineStr">
        <is>
          <t>BaseHitDamage</t>
        </is>
      </c>
      <c r="L1480" s="5" t="inlineStr">
        <is>
          <t>NonCritAvg</t>
        </is>
      </c>
      <c r="M1480" s="5" t="inlineStr">
        <is>
          <t>CritAvg</t>
        </is>
      </c>
      <c r="N1480" s="5" t="inlineStr">
        <is>
          <t>ExpectedDamage(perHit)</t>
        </is>
      </c>
      <c r="O1480" s="5" t="inlineStr">
        <is>
          <t>DPS</t>
        </is>
      </c>
      <c r="P1480" s="5" t="inlineStr">
        <is>
          <t>% of Total</t>
        </is>
      </c>
      <c r="Q1480" s="5" t="inlineStr">
        <is>
          <t>InvCooldown</t>
        </is>
      </c>
      <c r="R1480" s="5" t="inlineStr">
        <is>
          <t>CastsInFight</t>
        </is>
      </c>
      <c r="S1480" s="5" t="inlineStr">
        <is>
          <t>HitRate(perSec)</t>
        </is>
      </c>
      <c r="U1480" t="inlineStr">
        <is>
          <t>helpers</t>
        </is>
      </c>
    </row>
    <row r="1481">
      <c r="A1481">
        <f>Skills!A2</f>
        <v/>
      </c>
      <c r="B1481">
        <f>Skills!B2</f>
        <v/>
      </c>
      <c r="C1481">
        <f>Inputs!$B$3&gt;=100</f>
        <v/>
      </c>
      <c r="D1481" t="inlineStr"/>
      <c r="E1481" t="inlineStr"/>
      <c r="F1481">
        <f>U1483+Skills!O2</f>
        <v/>
      </c>
      <c r="G1481">
        <f>Skills!G2*IF(Skills!H2&gt;0,Skills!I2/Skills!H2,1)</f>
        <v/>
      </c>
      <c r="H1481">
        <f>1-(1-Skills!J2/100)^Skills!K2</f>
        <v/>
      </c>
      <c r="I1481" t="inlineStr">
        <is>
          <t>1</t>
        </is>
      </c>
      <c r="J1481">
        <f>((Inputs!$B$6*(1+Inputs!$B$7/100))+(((Inputs!$B$12*(1+Inputs!$B$13/100))-(Inputs!$B$12*(1+Inputs!$B$13/100)))+0.25*(Inputs!$B$14-Inputs!$B$14))*(1+Inputs!$B$7/100))*(F1481/100)</f>
        <v/>
      </c>
      <c r="K1481">
        <f>J1481*(1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1481)</f>
        <v/>
      </c>
      <c r="L1481">
        <f>K1481*(MIN(Inputs!$B$22+((C1501=TRUE)*(F1501-Calc!F22)),(Inputs!$B$23+0+(IF(ArtifactsInput!$M$15,CHOOSE(ArtifactsInput!$N$15+1,25,30,35,40,45,50)/100*(Inputs!$B$11-Inputs!$B$11),0))))/100+(Inputs!$B$23+0+(IF(ArtifactsInput!$M$15,CHOOSE(ArtifactsInput!$N$15+1,25,30,35,40,45,50)/100*(Inputs!$B$11-Inputs!$B$11),0)))/100)/2</f>
        <v/>
      </c>
      <c r="M1481">
        <f>L1481*(1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1">
        <f>L1481*(1-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1">
        <f>(1-Summary!$B$11)*T1481+Summary!$B$11*V1481</f>
        <v/>
      </c>
      <c r="P1481">
        <f>IF(B1520=0,0,O1481/B1520)</f>
        <v/>
      </c>
      <c r="Q1481" t="n">
        <v>0</v>
      </c>
      <c r="R1481" t="n">
        <v>0</v>
      </c>
      <c r="S1481">
        <f>IFERROR(O1481/N1481,0)</f>
        <v/>
      </c>
      <c r="T1481">
        <f>IF(C1481,(Skills!G2*N1481*B1514)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1481*(1-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1481*(1-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1">
        <f>MAX(0,(Inputs!$B$3-100)*3)+Inputs!$B$28+Inputs!$B$29</f>
        <v/>
      </c>
      <c r="V1481">
        <f>IF(C1481,(Skills!G2*N1481*B1514)*IF(Inputs!$B$38="pvp",1,(1+(Inputs!$B$21+Skills!Q2+(IF(ArtifactsInput!$M$33,CHOOSE(ArtifactsInput!$N$33+1,30,36,42,48,54,60),0))+(IF(AND(ArtifactsInput!$M$35,Inputs!$B$4&lt;&gt;"Chapter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2">
      <c r="A1482">
        <f>Skills!A3</f>
        <v/>
      </c>
      <c r="B1482">
        <f>Skills!B3</f>
        <v/>
      </c>
      <c r="C1482">
        <f>Inputs!$B$3&gt;=35</f>
        <v/>
      </c>
      <c r="D1482">
        <f>IF(Skills!C3=1,60+Inputs!$B$25+Inputs!$B$29,IF(Skills!C3=2,90+Inputs!$B$26+Inputs!$B$29,IF(Skills!C3=3,120+Inputs!$B$27+Inputs!$B$29,MAX(0,(Inputs!$B$3-100)*3)+Inputs!$B$28+Inputs!$B$29)))</f>
        <v/>
      </c>
      <c r="E1482">
        <f>INDEX(FactorTable!$B$2:$Y$301, MATCH(ROUND(MIN(300,MAX(1,D1482)),0), FactorTable!$A$2:$A$301,0), Skills!M3+1)</f>
        <v/>
      </c>
      <c r="F1482">
        <f>IF(Skills!N3=TRUE,(Skills!L3/10)*(E1482/1000),Skills!L3/10)+Skills!O3</f>
        <v/>
      </c>
      <c r="G1482">
        <f>Skills!G3*IF(Skills!H3&gt;0,Skills!I3/Skills!H3,1)</f>
        <v/>
      </c>
      <c r="H1482">
        <f>1-(1-Skills!J3/100)^Skills!K3</f>
        <v/>
      </c>
      <c r="I1482" t="inlineStr">
        <is>
          <t>1</t>
        </is>
      </c>
      <c r="J1482">
        <f>((Inputs!$B$6*(1+Inputs!$B$7/100))+(((Inputs!$B$12*(1+Inputs!$B$13/100))-(Inputs!$B$12*(1+Inputs!$B$13/100)))+0.25*(Inputs!$B$14-Inputs!$B$14))*(1+Inputs!$B$7/100))*(F1482/100)</f>
        <v/>
      </c>
      <c r="K1482">
        <f>J1482*(1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1494=TRUE,F1494,0)/100)*(1+(IF(Skills!A3="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1482)</f>
        <v/>
      </c>
      <c r="L1482">
        <f>K1482*(MIN(Inputs!$B$22+((C1501=TRUE)*(F1501-Calc!F22)),(Inputs!$B$23+0+(IF(ArtifactsInput!$M$15,CHOOSE(ArtifactsInput!$N$15+1,25,30,35,40,45,50)/100*(Inputs!$B$11-Inputs!$B$11),0))))/100+(Inputs!$B$23+0+(IF(ArtifactsInput!$M$15,CHOOSE(ArtifactsInput!$N$15+1,25,30,35,40,45,50)/100*(Inputs!$B$11-Inputs!$B$11),0)))/100)/2</f>
        <v/>
      </c>
      <c r="M1482">
        <f>L1482*(1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2">
        <f>L1482*(1-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1482*(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2">
        <f>(1-Summary!$B$11)*T1482+Summary!$B$11*V1482</f>
        <v/>
      </c>
      <c r="P1482">
        <f>IF(B1520=0,0,O1482/B1520)</f>
        <v/>
      </c>
      <c r="Q1482">
        <f>IFERROR(1/(IF(Inputs!$B$38="pvp",15,MAX(0.1,Skills!D3-IF(Skills!E3=TRUE,Inputs!$B$32,0)))*(1-IF(AND(ArtifactsInput!$M$27,Inputs!$B$4="Chapter Hunt"),CHOOSE(ArtifactsInput!$N$27+1,20,24,28,32,36,40),0)/100)),0)</f>
        <v/>
      </c>
      <c r="R1482">
        <f>IF(AND(Inputs!$B$38&lt;&gt;"pvp",Inputs!$B$43&gt;0),IF(MAX(0,Inputs!$B$43-B1517)&lt;=0,0,(INT(MAX(0,Inputs!$B$43-B1517)/(IF(Inputs!$B$38="pvp",15,MAX(0.1,Skills!D3-IF(Skills!E3=TRUE,Inputs!$B$32,0)))*(1-IF(AND(ArtifactsInput!$M$27,Inputs!$B$4="Chapter Hunt"),CHOOSE(ArtifactsInput!$N$27+1,20,24,28,32,36,40),0)/100)))+1)),0)</f>
        <v/>
      </c>
      <c r="S1482">
        <f>IFERROR(O1482/N1482,0)</f>
        <v/>
      </c>
      <c r="T1482">
        <f>IF(C1482,(H1482*N1482*IF(AND(Inputs!$B$38&lt;&gt;"pvp",Inputs!$B$43&gt;0),((Skills!G3*((R1482-1)*IF(Skills!H3&gt;0,Skills!I3/Skills!H3,1)+IF(Skills!H3&gt;0,MIN(Skills!I3,MAX(0,MAX(0,Inputs!$B$43-B1517)-((R1482-1)*(IF(Inputs!$B$38="pvp",15,MAX(0.1,Skills!D3-IF(Skills!E3=TRUE,Inputs!$B$32,0)))*(1-IF(AND(ArtifactsInput!$M$27,Inputs!$B$4="Chapter Hunt"),CHOOSE(ArtifactsInput!$N$27+1,20,24,28,32,36,40),0)/100)))))/Skills!H3,1)))/Inputs!$B$43),G1482*Q1482)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1482*(1-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1482*(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1482*(1-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1482*(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2">
        <f>INDEX(FactorTable!$B$2:$Y$301, MATCH(ROUND(MIN(300,MAX(1,U1481)),0), FactorTable!$A$2:$A$301,0), 22)</f>
        <v/>
      </c>
      <c r="V1482">
        <f>IF(C1482,(H1482*N1482*IF(AND(Inputs!$B$38&lt;&gt;"pvp",Inputs!$B$43&gt;0),((Skills!G3*((R1482-1)*IF(Skills!H3&gt;0,Skills!I3/Skills!H3,1)+IF(Skills!H3&gt;0,MIN(Skills!I3,MAX(0,MAX(0,Inputs!$B$43-B1517)-((R1482-1)*(IF(Inputs!$B$38="pvp",15,MAX(0.1,Skills!D3-IF(Skills!E3=TRUE,Inputs!$B$32,0)))*(1-IF(AND(ArtifactsInput!$M$27,Inputs!$B$4="Chapter Hunt"),CHOOSE(ArtifactsInput!$N$27+1,20,24,28,32,36,40),0)/100)))))/Skills!H3,1)))/Inputs!$B$43),G1482*Q1482))*IF(Inputs!$B$38="pvp",1,(1+(Inputs!$B$21+Skills!Q3+(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3">
      <c r="A1483">
        <f>Skills!A4</f>
        <v/>
      </c>
      <c r="B1483">
        <f>Skills!B4</f>
        <v/>
      </c>
      <c r="C1483">
        <f>Inputs!$B$3&gt;=40</f>
        <v/>
      </c>
      <c r="D1483">
        <f>IF(Skills!C4=1,60+Inputs!$B$25+Inputs!$B$29,IF(Skills!C4=2,90+Inputs!$B$26+Inputs!$B$29,IF(Skills!C4=3,120+Inputs!$B$27+Inputs!$B$29,MAX(0,(Inputs!$B$3-100)*3)+Inputs!$B$28+Inputs!$B$29)))</f>
        <v/>
      </c>
      <c r="E1483">
        <f>INDEX(FactorTable!$B$2:$Y$301, MATCH(ROUND(MIN(300,MAX(1,D1483)),0), FactorTable!$A$2:$A$301,0), Skills!M4+1)</f>
        <v/>
      </c>
      <c r="F1483">
        <f>IF(Skills!N4=TRUE,(Skills!L4/10)*(E1483/1000),Skills!L4/10)+Skills!O4</f>
        <v/>
      </c>
      <c r="G1483">
        <f>Skills!G4*IF(Skills!H4&gt;0,Skills!I4/Skills!H4,1)</f>
        <v/>
      </c>
      <c r="H1483">
        <f>1-(1-Skills!J4/100)^Skills!K4</f>
        <v/>
      </c>
      <c r="I1483" t="inlineStr">
        <is>
          <t>1</t>
        </is>
      </c>
      <c r="J1483">
        <f>((Inputs!$B$6*(1+Inputs!$B$7/100))+(((Inputs!$B$12*(1+Inputs!$B$13/100))-(Inputs!$B$12*(1+Inputs!$B$13/100)))+0.25*(Inputs!$B$14-Inputs!$B$14))*(1+Inputs!$B$7/100))*(F1483/100)</f>
        <v/>
      </c>
      <c r="K1483">
        <f>J1483*(1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1495=TRUE,F1495,0)/100)*(1+(IF(Skills!A4="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1483)</f>
        <v/>
      </c>
      <c r="L1483">
        <f>K1483*(MIN(Inputs!$B$22+((C1501=TRUE)*(F1501-Calc!F22)),(Inputs!$B$23+0+(IF(ArtifactsInput!$M$15,CHOOSE(ArtifactsInput!$N$15+1,25,30,35,40,45,50)/100*(Inputs!$B$11-Inputs!$B$11),0))))/100+(Inputs!$B$23+0+(IF(ArtifactsInput!$M$15,CHOOSE(ArtifactsInput!$N$15+1,25,30,35,40,45,50)/100*(Inputs!$B$11-Inputs!$B$11),0)))/100)/2</f>
        <v/>
      </c>
      <c r="M1483">
        <f>L1483*(1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3">
        <f>L1483*(1-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1483*(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3">
        <f>(1-Summary!$B$11)*T1483+Summary!$B$11*V1483</f>
        <v/>
      </c>
      <c r="P1483">
        <f>IF(B1520=0,0,O1483/B1520)</f>
        <v/>
      </c>
      <c r="Q1483">
        <f>IFERROR(1/(IF(Inputs!$B$38="pvp",15,MAX(0.1,Skills!D4-IF(Skills!E4=TRUE,Inputs!$B$32,0)))*(1-IF(AND(ArtifactsInput!$M$27,Inputs!$B$4="Chapter Hunt"),CHOOSE(ArtifactsInput!$N$27+1,20,24,28,32,36,40),0)/100)),0)</f>
        <v/>
      </c>
      <c r="R1483">
        <f>IF(AND(Inputs!$B$38&lt;&gt;"pvp",Inputs!$B$43&gt;0),IF(MAX(0,Inputs!$B$43-B1517)&lt;=0,0,(INT(MAX(0,Inputs!$B$43-B1517)/(IF(Inputs!$B$38="pvp",15,MAX(0.1,Skills!D4-IF(Skills!E4=TRUE,Inputs!$B$32,0)))*(1-IF(AND(ArtifactsInput!$M$27,Inputs!$B$4="Chapter Hunt"),CHOOSE(ArtifactsInput!$N$27+1,20,24,28,32,36,40),0)/100)))+1)),0)</f>
        <v/>
      </c>
      <c r="S1483">
        <f>IFERROR(O1483/N1483,0)</f>
        <v/>
      </c>
      <c r="T1483">
        <f>IF(C1483,(H1483*N1483*IF(AND(Inputs!$B$38&lt;&gt;"pvp",Inputs!$B$43&gt;0),((Skills!G4*((R1483-1)*IF(Skills!H4&gt;0,Skills!I4/Skills!H4,1)+IF(Skills!H4&gt;0,MIN(Skills!I4,MAX(0,MAX(0,Inputs!$B$43-B1517)-((R1483-1)*(IF(Inputs!$B$38="pvp",15,MAX(0.1,Skills!D4-IF(Skills!E4=TRUE,Inputs!$B$32,0)))*(1-IF(AND(ArtifactsInput!$M$27,Inputs!$B$4="Chapter Hunt"),CHOOSE(ArtifactsInput!$N$27+1,20,24,28,32,36,40),0)/100)))))/Skills!H4,1)))/Inputs!$B$43),G1483*Q1483)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1483*(1-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1483*(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1483*(1-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1483*(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3">
        <f>290*U1482/1000</f>
        <v/>
      </c>
      <c r="V1483">
        <f>IF(C1483,(H1483*N1483*IF(AND(Inputs!$B$38&lt;&gt;"pvp",Inputs!$B$43&gt;0),((Skills!G4*((R1483-1)*IF(Skills!H4&gt;0,Skills!I4/Skills!H4,1)+IF(Skills!H4&gt;0,MIN(Skills!I4,MAX(0,MAX(0,Inputs!$B$43-B1517)-((R1483-1)*(IF(Inputs!$B$38="pvp",15,MAX(0.1,Skills!D4-IF(Skills!E4=TRUE,Inputs!$B$32,0)))*(1-IF(AND(ArtifactsInput!$M$27,Inputs!$B$4="Chapter Hunt"),CHOOSE(ArtifactsInput!$N$27+1,20,24,28,32,36,40),0)/100)))))/Skills!H4,1)))/Inputs!$B$43),G1483*Q1483))*IF(Inputs!$B$38="pvp",1,(1+(Inputs!$B$21+Skills!Q4+(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4">
      <c r="A1484">
        <f>Skills!A5</f>
        <v/>
      </c>
      <c r="B1484">
        <f>Skills!B5</f>
        <v/>
      </c>
      <c r="C1484">
        <f>Inputs!$B$3&gt;=45</f>
        <v/>
      </c>
      <c r="D1484">
        <f>IF(Skills!C5=1,60+Inputs!$B$25+Inputs!$B$29,IF(Skills!C5=2,90+Inputs!$B$26+Inputs!$B$29,IF(Skills!C5=3,120+Inputs!$B$27+Inputs!$B$29,MAX(0,(Inputs!$B$3-100)*3)+Inputs!$B$28+Inputs!$B$29)))</f>
        <v/>
      </c>
      <c r="E1484">
        <f>INDEX(FactorTable!$B$2:$Y$301, MATCH(ROUND(MIN(300,MAX(1,D1484)),0), FactorTable!$A$2:$A$301,0), Skills!M5+1)</f>
        <v/>
      </c>
      <c r="F1484">
        <f>IF(Skills!N5=TRUE,(Skills!L5/10)*(E1484/1000),Skills!L5/10)+Skills!O5</f>
        <v/>
      </c>
      <c r="G1484">
        <f>Skills!G5*IF(Skills!H5&gt;0,Skills!I5/Skills!H5,1)</f>
        <v/>
      </c>
      <c r="H1484">
        <f>1-(1-Skills!J5/100)^Skills!K5</f>
        <v/>
      </c>
      <c r="I1484" t="inlineStr">
        <is>
          <t>1</t>
        </is>
      </c>
      <c r="J1484">
        <f>((Inputs!$B$6*(1+Inputs!$B$7/100))+(((Inputs!$B$12*(1+Inputs!$B$13/100))-(Inputs!$B$12*(1+Inputs!$B$13/100)))+0.25*(Inputs!$B$14-Inputs!$B$14))*(1+Inputs!$B$7/100))*(F1484/100)</f>
        <v/>
      </c>
      <c r="K1484">
        <f>J1484*(1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1495=TRUE,F1495,0)/100)*(1+(IF(Skills!A5="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1484)</f>
        <v/>
      </c>
      <c r="L1484">
        <f>K1484*(MIN(Inputs!$B$22+((C1501=TRUE)*(F1501-Calc!F22)),(Inputs!$B$23+0+(IF(ArtifactsInput!$M$15,CHOOSE(ArtifactsInput!$N$15+1,25,30,35,40,45,50)/100*(Inputs!$B$11-Inputs!$B$11),0))))/100+(Inputs!$B$23+0+(IF(ArtifactsInput!$M$15,CHOOSE(ArtifactsInput!$N$15+1,25,30,35,40,45,50)/100*(Inputs!$B$11-Inputs!$B$11),0)))/100)/2</f>
        <v/>
      </c>
      <c r="M1484">
        <f>L1484*(1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4">
        <f>L1484*(1-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1484*(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4">
        <f>(1-Summary!$B$11)*T1484+Summary!$B$11*V1484</f>
        <v/>
      </c>
      <c r="P1484">
        <f>IF(B1520=0,0,O1484/B1520)</f>
        <v/>
      </c>
      <c r="Q1484">
        <f>IFERROR(1/(IF(Inputs!$B$38="pvp",15,MAX(0.1,Skills!D5-IF(Skills!E5=TRUE,Inputs!$B$32,0)))*(1-IF(AND(ArtifactsInput!$M$27,Inputs!$B$4="Chapter Hunt"),CHOOSE(ArtifactsInput!$N$27+1,20,24,28,32,36,40),0)/100)),0)</f>
        <v/>
      </c>
      <c r="R1484">
        <f>IF(AND(Inputs!$B$38&lt;&gt;"pvp",Inputs!$B$43&gt;0),IF(MAX(0,Inputs!$B$43-B1517)&lt;=0,0,(INT(MAX(0,Inputs!$B$43-B1517)/(IF(Inputs!$B$38="pvp",15,MAX(0.1,Skills!D5-IF(Skills!E5=TRUE,Inputs!$B$32,0)))*(1-IF(AND(ArtifactsInput!$M$27,Inputs!$B$4="Chapter Hunt"),CHOOSE(ArtifactsInput!$N$27+1,20,24,28,32,36,40),0)/100)))+1)),0)</f>
        <v/>
      </c>
      <c r="S1484">
        <f>IFERROR(O1484/N1484,0)</f>
        <v/>
      </c>
      <c r="T1484">
        <f>IF(C1484,(H1484*N1484*IF(AND(Inputs!$B$38&lt;&gt;"pvp",Inputs!$B$43&gt;0),((Skills!G5*((R1484-1)*IF(Skills!H5&gt;0,Skills!I5/Skills!H5,1)+IF(Skills!H5&gt;0,MIN(Skills!I5,MAX(0,MAX(0,Inputs!$B$43-B1517)-((R1484-1)*(IF(Inputs!$B$38="pvp",15,MAX(0.1,Skills!D5-IF(Skills!E5=TRUE,Inputs!$B$32,0)))*(1-IF(AND(ArtifactsInput!$M$27,Inputs!$B$4="Chapter Hunt"),CHOOSE(ArtifactsInput!$N$27+1,20,24,28,32,36,40),0)/100)))))/Skills!H5,1)))/Inputs!$B$43),G1484*Q1484)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1484*(1-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1484*(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1484*(1-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1484*(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4">
        <f>IF(C1484,(H1484*N1484*IF(AND(Inputs!$B$38&lt;&gt;"pvp",Inputs!$B$43&gt;0),((Skills!G5*((R1484-1)*IF(Skills!H5&gt;0,Skills!I5/Skills!H5,1)+IF(Skills!H5&gt;0,MIN(Skills!I5,MAX(0,MAX(0,Inputs!$B$43-B1517)-((R1484-1)*(IF(Inputs!$B$38="pvp",15,MAX(0.1,Skills!D5-IF(Skills!E5=TRUE,Inputs!$B$32,0)))*(1-IF(AND(ArtifactsInput!$M$27,Inputs!$B$4="Chapter Hunt"),CHOOSE(ArtifactsInput!$N$27+1,20,24,28,32,36,40),0)/100)))))/Skills!H5,1)))/Inputs!$B$43),G1484*Q1484))*IF(Inputs!$B$38="pvp",1,(1+(Inputs!$B$21+Skills!Q5+(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5">
      <c r="A1485">
        <f>Skills!A6</f>
        <v/>
      </c>
      <c r="B1485">
        <f>Skills!B6</f>
        <v/>
      </c>
      <c r="C1485">
        <f>Inputs!$B$3&gt;=63</f>
        <v/>
      </c>
      <c r="D1485">
        <f>IF(Skills!C6=1,60+Inputs!$B$25+Inputs!$B$29,IF(Skills!C6=2,90+Inputs!$B$26+Inputs!$B$29,IF(Skills!C6=3,120+Inputs!$B$27+Inputs!$B$29,MAX(0,(Inputs!$B$3-100)*3)+Inputs!$B$28+Inputs!$B$29)))</f>
        <v/>
      </c>
      <c r="E1485">
        <f>INDEX(FactorTable!$B$2:$Y$301, MATCH(ROUND(MIN(300,MAX(1,D1485)),0), FactorTable!$A$2:$A$301,0), Skills!M6+1)</f>
        <v/>
      </c>
      <c r="F1485">
        <f>IF(Skills!N6=TRUE,(Skills!L6/10)*(E1485/1000),Skills!L6/10)+Skills!O6</f>
        <v/>
      </c>
      <c r="G1485">
        <f>Skills!G6*IF(Skills!H6&gt;0,Skills!I6/Skills!H6,1)</f>
        <v/>
      </c>
      <c r="H1485">
        <f>1-(1-Skills!J6/100)^Skills!K6</f>
        <v/>
      </c>
      <c r="I1485" t="inlineStr">
        <is>
          <t>1</t>
        </is>
      </c>
      <c r="J1485">
        <f>((Inputs!$B$6*(1+Inputs!$B$7/100))+(((Inputs!$B$12*(1+Inputs!$B$13/100))-(Inputs!$B$12*(1+Inputs!$B$13/100)))+0.25*(Inputs!$B$14-Inputs!$B$14))*(1+Inputs!$B$7/100))*(F1485/100)</f>
        <v/>
      </c>
      <c r="K1485">
        <f>J1485*(1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1494=TRUE,F1494,0)/100)*(1+(IF(Skills!A6="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1485)</f>
        <v/>
      </c>
      <c r="L1485">
        <f>K1485*(MIN(Inputs!$B$22+((C1501=TRUE)*(F1501-Calc!F22)),(Inputs!$B$23+0+(IF(ArtifactsInput!$M$15,CHOOSE(ArtifactsInput!$N$15+1,25,30,35,40,45,50)/100*(Inputs!$B$11-Inputs!$B$11),0))))/100+(Inputs!$B$23+0+(IF(ArtifactsInput!$M$15,CHOOSE(ArtifactsInput!$N$15+1,25,30,35,40,45,50)/100*(Inputs!$B$11-Inputs!$B$11),0)))/100)/2</f>
        <v/>
      </c>
      <c r="M1485">
        <f>L1485*(1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5">
        <f>L1485*(1-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1485*(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5">
        <f>(1-Summary!$B$11)*T1485+Summary!$B$11*V1485</f>
        <v/>
      </c>
      <c r="P1485">
        <f>IF(B1520=0,0,O1485/B1520)</f>
        <v/>
      </c>
      <c r="Q1485">
        <f>IFERROR(1/(IF(Inputs!$B$38="pvp",15,MAX(0.1,Skills!D6-IF(Skills!E6=TRUE,Inputs!$B$32,0)))*(1-IF(AND(ArtifactsInput!$M$27,Inputs!$B$4="Chapter Hunt"),CHOOSE(ArtifactsInput!$N$27+1,20,24,28,32,36,40),0)/100)),0)</f>
        <v/>
      </c>
      <c r="R1485">
        <f>IF(AND(Inputs!$B$38&lt;&gt;"pvp",Inputs!$B$43&gt;0),IF(MAX(0,Inputs!$B$43-B1517)&lt;=0,0,(INT(MAX(0,Inputs!$B$43-B1517)/(IF(Inputs!$B$38="pvp",15,MAX(0.1,Skills!D6-IF(Skills!E6=TRUE,Inputs!$B$32,0)))*(1-IF(AND(ArtifactsInput!$M$27,Inputs!$B$4="Chapter Hunt"),CHOOSE(ArtifactsInput!$N$27+1,20,24,28,32,36,40),0)/100)))+1)),0)</f>
        <v/>
      </c>
      <c r="S1485">
        <f>IFERROR(O1485/N1485,0)</f>
        <v/>
      </c>
      <c r="T1485">
        <f>IF(C1485,(H1485*N1485*IF(AND(Inputs!$B$38&lt;&gt;"pvp",Inputs!$B$43&gt;0),((Skills!G6*((R1485-1)*IF(Skills!H6&gt;0,Skills!I6/Skills!H6,1)+IF(Skills!H6&gt;0,MIN(Skills!I6,MAX(0,MAX(0,Inputs!$B$43-B1517)-((R1485-1)*(IF(Inputs!$B$38="pvp",15,MAX(0.1,Skills!D6-IF(Skills!E6=TRUE,Inputs!$B$32,0)))*(1-IF(AND(ArtifactsInput!$M$27,Inputs!$B$4="Chapter Hunt"),CHOOSE(ArtifactsInput!$N$27+1,20,24,28,32,36,40),0)/100)))))/Skills!H6,1)))/Inputs!$B$43),G1485*Q1485)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1485*(1-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1485*(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1485*(1-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1485*(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5">
        <f>IF(C1485,(H1485*N1485*IF(AND(Inputs!$B$38&lt;&gt;"pvp",Inputs!$B$43&gt;0),((Skills!G6*((R1485-1)*IF(Skills!H6&gt;0,Skills!I6/Skills!H6,1)+IF(Skills!H6&gt;0,MIN(Skills!I6,MAX(0,MAX(0,Inputs!$B$43-B1517)-((R1485-1)*(IF(Inputs!$B$38="pvp",15,MAX(0.1,Skills!D6-IF(Skills!E6=TRUE,Inputs!$B$32,0)))*(1-IF(AND(ArtifactsInput!$M$27,Inputs!$B$4="Chapter Hunt"),CHOOSE(ArtifactsInput!$N$27+1,20,24,28,32,36,40),0)/100)))))/Skills!H6,1)))/Inputs!$B$43),G1485*Q1485))*IF(Inputs!$B$38="pvp",1,(1+(Inputs!$B$21+Skills!Q6+(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6">
      <c r="A1486">
        <f>Skills!A7</f>
        <v/>
      </c>
      <c r="B1486">
        <f>Skills!B7</f>
        <v/>
      </c>
      <c r="C1486">
        <f>Inputs!$B$3&gt;=66</f>
        <v/>
      </c>
      <c r="D1486">
        <f>IF(Skills!C7=1,60+Inputs!$B$25+Inputs!$B$29,IF(Skills!C7=2,90+Inputs!$B$26+Inputs!$B$29,IF(Skills!C7=3,120+Inputs!$B$27+Inputs!$B$29,MAX(0,(Inputs!$B$3-100)*3)+Inputs!$B$28+Inputs!$B$29)))</f>
        <v/>
      </c>
      <c r="E1486">
        <f>INDEX(FactorTable!$B$2:$Y$301, MATCH(ROUND(MIN(300,MAX(1,D1486)),0), FactorTable!$A$2:$A$301,0), Skills!M7+1)</f>
        <v/>
      </c>
      <c r="F1486">
        <f>IF(Skills!N7=TRUE,(Skills!L7/10)*(E1486/1000),Skills!L7/10)+Skills!O7</f>
        <v/>
      </c>
      <c r="G1486">
        <f>Skills!G7*IF(Skills!H7&gt;0,Skills!I7/Skills!H7,1)</f>
        <v/>
      </c>
      <c r="H1486">
        <f>1-(1-Skills!J7/100)^Skills!K7</f>
        <v/>
      </c>
      <c r="I1486" t="inlineStr">
        <is>
          <t>1</t>
        </is>
      </c>
      <c r="J1486">
        <f>((Inputs!$B$6*(1+Inputs!$B$7/100))+(((Inputs!$B$12*(1+Inputs!$B$13/100))-(Inputs!$B$12*(1+Inputs!$B$13/100)))+0.25*(Inputs!$B$14-Inputs!$B$14))*(1+Inputs!$B$7/100))*(F1486/100)</f>
        <v/>
      </c>
      <c r="K1486">
        <f>J1486*(1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1494=TRUE,F1494,0)/100)*(1+(IF(Skills!A7="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1486)</f>
        <v/>
      </c>
      <c r="L1486">
        <f>K1486*(MIN(Inputs!$B$22+((C1501=TRUE)*(F1501-Calc!F22)),(Inputs!$B$23+0+(IF(ArtifactsInput!$M$15,CHOOSE(ArtifactsInput!$N$15+1,25,30,35,40,45,50)/100*(Inputs!$B$11-Inputs!$B$11),0))))/100+(Inputs!$B$23+0+(IF(ArtifactsInput!$M$15,CHOOSE(ArtifactsInput!$N$15+1,25,30,35,40,45,50)/100*(Inputs!$B$11-Inputs!$B$11),0)))/100)/2</f>
        <v/>
      </c>
      <c r="M1486">
        <f>L1486*(1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6">
        <f>L1486*(1-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1486*(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6">
        <f>(1-Summary!$B$11)*T1486+Summary!$B$11*V1486</f>
        <v/>
      </c>
      <c r="P1486">
        <f>IF(B1520=0,0,O1486/B1520)</f>
        <v/>
      </c>
      <c r="Q1486">
        <f>IFERROR(1/(IF(Inputs!$B$38="pvp",15,MAX(0.1,Skills!D7-IF(Skills!E7=TRUE,Inputs!$B$32,0)))*(1-IF(AND(ArtifactsInput!$M$27,Inputs!$B$4="Chapter Hunt"),CHOOSE(ArtifactsInput!$N$27+1,20,24,28,32,36,40),0)/100)),0)</f>
        <v/>
      </c>
      <c r="R1486">
        <f>IF(AND(Inputs!$B$38&lt;&gt;"pvp",Inputs!$B$43&gt;0),IF(MAX(0,Inputs!$B$43-B1517)&lt;=0,0,(INT(MAX(0,Inputs!$B$43-B1517)/(IF(Inputs!$B$38="pvp",15,MAX(0.1,Skills!D7-IF(Skills!E7=TRUE,Inputs!$B$32,0)))*(1-IF(AND(ArtifactsInput!$M$27,Inputs!$B$4="Chapter Hunt"),CHOOSE(ArtifactsInput!$N$27+1,20,24,28,32,36,40),0)/100)))+1)),0)</f>
        <v/>
      </c>
      <c r="S1486">
        <f>IFERROR(O1486/N1486,0)</f>
        <v/>
      </c>
      <c r="T1486">
        <f>IF(C1486,(H1486*N1486*IF(AND(Inputs!$B$38&lt;&gt;"pvp",Inputs!$B$43&gt;0),((Skills!G7*((R1486-1)*IF(Skills!H7&gt;0,Skills!I7/Skills!H7,1)+IF(Skills!H7&gt;0,MIN(Skills!I7,MAX(0,MAX(0,Inputs!$B$43-B1517)-((R1486-1)*(IF(Inputs!$B$38="pvp",15,MAX(0.1,Skills!D7-IF(Skills!E7=TRUE,Inputs!$B$32,0)))*(1-IF(AND(ArtifactsInput!$M$27,Inputs!$B$4="Chapter Hunt"),CHOOSE(ArtifactsInput!$N$27+1,20,24,28,32,36,40),0)/100)))))/Skills!H7,1)))/Inputs!$B$43),G1486*Q1486)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1486*(1-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1486*(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1486*(1-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1486*(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6">
        <f>IF(C1486,(H1486*N1486*IF(AND(Inputs!$B$38&lt;&gt;"pvp",Inputs!$B$43&gt;0),((Skills!G7*((R1486-1)*IF(Skills!H7&gt;0,Skills!I7/Skills!H7,1)+IF(Skills!H7&gt;0,MIN(Skills!I7,MAX(0,MAX(0,Inputs!$B$43-B1517)-((R1486-1)*(IF(Inputs!$B$38="pvp",15,MAX(0.1,Skills!D7-IF(Skills!E7=TRUE,Inputs!$B$32,0)))*(1-IF(AND(ArtifactsInput!$M$27,Inputs!$B$4="Chapter Hunt"),CHOOSE(ArtifactsInput!$N$27+1,20,24,28,32,36,40),0)/100)))))/Skills!H7,1)))/Inputs!$B$43),G1486*Q1486))*IF(Inputs!$B$38="pvp",1,(1+(Inputs!$B$21+Skills!Q7+(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7">
      <c r="A1487">
        <f>Skills!A8</f>
        <v/>
      </c>
      <c r="B1487">
        <f>Skills!B8</f>
        <v/>
      </c>
      <c r="C1487">
        <f>Inputs!$B$3&gt;=100</f>
        <v/>
      </c>
      <c r="D1487">
        <f>IF(Skills!C8=1,60+Inputs!$B$25+Inputs!$B$29,IF(Skills!C8=2,90+Inputs!$B$26+Inputs!$B$29,IF(Skills!C8=3,120+Inputs!$B$27+Inputs!$B$29,MAX(0,(Inputs!$B$3-100)*3)+Inputs!$B$28+Inputs!$B$29)))</f>
        <v/>
      </c>
      <c r="E1487">
        <f>INDEX(FactorTable!$B$2:$Y$301, MATCH(ROUND(MIN(300,MAX(1,D1487)),0), FactorTable!$A$2:$A$301,0), Skills!M8+1)</f>
        <v/>
      </c>
      <c r="F1487">
        <f>IF(Skills!N8=TRUE,(Skills!L8/10)*(E1487/1000),Skills!L8/10)+Skills!O8</f>
        <v/>
      </c>
      <c r="G1487">
        <f>Skills!G8*IF(Skills!H8&gt;0,Skills!I8/Skills!H8,1)</f>
        <v/>
      </c>
      <c r="H1487">
        <f>1-(1-Skills!J8/100)^Skills!K8</f>
        <v/>
      </c>
      <c r="I1487" t="inlineStr">
        <is>
          <t>1</t>
        </is>
      </c>
      <c r="J1487">
        <f>((Inputs!$B$6*(1+Inputs!$B$7/100))+(((Inputs!$B$12*(1+Inputs!$B$13/100))-(Inputs!$B$12*(1+Inputs!$B$13/100)))+0.25*(Inputs!$B$14-Inputs!$B$14))*(1+Inputs!$B$7/100))*(F1487/100)</f>
        <v/>
      </c>
      <c r="K1487">
        <f>J1487*(1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1487)</f>
        <v/>
      </c>
      <c r="L1487">
        <f>K1487*(MIN(Inputs!$B$22+((C1501=TRUE)*(F1501-Calc!F22)),(Inputs!$B$23+0+(IF(ArtifactsInput!$M$15,CHOOSE(ArtifactsInput!$N$15+1,25,30,35,40,45,50)/100*(Inputs!$B$11-Inputs!$B$11),0))))/100+(Inputs!$B$23+0+(IF(ArtifactsInput!$M$15,CHOOSE(ArtifactsInput!$N$15+1,25,30,35,40,45,50)/100*(Inputs!$B$11-Inputs!$B$11),0)))/100)/2</f>
        <v/>
      </c>
      <c r="M1487">
        <f>L1487*(1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7">
        <f>L1487*(1-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1487*(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7">
        <f>(1-Summary!$B$11)*T1487+Summary!$B$11*V1487</f>
        <v/>
      </c>
      <c r="P1487">
        <f>IF(B1520=0,0,O1487/B1520)</f>
        <v/>
      </c>
      <c r="Q1487">
        <f>IFERROR(1/(IF(Inputs!$B$38="pvp",15,MAX(0.1,Skills!D8-IF(Skills!E8=TRUE,Inputs!$B$32,0)))*(1-IF(AND(ArtifactsInput!$M$27,Inputs!$B$4="Chapter Hunt"),CHOOSE(ArtifactsInput!$N$27+1,20,24,28,32,36,40),0)/100)),0)</f>
        <v/>
      </c>
      <c r="R1487">
        <f>IF(AND(Inputs!$B$38&lt;&gt;"pvp",Inputs!$B$43&gt;0),IF(MAX(0,Inputs!$B$43-B1517)&lt;=0,0,(INT(MAX(0,Inputs!$B$43-B1517)/(IF(Inputs!$B$38="pvp",15,MAX(0.1,Skills!D8-IF(Skills!E8=TRUE,Inputs!$B$32,0)))*(1-IF(AND(ArtifactsInput!$M$27,Inputs!$B$4="Chapter Hunt"),CHOOSE(ArtifactsInput!$N$27+1,20,24,28,32,36,40),0)/100)))+1)),0)</f>
        <v/>
      </c>
      <c r="S1487">
        <f>IFERROR(O1487/N1487,0)</f>
        <v/>
      </c>
      <c r="T1487">
        <f>IF(C1487,(H1487*N1487*IF(AND(Inputs!$B$38&lt;&gt;"pvp",Inputs!$B$43&gt;0),((Skills!G8*((R1487-1)*IF(Skills!H8&gt;0,Skills!I8/Skills!H8,1)+IF(Skills!H8&gt;0,MIN(Skills!I8,MAX(0,MAX(0,Inputs!$B$43-B1517)-((R1487-1)*(IF(Inputs!$B$38="pvp",15,MAX(0.1,Skills!D8-IF(Skills!E8=TRUE,Inputs!$B$32,0)))*(1-IF(AND(ArtifactsInput!$M$27,Inputs!$B$4="Chapter Hunt"),CHOOSE(ArtifactsInput!$N$27+1,20,24,28,32,36,40),0)/100)))))/Skills!H8,1)))/Inputs!$B$43),G1487*Q1487)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1487*(1-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1487*(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1487*(1-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1487*(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7">
        <f>IF(C1487,(H1487*N1487*IF(AND(Inputs!$B$38&lt;&gt;"pvp",Inputs!$B$43&gt;0),((Skills!G8*((R1487-1)*IF(Skills!H8&gt;0,Skills!I8/Skills!H8,1)+IF(Skills!H8&gt;0,MIN(Skills!I8,MAX(0,MAX(0,Inputs!$B$43-B1517)-((R1487-1)*(IF(Inputs!$B$38="pvp",15,MAX(0.1,Skills!D8-IF(Skills!E8=TRUE,Inputs!$B$32,0)))*(1-IF(AND(ArtifactsInput!$M$27,Inputs!$B$4="Chapter Hunt"),CHOOSE(ArtifactsInput!$N$27+1,20,24,28,32,36,40),0)/100)))))/Skills!H8,1)))/Inputs!$B$43),G1487*Q1487))*IF(Inputs!$B$38="pvp",1,(1+(Inputs!$B$21+Skills!Q8+(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8">
      <c r="A1488">
        <f>Skills!A9</f>
        <v/>
      </c>
      <c r="B1488">
        <f>Skills!B9</f>
        <v/>
      </c>
      <c r="C1488">
        <f>Inputs!$B$3&gt;=103</f>
        <v/>
      </c>
      <c r="D1488">
        <f>IF(Skills!C9=1,60+Inputs!$B$25+Inputs!$B$29,IF(Skills!C9=2,90+Inputs!$B$26+Inputs!$B$29,IF(Skills!C9=3,120+Inputs!$B$27+Inputs!$B$29,MAX(0,(Inputs!$B$3-100)*3)+Inputs!$B$28+Inputs!$B$29)))</f>
        <v/>
      </c>
      <c r="E1488">
        <f>INDEX(FactorTable!$B$2:$Y$301, MATCH(ROUND(MIN(300,MAX(1,D1488)),0), FactorTable!$A$2:$A$301,0), Skills!M9+1)</f>
        <v/>
      </c>
      <c r="F1488">
        <f>IF(Skills!N9=TRUE,(Skills!L9/10)*(E1488/1000),Skills!L9/10)+Skills!O9</f>
        <v/>
      </c>
      <c r="G1488">
        <f>Skills!G9*IF(Skills!H9&gt;0,Skills!I9/Skills!H9,1)</f>
        <v/>
      </c>
      <c r="H1488">
        <f>1-(1-Skills!J9/100)^Skills!K9</f>
        <v/>
      </c>
      <c r="I1488" t="inlineStr">
        <is>
          <t>1</t>
        </is>
      </c>
      <c r="J1488">
        <f>((Inputs!$B$6*(1+Inputs!$B$7/100))+(((Inputs!$B$12*(1+Inputs!$B$13/100))-(Inputs!$B$12*(1+Inputs!$B$13/100)))+0.25*(Inputs!$B$14-Inputs!$B$14))*(1+Inputs!$B$7/100))*(F1488/100)</f>
        <v/>
      </c>
      <c r="K1488">
        <f>J1488*(1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1488)</f>
        <v/>
      </c>
      <c r="L1488">
        <f>K1488*(MIN(Inputs!$B$22+((C1501=TRUE)*(F1501-Calc!F22)),(Inputs!$B$23+0+(IF(ArtifactsInput!$M$15,CHOOSE(ArtifactsInput!$N$15+1,25,30,35,40,45,50)/100*(Inputs!$B$11-Inputs!$B$11),0))))/100+(Inputs!$B$23+0+(IF(ArtifactsInput!$M$15,CHOOSE(ArtifactsInput!$N$15+1,25,30,35,40,45,50)/100*(Inputs!$B$11-Inputs!$B$11),0)))/100)/2</f>
        <v/>
      </c>
      <c r="M1488">
        <f>L1488*(1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8">
        <f>L1488*(1-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1488*(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8">
        <f>(1-Summary!$B$11)*T1488+Summary!$B$11*V1488</f>
        <v/>
      </c>
      <c r="P1488">
        <f>IF(B1520=0,0,O1488/B1520)</f>
        <v/>
      </c>
      <c r="Q1488">
        <f>IFERROR(1/(IF(Inputs!$B$38="pvp",15,MAX(0.1,Skills!D9-IF(Skills!E9=TRUE,Inputs!$B$32,0)))*(1-IF(AND(ArtifactsInput!$M$27,Inputs!$B$4="Chapter Hunt"),CHOOSE(ArtifactsInput!$N$27+1,20,24,28,32,36,40),0)/100)),0)</f>
        <v/>
      </c>
      <c r="R1488">
        <f>IF(AND(Inputs!$B$38&lt;&gt;"pvp",Inputs!$B$43&gt;0),IF(MAX(0,Inputs!$B$43-B1517)&lt;=0,0,(INT(MAX(0,Inputs!$B$43-B1517)/(IF(Inputs!$B$38="pvp",15,MAX(0.1,Skills!D9-IF(Skills!E9=TRUE,Inputs!$B$32,0)))*(1-IF(AND(ArtifactsInput!$M$27,Inputs!$B$4="Chapter Hunt"),CHOOSE(ArtifactsInput!$N$27+1,20,24,28,32,36,40),0)/100)))+1)),0)</f>
        <v/>
      </c>
      <c r="S1488">
        <f>IFERROR(O1488/N1488,0)</f>
        <v/>
      </c>
      <c r="T1488">
        <f>IF(C1488,(H1488*N1488*IF(AND(Inputs!$B$38&lt;&gt;"pvp",Inputs!$B$43&gt;0),((Skills!G9*((R1488-1)*IF(Skills!H9&gt;0,Skills!I9/Skills!H9,1)+IF(Skills!H9&gt;0,MIN(Skills!I9,MAX(0,MAX(0,Inputs!$B$43-B1517)-((R1488-1)*(IF(Inputs!$B$38="pvp",15,MAX(0.1,Skills!D9-IF(Skills!E9=TRUE,Inputs!$B$32,0)))*(1-IF(AND(ArtifactsInput!$M$27,Inputs!$B$4="Chapter Hunt"),CHOOSE(ArtifactsInput!$N$27+1,20,24,28,32,36,40),0)/100)))))/Skills!H9,1)))/Inputs!$B$43),G1488*Q1488)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1488*(1-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1488*(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1488*(1-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1488*(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8">
        <f>IF(C1488,(H1488*N1488*IF(AND(Inputs!$B$38&lt;&gt;"pvp",Inputs!$B$43&gt;0),((Skills!G9*((R1488-1)*IF(Skills!H9&gt;0,Skills!I9/Skills!H9,1)+IF(Skills!H9&gt;0,MIN(Skills!I9,MAX(0,MAX(0,Inputs!$B$43-B1517)-((R1488-1)*(IF(Inputs!$B$38="pvp",15,MAX(0.1,Skills!D9-IF(Skills!E9=TRUE,Inputs!$B$32,0)))*(1-IF(AND(ArtifactsInput!$M$27,Inputs!$B$4="Chapter Hunt"),CHOOSE(ArtifactsInput!$N$27+1,20,24,28,32,36,40),0)/100)))))/Skills!H9,1)))/Inputs!$B$43),G1488*Q1488))*IF(Inputs!$B$38="pvp",1,(1+(Inputs!$B$21+Skills!Q9+(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9">
      <c r="A1489">
        <f>Skills!A10</f>
        <v/>
      </c>
      <c r="B1489">
        <f>Skills!B10</f>
        <v/>
      </c>
      <c r="C1489">
        <f>Inputs!$B$3&gt;=113</f>
        <v/>
      </c>
      <c r="D1489">
        <f>IF(Skills!C10=1,60+Inputs!$B$25+Inputs!$B$29,IF(Skills!C10=2,90+Inputs!$B$26+Inputs!$B$29,IF(Skills!C10=3,120+Inputs!$B$27+Inputs!$B$29,MAX(0,(Inputs!$B$3-100)*3)+Inputs!$B$28+Inputs!$B$29)))</f>
        <v/>
      </c>
      <c r="E1489">
        <f>INDEX(FactorTable!$B$2:$Y$301, MATCH(ROUND(MIN(300,MAX(1,D1489)),0), FactorTable!$A$2:$A$301,0), Skills!M10+1)</f>
        <v/>
      </c>
      <c r="F1489">
        <f>IF(Skills!N10=TRUE,(Skills!L10/10)*(E1489/1000),Skills!L10/10)+Skills!O10</f>
        <v/>
      </c>
      <c r="G1489">
        <f>Skills!G10*IF(Skills!H10&gt;0,Skills!I10/Skills!H10,1)</f>
        <v/>
      </c>
      <c r="H1489">
        <f>1-(1-Skills!J10/100)^Skills!K10</f>
        <v/>
      </c>
      <c r="I1489" t="inlineStr">
        <is>
          <t>1</t>
        </is>
      </c>
      <c r="J1489">
        <f>((Inputs!$B$6*(1+Inputs!$B$7/100))+(((Inputs!$B$12*(1+Inputs!$B$13/100))-(Inputs!$B$12*(1+Inputs!$B$13/100)))+0.25*(Inputs!$B$14-Inputs!$B$14))*(1+Inputs!$B$7/100))*(F1489/100)</f>
        <v/>
      </c>
      <c r="K1489">
        <f>J1489*(1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1489)</f>
        <v/>
      </c>
      <c r="L1489">
        <f>K1489*(MIN(Inputs!$B$22+((C1501=TRUE)*(F1501-Calc!F22)),(Inputs!$B$23+0+(IF(ArtifactsInput!$M$15,CHOOSE(ArtifactsInput!$N$15+1,25,30,35,40,45,50)/100*(Inputs!$B$11-Inputs!$B$11),0))))/100+(Inputs!$B$23+0+(IF(ArtifactsInput!$M$15,CHOOSE(ArtifactsInput!$N$15+1,25,30,35,40,45,50)/100*(Inputs!$B$11-Inputs!$B$11),0)))/100)/2</f>
        <v/>
      </c>
      <c r="M1489">
        <f>L1489*(1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9">
        <f>L1489*(1-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1489*(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9">
        <f>(1-Summary!$B$11)*T1489+Summary!$B$11*V1489</f>
        <v/>
      </c>
      <c r="P1489">
        <f>IF(B1520=0,0,O1489/B1520)</f>
        <v/>
      </c>
      <c r="Q1489">
        <f>IFERROR(1/(IF(Inputs!$B$38="pvp",15,MAX(0.1,Skills!D10-IF(Skills!E10=TRUE,Inputs!$B$32,0)))*(1-IF(AND(ArtifactsInput!$M$27,Inputs!$B$4="Chapter Hunt"),CHOOSE(ArtifactsInput!$N$27+1,20,24,28,32,36,40),0)/100)),0)</f>
        <v/>
      </c>
      <c r="R1489">
        <f>IF(AND(Inputs!$B$38&lt;&gt;"pvp",Inputs!$B$43&gt;0),IF(MAX(0,Inputs!$B$43-B1517)&lt;=0,0,(INT(MAX(0,Inputs!$B$43-B1517)/(IF(Inputs!$B$38="pvp",15,MAX(0.1,Skills!D10-IF(Skills!E10=TRUE,Inputs!$B$32,0)))*(1-IF(AND(ArtifactsInput!$M$27,Inputs!$B$4="Chapter Hunt"),CHOOSE(ArtifactsInput!$N$27+1,20,24,28,32,36,40),0)/100)))+1)),0)</f>
        <v/>
      </c>
      <c r="S1489">
        <f>IFERROR(O1489/N1489,0)</f>
        <v/>
      </c>
      <c r="T1489">
        <f>IF(C1489,(H1489*N1489*IF(AND(Inputs!$B$38&lt;&gt;"pvp",Inputs!$B$43&gt;0),((Skills!G10*((R1489-1)*IF(Skills!H10&gt;0,Skills!I10/Skills!H10,1)+IF(Skills!H10&gt;0,MIN(Skills!I10,MAX(0,MAX(0,Inputs!$B$43-B1517)-((R1489-1)*(IF(Inputs!$B$38="pvp",15,MAX(0.1,Skills!D10-IF(Skills!E10=TRUE,Inputs!$B$32,0)))*(1-IF(AND(ArtifactsInput!$M$27,Inputs!$B$4="Chapter Hunt"),CHOOSE(ArtifactsInput!$N$27+1,20,24,28,32,36,40),0)/100)))))/Skills!H10,1)))/Inputs!$B$43),G1489*Q1489)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1489*(1-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1489*(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1489*(1-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1489*(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9">
        <f>IF(C1489,(H1489*N1489*IF(AND(Inputs!$B$38&lt;&gt;"pvp",Inputs!$B$43&gt;0),((Skills!G10*((R1489-1)*IF(Skills!H10&gt;0,Skills!I10/Skills!H10,1)+IF(Skills!H10&gt;0,MIN(Skills!I10,MAX(0,MAX(0,Inputs!$B$43-B1517)-((R1489-1)*(IF(Inputs!$B$38="pvp",15,MAX(0.1,Skills!D10-IF(Skills!E10=TRUE,Inputs!$B$32,0)))*(1-IF(AND(ArtifactsInput!$M$27,Inputs!$B$4="Chapter Hunt"),CHOOSE(ArtifactsInput!$N$27+1,20,24,28,32,36,40),0)/100)))))/Skills!H10,1)))/Inputs!$B$43),G1489*Q1489))*IF(Inputs!$B$38="pvp",1,(1+(Inputs!$B$21+Skills!Q10+(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0">
      <c r="A1490">
        <f>Skills!A11</f>
        <v/>
      </c>
      <c r="B1490">
        <f>Skills!B11</f>
        <v/>
      </c>
      <c r="C1490">
        <f>Inputs!$B$3&gt;=107</f>
        <v/>
      </c>
      <c r="D1490">
        <f>IF(Skills!C11=1,60+Inputs!$B$25+Inputs!$B$29,IF(Skills!C11=2,90+Inputs!$B$26+Inputs!$B$29,IF(Skills!C11=3,120+Inputs!$B$27+Inputs!$B$29,MAX(0,(Inputs!$B$3-100)*3)+Inputs!$B$28+Inputs!$B$29)))</f>
        <v/>
      </c>
      <c r="E1490">
        <f>INDEX(FactorTable!$B$2:$Y$301, MATCH(ROUND(MIN(300,MAX(1,D1490)),0), FactorTable!$A$2:$A$301,0), Skills!M11+1)</f>
        <v/>
      </c>
      <c r="F1490">
        <f>IF(Skills!N11=TRUE,(Skills!L11/10)*(E1490/1000),Skills!L11/10)+Skills!O11</f>
        <v/>
      </c>
      <c r="G1490">
        <f>Skills!G11*IF(Skills!H11&gt;0,Skills!I11/Skills!H11,1)</f>
        <v/>
      </c>
      <c r="H1490">
        <f>1-(1-Skills!J11/100)^Skills!K11</f>
        <v/>
      </c>
      <c r="I1490" t="inlineStr">
        <is>
          <t>1</t>
        </is>
      </c>
      <c r="J1490">
        <f>((Inputs!$B$6*(1+Inputs!$B$7/100))+(((Inputs!$B$12*(1+Inputs!$B$13/100))-(Inputs!$B$12*(1+Inputs!$B$13/100)))+0.25*(Inputs!$B$14-Inputs!$B$14))*(1+Inputs!$B$7/100))*(F1490/100)</f>
        <v/>
      </c>
      <c r="K1490">
        <f>J1490*(1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1490)</f>
        <v/>
      </c>
      <c r="L1490">
        <f>K1490*(MIN(Inputs!$B$22+((C1501=TRUE)*(F1501-Calc!F22)),(Inputs!$B$23+0+(IF(ArtifactsInput!$M$15,CHOOSE(ArtifactsInput!$N$15+1,25,30,35,40,45,50)/100*(Inputs!$B$11-Inputs!$B$11),0))))/100+(Inputs!$B$23+0+(IF(ArtifactsInput!$M$15,CHOOSE(ArtifactsInput!$N$15+1,25,30,35,40,45,50)/100*(Inputs!$B$11-Inputs!$B$11),0)))/100)/2</f>
        <v/>
      </c>
      <c r="M1490">
        <f>L1490*(1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0">
        <f>L1490*(1-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1490*(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0">
        <f>(1-Summary!$B$11)*T1490+Summary!$B$11*V1490</f>
        <v/>
      </c>
      <c r="P1490">
        <f>IF(B1520=0,0,O1490/B1520)</f>
        <v/>
      </c>
      <c r="Q1490">
        <f>IFERROR(1/(IF(Inputs!$B$38="pvp",15,MAX(0.1,Skills!D11-IF(Skills!E11=TRUE,Inputs!$B$32,0)))*(1-IF(AND(ArtifactsInput!$M$27,Inputs!$B$4="Chapter Hunt"),CHOOSE(ArtifactsInput!$N$27+1,20,24,28,32,36,40),0)/100)),0)</f>
        <v/>
      </c>
      <c r="R1490">
        <f>IF(AND(Inputs!$B$38&lt;&gt;"pvp",Inputs!$B$43&gt;0),IF(MAX(0,Inputs!$B$43-B1517)&lt;=0,0,(INT(MAX(0,Inputs!$B$43-B1517)/(IF(Inputs!$B$38="pvp",15,MAX(0.1,Skills!D11-IF(Skills!E11=TRUE,Inputs!$B$32,0)))*(1-IF(AND(ArtifactsInput!$M$27,Inputs!$B$4="Chapter Hunt"),CHOOSE(ArtifactsInput!$N$27+1,20,24,28,32,36,40),0)/100)))+1)),0)</f>
        <v/>
      </c>
      <c r="S1490">
        <f>IFERROR(O1490/N1490,0)</f>
        <v/>
      </c>
      <c r="T1490">
        <f>IF(C1490,(H1490*N1490*IF(AND(Inputs!$B$38&lt;&gt;"pvp",Inputs!$B$43&gt;0),((Skills!G11*((R1490-1)*IF(Skills!H11&gt;0,Skills!I11/Skills!H11,1)+IF(Skills!H11&gt;0,MIN(Skills!I11,MAX(0,MAX(0,Inputs!$B$43-B1517)-((R1490-1)*(IF(Inputs!$B$38="pvp",15,MAX(0.1,Skills!D11-IF(Skills!E11=TRUE,Inputs!$B$32,0)))*(1-IF(AND(ArtifactsInput!$M$27,Inputs!$B$4="Chapter Hunt"),CHOOSE(ArtifactsInput!$N$27+1,20,24,28,32,36,40),0)/100)))))/Skills!H11,1)))/Inputs!$B$43),G1490*Q1490)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1490*(1-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1490*(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1490*(1-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1490*(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90">
        <f>IF(C1490,(H1490*N1490*IF(AND(Inputs!$B$38&lt;&gt;"pvp",Inputs!$B$43&gt;0),((Skills!G11*((R1490-1)*IF(Skills!H11&gt;0,Skills!I11/Skills!H11,1)+IF(Skills!H11&gt;0,MIN(Skills!I11,MAX(0,MAX(0,Inputs!$B$43-B1517)-((R1490-1)*(IF(Inputs!$B$38="pvp",15,MAX(0.1,Skills!D11-IF(Skills!E11=TRUE,Inputs!$B$32,0)))*(1-IF(AND(ArtifactsInput!$M$27,Inputs!$B$4="Chapter Hunt"),CHOOSE(ArtifactsInput!$N$27+1,20,24,28,32,36,40),0)/100)))))/Skills!H11,1)))/Inputs!$B$43),G1490*Q1490))*IF(Inputs!$B$38="pvp",1,(1+(Inputs!$B$21+Skills!Q11+(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1">
      <c r="A1491">
        <f>Skills!A12</f>
        <v/>
      </c>
      <c r="B1491">
        <f>Skills!B12</f>
        <v/>
      </c>
      <c r="C1491">
        <f>Inputs!$B$3&gt;=110</f>
        <v/>
      </c>
      <c r="D1491">
        <f>IF(Skills!C12=1,60+Inputs!$B$25+Inputs!$B$29,IF(Skills!C12=2,90+Inputs!$B$26+Inputs!$B$29,IF(Skills!C12=3,120+Inputs!$B$27+Inputs!$B$29,MAX(0,(Inputs!$B$3-100)*3)+Inputs!$B$28+Inputs!$B$29)))</f>
        <v/>
      </c>
      <c r="E1491">
        <f>INDEX(FactorTable!$B$2:$Y$301, MATCH(ROUND(MIN(300,MAX(1,D1491)),0), FactorTable!$A$2:$A$301,0), Skills!M12+1)</f>
        <v/>
      </c>
      <c r="F1491">
        <f>IF(Skills!N12=TRUE,(Skills!L12/10)*(E1491/1000),Skills!L12/10)+Skills!O12</f>
        <v/>
      </c>
      <c r="G1491">
        <f>Skills!G12*IF(Skills!H12&gt;0,Skills!I12/Skills!H12,1)</f>
        <v/>
      </c>
      <c r="H1491">
        <f>1-(1-Skills!J12/100)^Skills!K12</f>
        <v/>
      </c>
      <c r="I1491" t="inlineStr">
        <is>
          <t>1</t>
        </is>
      </c>
      <c r="J1491">
        <f>((Inputs!$B$6*(1+Inputs!$B$7/100))+(((Inputs!$B$12*(1+Inputs!$B$13/100))-(Inputs!$B$12*(1+Inputs!$B$13/100)))+0.25*(Inputs!$B$14-Inputs!$B$14))*(1+Inputs!$B$7/100))*(F1491/100)</f>
        <v/>
      </c>
      <c r="K1491">
        <f>J1491*(1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1491)</f>
        <v/>
      </c>
      <c r="L1491">
        <f>K1491*(MIN(Inputs!$B$22+((C1501=TRUE)*(F1501-Calc!F22)),(Inputs!$B$23+0+(IF(ArtifactsInput!$M$15,CHOOSE(ArtifactsInput!$N$15+1,25,30,35,40,45,50)/100*(Inputs!$B$11-Inputs!$B$11),0))))/100+(Inputs!$B$23+0+(IF(ArtifactsInput!$M$15,CHOOSE(ArtifactsInput!$N$15+1,25,30,35,40,45,50)/100*(Inputs!$B$11-Inputs!$B$11),0)))/100)/2</f>
        <v/>
      </c>
      <c r="M1491">
        <f>L1491*(1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1">
        <f>L1491*(1-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1">
        <f>(1-Summary!$B$11)*T1491+Summary!$B$11*V1491</f>
        <v/>
      </c>
      <c r="P1491">
        <f>IF(B1520=0,0,O1491/B1520)</f>
        <v/>
      </c>
      <c r="Q1491">
        <f>IFERROR(1/(IF(Inputs!$B$38="pvp",15,MAX(0.1,Skills!D12-IF(Skills!E12=TRUE,Inputs!$B$32,0)))*(1-IF(AND(ArtifactsInput!$M$27,Inputs!$B$4="Chapter Hunt"),CHOOSE(ArtifactsInput!$N$27+1,20,24,28,32,36,40),0)/100)),0)</f>
        <v/>
      </c>
      <c r="R1491">
        <f>IF(AND(Inputs!$B$38&lt;&gt;"pvp",Inputs!$B$43&gt;0),IF(MAX(0,Inputs!$B$43-B1517)&lt;=0,0,(INT(MAX(0,Inputs!$B$43-B1517)/(IF(Inputs!$B$38="pvp",15,MAX(0.1,Skills!D12-IF(Skills!E12=TRUE,Inputs!$B$32,0)))*(1-IF(AND(ArtifactsInput!$M$27,Inputs!$B$4="Chapter Hunt"),CHOOSE(ArtifactsInput!$N$27+1,20,24,28,32,36,40),0)/100)))+1)),0)</f>
        <v/>
      </c>
      <c r="S1491">
        <f>IFERROR(O1491/N1491,0)</f>
        <v/>
      </c>
      <c r="T1491">
        <f>IF(C1491,(H1491*N1491*IF(AND(Inputs!$B$38&lt;&gt;"pvp",Inputs!$B$43&gt;0),((Skills!G12*((R1491-1)*IF(Skills!H12&gt;0,Skills!I12/Skills!H12,1)+IF(Skills!H12&gt;0,MIN(Skills!I12,MAX(0,MAX(0,Inputs!$B$43-B1517)-((R1491-1)*(IF(Inputs!$B$38="pvp",15,MAX(0.1,Skills!D12-IF(Skills!E12=TRUE,Inputs!$B$32,0)))*(1-IF(AND(ArtifactsInput!$M$27,Inputs!$B$4="Chapter Hunt"),CHOOSE(ArtifactsInput!$N$27+1,20,24,28,32,36,40),0)/100)))))/Skills!H12,1)))/Inputs!$B$43),G1491*Q1491)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1491*(1-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1491*(1-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91">
        <f>IF(C1491,(H1491*N1491*IF(AND(Inputs!$B$38&lt;&gt;"pvp",Inputs!$B$43&gt;0),((Skills!G12*((R1491-1)*IF(Skills!H12&gt;0,Skills!I12/Skills!H12,1)+IF(Skills!H12&gt;0,MIN(Skills!I12,MAX(0,MAX(0,Inputs!$B$43-B1517)-((R1491-1)*(IF(Inputs!$B$38="pvp",15,MAX(0.1,Skills!D12-IF(Skills!E12=TRUE,Inputs!$B$32,0)))*(1-IF(AND(ArtifactsInput!$M$27,Inputs!$B$4="Chapter Hunt"),CHOOSE(ArtifactsInput!$N$27+1,20,24,28,32,36,40),0)/100)))))/Skills!H12,1)))/Inputs!$B$43),G1491*Q1491))*IF(Inputs!$B$38="pvp",1,(1+(Inputs!$B$21+Skills!Q12+(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2">
      <c r="A1492">
        <f>Skills!A13</f>
        <v/>
      </c>
      <c r="B1492">
        <f>Skills!B13</f>
        <v/>
      </c>
      <c r="C1492">
        <f>Inputs!$B$3&gt;=110</f>
        <v/>
      </c>
      <c r="D1492">
        <f>IF(Skills!C13=1,60+Inputs!$B$25+Inputs!$B$29,IF(Skills!C13=2,90+Inputs!$B$26+Inputs!$B$29,IF(Skills!C13=3,120+Inputs!$B$27+Inputs!$B$29,MAX(0,(Inputs!$B$3-100)*3)+Inputs!$B$28+Inputs!$B$29)))</f>
        <v/>
      </c>
      <c r="E1492">
        <f>INDEX(FactorTable!$B$2:$Y$301, MATCH(ROUND(MIN(300,MAX(1,D1492)),0), FactorTable!$A$2:$A$301,0), Skills!M13+1)</f>
        <v/>
      </c>
      <c r="F1492">
        <f>IF(Skills!N13=TRUE,(Skills!L13/10)*(E1492/1000),Skills!L13/10)+Skills!O13</f>
        <v/>
      </c>
      <c r="G1492">
        <f>Skills!G13*IF(Skills!H13&gt;0,Skills!I13/Skills!H13,1)</f>
        <v/>
      </c>
      <c r="H1492">
        <f>1-(1-Skills!J13/100)^Skills!K13</f>
        <v/>
      </c>
      <c r="I1492" t="inlineStr">
        <is>
          <t>1</t>
        </is>
      </c>
      <c r="J1492">
        <f>((Inputs!$B$6*(1+Inputs!$B$7/100))+(((Inputs!$B$12*(1+Inputs!$B$13/100))-(Inputs!$B$12*(1+Inputs!$B$13/100)))+0.25*(Inputs!$B$14-Inputs!$B$14))*(1+Inputs!$B$7/100))*(F1492/100)</f>
        <v/>
      </c>
      <c r="K1492">
        <f>J1492*(1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1492)</f>
        <v/>
      </c>
      <c r="L1492">
        <f>K1492*(MIN(Inputs!$B$22+((C1501=TRUE)*(F1501-Calc!F22)),(Inputs!$B$23+0+(IF(ArtifactsInput!$M$15,CHOOSE(ArtifactsInput!$N$15+1,25,30,35,40,45,50)/100*(Inputs!$B$11-Inputs!$B$11),0))))/100+(Inputs!$B$23+0+(IF(ArtifactsInput!$M$15,CHOOSE(ArtifactsInput!$N$15+1,25,30,35,40,45,50)/100*(Inputs!$B$11-Inputs!$B$11),0)))/100)/2</f>
        <v/>
      </c>
      <c r="M1492">
        <f>L1492*(1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2">
        <f>L1492*(1-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1492*(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2">
        <f>(1-Summary!$B$11)*T1492+Summary!$B$11*V1492</f>
        <v/>
      </c>
      <c r="P1492">
        <f>IF(B1520=0,0,O1492/B1520)</f>
        <v/>
      </c>
      <c r="Q1492">
        <f>IFERROR(1/(IF(Inputs!$B$38="pvp",15,MAX(0.1,Skills!D13-IF(Skills!E13=TRUE,Inputs!$B$32,0)))*(1-IF(AND(ArtifactsInput!$M$27,Inputs!$B$4="Chapter Hunt"),CHOOSE(ArtifactsInput!$N$27+1,20,24,28,32,36,40),0)/100)),0)</f>
        <v/>
      </c>
      <c r="R1492">
        <f>IF(AND(Inputs!$B$38&lt;&gt;"pvp",Inputs!$B$43&gt;0),IF(MAX(0,Inputs!$B$43-B1517)&lt;=0,0,(INT(MAX(0,Inputs!$B$43-B1517)/(IF(Inputs!$B$38="pvp",15,MAX(0.1,Skills!D13-IF(Skills!E13=TRUE,Inputs!$B$32,0)))*(1-IF(AND(ArtifactsInput!$M$27,Inputs!$B$4="Chapter Hunt"),CHOOSE(ArtifactsInput!$N$27+1,20,24,28,32,36,40),0)/100)))+1)),0)</f>
        <v/>
      </c>
      <c r="S1492">
        <f>IFERROR(O1492/N1492,0)</f>
        <v/>
      </c>
      <c r="T1492">
        <f>IF(C1492,(H1492*N1492*IF(AND(Inputs!$B$38&lt;&gt;"pvp",Inputs!$B$43&gt;0),((Skills!G13*((R1492-1)*IF(Skills!H13&gt;0,Skills!I13/Skills!H13,1)+IF(Skills!H13&gt;0,MIN(Skills!I13,MAX(0,MAX(0,Inputs!$B$43-B1517)-((R1492-1)*(IF(Inputs!$B$38="pvp",15,MAX(0.1,Skills!D13-IF(Skills!E13=TRUE,Inputs!$B$32,0)))*(1-IF(AND(ArtifactsInput!$M$27,Inputs!$B$4="Chapter Hunt"),CHOOSE(ArtifactsInput!$N$27+1,20,24,28,32,36,40),0)/100)))))/Skills!H13,1)))/Inputs!$B$43),G1492*Q1492)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1492*(1-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1492*(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1492*(1-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1492*(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92">
        <f>IF(C1492,(H1492*N1492*IF(AND(Inputs!$B$38&lt;&gt;"pvp",Inputs!$B$43&gt;0),((Skills!G13*((R1492-1)*IF(Skills!H13&gt;0,Skills!I13/Skills!H13,1)+IF(Skills!H13&gt;0,MIN(Skills!I13,MAX(0,MAX(0,Inputs!$B$43-B1517)-((R1492-1)*(IF(Inputs!$B$38="pvp",15,MAX(0.1,Skills!D13-IF(Skills!E13=TRUE,Inputs!$B$32,0)))*(1-IF(AND(ArtifactsInput!$M$27,Inputs!$B$4="Chapter Hunt"),CHOOSE(ArtifactsInput!$N$27+1,20,24,28,32,36,40),0)/100)))))/Skills!H13,1)))/Inputs!$B$43),G1492*Q1492))*IF(Inputs!$B$38="pvp",1,(1+(Inputs!$B$21+Skills!Q13+(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3">
      <c r="A1493">
        <f>Skills!A14</f>
        <v/>
      </c>
      <c r="B1493">
        <f>Skills!B14</f>
        <v/>
      </c>
      <c r="C1493">
        <f>Inputs!$B$3&gt;=125</f>
        <v/>
      </c>
      <c r="D1493">
        <f>IF(Skills!C14=1,60+Inputs!$B$25+Inputs!$B$29,IF(Skills!C14=2,90+Inputs!$B$26+Inputs!$B$29,IF(Skills!C14=3,120+Inputs!$B$27+Inputs!$B$29,MAX(0,(Inputs!$B$3-100)*3)+Inputs!$B$28+Inputs!$B$29)))</f>
        <v/>
      </c>
      <c r="E1493">
        <f>INDEX(FactorTable!$B$2:$Y$301, MATCH(ROUND(MIN(300,MAX(1,D1493)),0), FactorTable!$A$2:$A$301,0), Skills!M14+1)</f>
        <v/>
      </c>
      <c r="F1493">
        <f>IF(Skills!N14=TRUE,(Skills!L14/10)*(E1493/1000),Skills!L14/10)+Skills!O14</f>
        <v/>
      </c>
      <c r="G1493">
        <f>Skills!G14*IF(Skills!H14&gt;0,Skills!I14/Skills!H14,1)</f>
        <v/>
      </c>
      <c r="H1493">
        <f>1-(1-Skills!J14/100)^Skills!K14</f>
        <v/>
      </c>
      <c r="I1493" t="inlineStr">
        <is>
          <t>1</t>
        </is>
      </c>
      <c r="J1493">
        <f>((Inputs!$B$6*(1+Inputs!$B$7/100))+(((Inputs!$B$12*(1+Inputs!$B$13/100))-(Inputs!$B$12*(1+Inputs!$B$13/100)))+0.25*(Inputs!$B$14-Inputs!$B$14))*(1+Inputs!$B$7/100))*(F1493/100)</f>
        <v/>
      </c>
      <c r="K1493">
        <f>J1493*(1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1493)</f>
        <v/>
      </c>
      <c r="L1493">
        <f>K1493*(MIN(Inputs!$B$22+((C1501=TRUE)*(F1501-Calc!F22)),(Inputs!$B$23+0+(IF(ArtifactsInput!$M$15,CHOOSE(ArtifactsInput!$N$15+1,25,30,35,40,45,50)/100*(Inputs!$B$11-Inputs!$B$11),0))))/100+(Inputs!$B$23+0+(IF(ArtifactsInput!$M$15,CHOOSE(ArtifactsInput!$N$15+1,25,30,35,40,45,50)/100*(Inputs!$B$11-Inputs!$B$11),0)))/100)/2</f>
        <v/>
      </c>
      <c r="M1493">
        <f>L1493*(1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3">
        <f>L1493*(1-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1493*(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3">
        <f>(1-Summary!$B$11)*T1493+Summary!$B$11*V1493</f>
        <v/>
      </c>
      <c r="P1493">
        <f>IF(B1520=0,0,O1493/B1520)</f>
        <v/>
      </c>
      <c r="Q1493" t="n">
        <v>0</v>
      </c>
      <c r="R1493" t="n">
        <v>0</v>
      </c>
      <c r="S1493">
        <f>IFERROR(O1493/N1493,0)</f>
        <v/>
      </c>
      <c r="T1493">
        <f>IF(C1493,(H1493*N1493*(B1514+IF(AND(Inputs!$B$38&lt;&gt;"pvp",Inputs!$B$43&gt;0),((Skills!G8*((R1487-1)*IF(Skills!H8&gt;0,Skills!I8/Skills!H8,1)+IF(Skills!H8&gt;0,MIN(Skills!I8,MAX(0,MAX(0,Inputs!$B$43-B1517)-((R1487-1)*(IF(Inputs!$B$38="pvp",15,MAX(0.1,Skills!D8-IF(Skills!E8=TRUE,Inputs!$B$32,0)))*(1-IF(AND(ArtifactsInput!$M$27,Inputs!$B$4="Chapter Hunt"),CHOOSE(ArtifactsInput!$N$27+1,20,24,28,32,36,40),0)/100)))))/Skills!H8,1)))/Inputs!$B$43),G1487*Q1487)+IF(AND(Inputs!$B$38&lt;&gt;"pvp",Inputs!$B$43&gt;0),((Skills!G11*((R1490-1)*IF(Skills!H11&gt;0,Skills!I11/Skills!H11,1)+IF(Skills!H11&gt;0,MIN(Skills!I11,MAX(0,MAX(0,Inputs!$B$43-B1517)-((R1490-1)*(IF(Inputs!$B$38="pvp",15,MAX(0.1,Skills!D11-IF(Skills!E11=TRUE,Inputs!$B$32,0)))*(1-IF(AND(ArtifactsInput!$M$27,Inputs!$B$4="Chapter Hunt"),CHOOSE(ArtifactsInput!$N$27+1,20,24,28,32,36,40),0)/100)))))/Skills!H11,1)))/Inputs!$B$43),G1490*Q1490)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1493*(1-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1493*(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1493*(1-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1493*(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93">
        <f>IF(C1493,(H1493*N1493*(B1514+IF(AND(Inputs!$B$38&lt;&gt;"pvp",Inputs!$B$43&gt;0),((Skills!G8*((R1487-1)*IF(Skills!H8&gt;0,Skills!I8/Skills!H8,1)+IF(Skills!H8&gt;0,MIN(Skills!I8,MAX(0,MAX(0,Inputs!$B$43-B1517)-((R1487-1)*(IF(Inputs!$B$38="pvp",15,MAX(0.1,Skills!D8-IF(Skills!E8=TRUE,Inputs!$B$32,0)))*(1-IF(AND(ArtifactsInput!$M$27,Inputs!$B$4="Chapter Hunt"),CHOOSE(ArtifactsInput!$N$27+1,20,24,28,32,36,40),0)/100)))))/Skills!H8,1)))/Inputs!$B$43),G1487*Q1487)+IF(AND(Inputs!$B$38&lt;&gt;"pvp",Inputs!$B$43&gt;0),((Skills!G11*((R1490-1)*IF(Skills!H11&gt;0,Skills!I11/Skills!H11,1)+IF(Skills!H11&gt;0,MIN(Skills!I11,MAX(0,MAX(0,Inputs!$B$43-B1517)-((R1490-1)*(IF(Inputs!$B$38="pvp",15,MAX(0.1,Skills!D11-IF(Skills!E11=TRUE,Inputs!$B$32,0)))*(1-IF(AND(ArtifactsInput!$M$27,Inputs!$B$4="Chapter Hunt"),CHOOSE(ArtifactsInput!$N$27+1,20,24,28,32,36,40),0)/100)))))/Skills!H11,1)))/Inputs!$B$43),G1490*Q1490)))*IF(Inputs!$B$38="pvp",1,(1+(Inputs!$B$21+Skills!Q14+(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4">
      <c r="A1494">
        <f>Skills!A15</f>
        <v/>
      </c>
      <c r="B1494">
        <f>Skills!B15</f>
        <v/>
      </c>
      <c r="C1494">
        <f>Inputs!$B$3&gt;=100</f>
        <v/>
      </c>
      <c r="D1494">
        <f>IF(Skills!C15=1,60+Inputs!$B$25+Inputs!$B$29,IF(Skills!C15=2,90+Inputs!$B$26+Inputs!$B$29,IF(Skills!C15=3,120+Inputs!$B$27+Inputs!$B$29,MAX(0,(Inputs!$B$3-100)*3)+Inputs!$B$28+Inputs!$B$29)))</f>
        <v/>
      </c>
      <c r="E1494">
        <f>INDEX(FactorTable!$B$2:$Y$301, MATCH(ROUND(MIN(300,MAX(1,D1494)),0), FactorTable!$A$2:$A$301,0), Skills!M15+1)</f>
        <v/>
      </c>
      <c r="F1494">
        <f>IF(Skills!N15=TRUE,(Skills!L15/10)*(E1494/1000),Skills!L15/10)+Skills!O15</f>
        <v/>
      </c>
      <c r="G1494" t="inlineStr"/>
      <c r="H1494" t="inlineStr"/>
      <c r="I1494" t="inlineStr">
        <is>
          <t>1</t>
        </is>
      </c>
      <c r="J1494" t="inlineStr"/>
      <c r="K1494" t="inlineStr"/>
      <c r="L1494" t="inlineStr"/>
      <c r="M1494" t="inlineStr"/>
      <c r="N1494" t="inlineStr"/>
      <c r="O1494" t="inlineStr"/>
      <c r="P1494" t="inlineStr"/>
      <c r="Q1494" t="inlineStr"/>
      <c r="R1494" t="inlineStr"/>
      <c r="S1494" t="inlineStr"/>
    </row>
    <row r="1495">
      <c r="A1495">
        <f>Skills!A16</f>
        <v/>
      </c>
      <c r="B1495">
        <f>Skills!B16</f>
        <v/>
      </c>
      <c r="C1495">
        <f>Inputs!$B$3&gt;=120</f>
        <v/>
      </c>
      <c r="D1495">
        <f>IF(Skills!C16=1,60+Inputs!$B$25+Inputs!$B$29,IF(Skills!C16=2,90+Inputs!$B$26+Inputs!$B$29,IF(Skills!C16=3,120+Inputs!$B$27+Inputs!$B$29,MAX(0,(Inputs!$B$3-100)*3)+Inputs!$B$28+Inputs!$B$29)))</f>
        <v/>
      </c>
      <c r="E1495">
        <f>INDEX(FactorTable!$B$2:$Y$301, MATCH(ROUND(MIN(300,MAX(1,D1495)),0), FactorTable!$A$2:$A$301,0), Skills!M16+1)</f>
        <v/>
      </c>
      <c r="F1495">
        <f>IF(Skills!N16=TRUE,(Skills!L16/10)*(E1495/1000),Skills!L16/10)+Skills!O16</f>
        <v/>
      </c>
      <c r="G1495" t="inlineStr"/>
      <c r="H1495" t="inlineStr"/>
      <c r="I1495" t="inlineStr">
        <is>
          <t>1</t>
        </is>
      </c>
      <c r="J1495" t="inlineStr"/>
      <c r="K1495" t="inlineStr"/>
      <c r="L1495" t="inlineStr"/>
      <c r="M1495" t="inlineStr"/>
      <c r="N1495" t="inlineStr"/>
      <c r="O1495" t="inlineStr"/>
      <c r="P1495" t="inlineStr"/>
      <c r="Q1495" t="inlineStr"/>
      <c r="R1495" t="inlineStr"/>
      <c r="S1495" t="inlineStr"/>
    </row>
    <row r="1496">
      <c r="A1496">
        <f>Skills!A17</f>
        <v/>
      </c>
      <c r="B1496">
        <f>Skills!B17</f>
        <v/>
      </c>
      <c r="C1496">
        <f>Inputs!$B$3&gt;=66</f>
        <v/>
      </c>
      <c r="D1496">
        <f>IF(Skills!C17=1,60+Inputs!$B$25+Inputs!$B$29,IF(Skills!C17=2,90+Inputs!$B$26+Inputs!$B$29,IF(Skills!C17=3,120+Inputs!$B$27+Inputs!$B$29,MAX(0,(Inputs!$B$3-100)*3)+Inputs!$B$28+Inputs!$B$29)))</f>
        <v/>
      </c>
      <c r="E1496">
        <f>INDEX(FactorTable!$B$2:$Y$301, MATCH(ROUND(MIN(300,MAX(1,D1496)),0), FactorTable!$A$2:$A$301,0), Skills!M17+1)</f>
        <v/>
      </c>
      <c r="F1496">
        <f>IF(Skills!N17=TRUE,(Skills!L17/10)*(E1496/1000),Skills!L17/10)+Skills!O17</f>
        <v/>
      </c>
      <c r="G1496">
        <f>Skills!G17*IF(Skills!H17&gt;0,Skills!I17/Skills!H17,1)</f>
        <v/>
      </c>
      <c r="H1496">
        <f>1-(1-Skills!J17/100)^Skills!K17</f>
        <v/>
      </c>
      <c r="I1496" t="inlineStr">
        <is>
          <t>1</t>
        </is>
      </c>
      <c r="J1496" t="inlineStr"/>
      <c r="K1496" t="inlineStr"/>
      <c r="L1496" t="inlineStr"/>
      <c r="M1496" t="inlineStr"/>
      <c r="N1496" t="inlineStr"/>
      <c r="O1496">
        <f>(1-Summary!$B$11)*T1496+Summary!$B$11*V1496</f>
        <v/>
      </c>
      <c r="P1496">
        <f>IF(B1520=0,0,O1496/B1520)</f>
        <v/>
      </c>
      <c r="Q1496" t="n">
        <v>0</v>
      </c>
      <c r="R1496" t="n">
        <v>0</v>
      </c>
      <c r="S1496">
        <f>IFERROR(O1496/N1496,0)</f>
        <v/>
      </c>
      <c r="T1496" t="n">
        <v>0</v>
      </c>
      <c r="V1496" t="n">
        <v>0</v>
      </c>
    </row>
    <row r="1497">
      <c r="A1497">
        <f>Skills!A18</f>
        <v/>
      </c>
      <c r="B1497">
        <f>Skills!B18</f>
        <v/>
      </c>
      <c r="C1497">
        <f>Inputs!$B$3&gt;=115</f>
        <v/>
      </c>
      <c r="D1497">
        <f>IF(Skills!C18=1,60+Inputs!$B$25+Inputs!$B$29,IF(Skills!C18=2,90+Inputs!$B$26+Inputs!$B$29,IF(Skills!C18=3,120+Inputs!$B$27+Inputs!$B$29,MAX(0,(Inputs!$B$3-100)*3)+Inputs!$B$28+Inputs!$B$29)))</f>
        <v/>
      </c>
      <c r="E1497">
        <f>INDEX(FactorTable!$B$2:$Y$301, MATCH(ROUND(MIN(300,MAX(1,D1497)),0), FactorTable!$A$2:$A$301,0), Skills!M18+1)</f>
        <v/>
      </c>
      <c r="F1497">
        <f>IF(Skills!N18=TRUE,(Skills!L18/10)*(E1497/1000),Skills!L18/10)+Skills!O18</f>
        <v/>
      </c>
      <c r="G1497">
        <f>Skills!G18*IF(Skills!H18&gt;0,Skills!I18/Skills!H18,1)</f>
        <v/>
      </c>
      <c r="H1497">
        <f>1-(1-Skills!J18/100)^Skills!K18</f>
        <v/>
      </c>
      <c r="I1497" t="inlineStr">
        <is>
          <t>1</t>
        </is>
      </c>
      <c r="J1497" t="inlineStr"/>
      <c r="K1497" t="inlineStr"/>
      <c r="L1497" t="inlineStr"/>
      <c r="M1497" t="inlineStr"/>
      <c r="N1497" t="inlineStr"/>
      <c r="O1497">
        <f>(1-Summary!$B$11)*T1497+Summary!$B$11*V1497</f>
        <v/>
      </c>
      <c r="P1497">
        <f>IF(B1520=0,0,O1497/B1520)</f>
        <v/>
      </c>
      <c r="Q1497">
        <f>IFERROR(1/(IF(Inputs!$B$38="pvp",15,MAX(0.1,Skills!D18-IF(Skills!E18=TRUE,Inputs!$B$32,0)))*(1-IF(AND(ArtifactsInput!$M$27,Inputs!$B$4="Chapter Hunt"),CHOOSE(ArtifactsInput!$N$27+1,20,24,28,32,36,40),0)/100)),0)</f>
        <v/>
      </c>
      <c r="R1497">
        <f>IF(AND(Inputs!$B$38&lt;&gt;"pvp",Inputs!$B$43&gt;0),IF(Inputs!$B$43&lt;=0,0,(INT(Inputs!$B$43/(IF(Inputs!$B$38="pvp",15,MAX(0.1,Skills!D18-IF(Skills!E18=TRUE,Inputs!$B$32,0)))*(1-IF(AND(ArtifactsInput!$M$27,Inputs!$B$4="Chapter Hunt"),CHOOSE(ArtifactsInput!$N$27+1,20,24,28,32,36,40),0)/100)))+1)),0)</f>
        <v/>
      </c>
      <c r="S1497">
        <f>IFERROR(O1497/N1497,0)</f>
        <v/>
      </c>
      <c r="T1497" t="n">
        <v>0</v>
      </c>
      <c r="V1497" t="n">
        <v>0</v>
      </c>
    </row>
    <row r="1498">
      <c r="A1498">
        <f>Skills!A19</f>
        <v/>
      </c>
      <c r="B1498">
        <f>Skills!B19</f>
        <v/>
      </c>
      <c r="C1498">
        <f>Inputs!$B$3&gt;=15</f>
        <v/>
      </c>
      <c r="D1498">
        <f>IF(Skills!C19=1,60+Inputs!$B$25+Inputs!$B$29,IF(Skills!C19=2,90+Inputs!$B$26+Inputs!$B$29,IF(Skills!C19=3,120+Inputs!$B$27+Inputs!$B$29,MAX(0,(Inputs!$B$3-100)*3)+Inputs!$B$28+Inputs!$B$29)))</f>
        <v/>
      </c>
      <c r="E1498">
        <f>INDEX(FactorTable!$B$2:$Y$301, MATCH(ROUND(MIN(300,MAX(1,D1498)),0), FactorTable!$A$2:$A$301,0), Skills!M19+1)</f>
        <v/>
      </c>
      <c r="F1498">
        <f>IF(Skills!N19=TRUE,(Skills!L19/10)*(E1498/1000),Skills!L19/10)+Skills!O19</f>
        <v/>
      </c>
      <c r="G1498">
        <f>Skills!G19*IF(Skills!H19&gt;0,Skills!I19/Skills!H19,1)</f>
        <v/>
      </c>
      <c r="H1498">
        <f>1-(1-Skills!J19/100)^Skills!K19</f>
        <v/>
      </c>
      <c r="I1498" t="inlineStr">
        <is>
          <t>1</t>
        </is>
      </c>
      <c r="J1498" t="inlineStr"/>
      <c r="K1498" t="inlineStr"/>
      <c r="L1498" t="inlineStr"/>
      <c r="M1498" t="inlineStr"/>
      <c r="N1498" t="inlineStr"/>
      <c r="O1498">
        <f>(1-Summary!$B$11)*T1498+Summary!$B$11*V1498</f>
        <v/>
      </c>
      <c r="P1498">
        <f>IF(B1520=0,0,O1498/B1520)</f>
        <v/>
      </c>
      <c r="Q1498" t="n">
        <v>0</v>
      </c>
      <c r="R1498" t="n">
        <v>0</v>
      </c>
      <c r="S1498">
        <f>IFERROR(O1498/N1498,0)</f>
        <v/>
      </c>
      <c r="T1498" t="n">
        <v>0</v>
      </c>
      <c r="V1498" t="n">
        <v>0</v>
      </c>
    </row>
    <row r="1499">
      <c r="A1499">
        <f>Skills!A20</f>
        <v/>
      </c>
      <c r="B1499">
        <f>Skills!B20</f>
        <v/>
      </c>
      <c r="C1499">
        <f>Inputs!$B$3&gt;=10</f>
        <v/>
      </c>
      <c r="D1499">
        <f>IF(Skills!C20=1,60+Inputs!$B$25+Inputs!$B$29,IF(Skills!C20=2,90+Inputs!$B$26+Inputs!$B$29,IF(Skills!C20=3,120+Inputs!$B$27+Inputs!$B$29,MAX(0,(Inputs!$B$3-100)*3)+Inputs!$B$28+Inputs!$B$29)))</f>
        <v/>
      </c>
      <c r="E1499">
        <f>INDEX(FactorTable!$B$2:$Y$301, MATCH(ROUND(MIN(300,MAX(1,D1499)),0), FactorTable!$A$2:$A$301,0), Skills!M20+1)</f>
        <v/>
      </c>
      <c r="F1499">
        <f>IF(Skills!N20=TRUE,(Skills!L20/10)*(E1499/1000),Skills!L20/10)+Skills!O20</f>
        <v/>
      </c>
      <c r="G1499">
        <f>Skills!G20*IF(Skills!H20&gt;0,Skills!I20/Skills!H20,1)</f>
        <v/>
      </c>
      <c r="H1499">
        <f>1-(1-Skills!J20/100)^Skills!K20</f>
        <v/>
      </c>
      <c r="I1499" t="inlineStr">
        <is>
          <t>1</t>
        </is>
      </c>
      <c r="J1499" t="inlineStr"/>
      <c r="K1499" t="inlineStr"/>
      <c r="L1499" t="inlineStr"/>
      <c r="M1499" t="inlineStr"/>
      <c r="N1499" t="inlineStr"/>
      <c r="O1499">
        <f>(1-Summary!$B$11)*T1499+Summary!$B$11*V1499</f>
        <v/>
      </c>
      <c r="P1499">
        <f>IF(B1520=0,0,O1499/B1520)</f>
        <v/>
      </c>
      <c r="Q1499" t="n">
        <v>0</v>
      </c>
      <c r="R1499" t="n">
        <v>0</v>
      </c>
      <c r="S1499">
        <f>IFERROR(O1499/N1499,0)</f>
        <v/>
      </c>
      <c r="T1499" t="n">
        <v>0</v>
      </c>
      <c r="V1499" t="n">
        <v>0</v>
      </c>
    </row>
    <row r="1500">
      <c r="A1500">
        <f>Skills!A21</f>
        <v/>
      </c>
      <c r="B1500">
        <f>Skills!B21</f>
        <v/>
      </c>
      <c r="C1500">
        <f>Inputs!$B$3&gt;=33</f>
        <v/>
      </c>
      <c r="D1500">
        <f>IF(Skills!C21=1,60+Inputs!$B$25+Inputs!$B$29,IF(Skills!C21=2,90+Inputs!$B$26+Inputs!$B$29,IF(Skills!C21=3,120+Inputs!$B$27+Inputs!$B$29,MAX(0,(Inputs!$B$3-100)*3)+Inputs!$B$28+Inputs!$B$29)))</f>
        <v/>
      </c>
      <c r="E1500">
        <f>INDEX(FactorTable!$B$2:$Y$301, MATCH(ROUND(MIN(300,MAX(1,D1500)),0), FactorTable!$A$2:$A$301,0), Skills!M21+1)</f>
        <v/>
      </c>
      <c r="F1500">
        <f>IF(Skills!N21=TRUE,(Skills!L21/10)*(E1500/1000),Skills!L21/10)+Skills!O21</f>
        <v/>
      </c>
      <c r="G1500">
        <f>Skills!G21*IF(Skills!H21&gt;0,Skills!I21/Skills!H21,1)</f>
        <v/>
      </c>
      <c r="H1500">
        <f>1-(1-Skills!J21/100)^Skills!K21</f>
        <v/>
      </c>
      <c r="I1500" t="inlineStr">
        <is>
          <t>1</t>
        </is>
      </c>
      <c r="J1500" t="inlineStr"/>
      <c r="K1500" t="inlineStr"/>
      <c r="L1500" t="inlineStr"/>
      <c r="M1500" t="inlineStr"/>
      <c r="N1500" t="inlineStr"/>
      <c r="O1500">
        <f>(1-Summary!$B$11)*T1500+Summary!$B$11*V1500</f>
        <v/>
      </c>
      <c r="P1500">
        <f>IF(B1520=0,0,O1500/B1520)</f>
        <v/>
      </c>
      <c r="Q1500" t="n">
        <v>0</v>
      </c>
      <c r="R1500" t="n">
        <v>0</v>
      </c>
      <c r="S1500">
        <f>IFERROR(O1500/N1500,0)</f>
        <v/>
      </c>
      <c r="T1500" t="n">
        <v>0</v>
      </c>
      <c r="V1500" t="n">
        <v>0</v>
      </c>
    </row>
    <row r="1501">
      <c r="A1501">
        <f>Skills!A22</f>
        <v/>
      </c>
      <c r="B1501">
        <f>Skills!B22</f>
        <v/>
      </c>
      <c r="C1501">
        <f>Inputs!$B$3&gt;=43</f>
        <v/>
      </c>
      <c r="D1501">
        <f>IF(Skills!C22=1,60+Inputs!$B$25+Inputs!$B$29,IF(Skills!C22=2,90+Inputs!$B$26+Inputs!$B$29,IF(Skills!C22=3,120+Inputs!$B$27+Inputs!$B$29,MAX(0,(Inputs!$B$3-100)*3)+Inputs!$B$28+Inputs!$B$29)))</f>
        <v/>
      </c>
      <c r="E1501">
        <f>INDEX(FactorTable!$B$2:$Y$301, MATCH(ROUND(MIN(300,MAX(1,D1501)),0), FactorTable!$A$2:$A$301,0), Skills!M22+1)</f>
        <v/>
      </c>
      <c r="F1501">
        <f>IF(Skills!N22=TRUE,(Skills!L22/10)*(E1501/1000),Skills!L22/10)+Skills!O22</f>
        <v/>
      </c>
      <c r="G1501">
        <f>Skills!G22*IF(Skills!H22&gt;0,Skills!I22/Skills!H22,1)</f>
        <v/>
      </c>
      <c r="H1501">
        <f>1-(1-Skills!J22/100)^Skills!K22</f>
        <v/>
      </c>
      <c r="I1501" t="inlineStr">
        <is>
          <t>1</t>
        </is>
      </c>
      <c r="J1501" t="inlineStr"/>
      <c r="K1501" t="inlineStr"/>
      <c r="L1501" t="inlineStr"/>
      <c r="M1501" t="inlineStr"/>
      <c r="N1501" t="inlineStr"/>
      <c r="O1501">
        <f>(1-Summary!$B$11)*T1501+Summary!$B$11*V1501</f>
        <v/>
      </c>
      <c r="P1501">
        <f>IF(B1520=0,0,O1501/B1520)</f>
        <v/>
      </c>
      <c r="Q1501" t="n">
        <v>0</v>
      </c>
      <c r="R1501" t="n">
        <v>0</v>
      </c>
      <c r="S1501">
        <f>IFERROR(O1501/N1501,0)</f>
        <v/>
      </c>
      <c r="T1501" t="n">
        <v>0</v>
      </c>
      <c r="V1501" t="n">
        <v>0</v>
      </c>
    </row>
    <row r="1502">
      <c r="A1502">
        <f>Skills!A23</f>
        <v/>
      </c>
      <c r="B1502">
        <f>Skills!B23</f>
        <v/>
      </c>
      <c r="C1502">
        <f>Inputs!$B$3&gt;=38</f>
        <v/>
      </c>
      <c r="D1502">
        <f>IF(Skills!C23=1,60+Inputs!$B$25+Inputs!$B$29,IF(Skills!C23=2,90+Inputs!$B$26+Inputs!$B$29,IF(Skills!C23=3,120+Inputs!$B$27+Inputs!$B$29,MAX(0,(Inputs!$B$3-100)*3)+Inputs!$B$28+Inputs!$B$29)))</f>
        <v/>
      </c>
      <c r="E1502">
        <f>INDEX(FactorTable!$B$2:$Y$301, MATCH(ROUND(MIN(300,MAX(1,D1502)),0), FactorTable!$A$2:$A$301,0), Skills!M23+1)</f>
        <v/>
      </c>
      <c r="F1502">
        <f>IF(Skills!N23=TRUE,(Skills!L23/10)*(E1502/1000),Skills!L23/10)+Skills!O23</f>
        <v/>
      </c>
      <c r="G1502">
        <f>Skills!G23*IF(Skills!H23&gt;0,Skills!I23/Skills!H23,1)</f>
        <v/>
      </c>
      <c r="H1502">
        <f>1-(1-Skills!J23/100)^Skills!K23</f>
        <v/>
      </c>
      <c r="I1502" t="inlineStr">
        <is>
          <t>1</t>
        </is>
      </c>
      <c r="J1502" t="inlineStr"/>
      <c r="K1502" t="inlineStr"/>
      <c r="L1502" t="inlineStr"/>
      <c r="M1502" t="inlineStr"/>
      <c r="N1502" t="inlineStr"/>
      <c r="O1502">
        <f>(1-Summary!$B$11)*T1502+Summary!$B$11*V1502</f>
        <v/>
      </c>
      <c r="P1502">
        <f>IF(B1520=0,0,O1502/B1520)</f>
        <v/>
      </c>
      <c r="Q1502" t="n">
        <v>0</v>
      </c>
      <c r="R1502" t="n">
        <v>0</v>
      </c>
      <c r="S1502">
        <f>IFERROR(O1502/N1502,0)</f>
        <v/>
      </c>
      <c r="T1502" t="n">
        <v>0</v>
      </c>
      <c r="V1502" t="n">
        <v>0</v>
      </c>
    </row>
    <row r="1503">
      <c r="A1503">
        <f>Skills!A24</f>
        <v/>
      </c>
      <c r="B1503">
        <f>Skills!B24</f>
        <v/>
      </c>
      <c r="C1503">
        <f>Inputs!$B$3&gt;=40</f>
        <v/>
      </c>
      <c r="D1503">
        <f>IF(Skills!C24=1,60+Inputs!$B$25+Inputs!$B$29,IF(Skills!C24=2,90+Inputs!$B$26+Inputs!$B$29,IF(Skills!C24=3,120+Inputs!$B$27+Inputs!$B$29,MAX(0,(Inputs!$B$3-100)*3)+Inputs!$B$28+Inputs!$B$29)))</f>
        <v/>
      </c>
      <c r="E1503">
        <f>INDEX(FactorTable!$B$2:$Y$301, MATCH(ROUND(MIN(300,MAX(1,D1503)),0), FactorTable!$A$2:$A$301,0), Skills!M24+1)</f>
        <v/>
      </c>
      <c r="F1503">
        <f>IF(Skills!N24=TRUE,(Skills!L24/10)*(E1503/1000),Skills!L24/10)+Skills!O24</f>
        <v/>
      </c>
      <c r="G1503">
        <f>Skills!G24*IF(Skills!H24&gt;0,Skills!I24/Skills!H24,1)</f>
        <v/>
      </c>
      <c r="H1503">
        <f>1-(1-Skills!J24/100)^Skills!K24</f>
        <v/>
      </c>
      <c r="I1503" t="inlineStr">
        <is>
          <t>1</t>
        </is>
      </c>
      <c r="J1503" t="inlineStr"/>
      <c r="K1503" t="inlineStr"/>
      <c r="L1503" t="inlineStr"/>
      <c r="M1503" t="inlineStr"/>
      <c r="N1503" t="inlineStr"/>
      <c r="O1503">
        <f>(1-Summary!$B$11)*T1503+Summary!$B$11*V1503</f>
        <v/>
      </c>
      <c r="P1503">
        <f>IF(B1520=0,0,O1503/B1520)</f>
        <v/>
      </c>
      <c r="Q1503" t="n">
        <v>0</v>
      </c>
      <c r="R1503" t="n">
        <v>0</v>
      </c>
      <c r="S1503">
        <f>IFERROR(O1503/N1503,0)</f>
        <v/>
      </c>
      <c r="T1503" t="n">
        <v>0</v>
      </c>
      <c r="V1503" t="n">
        <v>0</v>
      </c>
    </row>
    <row r="1504">
      <c r="A1504">
        <f>Skills!A25</f>
        <v/>
      </c>
      <c r="B1504">
        <f>Skills!B25</f>
        <v/>
      </c>
      <c r="C1504">
        <f>Inputs!$B$3&gt;=72</f>
        <v/>
      </c>
      <c r="D1504">
        <f>IF(Skills!C25=1,60+Inputs!$B$25+Inputs!$B$29,IF(Skills!C25=2,90+Inputs!$B$26+Inputs!$B$29,IF(Skills!C25=3,120+Inputs!$B$27+Inputs!$B$29,MAX(0,(Inputs!$B$3-100)*3)+Inputs!$B$28+Inputs!$B$29)))</f>
        <v/>
      </c>
      <c r="E1504">
        <f>INDEX(FactorTable!$B$2:$Y$301, MATCH(ROUND(MIN(300,MAX(1,D1504)),0), FactorTable!$A$2:$A$301,0), Skills!M25+1)</f>
        <v/>
      </c>
      <c r="F1504">
        <f>IF(Skills!N25=TRUE,(Skills!L25/10)*(E1504/1000),Skills!L25/10)+Skills!O25</f>
        <v/>
      </c>
      <c r="G1504">
        <f>Skills!G25*IF(Skills!H25&gt;0,Skills!I25/Skills!H25,1)</f>
        <v/>
      </c>
      <c r="H1504">
        <f>1-(1-Skills!J25/100)^Skills!K25</f>
        <v/>
      </c>
      <c r="I1504" t="inlineStr">
        <is>
          <t>1</t>
        </is>
      </c>
      <c r="J1504" t="inlineStr"/>
      <c r="K1504" t="inlineStr"/>
      <c r="L1504" t="inlineStr"/>
      <c r="M1504" t="inlineStr"/>
      <c r="N1504" t="inlineStr"/>
      <c r="O1504">
        <f>(1-Summary!$B$11)*T1504+Summary!$B$11*V1504</f>
        <v/>
      </c>
      <c r="P1504">
        <f>IF(B1520=0,0,O1504/B1520)</f>
        <v/>
      </c>
      <c r="Q1504" t="n">
        <v>0</v>
      </c>
      <c r="R1504" t="n">
        <v>0</v>
      </c>
      <c r="S1504">
        <f>IFERROR(O1504/N1504,0)</f>
        <v/>
      </c>
      <c r="T1504" t="n">
        <v>0</v>
      </c>
      <c r="V1504" t="n">
        <v>0</v>
      </c>
    </row>
    <row r="1505">
      <c r="A1505">
        <f>Skills!A26</f>
        <v/>
      </c>
      <c r="B1505">
        <f>Skills!B26</f>
        <v/>
      </c>
      <c r="C1505">
        <f>Inputs!$B$3&gt;=75</f>
        <v/>
      </c>
      <c r="D1505">
        <f>IF(Skills!C26=1,60+Inputs!$B$25+Inputs!$B$29,IF(Skills!C26=2,90+Inputs!$B$26+Inputs!$B$29,IF(Skills!C26=3,120+Inputs!$B$27+Inputs!$B$29,MAX(0,(Inputs!$B$3-100)*3)+Inputs!$B$28+Inputs!$B$29)))</f>
        <v/>
      </c>
      <c r="E1505">
        <f>INDEX(FactorTable!$B$2:$Y$301, MATCH(ROUND(MIN(300,MAX(1,D1505)),0), FactorTable!$A$2:$A$301,0), Skills!M26+1)</f>
        <v/>
      </c>
      <c r="F1505">
        <f>IF(Skills!N26=TRUE,(Skills!L26/10)*(E1505/1000),Skills!L26/10)+Skills!O26</f>
        <v/>
      </c>
      <c r="G1505">
        <f>Skills!G26*IF(Skills!H26&gt;0,Skills!I26/Skills!H26,1)</f>
        <v/>
      </c>
      <c r="H1505">
        <f>1-(1-Skills!J26/100)^Skills!K26</f>
        <v/>
      </c>
      <c r="I1505" t="inlineStr">
        <is>
          <t>1</t>
        </is>
      </c>
      <c r="J1505" t="inlineStr"/>
      <c r="K1505" t="inlineStr"/>
      <c r="L1505" t="inlineStr"/>
      <c r="M1505" t="inlineStr"/>
      <c r="N1505" t="inlineStr"/>
      <c r="O1505">
        <f>(1-Summary!$B$11)*T1505+Summary!$B$11*V1505</f>
        <v/>
      </c>
      <c r="P1505">
        <f>IF(B1520=0,0,O1505/B1520)</f>
        <v/>
      </c>
      <c r="Q1505" t="n">
        <v>0</v>
      </c>
      <c r="R1505" t="n">
        <v>0</v>
      </c>
      <c r="S1505">
        <f>IFERROR(O1505/N1505,0)</f>
        <v/>
      </c>
      <c r="T1505" t="n">
        <v>0</v>
      </c>
      <c r="V1505" t="n">
        <v>0</v>
      </c>
    </row>
    <row r="1506">
      <c r="A1506">
        <f>Skills!A27</f>
        <v/>
      </c>
      <c r="B1506">
        <f>Skills!B27</f>
        <v/>
      </c>
      <c r="C1506">
        <f>Inputs!$B$3&gt;=117</f>
        <v/>
      </c>
      <c r="D1506">
        <f>IF(Skills!C27=1,60+Inputs!$B$25+Inputs!$B$29,IF(Skills!C27=2,90+Inputs!$B$26+Inputs!$B$29,IF(Skills!C27=3,120+Inputs!$B$27+Inputs!$B$29,MAX(0,(Inputs!$B$3-100)*3)+Inputs!$B$28+Inputs!$B$29)))</f>
        <v/>
      </c>
      <c r="E1506">
        <f>INDEX(FactorTable!$B$2:$Y$301, MATCH(ROUND(MIN(300,MAX(1,D1506)),0), FactorTable!$A$2:$A$301,0), Skills!M27+1)</f>
        <v/>
      </c>
      <c r="F1506">
        <f>IF(Skills!N27=TRUE,(Skills!L27/10)*(E1506/1000),Skills!L27/10)+Skills!O27</f>
        <v/>
      </c>
      <c r="G1506">
        <f>Skills!G27*IF(Skills!H27&gt;0,Skills!I27/Skills!H27,1)</f>
        <v/>
      </c>
      <c r="H1506">
        <f>1-(1-Skills!J27/100)^Skills!K27</f>
        <v/>
      </c>
      <c r="I1506" t="inlineStr">
        <is>
          <t>1</t>
        </is>
      </c>
      <c r="J1506" t="inlineStr"/>
      <c r="K1506" t="inlineStr"/>
      <c r="L1506" t="inlineStr"/>
      <c r="M1506" t="inlineStr"/>
      <c r="N1506" t="inlineStr"/>
      <c r="O1506">
        <f>(1-Summary!$B$11)*T1506+Summary!$B$11*V1506</f>
        <v/>
      </c>
      <c r="P1506">
        <f>IF(B1520=0,0,O1506/B1520)</f>
        <v/>
      </c>
      <c r="Q1506" t="n">
        <v>0</v>
      </c>
      <c r="R1506" t="n">
        <v>0</v>
      </c>
      <c r="S1506">
        <f>IFERROR(O1506/N1506,0)</f>
        <v/>
      </c>
      <c r="T1506" t="n">
        <v>0</v>
      </c>
      <c r="V1506" t="n">
        <v>0</v>
      </c>
    </row>
    <row r="1507">
      <c r="A1507">
        <f>Skills!A28</f>
        <v/>
      </c>
      <c r="B1507">
        <f>Skills!B28</f>
        <v/>
      </c>
      <c r="C1507">
        <f>TRUE</f>
        <v/>
      </c>
      <c r="D1507">
        <f>IF(Skills!C28=1,60+Inputs!$B$25+Inputs!$B$29,IF(Skills!C28=2,90+Inputs!$B$26+Inputs!$B$29,IF(Skills!C28=3,120+Inputs!$B$27+Inputs!$B$29,MAX(0,(Inputs!$B$3-100)*3)+Inputs!$B$28+Inputs!$B$29)))</f>
        <v/>
      </c>
      <c r="E1507">
        <f>INDEX(FactorTable!$B$2:$Y$301, MATCH(ROUND(MIN(300,MAX(1,D1507)),0), FactorTable!$A$2:$A$301,0), Skills!M28+1)</f>
        <v/>
      </c>
      <c r="F1507">
        <f>IF(Skills!N28=TRUE,(Skills!L28/10)*(E1507/1000),Skills!L28/10)+Skills!O28</f>
        <v/>
      </c>
      <c r="G1507">
        <f>Skills!G28*IF(Skills!H28&gt;0,Skills!I28/Skills!H28,1)</f>
        <v/>
      </c>
      <c r="H1507">
        <f>1-(1-Skills!J28/100)^Skills!K28</f>
        <v/>
      </c>
      <c r="I1507" t="inlineStr">
        <is>
          <t>1</t>
        </is>
      </c>
      <c r="J1507" t="inlineStr"/>
      <c r="K1507" t="inlineStr"/>
      <c r="L1507" t="inlineStr"/>
      <c r="M1507" t="inlineStr"/>
      <c r="N1507" t="inlineStr"/>
      <c r="O1507">
        <f>(1-Summary!$B$11)*T1507+Summary!$B$11*V1507</f>
        <v/>
      </c>
      <c r="P1507">
        <f>IF(B1520=0,0,O1507/B1520)</f>
        <v/>
      </c>
      <c r="Q1507">
        <f>IFERROR(1/(IF(Inputs!$B$38="pvp",15,MAX(0.1,Skills!D28-IF(Skills!E28=TRUE,Inputs!$B$32,0)))*(1-IF(AND(ArtifactsInput!$M$27,Inputs!$B$4="Chapter Hunt"),CHOOSE(ArtifactsInput!$N$27+1,20,24,28,32,36,40),0)/100)),0)</f>
        <v/>
      </c>
      <c r="R1507">
        <f>IF(AND(Inputs!$B$38&lt;&gt;"pvp",Inputs!$B$43&gt;0),IF(Inputs!$B$43&lt;=0,0,(INT(Inputs!$B$43/(IF(Inputs!$B$38="pvp",15,MAX(0.1,Skills!D28-IF(Skills!E28=TRUE,Inputs!$B$32,0)))*(1-IF(AND(ArtifactsInput!$M$27,Inputs!$B$4="Chapter Hunt"),CHOOSE(ArtifactsInput!$N$27+1,20,24,28,32,36,40),0)/100)))+1)),0)</f>
        <v/>
      </c>
      <c r="S1507">
        <f>IFERROR(O1507/N1507,0)</f>
        <v/>
      </c>
      <c r="T1507" t="n">
        <v>0</v>
      </c>
      <c r="V1507" t="n">
        <v>0</v>
      </c>
    </row>
    <row r="1509">
      <c r="A1509" t="inlineStr">
        <is>
          <t>Attack% Bucket Multiplier</t>
        </is>
      </c>
      <c r="B1509">
        <f>(1+(((C1496=TRUE)*F1496*5/7)+((C1503=TRUE)*(F1503-Calc!F24))+(IF(ArtifactsInput!$M$21,CHOOSE(ArtifactsInput!$N$21+1,25,30,35,40,45,50)*(IF(OR(Inputs!$B$4="Chapter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10">
      <c r="A1510" t="inlineStr">
        <is>
          <t>Global Crit Rate Bonus %</t>
        </is>
      </c>
      <c r="B1510" t="n">
        <v>0</v>
      </c>
    </row>
    <row r="1511">
      <c r="A1511" t="inlineStr">
        <is>
          <t>Attack Speed Buff Bonus % (Nimble Feet, duty-cycle averaged)</t>
        </is>
      </c>
      <c r="B1511">
        <f>((C1507=TRUE)*F1507*IF(AND(Inputs!$B$38&lt;&gt;"pvp",Inputs!$B$43&gt;0),(((R1507-1)*(Skills!T28*(1+Inputs!$B$34/100))+MIN((Skills!T28*(1+Inputs!$B$34/100)),MAX(0,Inputs!$B$43-((R1507-1)*Skills!D28))))/Inputs!$B$43),IF(Inputs!$B$38="pvp",MIN((Skills!T28*(1+Inputs!$B$34/100)),15)/15,(Skills!T28*(1+Inputs!$B$34/100))/Skills!D28)))</f>
        <v/>
      </c>
    </row>
    <row r="1512">
      <c r="A1512" t="inlineStr">
        <is>
          <t>Actions Per Second</t>
        </is>
      </c>
      <c r="B1512">
        <f>1+MIN(150,150*(1-(1-(Inputs!$B$11+((C1499=TRUE)*(F1499-Calc!F20))+((C1500=TRUE)*(F1500-Calc!F21)))/150)*(1-B1511/150)))/100</f>
        <v/>
      </c>
    </row>
    <row r="1513">
      <c r="A1513" t="inlineStr">
        <is>
          <t>Skill + Buff Cast Rate</t>
        </is>
      </c>
      <c r="B1513">
        <f>IF(AND(Inputs!$B$38&lt;&gt;"pvp",Inputs!$B$43&gt;0),SUMPRODUCT((Skills!E2:E28=TRUE)*(C1481:C1507=TRUE)*R1481:R1507*Skills!F2:F28)/Inputs!$B$43,SUMPRODUCT((Skills!E2:E28=TRUE)*(C1481:C1507=TRUE)*Q1481:Q1507*Skills!F2:F28))</f>
        <v/>
      </c>
    </row>
    <row r="1514">
      <c r="A1514" t="inlineStr">
        <is>
          <t>Eight-Legs Easton Casts Per Second</t>
        </is>
      </c>
      <c r="B1514">
        <f>MAX(0,B1512-B1513)</f>
        <v/>
      </c>
    </row>
    <row r="1515">
      <c r="A1515" t="inlineStr">
        <is>
          <t>Global Critical Damage Bonus % (unused)</t>
        </is>
      </c>
      <c r="B1515" t="n">
        <v>0</v>
      </c>
    </row>
    <row r="1516">
      <c r="A1516" t="inlineStr">
        <is>
          <t>Global Final Damage Bonus % (Jolly Roger + Ahoy Mateys - Final Damage proc)</t>
        </is>
      </c>
      <c r="B1516">
        <f>((C1497=TRUE)*F1497*IF(AND(Inputs!$B$38&lt;&gt;"pvp",Inputs!$B$43&gt;0),(((R1497-1)*(Skills!T18*(1+Inputs!$B$34/100))+MIN((Skills!T18*(1+Inputs!$B$34/100)),MAX(0,Inputs!$B$43-((R1497-1)*Skills!D18))))/Inputs!$B$43),IF(Inputs!$B$38="pvp",MIN((Skills!T18*(1+Inputs!$B$34/100)),15)/15,(Skills!T18*(1+Inputs!$B$34/100))/Skills!D18)))+IF(Inputs!$B$3&gt;=122,20*IF(Inputs!$B$38="pvp",MIN((20*(1+Inputs!$B$34/100)),15)/15,(20*(1+Inputs!$B$34/100))/Skills!D4),0)</f>
        <v/>
      </c>
    </row>
    <row r="1517">
      <c r="A1517" t="inlineStr">
        <is>
          <t>Buff-Casting Startup Delay (s, fixed-duration only)</t>
        </is>
      </c>
      <c r="B1517">
        <f>IF(AND(Inputs!$B$38&lt;&gt;"pvp",Inputs!$B$43&gt;0),SUMPRODUCT((Skills!T2:T28&gt;0)*(Skills!E2:E28=TRUE)*(C1481:C1507=TRUE))/B1512,0)</f>
        <v/>
      </c>
    </row>
    <row r="1518">
      <c r="A1518" t="inlineStr">
        <is>
          <t>Boss-Only Total DPS (this block's swept value)</t>
        </is>
      </c>
      <c r="B1518">
        <f>SUM(T1481:T1507)</f>
        <v/>
      </c>
    </row>
    <row r="1519">
      <c r="A1519" t="inlineStr">
        <is>
          <t>Normal-Only Total DPS (this block's swept value)</t>
        </is>
      </c>
      <c r="B1519">
        <f>SUM(V1481:V1507)</f>
        <v/>
      </c>
    </row>
    <row r="1520">
      <c r="A1520" s="6" t="inlineStr">
        <is>
          <t>TOTAL DPS</t>
        </is>
      </c>
      <c r="B1520" s="6">
        <f>SUM(O1481:O1507)</f>
        <v/>
      </c>
    </row>
    <row r="1523">
      <c r="A1523" s="6" t="inlineStr">
        <is>
          <t>Stat: Mushmom's Cap (Equip)</t>
        </is>
      </c>
    </row>
    <row r="1524">
      <c r="A1524" s="5" t="inlineStr">
        <is>
          <t>Key</t>
        </is>
      </c>
      <c r="B1524" s="5" t="inlineStr">
        <is>
          <t>Name</t>
        </is>
      </c>
      <c r="C1524" s="5" t="inlineStr">
        <is>
          <t>Unlocked</t>
        </is>
      </c>
      <c r="D1524" s="5" t="inlineStr">
        <is>
          <t>InputLevel</t>
        </is>
      </c>
      <c r="E1524" s="5" t="inlineStr">
        <is>
          <t>Factor</t>
        </is>
      </c>
      <c r="F1524" s="5" t="inlineStr">
        <is>
          <t>CoefficientPercent</t>
        </is>
      </c>
      <c r="G1524" s="5" t="inlineStr">
        <is>
          <t>EffectiveHits</t>
        </is>
      </c>
      <c r="H1524" s="5" t="inlineStr">
        <is>
          <t>ProcProbability</t>
        </is>
      </c>
      <c r="I1524" s="5" t="inlineStr">
        <is>
          <t>MapleHeroMultiplier</t>
        </is>
      </c>
      <c r="J1524" s="5" t="inlineStr">
        <is>
          <t>BaseDamage</t>
        </is>
      </c>
      <c r="K1524" s="5" t="inlineStr">
        <is>
          <t>BaseHitDamage</t>
        </is>
      </c>
      <c r="L1524" s="5" t="inlineStr">
        <is>
          <t>NonCritAvg</t>
        </is>
      </c>
      <c r="M1524" s="5" t="inlineStr">
        <is>
          <t>CritAvg</t>
        </is>
      </c>
      <c r="N1524" s="5" t="inlineStr">
        <is>
          <t>ExpectedDamage(perHit)</t>
        </is>
      </c>
      <c r="O1524" s="5" t="inlineStr">
        <is>
          <t>DPS</t>
        </is>
      </c>
      <c r="P1524" s="5" t="inlineStr">
        <is>
          <t>% of Total</t>
        </is>
      </c>
      <c r="Q1524" s="5" t="inlineStr">
        <is>
          <t>InvCooldown</t>
        </is>
      </c>
      <c r="R1524" s="5" t="inlineStr">
        <is>
          <t>CastsInFight</t>
        </is>
      </c>
      <c r="S1524" s="5" t="inlineStr">
        <is>
          <t>HitRate(perSec)</t>
        </is>
      </c>
      <c r="U1524" t="inlineStr">
        <is>
          <t>helpers</t>
        </is>
      </c>
    </row>
    <row r="1525">
      <c r="A1525">
        <f>Skills!A2</f>
        <v/>
      </c>
      <c r="B1525">
        <f>Skills!B2</f>
        <v/>
      </c>
      <c r="C1525">
        <f>Inputs!$B$3&gt;=100</f>
        <v/>
      </c>
      <c r="D1525" t="inlineStr"/>
      <c r="E1525" t="inlineStr"/>
      <c r="F1525">
        <f>U1527+Skills!O2</f>
        <v/>
      </c>
      <c r="G1525">
        <f>Skills!G2*IF(Skills!H2&gt;0,Skills!I2/Skills!H2,1)</f>
        <v/>
      </c>
      <c r="H1525">
        <f>1-(1-Skills!J2/100)^Skills!K2</f>
        <v/>
      </c>
      <c r="I1525" t="inlineStr">
        <is>
          <t>1</t>
        </is>
      </c>
      <c r="J1525">
        <f>((Inputs!$B$6*(1+Inputs!$B$7/100))+(((Inputs!$B$12*(1+Inputs!$B$13/100))-(Inputs!$B$12*(1+Inputs!$B$13/100)))+0.25*(Inputs!$B$14-Inputs!$B$14))*(1+Inputs!$B$7/100))*(F1525/100)</f>
        <v/>
      </c>
      <c r="K1525">
        <f>J1525*(1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1525)</f>
        <v/>
      </c>
      <c r="L1525">
        <f>K1525*(MIN(Inputs!$B$22+((C1545=TRUE)*(F1545-Calc!F22)),(Inputs!$B$23+0+(IF(ArtifactsInput!$M$15,CHOOSE(ArtifactsInput!$N$15+1,25,30,35,40,45,50)/100*(Inputs!$B$11-Inputs!$B$11),0))))/100+(Inputs!$B$23+0+(IF(ArtifactsInput!$M$15,CHOOSE(ArtifactsInput!$N$15+1,25,30,35,40,45,50)/100*(Inputs!$B$11-Inputs!$B$11),0)))/100)/2</f>
        <v/>
      </c>
      <c r="M1525">
        <f>L1525*(1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5">
        <f>L1525*(1-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1525*(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5">
        <f>(1-Summary!$B$11)*T1525+Summary!$B$11*V1525</f>
        <v/>
      </c>
      <c r="P1525">
        <f>IF(B1564=0,0,O1525/B1564)</f>
        <v/>
      </c>
      <c r="Q1525" t="n">
        <v>0</v>
      </c>
      <c r="R1525" t="n">
        <v>0</v>
      </c>
      <c r="S1525">
        <f>IFERROR(O1525/N1525,0)</f>
        <v/>
      </c>
      <c r="T1525">
        <f>IF(C1525,(Skills!G2*N1525*B1558)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1525*(1-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1525*(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1525*(1-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1525*(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5">
        <f>MAX(0,(Inputs!$B$3-100)*3)+Inputs!$B$28+Inputs!$B$29</f>
        <v/>
      </c>
      <c r="V1525">
        <f>IF(C1525,(Skills!G2*N1525*B1558)*IF(Inputs!$B$38="pvp",1,(1+(Inputs!$B$21+Skills!Q2+(IF(ArtifactsInput!$M$33,CHOOSE(ArtifactsInput!$N$33+1,30,36,42,48,54,60),0))+(IF(AND(ArtifactsInput!$M$35,Inputs!$B$4&lt;&gt;"Chapter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6">
      <c r="A1526">
        <f>Skills!A3</f>
        <v/>
      </c>
      <c r="B1526">
        <f>Skills!B3</f>
        <v/>
      </c>
      <c r="C1526">
        <f>Inputs!$B$3&gt;=35</f>
        <v/>
      </c>
      <c r="D1526">
        <f>IF(Skills!C3=1,60+Inputs!$B$25+Inputs!$B$29,IF(Skills!C3=2,90+Inputs!$B$26+Inputs!$B$29,IF(Skills!C3=3,120+Inputs!$B$27+Inputs!$B$29,MAX(0,(Inputs!$B$3-100)*3)+Inputs!$B$28+Inputs!$B$29)))</f>
        <v/>
      </c>
      <c r="E1526">
        <f>INDEX(FactorTable!$B$2:$Y$301, MATCH(ROUND(MIN(300,MAX(1,D1526)),0), FactorTable!$A$2:$A$301,0), Skills!M3+1)</f>
        <v/>
      </c>
      <c r="F1526">
        <f>IF(Skills!N3=TRUE,(Skills!L3/10)*(E1526/1000),Skills!L3/10)+Skills!O3</f>
        <v/>
      </c>
      <c r="G1526">
        <f>Skills!G3*IF(Skills!H3&gt;0,Skills!I3/Skills!H3,1)</f>
        <v/>
      </c>
      <c r="H1526">
        <f>1-(1-Skills!J3/100)^Skills!K3</f>
        <v/>
      </c>
      <c r="I1526" t="inlineStr">
        <is>
          <t>1</t>
        </is>
      </c>
      <c r="J1526">
        <f>((Inputs!$B$6*(1+Inputs!$B$7/100))+(((Inputs!$B$12*(1+Inputs!$B$13/100))-(Inputs!$B$12*(1+Inputs!$B$13/100)))+0.25*(Inputs!$B$14-Inputs!$B$14))*(1+Inputs!$B$7/100))*(F1526/100)</f>
        <v/>
      </c>
      <c r="K1526">
        <f>J1526*(1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1538=TRUE,F1538,0)/100)*(1+(IF(Skills!A3="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1526)</f>
        <v/>
      </c>
      <c r="L1526">
        <f>K1526*(MIN(Inputs!$B$22+((C1545=TRUE)*(F1545-Calc!F22)),(Inputs!$B$23+0+(IF(ArtifactsInput!$M$15,CHOOSE(ArtifactsInput!$N$15+1,25,30,35,40,45,50)/100*(Inputs!$B$11-Inputs!$B$11),0))))/100+(Inputs!$B$23+0+(IF(ArtifactsInput!$M$15,CHOOSE(ArtifactsInput!$N$15+1,25,30,35,40,45,50)/100*(Inputs!$B$11-Inputs!$B$11),0)))/100)/2</f>
        <v/>
      </c>
      <c r="M1526">
        <f>L1526*(1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6">
        <f>L1526*(1-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1526*(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6">
        <f>(1-Summary!$B$11)*T1526+Summary!$B$11*V1526</f>
        <v/>
      </c>
      <c r="P1526">
        <f>IF(B1564=0,0,O1526/B1564)</f>
        <v/>
      </c>
      <c r="Q1526">
        <f>IFERROR(1/(IF(Inputs!$B$38="pvp",15,MAX(0.1,Skills!D3-IF(Skills!E3=TRUE,Inputs!$B$32,0)))*(1-IF(AND(ArtifactsInput!$M$27,Inputs!$B$4="Chapter Hunt"),CHOOSE(ArtifactsInput!$N$27+1,20,24,28,32,36,40),0)/100)),0)</f>
        <v/>
      </c>
      <c r="R1526">
        <f>IF(AND(Inputs!$B$38&lt;&gt;"pvp",Inputs!$B$43&gt;0),IF(MAX(0,Inputs!$B$43-B1561)&lt;=0,0,(INT(MAX(0,Inputs!$B$43-B1561)/(IF(Inputs!$B$38="pvp",15,MAX(0.1,Skills!D3-IF(Skills!E3=TRUE,Inputs!$B$32,0)))*(1-IF(AND(ArtifactsInput!$M$27,Inputs!$B$4="Chapter Hunt"),CHOOSE(ArtifactsInput!$N$27+1,20,24,28,32,36,40),0)/100)))+1)),0)</f>
        <v/>
      </c>
      <c r="S1526">
        <f>IFERROR(O1526/N1526,0)</f>
        <v/>
      </c>
      <c r="T1526">
        <f>IF(C1526,(H1526*N1526*IF(AND(Inputs!$B$38&lt;&gt;"pvp",Inputs!$B$43&gt;0),((Skills!G3*((R1526-1)*IF(Skills!H3&gt;0,Skills!I3/Skills!H3,1)+IF(Skills!H3&gt;0,MIN(Skills!I3,MAX(0,MAX(0,Inputs!$B$43-B1561)-((R1526-1)*(IF(Inputs!$B$38="pvp",15,MAX(0.1,Skills!D3-IF(Skills!E3=TRUE,Inputs!$B$32,0)))*(1-IF(AND(ArtifactsInput!$M$27,Inputs!$B$4="Chapter Hunt"),CHOOSE(ArtifactsInput!$N$27+1,20,24,28,32,36,40),0)/100)))))/Skills!H3,1)))/Inputs!$B$43),G1526*Q1526)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1526*(1-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1526*(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1526*(1-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1526*(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6">
        <f>INDEX(FactorTable!$B$2:$Y$301, MATCH(ROUND(MIN(300,MAX(1,U1525)),0), FactorTable!$A$2:$A$301,0), 22)</f>
        <v/>
      </c>
      <c r="V1526">
        <f>IF(C1526,(H1526*N1526*IF(AND(Inputs!$B$38&lt;&gt;"pvp",Inputs!$B$43&gt;0),((Skills!G3*((R1526-1)*IF(Skills!H3&gt;0,Skills!I3/Skills!H3,1)+IF(Skills!H3&gt;0,MIN(Skills!I3,MAX(0,MAX(0,Inputs!$B$43-B1561)-((R1526-1)*(IF(Inputs!$B$38="pvp",15,MAX(0.1,Skills!D3-IF(Skills!E3=TRUE,Inputs!$B$32,0)))*(1-IF(AND(ArtifactsInput!$M$27,Inputs!$B$4="Chapter Hunt"),CHOOSE(ArtifactsInput!$N$27+1,20,24,28,32,36,40),0)/100)))))/Skills!H3,1)))/Inputs!$B$43),G1526*Q1526))*IF(Inputs!$B$38="pvp",1,(1+(Inputs!$B$21+Skills!Q3+(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7">
      <c r="A1527">
        <f>Skills!A4</f>
        <v/>
      </c>
      <c r="B1527">
        <f>Skills!B4</f>
        <v/>
      </c>
      <c r="C1527">
        <f>Inputs!$B$3&gt;=40</f>
        <v/>
      </c>
      <c r="D1527">
        <f>IF(Skills!C4=1,60+Inputs!$B$25+Inputs!$B$29,IF(Skills!C4=2,90+Inputs!$B$26+Inputs!$B$29,IF(Skills!C4=3,120+Inputs!$B$27+Inputs!$B$29,MAX(0,(Inputs!$B$3-100)*3)+Inputs!$B$28+Inputs!$B$29)))</f>
        <v/>
      </c>
      <c r="E1527">
        <f>INDEX(FactorTable!$B$2:$Y$301, MATCH(ROUND(MIN(300,MAX(1,D1527)),0), FactorTable!$A$2:$A$301,0), Skills!M4+1)</f>
        <v/>
      </c>
      <c r="F1527">
        <f>IF(Skills!N4=TRUE,(Skills!L4/10)*(E1527/1000),Skills!L4/10)+Skills!O4</f>
        <v/>
      </c>
      <c r="G1527">
        <f>Skills!G4*IF(Skills!H4&gt;0,Skills!I4/Skills!H4,1)</f>
        <v/>
      </c>
      <c r="H1527">
        <f>1-(1-Skills!J4/100)^Skills!K4</f>
        <v/>
      </c>
      <c r="I1527" t="inlineStr">
        <is>
          <t>1</t>
        </is>
      </c>
      <c r="J1527">
        <f>((Inputs!$B$6*(1+Inputs!$B$7/100))+(((Inputs!$B$12*(1+Inputs!$B$13/100))-(Inputs!$B$12*(1+Inputs!$B$13/100)))+0.25*(Inputs!$B$14-Inputs!$B$14))*(1+Inputs!$B$7/100))*(F1527/100)</f>
        <v/>
      </c>
      <c r="K1527">
        <f>J1527*(1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1539=TRUE,F1539,0)/100)*(1+(IF(Skills!A4="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1527)</f>
        <v/>
      </c>
      <c r="L1527">
        <f>K1527*(MIN(Inputs!$B$22+((C1545=TRUE)*(F1545-Calc!F22)),(Inputs!$B$23+0+(IF(ArtifactsInput!$M$15,CHOOSE(ArtifactsInput!$N$15+1,25,30,35,40,45,50)/100*(Inputs!$B$11-Inputs!$B$11),0))))/100+(Inputs!$B$23+0+(IF(ArtifactsInput!$M$15,CHOOSE(ArtifactsInput!$N$15+1,25,30,35,40,45,50)/100*(Inputs!$B$11-Inputs!$B$11),0)))/100)/2</f>
        <v/>
      </c>
      <c r="M1527">
        <f>L1527*(1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7">
        <f>L1527*(1-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1527*(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7">
        <f>(1-Summary!$B$11)*T1527+Summary!$B$11*V1527</f>
        <v/>
      </c>
      <c r="P1527">
        <f>IF(B1564=0,0,O1527/B1564)</f>
        <v/>
      </c>
      <c r="Q1527">
        <f>IFERROR(1/(IF(Inputs!$B$38="pvp",15,MAX(0.1,Skills!D4-IF(Skills!E4=TRUE,Inputs!$B$32,0)))*(1-IF(AND(ArtifactsInput!$M$27,Inputs!$B$4="Chapter Hunt"),CHOOSE(ArtifactsInput!$N$27+1,20,24,28,32,36,40),0)/100)),0)</f>
        <v/>
      </c>
      <c r="R1527">
        <f>IF(AND(Inputs!$B$38&lt;&gt;"pvp",Inputs!$B$43&gt;0),IF(MAX(0,Inputs!$B$43-B1561)&lt;=0,0,(INT(MAX(0,Inputs!$B$43-B1561)/(IF(Inputs!$B$38="pvp",15,MAX(0.1,Skills!D4-IF(Skills!E4=TRUE,Inputs!$B$32,0)))*(1-IF(AND(ArtifactsInput!$M$27,Inputs!$B$4="Chapter Hunt"),CHOOSE(ArtifactsInput!$N$27+1,20,24,28,32,36,40),0)/100)))+1)),0)</f>
        <v/>
      </c>
      <c r="S1527">
        <f>IFERROR(O1527/N1527,0)</f>
        <v/>
      </c>
      <c r="T1527">
        <f>IF(C1527,(H1527*N1527*IF(AND(Inputs!$B$38&lt;&gt;"pvp",Inputs!$B$43&gt;0),((Skills!G4*((R1527-1)*IF(Skills!H4&gt;0,Skills!I4/Skills!H4,1)+IF(Skills!H4&gt;0,MIN(Skills!I4,MAX(0,MAX(0,Inputs!$B$43-B1561)-((R1527-1)*(IF(Inputs!$B$38="pvp",15,MAX(0.1,Skills!D4-IF(Skills!E4=TRUE,Inputs!$B$32,0)))*(1-IF(AND(ArtifactsInput!$M$27,Inputs!$B$4="Chapter Hunt"),CHOOSE(ArtifactsInput!$N$27+1,20,24,28,32,36,40),0)/100)))))/Skills!H4,1)))/Inputs!$B$43),G1527*Q1527)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1527*(1-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1527*(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1527*(1-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1527*(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7">
        <f>290*U1526/1000</f>
        <v/>
      </c>
      <c r="V1527">
        <f>IF(C1527,(H1527*N1527*IF(AND(Inputs!$B$38&lt;&gt;"pvp",Inputs!$B$43&gt;0),((Skills!G4*((R1527-1)*IF(Skills!H4&gt;0,Skills!I4/Skills!H4,1)+IF(Skills!H4&gt;0,MIN(Skills!I4,MAX(0,MAX(0,Inputs!$B$43-B1561)-((R1527-1)*(IF(Inputs!$B$38="pvp",15,MAX(0.1,Skills!D4-IF(Skills!E4=TRUE,Inputs!$B$32,0)))*(1-IF(AND(ArtifactsInput!$M$27,Inputs!$B$4="Chapter Hunt"),CHOOSE(ArtifactsInput!$N$27+1,20,24,28,32,36,40),0)/100)))))/Skills!H4,1)))/Inputs!$B$43),G1527*Q1527))*IF(Inputs!$B$38="pvp",1,(1+(Inputs!$B$21+Skills!Q4+(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8">
      <c r="A1528">
        <f>Skills!A5</f>
        <v/>
      </c>
      <c r="B1528">
        <f>Skills!B5</f>
        <v/>
      </c>
      <c r="C1528">
        <f>Inputs!$B$3&gt;=45</f>
        <v/>
      </c>
      <c r="D1528">
        <f>IF(Skills!C5=1,60+Inputs!$B$25+Inputs!$B$29,IF(Skills!C5=2,90+Inputs!$B$26+Inputs!$B$29,IF(Skills!C5=3,120+Inputs!$B$27+Inputs!$B$29,MAX(0,(Inputs!$B$3-100)*3)+Inputs!$B$28+Inputs!$B$29)))</f>
        <v/>
      </c>
      <c r="E1528">
        <f>INDEX(FactorTable!$B$2:$Y$301, MATCH(ROUND(MIN(300,MAX(1,D1528)),0), FactorTable!$A$2:$A$301,0), Skills!M5+1)</f>
        <v/>
      </c>
      <c r="F1528">
        <f>IF(Skills!N5=TRUE,(Skills!L5/10)*(E1528/1000),Skills!L5/10)+Skills!O5</f>
        <v/>
      </c>
      <c r="G1528">
        <f>Skills!G5*IF(Skills!H5&gt;0,Skills!I5/Skills!H5,1)</f>
        <v/>
      </c>
      <c r="H1528">
        <f>1-(1-Skills!J5/100)^Skills!K5</f>
        <v/>
      </c>
      <c r="I1528" t="inlineStr">
        <is>
          <t>1</t>
        </is>
      </c>
      <c r="J1528">
        <f>((Inputs!$B$6*(1+Inputs!$B$7/100))+(((Inputs!$B$12*(1+Inputs!$B$13/100))-(Inputs!$B$12*(1+Inputs!$B$13/100)))+0.25*(Inputs!$B$14-Inputs!$B$14))*(1+Inputs!$B$7/100))*(F1528/100)</f>
        <v/>
      </c>
      <c r="K1528">
        <f>J1528*(1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1539=TRUE,F1539,0)/100)*(1+(IF(Skills!A5="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1528)</f>
        <v/>
      </c>
      <c r="L1528">
        <f>K1528*(MIN(Inputs!$B$22+((C1545=TRUE)*(F1545-Calc!F22)),(Inputs!$B$23+0+(IF(ArtifactsInput!$M$15,CHOOSE(ArtifactsInput!$N$15+1,25,30,35,40,45,50)/100*(Inputs!$B$11-Inputs!$B$11),0))))/100+(Inputs!$B$23+0+(IF(ArtifactsInput!$M$15,CHOOSE(ArtifactsInput!$N$15+1,25,30,35,40,45,50)/100*(Inputs!$B$11-Inputs!$B$11),0)))/100)/2</f>
        <v/>
      </c>
      <c r="M1528">
        <f>L1528*(1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8">
        <f>L1528*(1-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1528*(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8">
        <f>(1-Summary!$B$11)*T1528+Summary!$B$11*V1528</f>
        <v/>
      </c>
      <c r="P1528">
        <f>IF(B1564=0,0,O1528/B1564)</f>
        <v/>
      </c>
      <c r="Q1528">
        <f>IFERROR(1/(IF(Inputs!$B$38="pvp",15,MAX(0.1,Skills!D5-IF(Skills!E5=TRUE,Inputs!$B$32,0)))*(1-IF(AND(ArtifactsInput!$M$27,Inputs!$B$4="Chapter Hunt"),CHOOSE(ArtifactsInput!$N$27+1,20,24,28,32,36,40),0)/100)),0)</f>
        <v/>
      </c>
      <c r="R1528">
        <f>IF(AND(Inputs!$B$38&lt;&gt;"pvp",Inputs!$B$43&gt;0),IF(MAX(0,Inputs!$B$43-B1561)&lt;=0,0,(INT(MAX(0,Inputs!$B$43-B1561)/(IF(Inputs!$B$38="pvp",15,MAX(0.1,Skills!D5-IF(Skills!E5=TRUE,Inputs!$B$32,0)))*(1-IF(AND(ArtifactsInput!$M$27,Inputs!$B$4="Chapter Hunt"),CHOOSE(ArtifactsInput!$N$27+1,20,24,28,32,36,40),0)/100)))+1)),0)</f>
        <v/>
      </c>
      <c r="S1528">
        <f>IFERROR(O1528/N1528,0)</f>
        <v/>
      </c>
      <c r="T1528">
        <f>IF(C1528,(H1528*N1528*IF(AND(Inputs!$B$38&lt;&gt;"pvp",Inputs!$B$43&gt;0),((Skills!G5*((R1528-1)*IF(Skills!H5&gt;0,Skills!I5/Skills!H5,1)+IF(Skills!H5&gt;0,MIN(Skills!I5,MAX(0,MAX(0,Inputs!$B$43-B1561)-((R1528-1)*(IF(Inputs!$B$38="pvp",15,MAX(0.1,Skills!D5-IF(Skills!E5=TRUE,Inputs!$B$32,0)))*(1-IF(AND(ArtifactsInput!$M$27,Inputs!$B$4="Chapter Hunt"),CHOOSE(ArtifactsInput!$N$27+1,20,24,28,32,36,40),0)/100)))))/Skills!H5,1)))/Inputs!$B$43),G1528*Q1528)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1528*(1-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1528*(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1528*(1-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1528*(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8">
        <f>IF(C1528,(H1528*N1528*IF(AND(Inputs!$B$38&lt;&gt;"pvp",Inputs!$B$43&gt;0),((Skills!G5*((R1528-1)*IF(Skills!H5&gt;0,Skills!I5/Skills!H5,1)+IF(Skills!H5&gt;0,MIN(Skills!I5,MAX(0,MAX(0,Inputs!$B$43-B1561)-((R1528-1)*(IF(Inputs!$B$38="pvp",15,MAX(0.1,Skills!D5-IF(Skills!E5=TRUE,Inputs!$B$32,0)))*(1-IF(AND(ArtifactsInput!$M$27,Inputs!$B$4="Chapter Hunt"),CHOOSE(ArtifactsInput!$N$27+1,20,24,28,32,36,40),0)/100)))))/Skills!H5,1)))/Inputs!$B$43),G1528*Q1528))*IF(Inputs!$B$38="pvp",1,(1+(Inputs!$B$21+Skills!Q5+(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9">
      <c r="A1529">
        <f>Skills!A6</f>
        <v/>
      </c>
      <c r="B1529">
        <f>Skills!B6</f>
        <v/>
      </c>
      <c r="C1529">
        <f>Inputs!$B$3&gt;=63</f>
        <v/>
      </c>
      <c r="D1529">
        <f>IF(Skills!C6=1,60+Inputs!$B$25+Inputs!$B$29,IF(Skills!C6=2,90+Inputs!$B$26+Inputs!$B$29,IF(Skills!C6=3,120+Inputs!$B$27+Inputs!$B$29,MAX(0,(Inputs!$B$3-100)*3)+Inputs!$B$28+Inputs!$B$29)))</f>
        <v/>
      </c>
      <c r="E1529">
        <f>INDEX(FactorTable!$B$2:$Y$301, MATCH(ROUND(MIN(300,MAX(1,D1529)),0), FactorTable!$A$2:$A$301,0), Skills!M6+1)</f>
        <v/>
      </c>
      <c r="F1529">
        <f>IF(Skills!N6=TRUE,(Skills!L6/10)*(E1529/1000),Skills!L6/10)+Skills!O6</f>
        <v/>
      </c>
      <c r="G1529">
        <f>Skills!G6*IF(Skills!H6&gt;0,Skills!I6/Skills!H6,1)</f>
        <v/>
      </c>
      <c r="H1529">
        <f>1-(1-Skills!J6/100)^Skills!K6</f>
        <v/>
      </c>
      <c r="I1529" t="inlineStr">
        <is>
          <t>1</t>
        </is>
      </c>
      <c r="J1529">
        <f>((Inputs!$B$6*(1+Inputs!$B$7/100))+(((Inputs!$B$12*(1+Inputs!$B$13/100))-(Inputs!$B$12*(1+Inputs!$B$13/100)))+0.25*(Inputs!$B$14-Inputs!$B$14))*(1+Inputs!$B$7/100))*(F1529/100)</f>
        <v/>
      </c>
      <c r="K1529">
        <f>J1529*(1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1538=TRUE,F1538,0)/100)*(1+(IF(Skills!A6="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1529)</f>
        <v/>
      </c>
      <c r="L1529">
        <f>K1529*(MIN(Inputs!$B$22+((C1545=TRUE)*(F1545-Calc!F22)),(Inputs!$B$23+0+(IF(ArtifactsInput!$M$15,CHOOSE(ArtifactsInput!$N$15+1,25,30,35,40,45,50)/100*(Inputs!$B$11-Inputs!$B$11),0))))/100+(Inputs!$B$23+0+(IF(ArtifactsInput!$M$15,CHOOSE(ArtifactsInput!$N$15+1,25,30,35,40,45,50)/100*(Inputs!$B$11-Inputs!$B$11),0)))/100)/2</f>
        <v/>
      </c>
      <c r="M1529">
        <f>L1529*(1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9">
        <f>L1529*(1-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1529*(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9">
        <f>(1-Summary!$B$11)*T1529+Summary!$B$11*V1529</f>
        <v/>
      </c>
      <c r="P1529">
        <f>IF(B1564=0,0,O1529/B1564)</f>
        <v/>
      </c>
      <c r="Q1529">
        <f>IFERROR(1/(IF(Inputs!$B$38="pvp",15,MAX(0.1,Skills!D6-IF(Skills!E6=TRUE,Inputs!$B$32,0)))*(1-IF(AND(ArtifactsInput!$M$27,Inputs!$B$4="Chapter Hunt"),CHOOSE(ArtifactsInput!$N$27+1,20,24,28,32,36,40),0)/100)),0)</f>
        <v/>
      </c>
      <c r="R1529">
        <f>IF(AND(Inputs!$B$38&lt;&gt;"pvp",Inputs!$B$43&gt;0),IF(MAX(0,Inputs!$B$43-B1561)&lt;=0,0,(INT(MAX(0,Inputs!$B$43-B1561)/(IF(Inputs!$B$38="pvp",15,MAX(0.1,Skills!D6-IF(Skills!E6=TRUE,Inputs!$B$32,0)))*(1-IF(AND(ArtifactsInput!$M$27,Inputs!$B$4="Chapter Hunt"),CHOOSE(ArtifactsInput!$N$27+1,20,24,28,32,36,40),0)/100)))+1)),0)</f>
        <v/>
      </c>
      <c r="S1529">
        <f>IFERROR(O1529/N1529,0)</f>
        <v/>
      </c>
      <c r="T1529">
        <f>IF(C1529,(H1529*N1529*IF(AND(Inputs!$B$38&lt;&gt;"pvp",Inputs!$B$43&gt;0),((Skills!G6*((R1529-1)*IF(Skills!H6&gt;0,Skills!I6/Skills!H6,1)+IF(Skills!H6&gt;0,MIN(Skills!I6,MAX(0,MAX(0,Inputs!$B$43-B1561)-((R1529-1)*(IF(Inputs!$B$38="pvp",15,MAX(0.1,Skills!D6-IF(Skills!E6=TRUE,Inputs!$B$32,0)))*(1-IF(AND(ArtifactsInput!$M$27,Inputs!$B$4="Chapter Hunt"),CHOOSE(ArtifactsInput!$N$27+1,20,24,28,32,36,40),0)/100)))))/Skills!H6,1)))/Inputs!$B$43),G1529*Q1529)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1529*(1-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1529*(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1529*(1-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1529*(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9">
        <f>IF(C1529,(H1529*N1529*IF(AND(Inputs!$B$38&lt;&gt;"pvp",Inputs!$B$43&gt;0),((Skills!G6*((R1529-1)*IF(Skills!H6&gt;0,Skills!I6/Skills!H6,1)+IF(Skills!H6&gt;0,MIN(Skills!I6,MAX(0,MAX(0,Inputs!$B$43-B1561)-((R1529-1)*(IF(Inputs!$B$38="pvp",15,MAX(0.1,Skills!D6-IF(Skills!E6=TRUE,Inputs!$B$32,0)))*(1-IF(AND(ArtifactsInput!$M$27,Inputs!$B$4="Chapter Hunt"),CHOOSE(ArtifactsInput!$N$27+1,20,24,28,32,36,40),0)/100)))))/Skills!H6,1)))/Inputs!$B$43),G1529*Q1529))*IF(Inputs!$B$38="pvp",1,(1+(Inputs!$B$21+Skills!Q6+(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0">
      <c r="A1530">
        <f>Skills!A7</f>
        <v/>
      </c>
      <c r="B1530">
        <f>Skills!B7</f>
        <v/>
      </c>
      <c r="C1530">
        <f>Inputs!$B$3&gt;=66</f>
        <v/>
      </c>
      <c r="D1530">
        <f>IF(Skills!C7=1,60+Inputs!$B$25+Inputs!$B$29,IF(Skills!C7=2,90+Inputs!$B$26+Inputs!$B$29,IF(Skills!C7=3,120+Inputs!$B$27+Inputs!$B$29,MAX(0,(Inputs!$B$3-100)*3)+Inputs!$B$28+Inputs!$B$29)))</f>
        <v/>
      </c>
      <c r="E1530">
        <f>INDEX(FactorTable!$B$2:$Y$301, MATCH(ROUND(MIN(300,MAX(1,D1530)),0), FactorTable!$A$2:$A$301,0), Skills!M7+1)</f>
        <v/>
      </c>
      <c r="F1530">
        <f>IF(Skills!N7=TRUE,(Skills!L7/10)*(E1530/1000),Skills!L7/10)+Skills!O7</f>
        <v/>
      </c>
      <c r="G1530">
        <f>Skills!G7*IF(Skills!H7&gt;0,Skills!I7/Skills!H7,1)</f>
        <v/>
      </c>
      <c r="H1530">
        <f>1-(1-Skills!J7/100)^Skills!K7</f>
        <v/>
      </c>
      <c r="I1530" t="inlineStr">
        <is>
          <t>1</t>
        </is>
      </c>
      <c r="J1530">
        <f>((Inputs!$B$6*(1+Inputs!$B$7/100))+(((Inputs!$B$12*(1+Inputs!$B$13/100))-(Inputs!$B$12*(1+Inputs!$B$13/100)))+0.25*(Inputs!$B$14-Inputs!$B$14))*(1+Inputs!$B$7/100))*(F1530/100)</f>
        <v/>
      </c>
      <c r="K1530">
        <f>J1530*(1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1538=TRUE,F1538,0)/100)*(1+(IF(Skills!A7="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1530)</f>
        <v/>
      </c>
      <c r="L1530">
        <f>K1530*(MIN(Inputs!$B$22+((C1545=TRUE)*(F1545-Calc!F22)),(Inputs!$B$23+0+(IF(ArtifactsInput!$M$15,CHOOSE(ArtifactsInput!$N$15+1,25,30,35,40,45,50)/100*(Inputs!$B$11-Inputs!$B$11),0))))/100+(Inputs!$B$23+0+(IF(ArtifactsInput!$M$15,CHOOSE(ArtifactsInput!$N$15+1,25,30,35,40,45,50)/100*(Inputs!$B$11-Inputs!$B$11),0)))/100)/2</f>
        <v/>
      </c>
      <c r="M1530">
        <f>L1530*(1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0">
        <f>L1530*(1-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1530*(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0">
        <f>(1-Summary!$B$11)*T1530+Summary!$B$11*V1530</f>
        <v/>
      </c>
      <c r="P1530">
        <f>IF(B1564=0,0,O1530/B1564)</f>
        <v/>
      </c>
      <c r="Q1530">
        <f>IFERROR(1/(IF(Inputs!$B$38="pvp",15,MAX(0.1,Skills!D7-IF(Skills!E7=TRUE,Inputs!$B$32,0)))*(1-IF(AND(ArtifactsInput!$M$27,Inputs!$B$4="Chapter Hunt"),CHOOSE(ArtifactsInput!$N$27+1,20,24,28,32,36,40),0)/100)),0)</f>
        <v/>
      </c>
      <c r="R1530">
        <f>IF(AND(Inputs!$B$38&lt;&gt;"pvp",Inputs!$B$43&gt;0),IF(MAX(0,Inputs!$B$43-B1561)&lt;=0,0,(INT(MAX(0,Inputs!$B$43-B1561)/(IF(Inputs!$B$38="pvp",15,MAX(0.1,Skills!D7-IF(Skills!E7=TRUE,Inputs!$B$32,0)))*(1-IF(AND(ArtifactsInput!$M$27,Inputs!$B$4="Chapter Hunt"),CHOOSE(ArtifactsInput!$N$27+1,20,24,28,32,36,40),0)/100)))+1)),0)</f>
        <v/>
      </c>
      <c r="S1530">
        <f>IFERROR(O1530/N1530,0)</f>
        <v/>
      </c>
      <c r="T1530">
        <f>IF(C1530,(H1530*N1530*IF(AND(Inputs!$B$38&lt;&gt;"pvp",Inputs!$B$43&gt;0),((Skills!G7*((R1530-1)*IF(Skills!H7&gt;0,Skills!I7/Skills!H7,1)+IF(Skills!H7&gt;0,MIN(Skills!I7,MAX(0,MAX(0,Inputs!$B$43-B1561)-((R1530-1)*(IF(Inputs!$B$38="pvp",15,MAX(0.1,Skills!D7-IF(Skills!E7=TRUE,Inputs!$B$32,0)))*(1-IF(AND(ArtifactsInput!$M$27,Inputs!$B$4="Chapter Hunt"),CHOOSE(ArtifactsInput!$N$27+1,20,24,28,32,36,40),0)/100)))))/Skills!H7,1)))/Inputs!$B$43),G1530*Q1530)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1530*(1-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1530*(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1530*(1-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1530*(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0">
        <f>IF(C1530,(H1530*N1530*IF(AND(Inputs!$B$38&lt;&gt;"pvp",Inputs!$B$43&gt;0),((Skills!G7*((R1530-1)*IF(Skills!H7&gt;0,Skills!I7/Skills!H7,1)+IF(Skills!H7&gt;0,MIN(Skills!I7,MAX(0,MAX(0,Inputs!$B$43-B1561)-((R1530-1)*(IF(Inputs!$B$38="pvp",15,MAX(0.1,Skills!D7-IF(Skills!E7=TRUE,Inputs!$B$32,0)))*(1-IF(AND(ArtifactsInput!$M$27,Inputs!$B$4="Chapter Hunt"),CHOOSE(ArtifactsInput!$N$27+1,20,24,28,32,36,40),0)/100)))))/Skills!H7,1)))/Inputs!$B$43),G1530*Q1530))*IF(Inputs!$B$38="pvp",1,(1+(Inputs!$B$21+Skills!Q7+(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1">
      <c r="A1531">
        <f>Skills!A8</f>
        <v/>
      </c>
      <c r="B1531">
        <f>Skills!B8</f>
        <v/>
      </c>
      <c r="C1531">
        <f>Inputs!$B$3&gt;=100</f>
        <v/>
      </c>
      <c r="D1531">
        <f>IF(Skills!C8=1,60+Inputs!$B$25+Inputs!$B$29,IF(Skills!C8=2,90+Inputs!$B$26+Inputs!$B$29,IF(Skills!C8=3,120+Inputs!$B$27+Inputs!$B$29,MAX(0,(Inputs!$B$3-100)*3)+Inputs!$B$28+Inputs!$B$29)))</f>
        <v/>
      </c>
      <c r="E1531">
        <f>INDEX(FactorTable!$B$2:$Y$301, MATCH(ROUND(MIN(300,MAX(1,D1531)),0), FactorTable!$A$2:$A$301,0), Skills!M8+1)</f>
        <v/>
      </c>
      <c r="F1531">
        <f>IF(Skills!N8=TRUE,(Skills!L8/10)*(E1531/1000),Skills!L8/10)+Skills!O8</f>
        <v/>
      </c>
      <c r="G1531">
        <f>Skills!G8*IF(Skills!H8&gt;0,Skills!I8/Skills!H8,1)</f>
        <v/>
      </c>
      <c r="H1531">
        <f>1-(1-Skills!J8/100)^Skills!K8</f>
        <v/>
      </c>
      <c r="I1531" t="inlineStr">
        <is>
          <t>1</t>
        </is>
      </c>
      <c r="J1531">
        <f>((Inputs!$B$6*(1+Inputs!$B$7/100))+(((Inputs!$B$12*(1+Inputs!$B$13/100))-(Inputs!$B$12*(1+Inputs!$B$13/100)))+0.25*(Inputs!$B$14-Inputs!$B$14))*(1+Inputs!$B$7/100))*(F1531/100)</f>
        <v/>
      </c>
      <c r="K1531">
        <f>J1531*(1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1531)</f>
        <v/>
      </c>
      <c r="L1531">
        <f>K1531*(MIN(Inputs!$B$22+((C1545=TRUE)*(F1545-Calc!F22)),(Inputs!$B$23+0+(IF(ArtifactsInput!$M$15,CHOOSE(ArtifactsInput!$N$15+1,25,30,35,40,45,50)/100*(Inputs!$B$11-Inputs!$B$11),0))))/100+(Inputs!$B$23+0+(IF(ArtifactsInput!$M$15,CHOOSE(ArtifactsInput!$N$15+1,25,30,35,40,45,50)/100*(Inputs!$B$11-Inputs!$B$11),0)))/100)/2</f>
        <v/>
      </c>
      <c r="M1531">
        <f>L1531*(1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1">
        <f>L1531*(1-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1">
        <f>(1-Summary!$B$11)*T1531+Summary!$B$11*V1531</f>
        <v/>
      </c>
      <c r="P1531">
        <f>IF(B1564=0,0,O1531/B1564)</f>
        <v/>
      </c>
      <c r="Q1531">
        <f>IFERROR(1/(IF(Inputs!$B$38="pvp",15,MAX(0.1,Skills!D8-IF(Skills!E8=TRUE,Inputs!$B$32,0)))*(1-IF(AND(ArtifactsInput!$M$27,Inputs!$B$4="Chapter Hunt"),CHOOSE(ArtifactsInput!$N$27+1,20,24,28,32,36,40),0)/100)),0)</f>
        <v/>
      </c>
      <c r="R1531">
        <f>IF(AND(Inputs!$B$38&lt;&gt;"pvp",Inputs!$B$43&gt;0),IF(MAX(0,Inputs!$B$43-B1561)&lt;=0,0,(INT(MAX(0,Inputs!$B$43-B1561)/(IF(Inputs!$B$38="pvp",15,MAX(0.1,Skills!D8-IF(Skills!E8=TRUE,Inputs!$B$32,0)))*(1-IF(AND(ArtifactsInput!$M$27,Inputs!$B$4="Chapter Hunt"),CHOOSE(ArtifactsInput!$N$27+1,20,24,28,32,36,40),0)/100)))+1)),0)</f>
        <v/>
      </c>
      <c r="S1531">
        <f>IFERROR(O1531/N1531,0)</f>
        <v/>
      </c>
      <c r="T1531">
        <f>IF(C1531,(H1531*N1531*IF(AND(Inputs!$B$38&lt;&gt;"pvp",Inputs!$B$43&gt;0),((Skills!G8*((R1531-1)*IF(Skills!H8&gt;0,Skills!I8/Skills!H8,1)+IF(Skills!H8&gt;0,MIN(Skills!I8,MAX(0,MAX(0,Inputs!$B$43-B1561)-((R1531-1)*(IF(Inputs!$B$38="pvp",15,MAX(0.1,Skills!D8-IF(Skills!E8=TRUE,Inputs!$B$32,0)))*(1-IF(AND(ArtifactsInput!$M$27,Inputs!$B$4="Chapter Hunt"),CHOOSE(ArtifactsInput!$N$27+1,20,24,28,32,36,40),0)/100)))))/Skills!H8,1)))/Inputs!$B$43),G1531*Q1531)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1531*(1-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1531*(1-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1">
        <f>IF(C1531,(H1531*N1531*IF(AND(Inputs!$B$38&lt;&gt;"pvp",Inputs!$B$43&gt;0),((Skills!G8*((R1531-1)*IF(Skills!H8&gt;0,Skills!I8/Skills!H8,1)+IF(Skills!H8&gt;0,MIN(Skills!I8,MAX(0,MAX(0,Inputs!$B$43-B1561)-((R1531-1)*(IF(Inputs!$B$38="pvp",15,MAX(0.1,Skills!D8-IF(Skills!E8=TRUE,Inputs!$B$32,0)))*(1-IF(AND(ArtifactsInput!$M$27,Inputs!$B$4="Chapter Hunt"),CHOOSE(ArtifactsInput!$N$27+1,20,24,28,32,36,40),0)/100)))))/Skills!H8,1)))/Inputs!$B$43),G1531*Q1531))*IF(Inputs!$B$38="pvp",1,(1+(Inputs!$B$21+Skills!Q8+(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2">
      <c r="A1532">
        <f>Skills!A9</f>
        <v/>
      </c>
      <c r="B1532">
        <f>Skills!B9</f>
        <v/>
      </c>
      <c r="C1532">
        <f>Inputs!$B$3&gt;=103</f>
        <v/>
      </c>
      <c r="D1532">
        <f>IF(Skills!C9=1,60+Inputs!$B$25+Inputs!$B$29,IF(Skills!C9=2,90+Inputs!$B$26+Inputs!$B$29,IF(Skills!C9=3,120+Inputs!$B$27+Inputs!$B$29,MAX(0,(Inputs!$B$3-100)*3)+Inputs!$B$28+Inputs!$B$29)))</f>
        <v/>
      </c>
      <c r="E1532">
        <f>INDEX(FactorTable!$B$2:$Y$301, MATCH(ROUND(MIN(300,MAX(1,D1532)),0), FactorTable!$A$2:$A$301,0), Skills!M9+1)</f>
        <v/>
      </c>
      <c r="F1532">
        <f>IF(Skills!N9=TRUE,(Skills!L9/10)*(E1532/1000),Skills!L9/10)+Skills!O9</f>
        <v/>
      </c>
      <c r="G1532">
        <f>Skills!G9*IF(Skills!H9&gt;0,Skills!I9/Skills!H9,1)</f>
        <v/>
      </c>
      <c r="H1532">
        <f>1-(1-Skills!J9/100)^Skills!K9</f>
        <v/>
      </c>
      <c r="I1532" t="inlineStr">
        <is>
          <t>1</t>
        </is>
      </c>
      <c r="J1532">
        <f>((Inputs!$B$6*(1+Inputs!$B$7/100))+(((Inputs!$B$12*(1+Inputs!$B$13/100))-(Inputs!$B$12*(1+Inputs!$B$13/100)))+0.25*(Inputs!$B$14-Inputs!$B$14))*(1+Inputs!$B$7/100))*(F1532/100)</f>
        <v/>
      </c>
      <c r="K1532">
        <f>J1532*(1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1532)</f>
        <v/>
      </c>
      <c r="L1532">
        <f>K1532*(MIN(Inputs!$B$22+((C1545=TRUE)*(F1545-Calc!F22)),(Inputs!$B$23+0+(IF(ArtifactsInput!$M$15,CHOOSE(ArtifactsInput!$N$15+1,25,30,35,40,45,50)/100*(Inputs!$B$11-Inputs!$B$11),0))))/100+(Inputs!$B$23+0+(IF(ArtifactsInput!$M$15,CHOOSE(ArtifactsInput!$N$15+1,25,30,35,40,45,50)/100*(Inputs!$B$11-Inputs!$B$11),0)))/100)/2</f>
        <v/>
      </c>
      <c r="M1532">
        <f>L1532*(1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2">
        <f>L1532*(1-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1532*(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2">
        <f>(1-Summary!$B$11)*T1532+Summary!$B$11*V1532</f>
        <v/>
      </c>
      <c r="P1532">
        <f>IF(B1564=0,0,O1532/B1564)</f>
        <v/>
      </c>
      <c r="Q1532">
        <f>IFERROR(1/(IF(Inputs!$B$38="pvp",15,MAX(0.1,Skills!D9-IF(Skills!E9=TRUE,Inputs!$B$32,0)))*(1-IF(AND(ArtifactsInput!$M$27,Inputs!$B$4="Chapter Hunt"),CHOOSE(ArtifactsInput!$N$27+1,20,24,28,32,36,40),0)/100)),0)</f>
        <v/>
      </c>
      <c r="R1532">
        <f>IF(AND(Inputs!$B$38&lt;&gt;"pvp",Inputs!$B$43&gt;0),IF(MAX(0,Inputs!$B$43-B1561)&lt;=0,0,(INT(MAX(0,Inputs!$B$43-B1561)/(IF(Inputs!$B$38="pvp",15,MAX(0.1,Skills!D9-IF(Skills!E9=TRUE,Inputs!$B$32,0)))*(1-IF(AND(ArtifactsInput!$M$27,Inputs!$B$4="Chapter Hunt"),CHOOSE(ArtifactsInput!$N$27+1,20,24,28,32,36,40),0)/100)))+1)),0)</f>
        <v/>
      </c>
      <c r="S1532">
        <f>IFERROR(O1532/N1532,0)</f>
        <v/>
      </c>
      <c r="T1532">
        <f>IF(C1532,(H1532*N1532*IF(AND(Inputs!$B$38&lt;&gt;"pvp",Inputs!$B$43&gt;0),((Skills!G9*((R1532-1)*IF(Skills!H9&gt;0,Skills!I9/Skills!H9,1)+IF(Skills!H9&gt;0,MIN(Skills!I9,MAX(0,MAX(0,Inputs!$B$43-B1561)-((R1532-1)*(IF(Inputs!$B$38="pvp",15,MAX(0.1,Skills!D9-IF(Skills!E9=TRUE,Inputs!$B$32,0)))*(1-IF(AND(ArtifactsInput!$M$27,Inputs!$B$4="Chapter Hunt"),CHOOSE(ArtifactsInput!$N$27+1,20,24,28,32,36,40),0)/100)))))/Skills!H9,1)))/Inputs!$B$43),G1532*Q1532)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1532*(1-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1532*(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1532*(1-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1532*(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2">
        <f>IF(C1532,(H1532*N1532*IF(AND(Inputs!$B$38&lt;&gt;"pvp",Inputs!$B$43&gt;0),((Skills!G9*((R1532-1)*IF(Skills!H9&gt;0,Skills!I9/Skills!H9,1)+IF(Skills!H9&gt;0,MIN(Skills!I9,MAX(0,MAX(0,Inputs!$B$43-B1561)-((R1532-1)*(IF(Inputs!$B$38="pvp",15,MAX(0.1,Skills!D9-IF(Skills!E9=TRUE,Inputs!$B$32,0)))*(1-IF(AND(ArtifactsInput!$M$27,Inputs!$B$4="Chapter Hunt"),CHOOSE(ArtifactsInput!$N$27+1,20,24,28,32,36,40),0)/100)))))/Skills!H9,1)))/Inputs!$B$43),G1532*Q1532))*IF(Inputs!$B$38="pvp",1,(1+(Inputs!$B$21+Skills!Q9+(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3">
      <c r="A1533">
        <f>Skills!A10</f>
        <v/>
      </c>
      <c r="B1533">
        <f>Skills!B10</f>
        <v/>
      </c>
      <c r="C1533">
        <f>Inputs!$B$3&gt;=113</f>
        <v/>
      </c>
      <c r="D1533">
        <f>IF(Skills!C10=1,60+Inputs!$B$25+Inputs!$B$29,IF(Skills!C10=2,90+Inputs!$B$26+Inputs!$B$29,IF(Skills!C10=3,120+Inputs!$B$27+Inputs!$B$29,MAX(0,(Inputs!$B$3-100)*3)+Inputs!$B$28+Inputs!$B$29)))</f>
        <v/>
      </c>
      <c r="E1533">
        <f>INDEX(FactorTable!$B$2:$Y$301, MATCH(ROUND(MIN(300,MAX(1,D1533)),0), FactorTable!$A$2:$A$301,0), Skills!M10+1)</f>
        <v/>
      </c>
      <c r="F1533">
        <f>IF(Skills!N10=TRUE,(Skills!L10/10)*(E1533/1000),Skills!L10/10)+Skills!O10</f>
        <v/>
      </c>
      <c r="G1533">
        <f>Skills!G10*IF(Skills!H10&gt;0,Skills!I10/Skills!H10,1)</f>
        <v/>
      </c>
      <c r="H1533">
        <f>1-(1-Skills!J10/100)^Skills!K10</f>
        <v/>
      </c>
      <c r="I1533" t="inlineStr">
        <is>
          <t>1</t>
        </is>
      </c>
      <c r="J1533">
        <f>((Inputs!$B$6*(1+Inputs!$B$7/100))+(((Inputs!$B$12*(1+Inputs!$B$13/100))-(Inputs!$B$12*(1+Inputs!$B$13/100)))+0.25*(Inputs!$B$14-Inputs!$B$14))*(1+Inputs!$B$7/100))*(F1533/100)</f>
        <v/>
      </c>
      <c r="K1533">
        <f>J1533*(1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1533)</f>
        <v/>
      </c>
      <c r="L1533">
        <f>K1533*(MIN(Inputs!$B$22+((C1545=TRUE)*(F1545-Calc!F22)),(Inputs!$B$23+0+(IF(ArtifactsInput!$M$15,CHOOSE(ArtifactsInput!$N$15+1,25,30,35,40,45,50)/100*(Inputs!$B$11-Inputs!$B$11),0))))/100+(Inputs!$B$23+0+(IF(ArtifactsInput!$M$15,CHOOSE(ArtifactsInput!$N$15+1,25,30,35,40,45,50)/100*(Inputs!$B$11-Inputs!$B$11),0)))/100)/2</f>
        <v/>
      </c>
      <c r="M1533">
        <f>L1533*(1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3">
        <f>L1533*(1-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1533*(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3">
        <f>(1-Summary!$B$11)*T1533+Summary!$B$11*V1533</f>
        <v/>
      </c>
      <c r="P1533">
        <f>IF(B1564=0,0,O1533/B1564)</f>
        <v/>
      </c>
      <c r="Q1533">
        <f>IFERROR(1/(IF(Inputs!$B$38="pvp",15,MAX(0.1,Skills!D10-IF(Skills!E10=TRUE,Inputs!$B$32,0)))*(1-IF(AND(ArtifactsInput!$M$27,Inputs!$B$4="Chapter Hunt"),CHOOSE(ArtifactsInput!$N$27+1,20,24,28,32,36,40),0)/100)),0)</f>
        <v/>
      </c>
      <c r="R1533">
        <f>IF(AND(Inputs!$B$38&lt;&gt;"pvp",Inputs!$B$43&gt;0),IF(MAX(0,Inputs!$B$43-B1561)&lt;=0,0,(INT(MAX(0,Inputs!$B$43-B1561)/(IF(Inputs!$B$38="pvp",15,MAX(0.1,Skills!D10-IF(Skills!E10=TRUE,Inputs!$B$32,0)))*(1-IF(AND(ArtifactsInput!$M$27,Inputs!$B$4="Chapter Hunt"),CHOOSE(ArtifactsInput!$N$27+1,20,24,28,32,36,40),0)/100)))+1)),0)</f>
        <v/>
      </c>
      <c r="S1533">
        <f>IFERROR(O1533/N1533,0)</f>
        <v/>
      </c>
      <c r="T1533">
        <f>IF(C1533,(H1533*N1533*IF(AND(Inputs!$B$38&lt;&gt;"pvp",Inputs!$B$43&gt;0),((Skills!G10*((R1533-1)*IF(Skills!H10&gt;0,Skills!I10/Skills!H10,1)+IF(Skills!H10&gt;0,MIN(Skills!I10,MAX(0,MAX(0,Inputs!$B$43-B1561)-((R1533-1)*(IF(Inputs!$B$38="pvp",15,MAX(0.1,Skills!D10-IF(Skills!E10=TRUE,Inputs!$B$32,0)))*(1-IF(AND(ArtifactsInput!$M$27,Inputs!$B$4="Chapter Hunt"),CHOOSE(ArtifactsInput!$N$27+1,20,24,28,32,36,40),0)/100)))))/Skills!H10,1)))/Inputs!$B$43),G1533*Q1533)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1533*(1-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1533*(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1533*(1-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1533*(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3">
        <f>IF(C1533,(H1533*N1533*IF(AND(Inputs!$B$38&lt;&gt;"pvp",Inputs!$B$43&gt;0),((Skills!G10*((R1533-1)*IF(Skills!H10&gt;0,Skills!I10/Skills!H10,1)+IF(Skills!H10&gt;0,MIN(Skills!I10,MAX(0,MAX(0,Inputs!$B$43-B1561)-((R1533-1)*(IF(Inputs!$B$38="pvp",15,MAX(0.1,Skills!D10-IF(Skills!E10=TRUE,Inputs!$B$32,0)))*(1-IF(AND(ArtifactsInput!$M$27,Inputs!$B$4="Chapter Hunt"),CHOOSE(ArtifactsInput!$N$27+1,20,24,28,32,36,40),0)/100)))))/Skills!H10,1)))/Inputs!$B$43),G1533*Q1533))*IF(Inputs!$B$38="pvp",1,(1+(Inputs!$B$21+Skills!Q10+(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4">
      <c r="A1534">
        <f>Skills!A11</f>
        <v/>
      </c>
      <c r="B1534">
        <f>Skills!B11</f>
        <v/>
      </c>
      <c r="C1534">
        <f>Inputs!$B$3&gt;=107</f>
        <v/>
      </c>
      <c r="D1534">
        <f>IF(Skills!C11=1,60+Inputs!$B$25+Inputs!$B$29,IF(Skills!C11=2,90+Inputs!$B$26+Inputs!$B$29,IF(Skills!C11=3,120+Inputs!$B$27+Inputs!$B$29,MAX(0,(Inputs!$B$3-100)*3)+Inputs!$B$28+Inputs!$B$29)))</f>
        <v/>
      </c>
      <c r="E1534">
        <f>INDEX(FactorTable!$B$2:$Y$301, MATCH(ROUND(MIN(300,MAX(1,D1534)),0), FactorTable!$A$2:$A$301,0), Skills!M11+1)</f>
        <v/>
      </c>
      <c r="F1534">
        <f>IF(Skills!N11=TRUE,(Skills!L11/10)*(E1534/1000),Skills!L11/10)+Skills!O11</f>
        <v/>
      </c>
      <c r="G1534">
        <f>Skills!G11*IF(Skills!H11&gt;0,Skills!I11/Skills!H11,1)</f>
        <v/>
      </c>
      <c r="H1534">
        <f>1-(1-Skills!J11/100)^Skills!K11</f>
        <v/>
      </c>
      <c r="I1534" t="inlineStr">
        <is>
          <t>1</t>
        </is>
      </c>
      <c r="J1534">
        <f>((Inputs!$B$6*(1+Inputs!$B$7/100))+(((Inputs!$B$12*(1+Inputs!$B$13/100))-(Inputs!$B$12*(1+Inputs!$B$13/100)))+0.25*(Inputs!$B$14-Inputs!$B$14))*(1+Inputs!$B$7/100))*(F1534/100)</f>
        <v/>
      </c>
      <c r="K1534">
        <f>J1534*(1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1534)</f>
        <v/>
      </c>
      <c r="L1534">
        <f>K1534*(MIN(Inputs!$B$22+((C1545=TRUE)*(F1545-Calc!F22)),(Inputs!$B$23+0+(IF(ArtifactsInput!$M$15,CHOOSE(ArtifactsInput!$N$15+1,25,30,35,40,45,50)/100*(Inputs!$B$11-Inputs!$B$11),0))))/100+(Inputs!$B$23+0+(IF(ArtifactsInput!$M$15,CHOOSE(ArtifactsInput!$N$15+1,25,30,35,40,45,50)/100*(Inputs!$B$11-Inputs!$B$11),0)))/100)/2</f>
        <v/>
      </c>
      <c r="M1534">
        <f>L1534*(1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4">
        <f>L1534*(1-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1534*(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4">
        <f>(1-Summary!$B$11)*T1534+Summary!$B$11*V1534</f>
        <v/>
      </c>
      <c r="P1534">
        <f>IF(B1564=0,0,O1534/B1564)</f>
        <v/>
      </c>
      <c r="Q1534">
        <f>IFERROR(1/(IF(Inputs!$B$38="pvp",15,MAX(0.1,Skills!D11-IF(Skills!E11=TRUE,Inputs!$B$32,0)))*(1-IF(AND(ArtifactsInput!$M$27,Inputs!$B$4="Chapter Hunt"),CHOOSE(ArtifactsInput!$N$27+1,20,24,28,32,36,40),0)/100)),0)</f>
        <v/>
      </c>
      <c r="R1534">
        <f>IF(AND(Inputs!$B$38&lt;&gt;"pvp",Inputs!$B$43&gt;0),IF(MAX(0,Inputs!$B$43-B1561)&lt;=0,0,(INT(MAX(0,Inputs!$B$43-B1561)/(IF(Inputs!$B$38="pvp",15,MAX(0.1,Skills!D11-IF(Skills!E11=TRUE,Inputs!$B$32,0)))*(1-IF(AND(ArtifactsInput!$M$27,Inputs!$B$4="Chapter Hunt"),CHOOSE(ArtifactsInput!$N$27+1,20,24,28,32,36,40),0)/100)))+1)),0)</f>
        <v/>
      </c>
      <c r="S1534">
        <f>IFERROR(O1534/N1534,0)</f>
        <v/>
      </c>
      <c r="T1534">
        <f>IF(C1534,(H1534*N1534*IF(AND(Inputs!$B$38&lt;&gt;"pvp",Inputs!$B$43&gt;0),((Skills!G11*((R1534-1)*IF(Skills!H11&gt;0,Skills!I11/Skills!H11,1)+IF(Skills!H11&gt;0,MIN(Skills!I11,MAX(0,MAX(0,Inputs!$B$43-B1561)-((R1534-1)*(IF(Inputs!$B$38="pvp",15,MAX(0.1,Skills!D11-IF(Skills!E11=TRUE,Inputs!$B$32,0)))*(1-IF(AND(ArtifactsInput!$M$27,Inputs!$B$4="Chapter Hunt"),CHOOSE(ArtifactsInput!$N$27+1,20,24,28,32,36,40),0)/100)))))/Skills!H11,1)))/Inputs!$B$43),G1534*Q1534)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1534*(1-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1534*(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1534*(1-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1534*(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4">
        <f>IF(C1534,(H1534*N1534*IF(AND(Inputs!$B$38&lt;&gt;"pvp",Inputs!$B$43&gt;0),((Skills!G11*((R1534-1)*IF(Skills!H11&gt;0,Skills!I11/Skills!H11,1)+IF(Skills!H11&gt;0,MIN(Skills!I11,MAX(0,MAX(0,Inputs!$B$43-B1561)-((R1534-1)*(IF(Inputs!$B$38="pvp",15,MAX(0.1,Skills!D11-IF(Skills!E11=TRUE,Inputs!$B$32,0)))*(1-IF(AND(ArtifactsInput!$M$27,Inputs!$B$4="Chapter Hunt"),CHOOSE(ArtifactsInput!$N$27+1,20,24,28,32,36,40),0)/100)))))/Skills!H11,1)))/Inputs!$B$43),G1534*Q1534))*IF(Inputs!$B$38="pvp",1,(1+(Inputs!$B$21+Skills!Q11+(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5">
      <c r="A1535">
        <f>Skills!A12</f>
        <v/>
      </c>
      <c r="B1535">
        <f>Skills!B12</f>
        <v/>
      </c>
      <c r="C1535">
        <f>Inputs!$B$3&gt;=110</f>
        <v/>
      </c>
      <c r="D1535">
        <f>IF(Skills!C12=1,60+Inputs!$B$25+Inputs!$B$29,IF(Skills!C12=2,90+Inputs!$B$26+Inputs!$B$29,IF(Skills!C12=3,120+Inputs!$B$27+Inputs!$B$29,MAX(0,(Inputs!$B$3-100)*3)+Inputs!$B$28+Inputs!$B$29)))</f>
        <v/>
      </c>
      <c r="E1535">
        <f>INDEX(FactorTable!$B$2:$Y$301, MATCH(ROUND(MIN(300,MAX(1,D1535)),0), FactorTable!$A$2:$A$301,0), Skills!M12+1)</f>
        <v/>
      </c>
      <c r="F1535">
        <f>IF(Skills!N12=TRUE,(Skills!L12/10)*(E1535/1000),Skills!L12/10)+Skills!O12</f>
        <v/>
      </c>
      <c r="G1535">
        <f>Skills!G12*IF(Skills!H12&gt;0,Skills!I12/Skills!H12,1)</f>
        <v/>
      </c>
      <c r="H1535">
        <f>1-(1-Skills!J12/100)^Skills!K12</f>
        <v/>
      </c>
      <c r="I1535" t="inlineStr">
        <is>
          <t>1</t>
        </is>
      </c>
      <c r="J1535">
        <f>((Inputs!$B$6*(1+Inputs!$B$7/100))+(((Inputs!$B$12*(1+Inputs!$B$13/100))-(Inputs!$B$12*(1+Inputs!$B$13/100)))+0.25*(Inputs!$B$14-Inputs!$B$14))*(1+Inputs!$B$7/100))*(F1535/100)</f>
        <v/>
      </c>
      <c r="K1535">
        <f>J1535*(1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1535)</f>
        <v/>
      </c>
      <c r="L1535">
        <f>K1535*(MIN(Inputs!$B$22+((C1545=TRUE)*(F1545-Calc!F22)),(Inputs!$B$23+0+(IF(ArtifactsInput!$M$15,CHOOSE(ArtifactsInput!$N$15+1,25,30,35,40,45,50)/100*(Inputs!$B$11-Inputs!$B$11),0))))/100+(Inputs!$B$23+0+(IF(ArtifactsInput!$M$15,CHOOSE(ArtifactsInput!$N$15+1,25,30,35,40,45,50)/100*(Inputs!$B$11-Inputs!$B$11),0)))/100)/2</f>
        <v/>
      </c>
      <c r="M1535">
        <f>L1535*(1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5">
        <f>L1535*(1-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1535*(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5">
        <f>(1-Summary!$B$11)*T1535+Summary!$B$11*V1535</f>
        <v/>
      </c>
      <c r="P1535">
        <f>IF(B1564=0,0,O1535/B1564)</f>
        <v/>
      </c>
      <c r="Q1535">
        <f>IFERROR(1/(IF(Inputs!$B$38="pvp",15,MAX(0.1,Skills!D12-IF(Skills!E12=TRUE,Inputs!$B$32,0)))*(1-IF(AND(ArtifactsInput!$M$27,Inputs!$B$4="Chapter Hunt"),CHOOSE(ArtifactsInput!$N$27+1,20,24,28,32,36,40),0)/100)),0)</f>
        <v/>
      </c>
      <c r="R1535">
        <f>IF(AND(Inputs!$B$38&lt;&gt;"pvp",Inputs!$B$43&gt;0),IF(MAX(0,Inputs!$B$43-B1561)&lt;=0,0,(INT(MAX(0,Inputs!$B$43-B1561)/(IF(Inputs!$B$38="pvp",15,MAX(0.1,Skills!D12-IF(Skills!E12=TRUE,Inputs!$B$32,0)))*(1-IF(AND(ArtifactsInput!$M$27,Inputs!$B$4="Chapter Hunt"),CHOOSE(ArtifactsInput!$N$27+1,20,24,28,32,36,40),0)/100)))+1)),0)</f>
        <v/>
      </c>
      <c r="S1535">
        <f>IFERROR(O1535/N1535,0)</f>
        <v/>
      </c>
      <c r="T1535">
        <f>IF(C1535,(H1535*N1535*IF(AND(Inputs!$B$38&lt;&gt;"pvp",Inputs!$B$43&gt;0),((Skills!G12*((R1535-1)*IF(Skills!H12&gt;0,Skills!I12/Skills!H12,1)+IF(Skills!H12&gt;0,MIN(Skills!I12,MAX(0,MAX(0,Inputs!$B$43-B1561)-((R1535-1)*(IF(Inputs!$B$38="pvp",15,MAX(0.1,Skills!D12-IF(Skills!E12=TRUE,Inputs!$B$32,0)))*(1-IF(AND(ArtifactsInput!$M$27,Inputs!$B$4="Chapter Hunt"),CHOOSE(ArtifactsInput!$N$27+1,20,24,28,32,36,40),0)/100)))))/Skills!H12,1)))/Inputs!$B$43),G1535*Q1535)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1535*(1-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1535*(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1535*(1-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1535*(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5">
        <f>IF(C1535,(H1535*N1535*IF(AND(Inputs!$B$38&lt;&gt;"pvp",Inputs!$B$43&gt;0),((Skills!G12*((R1535-1)*IF(Skills!H12&gt;0,Skills!I12/Skills!H12,1)+IF(Skills!H12&gt;0,MIN(Skills!I12,MAX(0,MAX(0,Inputs!$B$43-B1561)-((R1535-1)*(IF(Inputs!$B$38="pvp",15,MAX(0.1,Skills!D12-IF(Skills!E12=TRUE,Inputs!$B$32,0)))*(1-IF(AND(ArtifactsInput!$M$27,Inputs!$B$4="Chapter Hunt"),CHOOSE(ArtifactsInput!$N$27+1,20,24,28,32,36,40),0)/100)))))/Skills!H12,1)))/Inputs!$B$43),G1535*Q1535))*IF(Inputs!$B$38="pvp",1,(1+(Inputs!$B$21+Skills!Q12+(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6">
      <c r="A1536">
        <f>Skills!A13</f>
        <v/>
      </c>
      <c r="B1536">
        <f>Skills!B13</f>
        <v/>
      </c>
      <c r="C1536">
        <f>Inputs!$B$3&gt;=110</f>
        <v/>
      </c>
      <c r="D1536">
        <f>IF(Skills!C13=1,60+Inputs!$B$25+Inputs!$B$29,IF(Skills!C13=2,90+Inputs!$B$26+Inputs!$B$29,IF(Skills!C13=3,120+Inputs!$B$27+Inputs!$B$29,MAX(0,(Inputs!$B$3-100)*3)+Inputs!$B$28+Inputs!$B$29)))</f>
        <v/>
      </c>
      <c r="E1536">
        <f>INDEX(FactorTable!$B$2:$Y$301, MATCH(ROUND(MIN(300,MAX(1,D1536)),0), FactorTable!$A$2:$A$301,0), Skills!M13+1)</f>
        <v/>
      </c>
      <c r="F1536">
        <f>IF(Skills!N13=TRUE,(Skills!L13/10)*(E1536/1000),Skills!L13/10)+Skills!O13</f>
        <v/>
      </c>
      <c r="G1536">
        <f>Skills!G13*IF(Skills!H13&gt;0,Skills!I13/Skills!H13,1)</f>
        <v/>
      </c>
      <c r="H1536">
        <f>1-(1-Skills!J13/100)^Skills!K13</f>
        <v/>
      </c>
      <c r="I1536" t="inlineStr">
        <is>
          <t>1</t>
        </is>
      </c>
      <c r="J1536">
        <f>((Inputs!$B$6*(1+Inputs!$B$7/100))+(((Inputs!$B$12*(1+Inputs!$B$13/100))-(Inputs!$B$12*(1+Inputs!$B$13/100)))+0.25*(Inputs!$B$14-Inputs!$B$14))*(1+Inputs!$B$7/100))*(F1536/100)</f>
        <v/>
      </c>
      <c r="K1536">
        <f>J1536*(1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1536)</f>
        <v/>
      </c>
      <c r="L1536">
        <f>K1536*(MIN(Inputs!$B$22+((C1545=TRUE)*(F1545-Calc!F22)),(Inputs!$B$23+0+(IF(ArtifactsInput!$M$15,CHOOSE(ArtifactsInput!$N$15+1,25,30,35,40,45,50)/100*(Inputs!$B$11-Inputs!$B$11),0))))/100+(Inputs!$B$23+0+(IF(ArtifactsInput!$M$15,CHOOSE(ArtifactsInput!$N$15+1,25,30,35,40,45,50)/100*(Inputs!$B$11-Inputs!$B$11),0)))/100)/2</f>
        <v/>
      </c>
      <c r="M1536">
        <f>L1536*(1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6">
        <f>L1536*(1-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1536*(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6">
        <f>(1-Summary!$B$11)*T1536+Summary!$B$11*V1536</f>
        <v/>
      </c>
      <c r="P1536">
        <f>IF(B1564=0,0,O1536/B1564)</f>
        <v/>
      </c>
      <c r="Q1536">
        <f>IFERROR(1/(IF(Inputs!$B$38="pvp",15,MAX(0.1,Skills!D13-IF(Skills!E13=TRUE,Inputs!$B$32,0)))*(1-IF(AND(ArtifactsInput!$M$27,Inputs!$B$4="Chapter Hunt"),CHOOSE(ArtifactsInput!$N$27+1,20,24,28,32,36,40),0)/100)),0)</f>
        <v/>
      </c>
      <c r="R1536">
        <f>IF(AND(Inputs!$B$38&lt;&gt;"pvp",Inputs!$B$43&gt;0),IF(MAX(0,Inputs!$B$43-B1561)&lt;=0,0,(INT(MAX(0,Inputs!$B$43-B1561)/(IF(Inputs!$B$38="pvp",15,MAX(0.1,Skills!D13-IF(Skills!E13=TRUE,Inputs!$B$32,0)))*(1-IF(AND(ArtifactsInput!$M$27,Inputs!$B$4="Chapter Hunt"),CHOOSE(ArtifactsInput!$N$27+1,20,24,28,32,36,40),0)/100)))+1)),0)</f>
        <v/>
      </c>
      <c r="S1536">
        <f>IFERROR(O1536/N1536,0)</f>
        <v/>
      </c>
      <c r="T1536">
        <f>IF(C1536,(H1536*N1536*IF(AND(Inputs!$B$38&lt;&gt;"pvp",Inputs!$B$43&gt;0),((Skills!G13*((R1536-1)*IF(Skills!H13&gt;0,Skills!I13/Skills!H13,1)+IF(Skills!H13&gt;0,MIN(Skills!I13,MAX(0,MAX(0,Inputs!$B$43-B1561)-((R1536-1)*(IF(Inputs!$B$38="pvp",15,MAX(0.1,Skills!D13-IF(Skills!E13=TRUE,Inputs!$B$32,0)))*(1-IF(AND(ArtifactsInput!$M$27,Inputs!$B$4="Chapter Hunt"),CHOOSE(ArtifactsInput!$N$27+1,20,24,28,32,36,40),0)/100)))))/Skills!H13,1)))/Inputs!$B$43),G1536*Q1536)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1536*(1-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1536*(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1536*(1-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1536*(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6">
        <f>IF(C1536,(H1536*N1536*IF(AND(Inputs!$B$38&lt;&gt;"pvp",Inputs!$B$43&gt;0),((Skills!G13*((R1536-1)*IF(Skills!H13&gt;0,Skills!I13/Skills!H13,1)+IF(Skills!H13&gt;0,MIN(Skills!I13,MAX(0,MAX(0,Inputs!$B$43-B1561)-((R1536-1)*(IF(Inputs!$B$38="pvp",15,MAX(0.1,Skills!D13-IF(Skills!E13=TRUE,Inputs!$B$32,0)))*(1-IF(AND(ArtifactsInput!$M$27,Inputs!$B$4="Chapter Hunt"),CHOOSE(ArtifactsInput!$N$27+1,20,24,28,32,36,40),0)/100)))))/Skills!H13,1)))/Inputs!$B$43),G1536*Q1536))*IF(Inputs!$B$38="pvp",1,(1+(Inputs!$B$21+Skills!Q13+(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7">
      <c r="A1537">
        <f>Skills!A14</f>
        <v/>
      </c>
      <c r="B1537">
        <f>Skills!B14</f>
        <v/>
      </c>
      <c r="C1537">
        <f>Inputs!$B$3&gt;=125</f>
        <v/>
      </c>
      <c r="D1537">
        <f>IF(Skills!C14=1,60+Inputs!$B$25+Inputs!$B$29,IF(Skills!C14=2,90+Inputs!$B$26+Inputs!$B$29,IF(Skills!C14=3,120+Inputs!$B$27+Inputs!$B$29,MAX(0,(Inputs!$B$3-100)*3)+Inputs!$B$28+Inputs!$B$29)))</f>
        <v/>
      </c>
      <c r="E1537">
        <f>INDEX(FactorTable!$B$2:$Y$301, MATCH(ROUND(MIN(300,MAX(1,D1537)),0), FactorTable!$A$2:$A$301,0), Skills!M14+1)</f>
        <v/>
      </c>
      <c r="F1537">
        <f>IF(Skills!N14=TRUE,(Skills!L14/10)*(E1537/1000),Skills!L14/10)+Skills!O14</f>
        <v/>
      </c>
      <c r="G1537">
        <f>Skills!G14*IF(Skills!H14&gt;0,Skills!I14/Skills!H14,1)</f>
        <v/>
      </c>
      <c r="H1537">
        <f>1-(1-Skills!J14/100)^Skills!K14</f>
        <v/>
      </c>
      <c r="I1537" t="inlineStr">
        <is>
          <t>1</t>
        </is>
      </c>
      <c r="J1537">
        <f>((Inputs!$B$6*(1+Inputs!$B$7/100))+(((Inputs!$B$12*(1+Inputs!$B$13/100))-(Inputs!$B$12*(1+Inputs!$B$13/100)))+0.25*(Inputs!$B$14-Inputs!$B$14))*(1+Inputs!$B$7/100))*(F1537/100)</f>
        <v/>
      </c>
      <c r="K1537">
        <f>J1537*(1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1537)</f>
        <v/>
      </c>
      <c r="L1537">
        <f>K1537*(MIN(Inputs!$B$22+((C1545=TRUE)*(F1545-Calc!F22)),(Inputs!$B$23+0+(IF(ArtifactsInput!$M$15,CHOOSE(ArtifactsInput!$N$15+1,25,30,35,40,45,50)/100*(Inputs!$B$11-Inputs!$B$11),0))))/100+(Inputs!$B$23+0+(IF(ArtifactsInput!$M$15,CHOOSE(ArtifactsInput!$N$15+1,25,30,35,40,45,50)/100*(Inputs!$B$11-Inputs!$B$11),0)))/100)/2</f>
        <v/>
      </c>
      <c r="M1537">
        <f>L1537*(1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7">
        <f>L1537*(1-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1537*(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7">
        <f>(1-Summary!$B$11)*T1537+Summary!$B$11*V1537</f>
        <v/>
      </c>
      <c r="P1537">
        <f>IF(B1564=0,0,O1537/B1564)</f>
        <v/>
      </c>
      <c r="Q1537" t="n">
        <v>0</v>
      </c>
      <c r="R1537" t="n">
        <v>0</v>
      </c>
      <c r="S1537">
        <f>IFERROR(O1537/N1537,0)</f>
        <v/>
      </c>
      <c r="T1537">
        <f>IF(C1537,(H1537*N1537*(B1558+IF(AND(Inputs!$B$38&lt;&gt;"pvp",Inputs!$B$43&gt;0),((Skills!G8*((R1531-1)*IF(Skills!H8&gt;0,Skills!I8/Skills!H8,1)+IF(Skills!H8&gt;0,MIN(Skills!I8,MAX(0,MAX(0,Inputs!$B$43-B1561)-((R1531-1)*(IF(Inputs!$B$38="pvp",15,MAX(0.1,Skills!D8-IF(Skills!E8=TRUE,Inputs!$B$32,0)))*(1-IF(AND(ArtifactsInput!$M$27,Inputs!$B$4="Chapter Hunt"),CHOOSE(ArtifactsInput!$N$27+1,20,24,28,32,36,40),0)/100)))))/Skills!H8,1)))/Inputs!$B$43),G1531*Q1531)+IF(AND(Inputs!$B$38&lt;&gt;"pvp",Inputs!$B$43&gt;0),((Skills!G11*((R1534-1)*IF(Skills!H11&gt;0,Skills!I11/Skills!H11,1)+IF(Skills!H11&gt;0,MIN(Skills!I11,MAX(0,MAX(0,Inputs!$B$43-B1561)-((R1534-1)*(IF(Inputs!$B$38="pvp",15,MAX(0.1,Skills!D11-IF(Skills!E11=TRUE,Inputs!$B$32,0)))*(1-IF(AND(ArtifactsInput!$M$27,Inputs!$B$4="Chapter Hunt"),CHOOSE(ArtifactsInput!$N$27+1,20,24,28,32,36,40),0)/100)))))/Skills!H11,1)))/Inputs!$B$43),G1534*Q1534)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1537*(1-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1537*(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1537*(1-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1537*(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7">
        <f>IF(C1537,(H1537*N1537*(B1558+IF(AND(Inputs!$B$38&lt;&gt;"pvp",Inputs!$B$43&gt;0),((Skills!G8*((R1531-1)*IF(Skills!H8&gt;0,Skills!I8/Skills!H8,1)+IF(Skills!H8&gt;0,MIN(Skills!I8,MAX(0,MAX(0,Inputs!$B$43-B1561)-((R1531-1)*(IF(Inputs!$B$38="pvp",15,MAX(0.1,Skills!D8-IF(Skills!E8=TRUE,Inputs!$B$32,0)))*(1-IF(AND(ArtifactsInput!$M$27,Inputs!$B$4="Chapter Hunt"),CHOOSE(ArtifactsInput!$N$27+1,20,24,28,32,36,40),0)/100)))))/Skills!H8,1)))/Inputs!$B$43),G1531*Q1531)+IF(AND(Inputs!$B$38&lt;&gt;"pvp",Inputs!$B$43&gt;0),((Skills!G11*((R1534-1)*IF(Skills!H11&gt;0,Skills!I11/Skills!H11,1)+IF(Skills!H11&gt;0,MIN(Skills!I11,MAX(0,MAX(0,Inputs!$B$43-B1561)-((R1534-1)*(IF(Inputs!$B$38="pvp",15,MAX(0.1,Skills!D11-IF(Skills!E11=TRUE,Inputs!$B$32,0)))*(1-IF(AND(ArtifactsInput!$M$27,Inputs!$B$4="Chapter Hunt"),CHOOSE(ArtifactsInput!$N$27+1,20,24,28,32,36,40),0)/100)))))/Skills!H11,1)))/Inputs!$B$43),G1534*Q1534)))*IF(Inputs!$B$38="pvp",1,(1+(Inputs!$B$21+Skills!Q14+(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8">
      <c r="A1538">
        <f>Skills!A15</f>
        <v/>
      </c>
      <c r="B1538">
        <f>Skills!B15</f>
        <v/>
      </c>
      <c r="C1538">
        <f>Inputs!$B$3&gt;=100</f>
        <v/>
      </c>
      <c r="D1538">
        <f>IF(Skills!C15=1,60+Inputs!$B$25+Inputs!$B$29,IF(Skills!C15=2,90+Inputs!$B$26+Inputs!$B$29,IF(Skills!C15=3,120+Inputs!$B$27+Inputs!$B$29,MAX(0,(Inputs!$B$3-100)*3)+Inputs!$B$28+Inputs!$B$29)))</f>
        <v/>
      </c>
      <c r="E1538">
        <f>INDEX(FactorTable!$B$2:$Y$301, MATCH(ROUND(MIN(300,MAX(1,D1538)),0), FactorTable!$A$2:$A$301,0), Skills!M15+1)</f>
        <v/>
      </c>
      <c r="F1538">
        <f>IF(Skills!N15=TRUE,(Skills!L15/10)*(E1538/1000),Skills!L15/10)+Skills!O15</f>
        <v/>
      </c>
      <c r="G1538" t="inlineStr"/>
      <c r="H1538" t="inlineStr"/>
      <c r="I1538" t="inlineStr">
        <is>
          <t>1</t>
        </is>
      </c>
      <c r="J1538" t="inlineStr"/>
      <c r="K1538" t="inlineStr"/>
      <c r="L1538" t="inlineStr"/>
      <c r="M1538" t="inlineStr"/>
      <c r="N1538" t="inlineStr"/>
      <c r="O1538" t="inlineStr"/>
      <c r="P1538" t="inlineStr"/>
      <c r="Q1538" t="inlineStr"/>
      <c r="R1538" t="inlineStr"/>
      <c r="S1538" t="inlineStr"/>
    </row>
    <row r="1539">
      <c r="A1539">
        <f>Skills!A16</f>
        <v/>
      </c>
      <c r="B1539">
        <f>Skills!B16</f>
        <v/>
      </c>
      <c r="C1539">
        <f>Inputs!$B$3&gt;=120</f>
        <v/>
      </c>
      <c r="D1539">
        <f>IF(Skills!C16=1,60+Inputs!$B$25+Inputs!$B$29,IF(Skills!C16=2,90+Inputs!$B$26+Inputs!$B$29,IF(Skills!C16=3,120+Inputs!$B$27+Inputs!$B$29,MAX(0,(Inputs!$B$3-100)*3)+Inputs!$B$28+Inputs!$B$29)))</f>
        <v/>
      </c>
      <c r="E1539">
        <f>INDEX(FactorTable!$B$2:$Y$301, MATCH(ROUND(MIN(300,MAX(1,D1539)),0), FactorTable!$A$2:$A$301,0), Skills!M16+1)</f>
        <v/>
      </c>
      <c r="F1539">
        <f>IF(Skills!N16=TRUE,(Skills!L16/10)*(E1539/1000),Skills!L16/10)+Skills!O16</f>
        <v/>
      </c>
      <c r="G1539" t="inlineStr"/>
      <c r="H1539" t="inlineStr"/>
      <c r="I1539" t="inlineStr">
        <is>
          <t>1</t>
        </is>
      </c>
      <c r="J1539" t="inlineStr"/>
      <c r="K1539" t="inlineStr"/>
      <c r="L1539" t="inlineStr"/>
      <c r="M1539" t="inlineStr"/>
      <c r="N1539" t="inlineStr"/>
      <c r="O1539" t="inlineStr"/>
      <c r="P1539" t="inlineStr"/>
      <c r="Q1539" t="inlineStr"/>
      <c r="R1539" t="inlineStr"/>
      <c r="S1539" t="inlineStr"/>
    </row>
    <row r="1540">
      <c r="A1540">
        <f>Skills!A17</f>
        <v/>
      </c>
      <c r="B1540">
        <f>Skills!B17</f>
        <v/>
      </c>
      <c r="C1540">
        <f>Inputs!$B$3&gt;=66</f>
        <v/>
      </c>
      <c r="D1540">
        <f>IF(Skills!C17=1,60+Inputs!$B$25+Inputs!$B$29,IF(Skills!C17=2,90+Inputs!$B$26+Inputs!$B$29,IF(Skills!C17=3,120+Inputs!$B$27+Inputs!$B$29,MAX(0,(Inputs!$B$3-100)*3)+Inputs!$B$28+Inputs!$B$29)))</f>
        <v/>
      </c>
      <c r="E1540">
        <f>INDEX(FactorTable!$B$2:$Y$301, MATCH(ROUND(MIN(300,MAX(1,D1540)),0), FactorTable!$A$2:$A$301,0), Skills!M17+1)</f>
        <v/>
      </c>
      <c r="F1540">
        <f>IF(Skills!N17=TRUE,(Skills!L17/10)*(E1540/1000),Skills!L17/10)+Skills!O17</f>
        <v/>
      </c>
      <c r="G1540">
        <f>Skills!G17*IF(Skills!H17&gt;0,Skills!I17/Skills!H17,1)</f>
        <v/>
      </c>
      <c r="H1540">
        <f>1-(1-Skills!J17/100)^Skills!K17</f>
        <v/>
      </c>
      <c r="I1540" t="inlineStr">
        <is>
          <t>1</t>
        </is>
      </c>
      <c r="J1540" t="inlineStr"/>
      <c r="K1540" t="inlineStr"/>
      <c r="L1540" t="inlineStr"/>
      <c r="M1540" t="inlineStr"/>
      <c r="N1540" t="inlineStr"/>
      <c r="O1540">
        <f>(1-Summary!$B$11)*T1540+Summary!$B$11*V1540</f>
        <v/>
      </c>
      <c r="P1540">
        <f>IF(B1564=0,0,O1540/B1564)</f>
        <v/>
      </c>
      <c r="Q1540" t="n">
        <v>0</v>
      </c>
      <c r="R1540" t="n">
        <v>0</v>
      </c>
      <c r="S1540">
        <f>IFERROR(O1540/N1540,0)</f>
        <v/>
      </c>
      <c r="T1540" t="n">
        <v>0</v>
      </c>
      <c r="V1540" t="n">
        <v>0</v>
      </c>
    </row>
    <row r="1541">
      <c r="A1541">
        <f>Skills!A18</f>
        <v/>
      </c>
      <c r="B1541">
        <f>Skills!B18</f>
        <v/>
      </c>
      <c r="C1541">
        <f>Inputs!$B$3&gt;=115</f>
        <v/>
      </c>
      <c r="D1541">
        <f>IF(Skills!C18=1,60+Inputs!$B$25+Inputs!$B$29,IF(Skills!C18=2,90+Inputs!$B$26+Inputs!$B$29,IF(Skills!C18=3,120+Inputs!$B$27+Inputs!$B$29,MAX(0,(Inputs!$B$3-100)*3)+Inputs!$B$28+Inputs!$B$29)))</f>
        <v/>
      </c>
      <c r="E1541">
        <f>INDEX(FactorTable!$B$2:$Y$301, MATCH(ROUND(MIN(300,MAX(1,D1541)),0), FactorTable!$A$2:$A$301,0), Skills!M18+1)</f>
        <v/>
      </c>
      <c r="F1541">
        <f>IF(Skills!N18=TRUE,(Skills!L18/10)*(E1541/1000),Skills!L18/10)+Skills!O18</f>
        <v/>
      </c>
      <c r="G1541">
        <f>Skills!G18*IF(Skills!H18&gt;0,Skills!I18/Skills!H18,1)</f>
        <v/>
      </c>
      <c r="H1541">
        <f>1-(1-Skills!J18/100)^Skills!K18</f>
        <v/>
      </c>
      <c r="I1541" t="inlineStr">
        <is>
          <t>1</t>
        </is>
      </c>
      <c r="J1541" t="inlineStr"/>
      <c r="K1541" t="inlineStr"/>
      <c r="L1541" t="inlineStr"/>
      <c r="M1541" t="inlineStr"/>
      <c r="N1541" t="inlineStr"/>
      <c r="O1541">
        <f>(1-Summary!$B$11)*T1541+Summary!$B$11*V1541</f>
        <v/>
      </c>
      <c r="P1541">
        <f>IF(B1564=0,0,O1541/B1564)</f>
        <v/>
      </c>
      <c r="Q1541">
        <f>IFERROR(1/(IF(Inputs!$B$38="pvp",15,MAX(0.1,Skills!D18-IF(Skills!E18=TRUE,Inputs!$B$32,0)))*(1-IF(AND(ArtifactsInput!$M$27,Inputs!$B$4="Chapter Hunt"),CHOOSE(ArtifactsInput!$N$27+1,20,24,28,32,36,40),0)/100)),0)</f>
        <v/>
      </c>
      <c r="R1541">
        <f>IF(AND(Inputs!$B$38&lt;&gt;"pvp",Inputs!$B$43&gt;0),IF(Inputs!$B$43&lt;=0,0,(INT(Inputs!$B$43/(IF(Inputs!$B$38="pvp",15,MAX(0.1,Skills!D18-IF(Skills!E18=TRUE,Inputs!$B$32,0)))*(1-IF(AND(ArtifactsInput!$M$27,Inputs!$B$4="Chapter Hunt"),CHOOSE(ArtifactsInput!$N$27+1,20,24,28,32,36,40),0)/100)))+1)),0)</f>
        <v/>
      </c>
      <c r="S1541">
        <f>IFERROR(O1541/N1541,0)</f>
        <v/>
      </c>
      <c r="T1541" t="n">
        <v>0</v>
      </c>
      <c r="V1541" t="n">
        <v>0</v>
      </c>
    </row>
    <row r="1542">
      <c r="A1542">
        <f>Skills!A19</f>
        <v/>
      </c>
      <c r="B1542">
        <f>Skills!B19</f>
        <v/>
      </c>
      <c r="C1542">
        <f>Inputs!$B$3&gt;=15</f>
        <v/>
      </c>
      <c r="D1542">
        <f>IF(Skills!C19=1,60+Inputs!$B$25+Inputs!$B$29,IF(Skills!C19=2,90+Inputs!$B$26+Inputs!$B$29,IF(Skills!C19=3,120+Inputs!$B$27+Inputs!$B$29,MAX(0,(Inputs!$B$3-100)*3)+Inputs!$B$28+Inputs!$B$29)))</f>
        <v/>
      </c>
      <c r="E1542">
        <f>INDEX(FactorTable!$B$2:$Y$301, MATCH(ROUND(MIN(300,MAX(1,D1542)),0), FactorTable!$A$2:$A$301,0), Skills!M19+1)</f>
        <v/>
      </c>
      <c r="F1542">
        <f>IF(Skills!N19=TRUE,(Skills!L19/10)*(E1542/1000),Skills!L19/10)+Skills!O19</f>
        <v/>
      </c>
      <c r="G1542">
        <f>Skills!G19*IF(Skills!H19&gt;0,Skills!I19/Skills!H19,1)</f>
        <v/>
      </c>
      <c r="H1542">
        <f>1-(1-Skills!J19/100)^Skills!K19</f>
        <v/>
      </c>
      <c r="I1542" t="inlineStr">
        <is>
          <t>1</t>
        </is>
      </c>
      <c r="J1542" t="inlineStr"/>
      <c r="K1542" t="inlineStr"/>
      <c r="L1542" t="inlineStr"/>
      <c r="M1542" t="inlineStr"/>
      <c r="N1542" t="inlineStr"/>
      <c r="O1542">
        <f>(1-Summary!$B$11)*T1542+Summary!$B$11*V1542</f>
        <v/>
      </c>
      <c r="P1542">
        <f>IF(B1564=0,0,O1542/B1564)</f>
        <v/>
      </c>
      <c r="Q1542" t="n">
        <v>0</v>
      </c>
      <c r="R1542" t="n">
        <v>0</v>
      </c>
      <c r="S1542">
        <f>IFERROR(O1542/N1542,0)</f>
        <v/>
      </c>
      <c r="T1542" t="n">
        <v>0</v>
      </c>
      <c r="V1542" t="n">
        <v>0</v>
      </c>
    </row>
    <row r="1543">
      <c r="A1543">
        <f>Skills!A20</f>
        <v/>
      </c>
      <c r="B1543">
        <f>Skills!B20</f>
        <v/>
      </c>
      <c r="C1543">
        <f>Inputs!$B$3&gt;=10</f>
        <v/>
      </c>
      <c r="D1543">
        <f>IF(Skills!C20=1,60+Inputs!$B$25+Inputs!$B$29,IF(Skills!C20=2,90+Inputs!$B$26+Inputs!$B$29,IF(Skills!C20=3,120+Inputs!$B$27+Inputs!$B$29,MAX(0,(Inputs!$B$3-100)*3)+Inputs!$B$28+Inputs!$B$29)))</f>
        <v/>
      </c>
      <c r="E1543">
        <f>INDEX(FactorTable!$B$2:$Y$301, MATCH(ROUND(MIN(300,MAX(1,D1543)),0), FactorTable!$A$2:$A$301,0), Skills!M20+1)</f>
        <v/>
      </c>
      <c r="F1543">
        <f>IF(Skills!N20=TRUE,(Skills!L20/10)*(E1543/1000),Skills!L20/10)+Skills!O20</f>
        <v/>
      </c>
      <c r="G1543">
        <f>Skills!G20*IF(Skills!H20&gt;0,Skills!I20/Skills!H20,1)</f>
        <v/>
      </c>
      <c r="H1543">
        <f>1-(1-Skills!J20/100)^Skills!K20</f>
        <v/>
      </c>
      <c r="I1543" t="inlineStr">
        <is>
          <t>1</t>
        </is>
      </c>
      <c r="J1543" t="inlineStr"/>
      <c r="K1543" t="inlineStr"/>
      <c r="L1543" t="inlineStr"/>
      <c r="M1543" t="inlineStr"/>
      <c r="N1543" t="inlineStr"/>
      <c r="O1543">
        <f>(1-Summary!$B$11)*T1543+Summary!$B$11*V1543</f>
        <v/>
      </c>
      <c r="P1543">
        <f>IF(B1564=0,0,O1543/B1564)</f>
        <v/>
      </c>
      <c r="Q1543" t="n">
        <v>0</v>
      </c>
      <c r="R1543" t="n">
        <v>0</v>
      </c>
      <c r="S1543">
        <f>IFERROR(O1543/N1543,0)</f>
        <v/>
      </c>
      <c r="T1543" t="n">
        <v>0</v>
      </c>
      <c r="V1543" t="n">
        <v>0</v>
      </c>
    </row>
    <row r="1544">
      <c r="A1544">
        <f>Skills!A21</f>
        <v/>
      </c>
      <c r="B1544">
        <f>Skills!B21</f>
        <v/>
      </c>
      <c r="C1544">
        <f>Inputs!$B$3&gt;=33</f>
        <v/>
      </c>
      <c r="D1544">
        <f>IF(Skills!C21=1,60+Inputs!$B$25+Inputs!$B$29,IF(Skills!C21=2,90+Inputs!$B$26+Inputs!$B$29,IF(Skills!C21=3,120+Inputs!$B$27+Inputs!$B$29,MAX(0,(Inputs!$B$3-100)*3)+Inputs!$B$28+Inputs!$B$29)))</f>
        <v/>
      </c>
      <c r="E1544">
        <f>INDEX(FactorTable!$B$2:$Y$301, MATCH(ROUND(MIN(300,MAX(1,D1544)),0), FactorTable!$A$2:$A$301,0), Skills!M21+1)</f>
        <v/>
      </c>
      <c r="F1544">
        <f>IF(Skills!N21=TRUE,(Skills!L21/10)*(E1544/1000),Skills!L21/10)+Skills!O21</f>
        <v/>
      </c>
      <c r="G1544">
        <f>Skills!G21*IF(Skills!H21&gt;0,Skills!I21/Skills!H21,1)</f>
        <v/>
      </c>
      <c r="H1544">
        <f>1-(1-Skills!J21/100)^Skills!K21</f>
        <v/>
      </c>
      <c r="I1544" t="inlineStr">
        <is>
          <t>1</t>
        </is>
      </c>
      <c r="J1544" t="inlineStr"/>
      <c r="K1544" t="inlineStr"/>
      <c r="L1544" t="inlineStr"/>
      <c r="M1544" t="inlineStr"/>
      <c r="N1544" t="inlineStr"/>
      <c r="O1544">
        <f>(1-Summary!$B$11)*T1544+Summary!$B$11*V1544</f>
        <v/>
      </c>
      <c r="P1544">
        <f>IF(B1564=0,0,O1544/B1564)</f>
        <v/>
      </c>
      <c r="Q1544" t="n">
        <v>0</v>
      </c>
      <c r="R1544" t="n">
        <v>0</v>
      </c>
      <c r="S1544">
        <f>IFERROR(O1544/N1544,0)</f>
        <v/>
      </c>
      <c r="T1544" t="n">
        <v>0</v>
      </c>
      <c r="V1544" t="n">
        <v>0</v>
      </c>
    </row>
    <row r="1545">
      <c r="A1545">
        <f>Skills!A22</f>
        <v/>
      </c>
      <c r="B1545">
        <f>Skills!B22</f>
        <v/>
      </c>
      <c r="C1545">
        <f>Inputs!$B$3&gt;=43</f>
        <v/>
      </c>
      <c r="D1545">
        <f>IF(Skills!C22=1,60+Inputs!$B$25+Inputs!$B$29,IF(Skills!C22=2,90+Inputs!$B$26+Inputs!$B$29,IF(Skills!C22=3,120+Inputs!$B$27+Inputs!$B$29,MAX(0,(Inputs!$B$3-100)*3)+Inputs!$B$28+Inputs!$B$29)))</f>
        <v/>
      </c>
      <c r="E1545">
        <f>INDEX(FactorTable!$B$2:$Y$301, MATCH(ROUND(MIN(300,MAX(1,D1545)),0), FactorTable!$A$2:$A$301,0), Skills!M22+1)</f>
        <v/>
      </c>
      <c r="F1545">
        <f>IF(Skills!N22=TRUE,(Skills!L22/10)*(E1545/1000),Skills!L22/10)+Skills!O22</f>
        <v/>
      </c>
      <c r="G1545">
        <f>Skills!G22*IF(Skills!H22&gt;0,Skills!I22/Skills!H22,1)</f>
        <v/>
      </c>
      <c r="H1545">
        <f>1-(1-Skills!J22/100)^Skills!K22</f>
        <v/>
      </c>
      <c r="I1545" t="inlineStr">
        <is>
          <t>1</t>
        </is>
      </c>
      <c r="J1545" t="inlineStr"/>
      <c r="K1545" t="inlineStr"/>
      <c r="L1545" t="inlineStr"/>
      <c r="M1545" t="inlineStr"/>
      <c r="N1545" t="inlineStr"/>
      <c r="O1545">
        <f>(1-Summary!$B$11)*T1545+Summary!$B$11*V1545</f>
        <v/>
      </c>
      <c r="P1545">
        <f>IF(B1564=0,0,O1545/B1564)</f>
        <v/>
      </c>
      <c r="Q1545" t="n">
        <v>0</v>
      </c>
      <c r="R1545" t="n">
        <v>0</v>
      </c>
      <c r="S1545">
        <f>IFERROR(O1545/N1545,0)</f>
        <v/>
      </c>
      <c r="T1545" t="n">
        <v>0</v>
      </c>
      <c r="V1545" t="n">
        <v>0</v>
      </c>
    </row>
    <row r="1546">
      <c r="A1546">
        <f>Skills!A23</f>
        <v/>
      </c>
      <c r="B1546">
        <f>Skills!B23</f>
        <v/>
      </c>
      <c r="C1546">
        <f>Inputs!$B$3&gt;=38</f>
        <v/>
      </c>
      <c r="D1546">
        <f>IF(Skills!C23=1,60+Inputs!$B$25+Inputs!$B$29,IF(Skills!C23=2,90+Inputs!$B$26+Inputs!$B$29,IF(Skills!C23=3,120+Inputs!$B$27+Inputs!$B$29,MAX(0,(Inputs!$B$3-100)*3)+Inputs!$B$28+Inputs!$B$29)))</f>
        <v/>
      </c>
      <c r="E1546">
        <f>INDEX(FactorTable!$B$2:$Y$301, MATCH(ROUND(MIN(300,MAX(1,D1546)),0), FactorTable!$A$2:$A$301,0), Skills!M23+1)</f>
        <v/>
      </c>
      <c r="F1546">
        <f>IF(Skills!N23=TRUE,(Skills!L23/10)*(E1546/1000),Skills!L23/10)+Skills!O23</f>
        <v/>
      </c>
      <c r="G1546">
        <f>Skills!G23*IF(Skills!H23&gt;0,Skills!I23/Skills!H23,1)</f>
        <v/>
      </c>
      <c r="H1546">
        <f>1-(1-Skills!J23/100)^Skills!K23</f>
        <v/>
      </c>
      <c r="I1546" t="inlineStr">
        <is>
          <t>1</t>
        </is>
      </c>
      <c r="J1546" t="inlineStr"/>
      <c r="K1546" t="inlineStr"/>
      <c r="L1546" t="inlineStr"/>
      <c r="M1546" t="inlineStr"/>
      <c r="N1546" t="inlineStr"/>
      <c r="O1546">
        <f>(1-Summary!$B$11)*T1546+Summary!$B$11*V1546</f>
        <v/>
      </c>
      <c r="P1546">
        <f>IF(B1564=0,0,O1546/B1564)</f>
        <v/>
      </c>
      <c r="Q1546" t="n">
        <v>0</v>
      </c>
      <c r="R1546" t="n">
        <v>0</v>
      </c>
      <c r="S1546">
        <f>IFERROR(O1546/N1546,0)</f>
        <v/>
      </c>
      <c r="T1546" t="n">
        <v>0</v>
      </c>
      <c r="V1546" t="n">
        <v>0</v>
      </c>
    </row>
    <row r="1547">
      <c r="A1547">
        <f>Skills!A24</f>
        <v/>
      </c>
      <c r="B1547">
        <f>Skills!B24</f>
        <v/>
      </c>
      <c r="C1547">
        <f>Inputs!$B$3&gt;=40</f>
        <v/>
      </c>
      <c r="D1547">
        <f>IF(Skills!C24=1,60+Inputs!$B$25+Inputs!$B$29,IF(Skills!C24=2,90+Inputs!$B$26+Inputs!$B$29,IF(Skills!C24=3,120+Inputs!$B$27+Inputs!$B$29,MAX(0,(Inputs!$B$3-100)*3)+Inputs!$B$28+Inputs!$B$29)))</f>
        <v/>
      </c>
      <c r="E1547">
        <f>INDEX(FactorTable!$B$2:$Y$301, MATCH(ROUND(MIN(300,MAX(1,D1547)),0), FactorTable!$A$2:$A$301,0), Skills!M24+1)</f>
        <v/>
      </c>
      <c r="F1547">
        <f>IF(Skills!N24=TRUE,(Skills!L24/10)*(E1547/1000),Skills!L24/10)+Skills!O24</f>
        <v/>
      </c>
      <c r="G1547">
        <f>Skills!G24*IF(Skills!H24&gt;0,Skills!I24/Skills!H24,1)</f>
        <v/>
      </c>
      <c r="H1547">
        <f>1-(1-Skills!J24/100)^Skills!K24</f>
        <v/>
      </c>
      <c r="I1547" t="inlineStr">
        <is>
          <t>1</t>
        </is>
      </c>
      <c r="J1547" t="inlineStr"/>
      <c r="K1547" t="inlineStr"/>
      <c r="L1547" t="inlineStr"/>
      <c r="M1547" t="inlineStr"/>
      <c r="N1547" t="inlineStr"/>
      <c r="O1547">
        <f>(1-Summary!$B$11)*T1547+Summary!$B$11*V1547</f>
        <v/>
      </c>
      <c r="P1547">
        <f>IF(B1564=0,0,O1547/B1564)</f>
        <v/>
      </c>
      <c r="Q1547" t="n">
        <v>0</v>
      </c>
      <c r="R1547" t="n">
        <v>0</v>
      </c>
      <c r="S1547">
        <f>IFERROR(O1547/N1547,0)</f>
        <v/>
      </c>
      <c r="T1547" t="n">
        <v>0</v>
      </c>
      <c r="V1547" t="n">
        <v>0</v>
      </c>
    </row>
    <row r="1548">
      <c r="A1548">
        <f>Skills!A25</f>
        <v/>
      </c>
      <c r="B1548">
        <f>Skills!B25</f>
        <v/>
      </c>
      <c r="C1548">
        <f>Inputs!$B$3&gt;=72</f>
        <v/>
      </c>
      <c r="D1548">
        <f>IF(Skills!C25=1,60+Inputs!$B$25+Inputs!$B$29,IF(Skills!C25=2,90+Inputs!$B$26+Inputs!$B$29,IF(Skills!C25=3,120+Inputs!$B$27+Inputs!$B$29,MAX(0,(Inputs!$B$3-100)*3)+Inputs!$B$28+Inputs!$B$29)))</f>
        <v/>
      </c>
      <c r="E1548">
        <f>INDEX(FactorTable!$B$2:$Y$301, MATCH(ROUND(MIN(300,MAX(1,D1548)),0), FactorTable!$A$2:$A$301,0), Skills!M25+1)</f>
        <v/>
      </c>
      <c r="F1548">
        <f>IF(Skills!N25=TRUE,(Skills!L25/10)*(E1548/1000),Skills!L25/10)+Skills!O25</f>
        <v/>
      </c>
      <c r="G1548">
        <f>Skills!G25*IF(Skills!H25&gt;0,Skills!I25/Skills!H25,1)</f>
        <v/>
      </c>
      <c r="H1548">
        <f>1-(1-Skills!J25/100)^Skills!K25</f>
        <v/>
      </c>
      <c r="I1548" t="inlineStr">
        <is>
          <t>1</t>
        </is>
      </c>
      <c r="J1548" t="inlineStr"/>
      <c r="K1548" t="inlineStr"/>
      <c r="L1548" t="inlineStr"/>
      <c r="M1548" t="inlineStr"/>
      <c r="N1548" t="inlineStr"/>
      <c r="O1548">
        <f>(1-Summary!$B$11)*T1548+Summary!$B$11*V1548</f>
        <v/>
      </c>
      <c r="P1548">
        <f>IF(B1564=0,0,O1548/B1564)</f>
        <v/>
      </c>
      <c r="Q1548" t="n">
        <v>0</v>
      </c>
      <c r="R1548" t="n">
        <v>0</v>
      </c>
      <c r="S1548">
        <f>IFERROR(O1548/N1548,0)</f>
        <v/>
      </c>
      <c r="T1548" t="n">
        <v>0</v>
      </c>
      <c r="V1548" t="n">
        <v>0</v>
      </c>
    </row>
    <row r="1549">
      <c r="A1549">
        <f>Skills!A26</f>
        <v/>
      </c>
      <c r="B1549">
        <f>Skills!B26</f>
        <v/>
      </c>
      <c r="C1549">
        <f>Inputs!$B$3&gt;=75</f>
        <v/>
      </c>
      <c r="D1549">
        <f>IF(Skills!C26=1,60+Inputs!$B$25+Inputs!$B$29,IF(Skills!C26=2,90+Inputs!$B$26+Inputs!$B$29,IF(Skills!C26=3,120+Inputs!$B$27+Inputs!$B$29,MAX(0,(Inputs!$B$3-100)*3)+Inputs!$B$28+Inputs!$B$29)))</f>
        <v/>
      </c>
      <c r="E1549">
        <f>INDEX(FactorTable!$B$2:$Y$301, MATCH(ROUND(MIN(300,MAX(1,D1549)),0), FactorTable!$A$2:$A$301,0), Skills!M26+1)</f>
        <v/>
      </c>
      <c r="F1549">
        <f>IF(Skills!N26=TRUE,(Skills!L26/10)*(E1549/1000),Skills!L26/10)+Skills!O26</f>
        <v/>
      </c>
      <c r="G1549">
        <f>Skills!G26*IF(Skills!H26&gt;0,Skills!I26/Skills!H26,1)</f>
        <v/>
      </c>
      <c r="H1549">
        <f>1-(1-Skills!J26/100)^Skills!K26</f>
        <v/>
      </c>
      <c r="I1549" t="inlineStr">
        <is>
          <t>1</t>
        </is>
      </c>
      <c r="J1549" t="inlineStr"/>
      <c r="K1549" t="inlineStr"/>
      <c r="L1549" t="inlineStr"/>
      <c r="M1549" t="inlineStr"/>
      <c r="N1549" t="inlineStr"/>
      <c r="O1549">
        <f>(1-Summary!$B$11)*T1549+Summary!$B$11*V1549</f>
        <v/>
      </c>
      <c r="P1549">
        <f>IF(B1564=0,0,O1549/B1564)</f>
        <v/>
      </c>
      <c r="Q1549" t="n">
        <v>0</v>
      </c>
      <c r="R1549" t="n">
        <v>0</v>
      </c>
      <c r="S1549">
        <f>IFERROR(O1549/N1549,0)</f>
        <v/>
      </c>
      <c r="T1549" t="n">
        <v>0</v>
      </c>
      <c r="V1549" t="n">
        <v>0</v>
      </c>
    </row>
    <row r="1550">
      <c r="A1550">
        <f>Skills!A27</f>
        <v/>
      </c>
      <c r="B1550">
        <f>Skills!B27</f>
        <v/>
      </c>
      <c r="C1550">
        <f>Inputs!$B$3&gt;=117</f>
        <v/>
      </c>
      <c r="D1550">
        <f>IF(Skills!C27=1,60+Inputs!$B$25+Inputs!$B$29,IF(Skills!C27=2,90+Inputs!$B$26+Inputs!$B$29,IF(Skills!C27=3,120+Inputs!$B$27+Inputs!$B$29,MAX(0,(Inputs!$B$3-100)*3)+Inputs!$B$28+Inputs!$B$29)))</f>
        <v/>
      </c>
      <c r="E1550">
        <f>INDEX(FactorTable!$B$2:$Y$301, MATCH(ROUND(MIN(300,MAX(1,D1550)),0), FactorTable!$A$2:$A$301,0), Skills!M27+1)</f>
        <v/>
      </c>
      <c r="F1550">
        <f>IF(Skills!N27=TRUE,(Skills!L27/10)*(E1550/1000),Skills!L27/10)+Skills!O27</f>
        <v/>
      </c>
      <c r="G1550">
        <f>Skills!G27*IF(Skills!H27&gt;0,Skills!I27/Skills!H27,1)</f>
        <v/>
      </c>
      <c r="H1550">
        <f>1-(1-Skills!J27/100)^Skills!K27</f>
        <v/>
      </c>
      <c r="I1550" t="inlineStr">
        <is>
          <t>1</t>
        </is>
      </c>
      <c r="J1550" t="inlineStr"/>
      <c r="K1550" t="inlineStr"/>
      <c r="L1550" t="inlineStr"/>
      <c r="M1550" t="inlineStr"/>
      <c r="N1550" t="inlineStr"/>
      <c r="O1550">
        <f>(1-Summary!$B$11)*T1550+Summary!$B$11*V1550</f>
        <v/>
      </c>
      <c r="P1550">
        <f>IF(B1564=0,0,O1550/B1564)</f>
        <v/>
      </c>
      <c r="Q1550" t="n">
        <v>0</v>
      </c>
      <c r="R1550" t="n">
        <v>0</v>
      </c>
      <c r="S1550">
        <f>IFERROR(O1550/N1550,0)</f>
        <v/>
      </c>
      <c r="T1550" t="n">
        <v>0</v>
      </c>
      <c r="V1550" t="n">
        <v>0</v>
      </c>
    </row>
    <row r="1551">
      <c r="A1551">
        <f>Skills!A28</f>
        <v/>
      </c>
      <c r="B1551">
        <f>Skills!B28</f>
        <v/>
      </c>
      <c r="C1551">
        <f>TRUE</f>
        <v/>
      </c>
      <c r="D1551">
        <f>IF(Skills!C28=1,60+Inputs!$B$25+Inputs!$B$29,IF(Skills!C28=2,90+Inputs!$B$26+Inputs!$B$29,IF(Skills!C28=3,120+Inputs!$B$27+Inputs!$B$29,MAX(0,(Inputs!$B$3-100)*3)+Inputs!$B$28+Inputs!$B$29)))</f>
        <v/>
      </c>
      <c r="E1551">
        <f>INDEX(FactorTable!$B$2:$Y$301, MATCH(ROUND(MIN(300,MAX(1,D1551)),0), FactorTable!$A$2:$A$301,0), Skills!M28+1)</f>
        <v/>
      </c>
      <c r="F1551">
        <f>IF(Skills!N28=TRUE,(Skills!L28/10)*(E1551/1000),Skills!L28/10)+Skills!O28</f>
        <v/>
      </c>
      <c r="G1551">
        <f>Skills!G28*IF(Skills!H28&gt;0,Skills!I28/Skills!H28,1)</f>
        <v/>
      </c>
      <c r="H1551">
        <f>1-(1-Skills!J28/100)^Skills!K28</f>
        <v/>
      </c>
      <c r="I1551" t="inlineStr">
        <is>
          <t>1</t>
        </is>
      </c>
      <c r="J1551" t="inlineStr"/>
      <c r="K1551" t="inlineStr"/>
      <c r="L1551" t="inlineStr"/>
      <c r="M1551" t="inlineStr"/>
      <c r="N1551" t="inlineStr"/>
      <c r="O1551">
        <f>(1-Summary!$B$11)*T1551+Summary!$B$11*V1551</f>
        <v/>
      </c>
      <c r="P1551">
        <f>IF(B1564=0,0,O1551/B1564)</f>
        <v/>
      </c>
      <c r="Q1551">
        <f>IFERROR(1/(IF(Inputs!$B$38="pvp",15,MAX(0.1,Skills!D28-IF(Skills!E28=TRUE,Inputs!$B$32,0)))*(1-IF(AND(ArtifactsInput!$M$27,Inputs!$B$4="Chapter Hunt"),CHOOSE(ArtifactsInput!$N$27+1,20,24,28,32,36,40),0)/100)),0)</f>
        <v/>
      </c>
      <c r="R1551">
        <f>IF(AND(Inputs!$B$38&lt;&gt;"pvp",Inputs!$B$43&gt;0),IF(Inputs!$B$43&lt;=0,0,(INT(Inputs!$B$43/(IF(Inputs!$B$38="pvp",15,MAX(0.1,Skills!D28-IF(Skills!E28=TRUE,Inputs!$B$32,0)))*(1-IF(AND(ArtifactsInput!$M$27,Inputs!$B$4="Chapter Hunt"),CHOOSE(ArtifactsInput!$N$27+1,20,24,28,32,36,40),0)/100)))+1)),0)</f>
        <v/>
      </c>
      <c r="S1551">
        <f>IFERROR(O1551/N1551,0)</f>
        <v/>
      </c>
      <c r="T1551" t="n">
        <v>0</v>
      </c>
      <c r="V1551" t="n">
        <v>0</v>
      </c>
    </row>
    <row r="1553">
      <c r="A1553" t="inlineStr">
        <is>
          <t>Attack% Bucket Multiplier</t>
        </is>
      </c>
      <c r="B1553">
        <f>(1+(((C1540=TRUE)*F1540*5/7)+((C1547=TRUE)*(F1547-Calc!F24))+(IF(ArtifactsInput!$M$21,CHOOSE(ArtifactsInput!$N$21+1,25,30,35,40,45,50)*(IF(OR(Inputs!$B$4="Chapter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54">
      <c r="A1554" t="inlineStr">
        <is>
          <t>Global Crit Rate Bonus %</t>
        </is>
      </c>
      <c r="B1554" t="n">
        <v>0</v>
      </c>
    </row>
    <row r="1555">
      <c r="A1555" t="inlineStr">
        <is>
          <t>Attack Speed Buff Bonus % (Nimble Feet, duty-cycle averaged)</t>
        </is>
      </c>
      <c r="B1555">
        <f>((C1551=TRUE)*F1551*IF(AND(Inputs!$B$38&lt;&gt;"pvp",Inputs!$B$43&gt;0),(((R1551-1)*(Skills!T28*(1+Inputs!$B$34/100))+MIN((Skills!T28*(1+Inputs!$B$34/100)),MAX(0,Inputs!$B$43-((R1551-1)*Skills!D28))))/Inputs!$B$43),IF(Inputs!$B$38="pvp",MIN((Skills!T28*(1+Inputs!$B$34/100)),15)/15,(Skills!T28*(1+Inputs!$B$34/100))/Skills!D28)))</f>
        <v/>
      </c>
    </row>
    <row r="1556">
      <c r="A1556" t="inlineStr">
        <is>
          <t>Actions Per Second</t>
        </is>
      </c>
      <c r="B1556">
        <f>1+MIN(150,150*(1-(1-(Inputs!$B$11+((C1543=TRUE)*(F1543-Calc!F20))+((C1544=TRUE)*(F1544-Calc!F21)))/150)*(1-B1555/150)))/100</f>
        <v/>
      </c>
    </row>
    <row r="1557">
      <c r="A1557" t="inlineStr">
        <is>
          <t>Skill + Buff Cast Rate</t>
        </is>
      </c>
      <c r="B1557">
        <f>IF(AND(Inputs!$B$38&lt;&gt;"pvp",Inputs!$B$43&gt;0),SUMPRODUCT((Skills!E2:E28=TRUE)*(C1525:C1551=TRUE)*R1525:R1551*Skills!F2:F28)/Inputs!$B$43,SUMPRODUCT((Skills!E2:E28=TRUE)*(C1525:C1551=TRUE)*Q1525:Q1551*Skills!F2:F28))</f>
        <v/>
      </c>
    </row>
    <row r="1558">
      <c r="A1558" t="inlineStr">
        <is>
          <t>Eight-Legs Easton Casts Per Second</t>
        </is>
      </c>
      <c r="B1558">
        <f>MAX(0,B1556-B1557)</f>
        <v/>
      </c>
    </row>
    <row r="1559">
      <c r="A1559" t="inlineStr">
        <is>
          <t>Global Critical Damage Bonus % (unused)</t>
        </is>
      </c>
      <c r="B1559" t="n">
        <v>0</v>
      </c>
    </row>
    <row r="1560">
      <c r="A1560" t="inlineStr">
        <is>
          <t>Global Final Damage Bonus % (Jolly Roger + Ahoy Mateys - Final Damage proc)</t>
        </is>
      </c>
      <c r="B1560">
        <f>((C1541=TRUE)*F1541*IF(AND(Inputs!$B$38&lt;&gt;"pvp",Inputs!$B$43&gt;0),(((R1541-1)*(Skills!T18*(1+Inputs!$B$34/100))+MIN((Skills!T18*(1+Inputs!$B$34/100)),MAX(0,Inputs!$B$43-((R1541-1)*Skills!D18))))/Inputs!$B$43),IF(Inputs!$B$38="pvp",MIN((Skills!T18*(1+Inputs!$B$34/100)),15)/15,(Skills!T18*(1+Inputs!$B$34/100))/Skills!D18)))+IF(Inputs!$B$3&gt;=122,20*IF(Inputs!$B$38="pvp",MIN((20*(1+Inputs!$B$34/100)),15)/15,(20*(1+Inputs!$B$34/100))/Skills!D4),0)</f>
        <v/>
      </c>
    </row>
    <row r="1561">
      <c r="A1561" t="inlineStr">
        <is>
          <t>Buff-Casting Startup Delay (s, fixed-duration only)</t>
        </is>
      </c>
      <c r="B1561">
        <f>IF(AND(Inputs!$B$38&lt;&gt;"pvp",Inputs!$B$43&gt;0),SUMPRODUCT((Skills!T2:T28&gt;0)*(Skills!E2:E28=TRUE)*(C1525:C1551=TRUE))/B1556,0)</f>
        <v/>
      </c>
    </row>
    <row r="1562">
      <c r="A1562" t="inlineStr">
        <is>
          <t>Boss-Only Total DPS (this block's swept value)</t>
        </is>
      </c>
      <c r="B1562">
        <f>SUM(T1525:T1551)</f>
        <v/>
      </c>
    </row>
    <row r="1563">
      <c r="A1563" t="inlineStr">
        <is>
          <t>Normal-Only Total DPS (this block's swept value)</t>
        </is>
      </c>
      <c r="B1563">
        <f>SUM(V1525:V1551)</f>
        <v/>
      </c>
    </row>
    <row r="1564">
      <c r="A1564" s="6" t="inlineStr">
        <is>
          <t>TOTAL DPS</t>
        </is>
      </c>
      <c r="B1564" s="6">
        <f>SUM(O1525:O1551)</f>
        <v/>
      </c>
    </row>
    <row r="1567">
      <c r="A1567" s="6" t="inlineStr">
        <is>
          <t>Stat: Clear Spring Water (Equip)</t>
        </is>
      </c>
    </row>
    <row r="1568">
      <c r="A1568" s="5" t="inlineStr">
        <is>
          <t>Key</t>
        </is>
      </c>
      <c r="B1568" s="5" t="inlineStr">
        <is>
          <t>Name</t>
        </is>
      </c>
      <c r="C1568" s="5" t="inlineStr">
        <is>
          <t>Unlocked</t>
        </is>
      </c>
      <c r="D1568" s="5" t="inlineStr">
        <is>
          <t>InputLevel</t>
        </is>
      </c>
      <c r="E1568" s="5" t="inlineStr">
        <is>
          <t>Factor</t>
        </is>
      </c>
      <c r="F1568" s="5" t="inlineStr">
        <is>
          <t>CoefficientPercent</t>
        </is>
      </c>
      <c r="G1568" s="5" t="inlineStr">
        <is>
          <t>EffectiveHits</t>
        </is>
      </c>
      <c r="H1568" s="5" t="inlineStr">
        <is>
          <t>ProcProbability</t>
        </is>
      </c>
      <c r="I1568" s="5" t="inlineStr">
        <is>
          <t>MapleHeroMultiplier</t>
        </is>
      </c>
      <c r="J1568" s="5" t="inlineStr">
        <is>
          <t>BaseDamage</t>
        </is>
      </c>
      <c r="K1568" s="5" t="inlineStr">
        <is>
          <t>BaseHitDamage</t>
        </is>
      </c>
      <c r="L1568" s="5" t="inlineStr">
        <is>
          <t>NonCritAvg</t>
        </is>
      </c>
      <c r="M1568" s="5" t="inlineStr">
        <is>
          <t>CritAvg</t>
        </is>
      </c>
      <c r="N1568" s="5" t="inlineStr">
        <is>
          <t>ExpectedDamage(perHit)</t>
        </is>
      </c>
      <c r="O1568" s="5" t="inlineStr">
        <is>
          <t>DPS</t>
        </is>
      </c>
      <c r="P1568" s="5" t="inlineStr">
        <is>
          <t>% of Total</t>
        </is>
      </c>
      <c r="Q1568" s="5" t="inlineStr">
        <is>
          <t>InvCooldown</t>
        </is>
      </c>
      <c r="R1568" s="5" t="inlineStr">
        <is>
          <t>CastsInFight</t>
        </is>
      </c>
      <c r="S1568" s="5" t="inlineStr">
        <is>
          <t>HitRate(perSec)</t>
        </is>
      </c>
      <c r="U1568" t="inlineStr">
        <is>
          <t>helpers</t>
        </is>
      </c>
    </row>
    <row r="1569">
      <c r="A1569">
        <f>Skills!A2</f>
        <v/>
      </c>
      <c r="B1569">
        <f>Skills!B2</f>
        <v/>
      </c>
      <c r="C1569">
        <f>Inputs!$B$3&gt;=100</f>
        <v/>
      </c>
      <c r="D1569" t="inlineStr"/>
      <c r="E1569" t="inlineStr"/>
      <c r="F1569">
        <f>U1571+Skills!O2</f>
        <v/>
      </c>
      <c r="G1569">
        <f>Skills!G2*IF(Skills!H2&gt;0,Skills!I2/Skills!H2,1)</f>
        <v/>
      </c>
      <c r="H1569">
        <f>1-(1-Skills!J2/100)^Skills!K2</f>
        <v/>
      </c>
      <c r="I1569" t="inlineStr">
        <is>
          <t>1</t>
        </is>
      </c>
      <c r="J1569">
        <f>((Inputs!$B$6*(1+Inputs!$B$7/100))+(((Inputs!$B$12*(1+Inputs!$B$13/100))-(Inputs!$B$12*(1+Inputs!$B$13/100)))+0.25*(Inputs!$B$14-Inputs!$B$14))*(1+Inputs!$B$7/100))*(F1569/100)</f>
        <v/>
      </c>
      <c r="K1569">
        <f>J1569*(1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1569)</f>
        <v/>
      </c>
      <c r="L1569">
        <f>K1569*(MIN(Inputs!$B$22+((C1589=TRUE)*(F1589-Calc!F22)),(Inputs!$B$23+0+(IF(ArtifactsInput!$M$15,CHOOSE(ArtifactsInput!$N$15+1,25,30,35,40,45,50)/100*(Inputs!$B$11-Inputs!$B$11),0))))/100+(Inputs!$B$23+0+(IF(ArtifactsInput!$M$15,CHOOSE(ArtifactsInput!$N$15+1,25,30,35,40,45,50)/100*(Inputs!$B$11-Inputs!$B$11),0)))/100)/2</f>
        <v/>
      </c>
      <c r="M1569">
        <f>L1569*(1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9">
        <f>L1569*(1-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1569*(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9">
        <f>(1-Summary!$B$11)*T1569+Summary!$B$11*V1569</f>
        <v/>
      </c>
      <c r="P1569">
        <f>IF(B1608=0,0,O1569/B1608)</f>
        <v/>
      </c>
      <c r="Q1569" t="n">
        <v>0</v>
      </c>
      <c r="R1569" t="n">
        <v>0</v>
      </c>
      <c r="S1569">
        <f>IFERROR(O1569/N1569,0)</f>
        <v/>
      </c>
      <c r="T1569">
        <f>IF(C1569,(Skills!G2*N1569*B1602)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1569*(1-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1569*(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1569*(1-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1569*(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69">
        <f>MAX(0,(Inputs!$B$3-100)*3)+Inputs!$B$28+Inputs!$B$29</f>
        <v/>
      </c>
      <c r="V1569">
        <f>IF(C1569,(Skills!G2*N1569*B1602)*IF(Inputs!$B$38="pvp",1,(1+(Inputs!$B$21+Skills!Q2+(IF(ArtifactsInput!$M$33,CHOOSE(ArtifactsInput!$N$33+1,30,36,42,48,54,60),0))+(IF(AND(ArtifactsInput!$M$35,Inputs!$B$4&lt;&gt;"Chapter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0">
      <c r="A1570">
        <f>Skills!A3</f>
        <v/>
      </c>
      <c r="B1570">
        <f>Skills!B3</f>
        <v/>
      </c>
      <c r="C1570">
        <f>Inputs!$B$3&gt;=35</f>
        <v/>
      </c>
      <c r="D1570">
        <f>IF(Skills!C3=1,60+Inputs!$B$25+Inputs!$B$29,IF(Skills!C3=2,90+Inputs!$B$26+Inputs!$B$29,IF(Skills!C3=3,120+Inputs!$B$27+Inputs!$B$29,MAX(0,(Inputs!$B$3-100)*3)+Inputs!$B$28+Inputs!$B$29)))</f>
        <v/>
      </c>
      <c r="E1570">
        <f>INDEX(FactorTable!$B$2:$Y$301, MATCH(ROUND(MIN(300,MAX(1,D1570)),0), FactorTable!$A$2:$A$301,0), Skills!M3+1)</f>
        <v/>
      </c>
      <c r="F1570">
        <f>IF(Skills!N3=TRUE,(Skills!L3/10)*(E1570/1000),Skills!L3/10)+Skills!O3</f>
        <v/>
      </c>
      <c r="G1570">
        <f>Skills!G3*IF(Skills!H3&gt;0,Skills!I3/Skills!H3,1)</f>
        <v/>
      </c>
      <c r="H1570">
        <f>1-(1-Skills!J3/100)^Skills!K3</f>
        <v/>
      </c>
      <c r="I1570" t="inlineStr">
        <is>
          <t>1</t>
        </is>
      </c>
      <c r="J1570">
        <f>((Inputs!$B$6*(1+Inputs!$B$7/100))+(((Inputs!$B$12*(1+Inputs!$B$13/100))-(Inputs!$B$12*(1+Inputs!$B$13/100)))+0.25*(Inputs!$B$14-Inputs!$B$14))*(1+Inputs!$B$7/100))*(F1570/100)</f>
        <v/>
      </c>
      <c r="K1570">
        <f>J1570*(1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1582=TRUE,F1582,0)/100)*(1+(IF(Skills!A3="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1570)</f>
        <v/>
      </c>
      <c r="L1570">
        <f>K1570*(MIN(Inputs!$B$22+((C1589=TRUE)*(F1589-Calc!F22)),(Inputs!$B$23+0+(IF(ArtifactsInput!$M$15,CHOOSE(ArtifactsInput!$N$15+1,25,30,35,40,45,50)/100*(Inputs!$B$11-Inputs!$B$11),0))))/100+(Inputs!$B$23+0+(IF(ArtifactsInput!$M$15,CHOOSE(ArtifactsInput!$N$15+1,25,30,35,40,45,50)/100*(Inputs!$B$11-Inputs!$B$11),0)))/100)/2</f>
        <v/>
      </c>
      <c r="M1570">
        <f>L1570*(1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0">
        <f>L1570*(1-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1570*(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0">
        <f>(1-Summary!$B$11)*T1570+Summary!$B$11*V1570</f>
        <v/>
      </c>
      <c r="P1570">
        <f>IF(B1608=0,0,O1570/B1608)</f>
        <v/>
      </c>
      <c r="Q1570">
        <f>IFERROR(1/(IF(Inputs!$B$38="pvp",15,MAX(0.1,Skills!D3-IF(Skills!E3=TRUE,Inputs!$B$32,0)))*(1-IF(AND(ArtifactsInput!$M$27,Inputs!$B$4="Chapter Hunt"),CHOOSE(ArtifactsInput!$N$27+1,20,24,28,32,36,40),0)/100)),0)</f>
        <v/>
      </c>
      <c r="R1570">
        <f>IF(AND(Inputs!$B$38&lt;&gt;"pvp",Inputs!$B$43&gt;0),IF(MAX(0,Inputs!$B$43-B1605)&lt;=0,0,(INT(MAX(0,Inputs!$B$43-B1605)/(IF(Inputs!$B$38="pvp",15,MAX(0.1,Skills!D3-IF(Skills!E3=TRUE,Inputs!$B$32,0)))*(1-IF(AND(ArtifactsInput!$M$27,Inputs!$B$4="Chapter Hunt"),CHOOSE(ArtifactsInput!$N$27+1,20,24,28,32,36,40),0)/100)))+1)),0)</f>
        <v/>
      </c>
      <c r="S1570">
        <f>IFERROR(O1570/N1570,0)</f>
        <v/>
      </c>
      <c r="T1570">
        <f>IF(C1570,(H1570*N1570*IF(AND(Inputs!$B$38&lt;&gt;"pvp",Inputs!$B$43&gt;0),((Skills!G3*((R1570-1)*IF(Skills!H3&gt;0,Skills!I3/Skills!H3,1)+IF(Skills!H3&gt;0,MIN(Skills!I3,MAX(0,MAX(0,Inputs!$B$43-B1605)-((R1570-1)*(IF(Inputs!$B$38="pvp",15,MAX(0.1,Skills!D3-IF(Skills!E3=TRUE,Inputs!$B$32,0)))*(1-IF(AND(ArtifactsInput!$M$27,Inputs!$B$4="Chapter Hunt"),CHOOSE(ArtifactsInput!$N$27+1,20,24,28,32,36,40),0)/100)))))/Skills!H3,1)))/Inputs!$B$43),G1570*Q1570)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1570*(1-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1570*(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1570*(1-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1570*(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0">
        <f>INDEX(FactorTable!$B$2:$Y$301, MATCH(ROUND(MIN(300,MAX(1,U1569)),0), FactorTable!$A$2:$A$301,0), 22)</f>
        <v/>
      </c>
      <c r="V1570">
        <f>IF(C1570,(H1570*N1570*IF(AND(Inputs!$B$38&lt;&gt;"pvp",Inputs!$B$43&gt;0),((Skills!G3*((R1570-1)*IF(Skills!H3&gt;0,Skills!I3/Skills!H3,1)+IF(Skills!H3&gt;0,MIN(Skills!I3,MAX(0,MAX(0,Inputs!$B$43-B1605)-((R1570-1)*(IF(Inputs!$B$38="pvp",15,MAX(0.1,Skills!D3-IF(Skills!E3=TRUE,Inputs!$B$32,0)))*(1-IF(AND(ArtifactsInput!$M$27,Inputs!$B$4="Chapter Hunt"),CHOOSE(ArtifactsInput!$N$27+1,20,24,28,32,36,40),0)/100)))))/Skills!H3,1)))/Inputs!$B$43),G1570*Q1570))*IF(Inputs!$B$38="pvp",1,(1+(Inputs!$B$21+Skills!Q3+(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1">
      <c r="A1571">
        <f>Skills!A4</f>
        <v/>
      </c>
      <c r="B1571">
        <f>Skills!B4</f>
        <v/>
      </c>
      <c r="C1571">
        <f>Inputs!$B$3&gt;=40</f>
        <v/>
      </c>
      <c r="D1571">
        <f>IF(Skills!C4=1,60+Inputs!$B$25+Inputs!$B$29,IF(Skills!C4=2,90+Inputs!$B$26+Inputs!$B$29,IF(Skills!C4=3,120+Inputs!$B$27+Inputs!$B$29,MAX(0,(Inputs!$B$3-100)*3)+Inputs!$B$28+Inputs!$B$29)))</f>
        <v/>
      </c>
      <c r="E1571">
        <f>INDEX(FactorTable!$B$2:$Y$301, MATCH(ROUND(MIN(300,MAX(1,D1571)),0), FactorTable!$A$2:$A$301,0), Skills!M4+1)</f>
        <v/>
      </c>
      <c r="F1571">
        <f>IF(Skills!N4=TRUE,(Skills!L4/10)*(E1571/1000),Skills!L4/10)+Skills!O4</f>
        <v/>
      </c>
      <c r="G1571">
        <f>Skills!G4*IF(Skills!H4&gt;0,Skills!I4/Skills!H4,1)</f>
        <v/>
      </c>
      <c r="H1571">
        <f>1-(1-Skills!J4/100)^Skills!K4</f>
        <v/>
      </c>
      <c r="I1571" t="inlineStr">
        <is>
          <t>1</t>
        </is>
      </c>
      <c r="J1571">
        <f>((Inputs!$B$6*(1+Inputs!$B$7/100))+(((Inputs!$B$12*(1+Inputs!$B$13/100))-(Inputs!$B$12*(1+Inputs!$B$13/100)))+0.25*(Inputs!$B$14-Inputs!$B$14))*(1+Inputs!$B$7/100))*(F1571/100)</f>
        <v/>
      </c>
      <c r="K1571">
        <f>J1571*(1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1583=TRUE,F1583,0)/100)*(1+(IF(Skills!A4="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1571)</f>
        <v/>
      </c>
      <c r="L1571">
        <f>K1571*(MIN(Inputs!$B$22+((C1589=TRUE)*(F1589-Calc!F22)),(Inputs!$B$23+0+(IF(ArtifactsInput!$M$15,CHOOSE(ArtifactsInput!$N$15+1,25,30,35,40,45,50)/100*(Inputs!$B$11-Inputs!$B$11),0))))/100+(Inputs!$B$23+0+(IF(ArtifactsInput!$M$15,CHOOSE(ArtifactsInput!$N$15+1,25,30,35,40,45,50)/100*(Inputs!$B$11-Inputs!$B$11),0)))/100)/2</f>
        <v/>
      </c>
      <c r="M1571">
        <f>L1571*(1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1">
        <f>L1571*(1-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1">
        <f>(1-Summary!$B$11)*T1571+Summary!$B$11*V1571</f>
        <v/>
      </c>
      <c r="P1571">
        <f>IF(B1608=0,0,O1571/B1608)</f>
        <v/>
      </c>
      <c r="Q1571">
        <f>IFERROR(1/(IF(Inputs!$B$38="pvp",15,MAX(0.1,Skills!D4-IF(Skills!E4=TRUE,Inputs!$B$32,0)))*(1-IF(AND(ArtifactsInput!$M$27,Inputs!$B$4="Chapter Hunt"),CHOOSE(ArtifactsInput!$N$27+1,20,24,28,32,36,40),0)/100)),0)</f>
        <v/>
      </c>
      <c r="R1571">
        <f>IF(AND(Inputs!$B$38&lt;&gt;"pvp",Inputs!$B$43&gt;0),IF(MAX(0,Inputs!$B$43-B1605)&lt;=0,0,(INT(MAX(0,Inputs!$B$43-B1605)/(IF(Inputs!$B$38="pvp",15,MAX(0.1,Skills!D4-IF(Skills!E4=TRUE,Inputs!$B$32,0)))*(1-IF(AND(ArtifactsInput!$M$27,Inputs!$B$4="Chapter Hunt"),CHOOSE(ArtifactsInput!$N$27+1,20,24,28,32,36,40),0)/100)))+1)),0)</f>
        <v/>
      </c>
      <c r="S1571">
        <f>IFERROR(O1571/N1571,0)</f>
        <v/>
      </c>
      <c r="T1571">
        <f>IF(C1571,(H1571*N1571*IF(AND(Inputs!$B$38&lt;&gt;"pvp",Inputs!$B$43&gt;0),((Skills!G4*((R1571-1)*IF(Skills!H4&gt;0,Skills!I4/Skills!H4,1)+IF(Skills!H4&gt;0,MIN(Skills!I4,MAX(0,MAX(0,Inputs!$B$43-B1605)-((R1571-1)*(IF(Inputs!$B$38="pvp",15,MAX(0.1,Skills!D4-IF(Skills!E4=TRUE,Inputs!$B$32,0)))*(1-IF(AND(ArtifactsInput!$M$27,Inputs!$B$4="Chapter Hunt"),CHOOSE(ArtifactsInput!$N$27+1,20,24,28,32,36,40),0)/100)))))/Skills!H4,1)))/Inputs!$B$43),G1571*Q1571)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1571*(1-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1">
        <f>290*U1570/1000</f>
        <v/>
      </c>
      <c r="V1571">
        <f>IF(C1571,(H1571*N1571*IF(AND(Inputs!$B$38&lt;&gt;"pvp",Inputs!$B$43&gt;0),((Skills!G4*((R1571-1)*IF(Skills!H4&gt;0,Skills!I4/Skills!H4,1)+IF(Skills!H4&gt;0,MIN(Skills!I4,MAX(0,MAX(0,Inputs!$B$43-B1605)-((R1571-1)*(IF(Inputs!$B$38="pvp",15,MAX(0.1,Skills!D4-IF(Skills!E4=TRUE,Inputs!$B$32,0)))*(1-IF(AND(ArtifactsInput!$M$27,Inputs!$B$4="Chapter Hunt"),CHOOSE(ArtifactsInput!$N$27+1,20,24,28,32,36,40),0)/100)))))/Skills!H4,1)))/Inputs!$B$43),G1571*Q1571))*IF(Inputs!$B$38="pvp",1,(1+(Inputs!$B$21+Skills!Q4+(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2">
      <c r="A1572">
        <f>Skills!A5</f>
        <v/>
      </c>
      <c r="B1572">
        <f>Skills!B5</f>
        <v/>
      </c>
      <c r="C1572">
        <f>Inputs!$B$3&gt;=45</f>
        <v/>
      </c>
      <c r="D1572">
        <f>IF(Skills!C5=1,60+Inputs!$B$25+Inputs!$B$29,IF(Skills!C5=2,90+Inputs!$B$26+Inputs!$B$29,IF(Skills!C5=3,120+Inputs!$B$27+Inputs!$B$29,MAX(0,(Inputs!$B$3-100)*3)+Inputs!$B$28+Inputs!$B$29)))</f>
        <v/>
      </c>
      <c r="E1572">
        <f>INDEX(FactorTable!$B$2:$Y$301, MATCH(ROUND(MIN(300,MAX(1,D1572)),0), FactorTable!$A$2:$A$301,0), Skills!M5+1)</f>
        <v/>
      </c>
      <c r="F1572">
        <f>IF(Skills!N5=TRUE,(Skills!L5/10)*(E1572/1000),Skills!L5/10)+Skills!O5</f>
        <v/>
      </c>
      <c r="G1572">
        <f>Skills!G5*IF(Skills!H5&gt;0,Skills!I5/Skills!H5,1)</f>
        <v/>
      </c>
      <c r="H1572">
        <f>1-(1-Skills!J5/100)^Skills!K5</f>
        <v/>
      </c>
      <c r="I1572" t="inlineStr">
        <is>
          <t>1</t>
        </is>
      </c>
      <c r="J1572">
        <f>((Inputs!$B$6*(1+Inputs!$B$7/100))+(((Inputs!$B$12*(1+Inputs!$B$13/100))-(Inputs!$B$12*(1+Inputs!$B$13/100)))+0.25*(Inputs!$B$14-Inputs!$B$14))*(1+Inputs!$B$7/100))*(F1572/100)</f>
        <v/>
      </c>
      <c r="K1572">
        <f>J1572*(1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1583=TRUE,F1583,0)/100)*(1+(IF(Skills!A5="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1572)</f>
        <v/>
      </c>
      <c r="L1572">
        <f>K1572*(MIN(Inputs!$B$22+((C1589=TRUE)*(F1589-Calc!F22)),(Inputs!$B$23+0+(IF(ArtifactsInput!$M$15,CHOOSE(ArtifactsInput!$N$15+1,25,30,35,40,45,50)/100*(Inputs!$B$11-Inputs!$B$11),0))))/100+(Inputs!$B$23+0+(IF(ArtifactsInput!$M$15,CHOOSE(ArtifactsInput!$N$15+1,25,30,35,40,45,50)/100*(Inputs!$B$11-Inputs!$B$11),0)))/100)/2</f>
        <v/>
      </c>
      <c r="M1572">
        <f>L1572*(1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2">
        <f>L1572*(1-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1572*(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2">
        <f>(1-Summary!$B$11)*T1572+Summary!$B$11*V1572</f>
        <v/>
      </c>
      <c r="P1572">
        <f>IF(B1608=0,0,O1572/B1608)</f>
        <v/>
      </c>
      <c r="Q1572">
        <f>IFERROR(1/(IF(Inputs!$B$38="pvp",15,MAX(0.1,Skills!D5-IF(Skills!E5=TRUE,Inputs!$B$32,0)))*(1-IF(AND(ArtifactsInput!$M$27,Inputs!$B$4="Chapter Hunt"),CHOOSE(ArtifactsInput!$N$27+1,20,24,28,32,36,40),0)/100)),0)</f>
        <v/>
      </c>
      <c r="R1572">
        <f>IF(AND(Inputs!$B$38&lt;&gt;"pvp",Inputs!$B$43&gt;0),IF(MAX(0,Inputs!$B$43-B1605)&lt;=0,0,(INT(MAX(0,Inputs!$B$43-B1605)/(IF(Inputs!$B$38="pvp",15,MAX(0.1,Skills!D5-IF(Skills!E5=TRUE,Inputs!$B$32,0)))*(1-IF(AND(ArtifactsInput!$M$27,Inputs!$B$4="Chapter Hunt"),CHOOSE(ArtifactsInput!$N$27+1,20,24,28,32,36,40),0)/100)))+1)),0)</f>
        <v/>
      </c>
      <c r="S1572">
        <f>IFERROR(O1572/N1572,0)</f>
        <v/>
      </c>
      <c r="T1572">
        <f>IF(C1572,(H1572*N1572*IF(AND(Inputs!$B$38&lt;&gt;"pvp",Inputs!$B$43&gt;0),((Skills!G5*((R1572-1)*IF(Skills!H5&gt;0,Skills!I5/Skills!H5,1)+IF(Skills!H5&gt;0,MIN(Skills!I5,MAX(0,MAX(0,Inputs!$B$43-B1605)-((R1572-1)*(IF(Inputs!$B$38="pvp",15,MAX(0.1,Skills!D5-IF(Skills!E5=TRUE,Inputs!$B$32,0)))*(1-IF(AND(ArtifactsInput!$M$27,Inputs!$B$4="Chapter Hunt"),CHOOSE(ArtifactsInput!$N$27+1,20,24,28,32,36,40),0)/100)))))/Skills!H5,1)))/Inputs!$B$43),G1572*Q1572)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1572*(1-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1572*(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1572*(1-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1572*(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2">
        <f>IF(C1572,(H1572*N1572*IF(AND(Inputs!$B$38&lt;&gt;"pvp",Inputs!$B$43&gt;0),((Skills!G5*((R1572-1)*IF(Skills!H5&gt;0,Skills!I5/Skills!H5,1)+IF(Skills!H5&gt;0,MIN(Skills!I5,MAX(0,MAX(0,Inputs!$B$43-B1605)-((R1572-1)*(IF(Inputs!$B$38="pvp",15,MAX(0.1,Skills!D5-IF(Skills!E5=TRUE,Inputs!$B$32,0)))*(1-IF(AND(ArtifactsInput!$M$27,Inputs!$B$4="Chapter Hunt"),CHOOSE(ArtifactsInput!$N$27+1,20,24,28,32,36,40),0)/100)))))/Skills!H5,1)))/Inputs!$B$43),G1572*Q1572))*IF(Inputs!$B$38="pvp",1,(1+(Inputs!$B$21+Skills!Q5+(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3">
      <c r="A1573">
        <f>Skills!A6</f>
        <v/>
      </c>
      <c r="B1573">
        <f>Skills!B6</f>
        <v/>
      </c>
      <c r="C1573">
        <f>Inputs!$B$3&gt;=63</f>
        <v/>
      </c>
      <c r="D1573">
        <f>IF(Skills!C6=1,60+Inputs!$B$25+Inputs!$B$29,IF(Skills!C6=2,90+Inputs!$B$26+Inputs!$B$29,IF(Skills!C6=3,120+Inputs!$B$27+Inputs!$B$29,MAX(0,(Inputs!$B$3-100)*3)+Inputs!$B$28+Inputs!$B$29)))</f>
        <v/>
      </c>
      <c r="E1573">
        <f>INDEX(FactorTable!$B$2:$Y$301, MATCH(ROUND(MIN(300,MAX(1,D1573)),0), FactorTable!$A$2:$A$301,0), Skills!M6+1)</f>
        <v/>
      </c>
      <c r="F1573">
        <f>IF(Skills!N6=TRUE,(Skills!L6/10)*(E1573/1000),Skills!L6/10)+Skills!O6</f>
        <v/>
      </c>
      <c r="G1573">
        <f>Skills!G6*IF(Skills!H6&gt;0,Skills!I6/Skills!H6,1)</f>
        <v/>
      </c>
      <c r="H1573">
        <f>1-(1-Skills!J6/100)^Skills!K6</f>
        <v/>
      </c>
      <c r="I1573" t="inlineStr">
        <is>
          <t>1</t>
        </is>
      </c>
      <c r="J1573">
        <f>((Inputs!$B$6*(1+Inputs!$B$7/100))+(((Inputs!$B$12*(1+Inputs!$B$13/100))-(Inputs!$B$12*(1+Inputs!$B$13/100)))+0.25*(Inputs!$B$14-Inputs!$B$14))*(1+Inputs!$B$7/100))*(F1573/100)</f>
        <v/>
      </c>
      <c r="K1573">
        <f>J1573*(1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1582=TRUE,F1582,0)/100)*(1+(IF(Skills!A6="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1573)</f>
        <v/>
      </c>
      <c r="L1573">
        <f>K1573*(MIN(Inputs!$B$22+((C1589=TRUE)*(F1589-Calc!F22)),(Inputs!$B$23+0+(IF(ArtifactsInput!$M$15,CHOOSE(ArtifactsInput!$N$15+1,25,30,35,40,45,50)/100*(Inputs!$B$11-Inputs!$B$11),0))))/100+(Inputs!$B$23+0+(IF(ArtifactsInput!$M$15,CHOOSE(ArtifactsInput!$N$15+1,25,30,35,40,45,50)/100*(Inputs!$B$11-Inputs!$B$11),0)))/100)/2</f>
        <v/>
      </c>
      <c r="M1573">
        <f>L1573*(1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3">
        <f>L1573*(1-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1573*(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3">
        <f>(1-Summary!$B$11)*T1573+Summary!$B$11*V1573</f>
        <v/>
      </c>
      <c r="P1573">
        <f>IF(B1608=0,0,O1573/B1608)</f>
        <v/>
      </c>
      <c r="Q1573">
        <f>IFERROR(1/(IF(Inputs!$B$38="pvp",15,MAX(0.1,Skills!D6-IF(Skills!E6=TRUE,Inputs!$B$32,0)))*(1-IF(AND(ArtifactsInput!$M$27,Inputs!$B$4="Chapter Hunt"),CHOOSE(ArtifactsInput!$N$27+1,20,24,28,32,36,40),0)/100)),0)</f>
        <v/>
      </c>
      <c r="R1573">
        <f>IF(AND(Inputs!$B$38&lt;&gt;"pvp",Inputs!$B$43&gt;0),IF(MAX(0,Inputs!$B$43-B1605)&lt;=0,0,(INT(MAX(0,Inputs!$B$43-B1605)/(IF(Inputs!$B$38="pvp",15,MAX(0.1,Skills!D6-IF(Skills!E6=TRUE,Inputs!$B$32,0)))*(1-IF(AND(ArtifactsInput!$M$27,Inputs!$B$4="Chapter Hunt"),CHOOSE(ArtifactsInput!$N$27+1,20,24,28,32,36,40),0)/100)))+1)),0)</f>
        <v/>
      </c>
      <c r="S1573">
        <f>IFERROR(O1573/N1573,0)</f>
        <v/>
      </c>
      <c r="T1573">
        <f>IF(C1573,(H1573*N1573*IF(AND(Inputs!$B$38&lt;&gt;"pvp",Inputs!$B$43&gt;0),((Skills!G6*((R1573-1)*IF(Skills!H6&gt;0,Skills!I6/Skills!H6,1)+IF(Skills!H6&gt;0,MIN(Skills!I6,MAX(0,MAX(0,Inputs!$B$43-B1605)-((R1573-1)*(IF(Inputs!$B$38="pvp",15,MAX(0.1,Skills!D6-IF(Skills!E6=TRUE,Inputs!$B$32,0)))*(1-IF(AND(ArtifactsInput!$M$27,Inputs!$B$4="Chapter Hunt"),CHOOSE(ArtifactsInput!$N$27+1,20,24,28,32,36,40),0)/100)))))/Skills!H6,1)))/Inputs!$B$43),G1573*Q1573)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1573*(1-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1573*(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1573*(1-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1573*(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3">
        <f>IF(C1573,(H1573*N1573*IF(AND(Inputs!$B$38&lt;&gt;"pvp",Inputs!$B$43&gt;0),((Skills!G6*((R1573-1)*IF(Skills!H6&gt;0,Skills!I6/Skills!H6,1)+IF(Skills!H6&gt;0,MIN(Skills!I6,MAX(0,MAX(0,Inputs!$B$43-B1605)-((R1573-1)*(IF(Inputs!$B$38="pvp",15,MAX(0.1,Skills!D6-IF(Skills!E6=TRUE,Inputs!$B$32,0)))*(1-IF(AND(ArtifactsInput!$M$27,Inputs!$B$4="Chapter Hunt"),CHOOSE(ArtifactsInput!$N$27+1,20,24,28,32,36,40),0)/100)))))/Skills!H6,1)))/Inputs!$B$43),G1573*Q1573))*IF(Inputs!$B$38="pvp",1,(1+(Inputs!$B$21+Skills!Q6+(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4">
      <c r="A1574">
        <f>Skills!A7</f>
        <v/>
      </c>
      <c r="B1574">
        <f>Skills!B7</f>
        <v/>
      </c>
      <c r="C1574">
        <f>Inputs!$B$3&gt;=66</f>
        <v/>
      </c>
      <c r="D1574">
        <f>IF(Skills!C7=1,60+Inputs!$B$25+Inputs!$B$29,IF(Skills!C7=2,90+Inputs!$B$26+Inputs!$B$29,IF(Skills!C7=3,120+Inputs!$B$27+Inputs!$B$29,MAX(0,(Inputs!$B$3-100)*3)+Inputs!$B$28+Inputs!$B$29)))</f>
        <v/>
      </c>
      <c r="E1574">
        <f>INDEX(FactorTable!$B$2:$Y$301, MATCH(ROUND(MIN(300,MAX(1,D1574)),0), FactorTable!$A$2:$A$301,0), Skills!M7+1)</f>
        <v/>
      </c>
      <c r="F1574">
        <f>IF(Skills!N7=TRUE,(Skills!L7/10)*(E1574/1000),Skills!L7/10)+Skills!O7</f>
        <v/>
      </c>
      <c r="G1574">
        <f>Skills!G7*IF(Skills!H7&gt;0,Skills!I7/Skills!H7,1)</f>
        <v/>
      </c>
      <c r="H1574">
        <f>1-(1-Skills!J7/100)^Skills!K7</f>
        <v/>
      </c>
      <c r="I1574" t="inlineStr">
        <is>
          <t>1</t>
        </is>
      </c>
      <c r="J1574">
        <f>((Inputs!$B$6*(1+Inputs!$B$7/100))+(((Inputs!$B$12*(1+Inputs!$B$13/100))-(Inputs!$B$12*(1+Inputs!$B$13/100)))+0.25*(Inputs!$B$14-Inputs!$B$14))*(1+Inputs!$B$7/100))*(F1574/100)</f>
        <v/>
      </c>
      <c r="K1574">
        <f>J1574*(1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1582=TRUE,F1582,0)/100)*(1+(IF(Skills!A7="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1574)</f>
        <v/>
      </c>
      <c r="L1574">
        <f>K1574*(MIN(Inputs!$B$22+((C1589=TRUE)*(F1589-Calc!F22)),(Inputs!$B$23+0+(IF(ArtifactsInput!$M$15,CHOOSE(ArtifactsInput!$N$15+1,25,30,35,40,45,50)/100*(Inputs!$B$11-Inputs!$B$11),0))))/100+(Inputs!$B$23+0+(IF(ArtifactsInput!$M$15,CHOOSE(ArtifactsInput!$N$15+1,25,30,35,40,45,50)/100*(Inputs!$B$11-Inputs!$B$11),0)))/100)/2</f>
        <v/>
      </c>
      <c r="M1574">
        <f>L1574*(1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4">
        <f>L1574*(1-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1574*(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4">
        <f>(1-Summary!$B$11)*T1574+Summary!$B$11*V1574</f>
        <v/>
      </c>
      <c r="P1574">
        <f>IF(B1608=0,0,O1574/B1608)</f>
        <v/>
      </c>
      <c r="Q1574">
        <f>IFERROR(1/(IF(Inputs!$B$38="pvp",15,MAX(0.1,Skills!D7-IF(Skills!E7=TRUE,Inputs!$B$32,0)))*(1-IF(AND(ArtifactsInput!$M$27,Inputs!$B$4="Chapter Hunt"),CHOOSE(ArtifactsInput!$N$27+1,20,24,28,32,36,40),0)/100)),0)</f>
        <v/>
      </c>
      <c r="R1574">
        <f>IF(AND(Inputs!$B$38&lt;&gt;"pvp",Inputs!$B$43&gt;0),IF(MAX(0,Inputs!$B$43-B1605)&lt;=0,0,(INT(MAX(0,Inputs!$B$43-B1605)/(IF(Inputs!$B$38="pvp",15,MAX(0.1,Skills!D7-IF(Skills!E7=TRUE,Inputs!$B$32,0)))*(1-IF(AND(ArtifactsInput!$M$27,Inputs!$B$4="Chapter Hunt"),CHOOSE(ArtifactsInput!$N$27+1,20,24,28,32,36,40),0)/100)))+1)),0)</f>
        <v/>
      </c>
      <c r="S1574">
        <f>IFERROR(O1574/N1574,0)</f>
        <v/>
      </c>
      <c r="T1574">
        <f>IF(C1574,(H1574*N1574*IF(AND(Inputs!$B$38&lt;&gt;"pvp",Inputs!$B$43&gt;0),((Skills!G7*((R1574-1)*IF(Skills!H7&gt;0,Skills!I7/Skills!H7,1)+IF(Skills!H7&gt;0,MIN(Skills!I7,MAX(0,MAX(0,Inputs!$B$43-B1605)-((R1574-1)*(IF(Inputs!$B$38="pvp",15,MAX(0.1,Skills!D7-IF(Skills!E7=TRUE,Inputs!$B$32,0)))*(1-IF(AND(ArtifactsInput!$M$27,Inputs!$B$4="Chapter Hunt"),CHOOSE(ArtifactsInput!$N$27+1,20,24,28,32,36,40),0)/100)))))/Skills!H7,1)))/Inputs!$B$43),G1574*Q1574)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1574*(1-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1574*(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1574*(1-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1574*(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4">
        <f>IF(C1574,(H1574*N1574*IF(AND(Inputs!$B$38&lt;&gt;"pvp",Inputs!$B$43&gt;0),((Skills!G7*((R1574-1)*IF(Skills!H7&gt;0,Skills!I7/Skills!H7,1)+IF(Skills!H7&gt;0,MIN(Skills!I7,MAX(0,MAX(0,Inputs!$B$43-B1605)-((R1574-1)*(IF(Inputs!$B$38="pvp",15,MAX(0.1,Skills!D7-IF(Skills!E7=TRUE,Inputs!$B$32,0)))*(1-IF(AND(ArtifactsInput!$M$27,Inputs!$B$4="Chapter Hunt"),CHOOSE(ArtifactsInput!$N$27+1,20,24,28,32,36,40),0)/100)))))/Skills!H7,1)))/Inputs!$B$43),G1574*Q1574))*IF(Inputs!$B$38="pvp",1,(1+(Inputs!$B$21+Skills!Q7+(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5">
      <c r="A1575">
        <f>Skills!A8</f>
        <v/>
      </c>
      <c r="B1575">
        <f>Skills!B8</f>
        <v/>
      </c>
      <c r="C1575">
        <f>Inputs!$B$3&gt;=100</f>
        <v/>
      </c>
      <c r="D1575">
        <f>IF(Skills!C8=1,60+Inputs!$B$25+Inputs!$B$29,IF(Skills!C8=2,90+Inputs!$B$26+Inputs!$B$29,IF(Skills!C8=3,120+Inputs!$B$27+Inputs!$B$29,MAX(0,(Inputs!$B$3-100)*3)+Inputs!$B$28+Inputs!$B$29)))</f>
        <v/>
      </c>
      <c r="E1575">
        <f>INDEX(FactorTable!$B$2:$Y$301, MATCH(ROUND(MIN(300,MAX(1,D1575)),0), FactorTable!$A$2:$A$301,0), Skills!M8+1)</f>
        <v/>
      </c>
      <c r="F1575">
        <f>IF(Skills!N8=TRUE,(Skills!L8/10)*(E1575/1000),Skills!L8/10)+Skills!O8</f>
        <v/>
      </c>
      <c r="G1575">
        <f>Skills!G8*IF(Skills!H8&gt;0,Skills!I8/Skills!H8,1)</f>
        <v/>
      </c>
      <c r="H1575">
        <f>1-(1-Skills!J8/100)^Skills!K8</f>
        <v/>
      </c>
      <c r="I1575" t="inlineStr">
        <is>
          <t>1</t>
        </is>
      </c>
      <c r="J1575">
        <f>((Inputs!$B$6*(1+Inputs!$B$7/100))+(((Inputs!$B$12*(1+Inputs!$B$13/100))-(Inputs!$B$12*(1+Inputs!$B$13/100)))+0.25*(Inputs!$B$14-Inputs!$B$14))*(1+Inputs!$B$7/100))*(F1575/100)</f>
        <v/>
      </c>
      <c r="K1575">
        <f>J1575*(1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1575)</f>
        <v/>
      </c>
      <c r="L1575">
        <f>K1575*(MIN(Inputs!$B$22+((C1589=TRUE)*(F1589-Calc!F22)),(Inputs!$B$23+0+(IF(ArtifactsInput!$M$15,CHOOSE(ArtifactsInput!$N$15+1,25,30,35,40,45,50)/100*(Inputs!$B$11-Inputs!$B$11),0))))/100+(Inputs!$B$23+0+(IF(ArtifactsInput!$M$15,CHOOSE(ArtifactsInput!$N$15+1,25,30,35,40,45,50)/100*(Inputs!$B$11-Inputs!$B$11),0)))/100)/2</f>
        <v/>
      </c>
      <c r="M1575">
        <f>L1575*(1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5">
        <f>L1575*(1-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1575*(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5">
        <f>(1-Summary!$B$11)*T1575+Summary!$B$11*V1575</f>
        <v/>
      </c>
      <c r="P1575">
        <f>IF(B1608=0,0,O1575/B1608)</f>
        <v/>
      </c>
      <c r="Q1575">
        <f>IFERROR(1/(IF(Inputs!$B$38="pvp",15,MAX(0.1,Skills!D8-IF(Skills!E8=TRUE,Inputs!$B$32,0)))*(1-IF(AND(ArtifactsInput!$M$27,Inputs!$B$4="Chapter Hunt"),CHOOSE(ArtifactsInput!$N$27+1,20,24,28,32,36,40),0)/100)),0)</f>
        <v/>
      </c>
      <c r="R1575">
        <f>IF(AND(Inputs!$B$38&lt;&gt;"pvp",Inputs!$B$43&gt;0),IF(MAX(0,Inputs!$B$43-B1605)&lt;=0,0,(INT(MAX(0,Inputs!$B$43-B1605)/(IF(Inputs!$B$38="pvp",15,MAX(0.1,Skills!D8-IF(Skills!E8=TRUE,Inputs!$B$32,0)))*(1-IF(AND(ArtifactsInput!$M$27,Inputs!$B$4="Chapter Hunt"),CHOOSE(ArtifactsInput!$N$27+1,20,24,28,32,36,40),0)/100)))+1)),0)</f>
        <v/>
      </c>
      <c r="S1575">
        <f>IFERROR(O1575/N1575,0)</f>
        <v/>
      </c>
      <c r="T1575">
        <f>IF(C1575,(H1575*N1575*IF(AND(Inputs!$B$38&lt;&gt;"pvp",Inputs!$B$43&gt;0),((Skills!G8*((R1575-1)*IF(Skills!H8&gt;0,Skills!I8/Skills!H8,1)+IF(Skills!H8&gt;0,MIN(Skills!I8,MAX(0,MAX(0,Inputs!$B$43-B1605)-((R1575-1)*(IF(Inputs!$B$38="pvp",15,MAX(0.1,Skills!D8-IF(Skills!E8=TRUE,Inputs!$B$32,0)))*(1-IF(AND(ArtifactsInput!$M$27,Inputs!$B$4="Chapter Hunt"),CHOOSE(ArtifactsInput!$N$27+1,20,24,28,32,36,40),0)/100)))))/Skills!H8,1)))/Inputs!$B$43),G1575*Q1575)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1575*(1-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1575*(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1575*(1-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1575*(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5">
        <f>IF(C1575,(H1575*N1575*IF(AND(Inputs!$B$38&lt;&gt;"pvp",Inputs!$B$43&gt;0),((Skills!G8*((R1575-1)*IF(Skills!H8&gt;0,Skills!I8/Skills!H8,1)+IF(Skills!H8&gt;0,MIN(Skills!I8,MAX(0,MAX(0,Inputs!$B$43-B1605)-((R1575-1)*(IF(Inputs!$B$38="pvp",15,MAX(0.1,Skills!D8-IF(Skills!E8=TRUE,Inputs!$B$32,0)))*(1-IF(AND(ArtifactsInput!$M$27,Inputs!$B$4="Chapter Hunt"),CHOOSE(ArtifactsInput!$N$27+1,20,24,28,32,36,40),0)/100)))))/Skills!H8,1)))/Inputs!$B$43),G1575*Q1575))*IF(Inputs!$B$38="pvp",1,(1+(Inputs!$B$21+Skills!Q8+(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6">
      <c r="A1576">
        <f>Skills!A9</f>
        <v/>
      </c>
      <c r="B1576">
        <f>Skills!B9</f>
        <v/>
      </c>
      <c r="C1576">
        <f>Inputs!$B$3&gt;=103</f>
        <v/>
      </c>
      <c r="D1576">
        <f>IF(Skills!C9=1,60+Inputs!$B$25+Inputs!$B$29,IF(Skills!C9=2,90+Inputs!$B$26+Inputs!$B$29,IF(Skills!C9=3,120+Inputs!$B$27+Inputs!$B$29,MAX(0,(Inputs!$B$3-100)*3)+Inputs!$B$28+Inputs!$B$29)))</f>
        <v/>
      </c>
      <c r="E1576">
        <f>INDEX(FactorTable!$B$2:$Y$301, MATCH(ROUND(MIN(300,MAX(1,D1576)),0), FactorTable!$A$2:$A$301,0), Skills!M9+1)</f>
        <v/>
      </c>
      <c r="F1576">
        <f>IF(Skills!N9=TRUE,(Skills!L9/10)*(E1576/1000),Skills!L9/10)+Skills!O9</f>
        <v/>
      </c>
      <c r="G1576">
        <f>Skills!G9*IF(Skills!H9&gt;0,Skills!I9/Skills!H9,1)</f>
        <v/>
      </c>
      <c r="H1576">
        <f>1-(1-Skills!J9/100)^Skills!K9</f>
        <v/>
      </c>
      <c r="I1576" t="inlineStr">
        <is>
          <t>1</t>
        </is>
      </c>
      <c r="J1576">
        <f>((Inputs!$B$6*(1+Inputs!$B$7/100))+(((Inputs!$B$12*(1+Inputs!$B$13/100))-(Inputs!$B$12*(1+Inputs!$B$13/100)))+0.25*(Inputs!$B$14-Inputs!$B$14))*(1+Inputs!$B$7/100))*(F1576/100)</f>
        <v/>
      </c>
      <c r="K1576">
        <f>J1576*(1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1576)</f>
        <v/>
      </c>
      <c r="L1576">
        <f>K1576*(MIN(Inputs!$B$22+((C1589=TRUE)*(F1589-Calc!F22)),(Inputs!$B$23+0+(IF(ArtifactsInput!$M$15,CHOOSE(ArtifactsInput!$N$15+1,25,30,35,40,45,50)/100*(Inputs!$B$11-Inputs!$B$11),0))))/100+(Inputs!$B$23+0+(IF(ArtifactsInput!$M$15,CHOOSE(ArtifactsInput!$N$15+1,25,30,35,40,45,50)/100*(Inputs!$B$11-Inputs!$B$11),0)))/100)/2</f>
        <v/>
      </c>
      <c r="M1576">
        <f>L1576*(1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6">
        <f>L1576*(1-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1576*(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6">
        <f>(1-Summary!$B$11)*T1576+Summary!$B$11*V1576</f>
        <v/>
      </c>
      <c r="P1576">
        <f>IF(B1608=0,0,O1576/B1608)</f>
        <v/>
      </c>
      <c r="Q1576">
        <f>IFERROR(1/(IF(Inputs!$B$38="pvp",15,MAX(0.1,Skills!D9-IF(Skills!E9=TRUE,Inputs!$B$32,0)))*(1-IF(AND(ArtifactsInput!$M$27,Inputs!$B$4="Chapter Hunt"),CHOOSE(ArtifactsInput!$N$27+1,20,24,28,32,36,40),0)/100)),0)</f>
        <v/>
      </c>
      <c r="R1576">
        <f>IF(AND(Inputs!$B$38&lt;&gt;"pvp",Inputs!$B$43&gt;0),IF(MAX(0,Inputs!$B$43-B1605)&lt;=0,0,(INT(MAX(0,Inputs!$B$43-B1605)/(IF(Inputs!$B$38="pvp",15,MAX(0.1,Skills!D9-IF(Skills!E9=TRUE,Inputs!$B$32,0)))*(1-IF(AND(ArtifactsInput!$M$27,Inputs!$B$4="Chapter Hunt"),CHOOSE(ArtifactsInput!$N$27+1,20,24,28,32,36,40),0)/100)))+1)),0)</f>
        <v/>
      </c>
      <c r="S1576">
        <f>IFERROR(O1576/N1576,0)</f>
        <v/>
      </c>
      <c r="T1576">
        <f>IF(C1576,(H1576*N1576*IF(AND(Inputs!$B$38&lt;&gt;"pvp",Inputs!$B$43&gt;0),((Skills!G9*((R1576-1)*IF(Skills!H9&gt;0,Skills!I9/Skills!H9,1)+IF(Skills!H9&gt;0,MIN(Skills!I9,MAX(0,MAX(0,Inputs!$B$43-B1605)-((R1576-1)*(IF(Inputs!$B$38="pvp",15,MAX(0.1,Skills!D9-IF(Skills!E9=TRUE,Inputs!$B$32,0)))*(1-IF(AND(ArtifactsInput!$M$27,Inputs!$B$4="Chapter Hunt"),CHOOSE(ArtifactsInput!$N$27+1,20,24,28,32,36,40),0)/100)))))/Skills!H9,1)))/Inputs!$B$43),G1576*Q1576)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1576*(1-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1576*(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1576*(1-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1576*(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6">
        <f>IF(C1576,(H1576*N1576*IF(AND(Inputs!$B$38&lt;&gt;"pvp",Inputs!$B$43&gt;0),((Skills!G9*((R1576-1)*IF(Skills!H9&gt;0,Skills!I9/Skills!H9,1)+IF(Skills!H9&gt;0,MIN(Skills!I9,MAX(0,MAX(0,Inputs!$B$43-B1605)-((R1576-1)*(IF(Inputs!$B$38="pvp",15,MAX(0.1,Skills!D9-IF(Skills!E9=TRUE,Inputs!$B$32,0)))*(1-IF(AND(ArtifactsInput!$M$27,Inputs!$B$4="Chapter Hunt"),CHOOSE(ArtifactsInput!$N$27+1,20,24,28,32,36,40),0)/100)))))/Skills!H9,1)))/Inputs!$B$43),G1576*Q1576))*IF(Inputs!$B$38="pvp",1,(1+(Inputs!$B$21+Skills!Q9+(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7">
      <c r="A1577">
        <f>Skills!A10</f>
        <v/>
      </c>
      <c r="B1577">
        <f>Skills!B10</f>
        <v/>
      </c>
      <c r="C1577">
        <f>Inputs!$B$3&gt;=113</f>
        <v/>
      </c>
      <c r="D1577">
        <f>IF(Skills!C10=1,60+Inputs!$B$25+Inputs!$B$29,IF(Skills!C10=2,90+Inputs!$B$26+Inputs!$B$29,IF(Skills!C10=3,120+Inputs!$B$27+Inputs!$B$29,MAX(0,(Inputs!$B$3-100)*3)+Inputs!$B$28+Inputs!$B$29)))</f>
        <v/>
      </c>
      <c r="E1577">
        <f>INDEX(FactorTable!$B$2:$Y$301, MATCH(ROUND(MIN(300,MAX(1,D1577)),0), FactorTable!$A$2:$A$301,0), Skills!M10+1)</f>
        <v/>
      </c>
      <c r="F1577">
        <f>IF(Skills!N10=TRUE,(Skills!L10/10)*(E1577/1000),Skills!L10/10)+Skills!O10</f>
        <v/>
      </c>
      <c r="G1577">
        <f>Skills!G10*IF(Skills!H10&gt;0,Skills!I10/Skills!H10,1)</f>
        <v/>
      </c>
      <c r="H1577">
        <f>1-(1-Skills!J10/100)^Skills!K10</f>
        <v/>
      </c>
      <c r="I1577" t="inlineStr">
        <is>
          <t>1</t>
        </is>
      </c>
      <c r="J1577">
        <f>((Inputs!$B$6*(1+Inputs!$B$7/100))+(((Inputs!$B$12*(1+Inputs!$B$13/100))-(Inputs!$B$12*(1+Inputs!$B$13/100)))+0.25*(Inputs!$B$14-Inputs!$B$14))*(1+Inputs!$B$7/100))*(F1577/100)</f>
        <v/>
      </c>
      <c r="K1577">
        <f>J1577*(1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1577)</f>
        <v/>
      </c>
      <c r="L1577">
        <f>K1577*(MIN(Inputs!$B$22+((C1589=TRUE)*(F1589-Calc!F22)),(Inputs!$B$23+0+(IF(ArtifactsInput!$M$15,CHOOSE(ArtifactsInput!$N$15+1,25,30,35,40,45,50)/100*(Inputs!$B$11-Inputs!$B$11),0))))/100+(Inputs!$B$23+0+(IF(ArtifactsInput!$M$15,CHOOSE(ArtifactsInput!$N$15+1,25,30,35,40,45,50)/100*(Inputs!$B$11-Inputs!$B$11),0)))/100)/2</f>
        <v/>
      </c>
      <c r="M1577">
        <f>L1577*(1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7">
        <f>L1577*(1-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1577*(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7">
        <f>(1-Summary!$B$11)*T1577+Summary!$B$11*V1577</f>
        <v/>
      </c>
      <c r="P1577">
        <f>IF(B1608=0,0,O1577/B1608)</f>
        <v/>
      </c>
      <c r="Q1577">
        <f>IFERROR(1/(IF(Inputs!$B$38="pvp",15,MAX(0.1,Skills!D10-IF(Skills!E10=TRUE,Inputs!$B$32,0)))*(1-IF(AND(ArtifactsInput!$M$27,Inputs!$B$4="Chapter Hunt"),CHOOSE(ArtifactsInput!$N$27+1,20,24,28,32,36,40),0)/100)),0)</f>
        <v/>
      </c>
      <c r="R1577">
        <f>IF(AND(Inputs!$B$38&lt;&gt;"pvp",Inputs!$B$43&gt;0),IF(MAX(0,Inputs!$B$43-B1605)&lt;=0,0,(INT(MAX(0,Inputs!$B$43-B1605)/(IF(Inputs!$B$38="pvp",15,MAX(0.1,Skills!D10-IF(Skills!E10=TRUE,Inputs!$B$32,0)))*(1-IF(AND(ArtifactsInput!$M$27,Inputs!$B$4="Chapter Hunt"),CHOOSE(ArtifactsInput!$N$27+1,20,24,28,32,36,40),0)/100)))+1)),0)</f>
        <v/>
      </c>
      <c r="S1577">
        <f>IFERROR(O1577/N1577,0)</f>
        <v/>
      </c>
      <c r="T1577">
        <f>IF(C1577,(H1577*N1577*IF(AND(Inputs!$B$38&lt;&gt;"pvp",Inputs!$B$43&gt;0),((Skills!G10*((R1577-1)*IF(Skills!H10&gt;0,Skills!I10/Skills!H10,1)+IF(Skills!H10&gt;0,MIN(Skills!I10,MAX(0,MAX(0,Inputs!$B$43-B1605)-((R1577-1)*(IF(Inputs!$B$38="pvp",15,MAX(0.1,Skills!D10-IF(Skills!E10=TRUE,Inputs!$B$32,0)))*(1-IF(AND(ArtifactsInput!$M$27,Inputs!$B$4="Chapter Hunt"),CHOOSE(ArtifactsInput!$N$27+1,20,24,28,32,36,40),0)/100)))))/Skills!H10,1)))/Inputs!$B$43),G1577*Q1577)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1577*(1-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1577*(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1577*(1-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1577*(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7">
        <f>IF(C1577,(H1577*N1577*IF(AND(Inputs!$B$38&lt;&gt;"pvp",Inputs!$B$43&gt;0),((Skills!G10*((R1577-1)*IF(Skills!H10&gt;0,Skills!I10/Skills!H10,1)+IF(Skills!H10&gt;0,MIN(Skills!I10,MAX(0,MAX(0,Inputs!$B$43-B1605)-((R1577-1)*(IF(Inputs!$B$38="pvp",15,MAX(0.1,Skills!D10-IF(Skills!E10=TRUE,Inputs!$B$32,0)))*(1-IF(AND(ArtifactsInput!$M$27,Inputs!$B$4="Chapter Hunt"),CHOOSE(ArtifactsInput!$N$27+1,20,24,28,32,36,40),0)/100)))))/Skills!H10,1)))/Inputs!$B$43),G1577*Q1577))*IF(Inputs!$B$38="pvp",1,(1+(Inputs!$B$21+Skills!Q10+(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8">
      <c r="A1578">
        <f>Skills!A11</f>
        <v/>
      </c>
      <c r="B1578">
        <f>Skills!B11</f>
        <v/>
      </c>
      <c r="C1578">
        <f>Inputs!$B$3&gt;=107</f>
        <v/>
      </c>
      <c r="D1578">
        <f>IF(Skills!C11=1,60+Inputs!$B$25+Inputs!$B$29,IF(Skills!C11=2,90+Inputs!$B$26+Inputs!$B$29,IF(Skills!C11=3,120+Inputs!$B$27+Inputs!$B$29,MAX(0,(Inputs!$B$3-100)*3)+Inputs!$B$28+Inputs!$B$29)))</f>
        <v/>
      </c>
      <c r="E1578">
        <f>INDEX(FactorTable!$B$2:$Y$301, MATCH(ROUND(MIN(300,MAX(1,D1578)),0), FactorTable!$A$2:$A$301,0), Skills!M11+1)</f>
        <v/>
      </c>
      <c r="F1578">
        <f>IF(Skills!N11=TRUE,(Skills!L11/10)*(E1578/1000),Skills!L11/10)+Skills!O11</f>
        <v/>
      </c>
      <c r="G1578">
        <f>Skills!G11*IF(Skills!H11&gt;0,Skills!I11/Skills!H11,1)</f>
        <v/>
      </c>
      <c r="H1578">
        <f>1-(1-Skills!J11/100)^Skills!K11</f>
        <v/>
      </c>
      <c r="I1578" t="inlineStr">
        <is>
          <t>1</t>
        </is>
      </c>
      <c r="J1578">
        <f>((Inputs!$B$6*(1+Inputs!$B$7/100))+(((Inputs!$B$12*(1+Inputs!$B$13/100))-(Inputs!$B$12*(1+Inputs!$B$13/100)))+0.25*(Inputs!$B$14-Inputs!$B$14))*(1+Inputs!$B$7/100))*(F1578/100)</f>
        <v/>
      </c>
      <c r="K1578">
        <f>J1578*(1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1578)</f>
        <v/>
      </c>
      <c r="L1578">
        <f>K1578*(MIN(Inputs!$B$22+((C1589=TRUE)*(F1589-Calc!F22)),(Inputs!$B$23+0+(IF(ArtifactsInput!$M$15,CHOOSE(ArtifactsInput!$N$15+1,25,30,35,40,45,50)/100*(Inputs!$B$11-Inputs!$B$11),0))))/100+(Inputs!$B$23+0+(IF(ArtifactsInput!$M$15,CHOOSE(ArtifactsInput!$N$15+1,25,30,35,40,45,50)/100*(Inputs!$B$11-Inputs!$B$11),0)))/100)/2</f>
        <v/>
      </c>
      <c r="M1578">
        <f>L1578*(1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8">
        <f>L1578*(1-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1578*(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8">
        <f>(1-Summary!$B$11)*T1578+Summary!$B$11*V1578</f>
        <v/>
      </c>
      <c r="P1578">
        <f>IF(B1608=0,0,O1578/B1608)</f>
        <v/>
      </c>
      <c r="Q1578">
        <f>IFERROR(1/(IF(Inputs!$B$38="pvp",15,MAX(0.1,Skills!D11-IF(Skills!E11=TRUE,Inputs!$B$32,0)))*(1-IF(AND(ArtifactsInput!$M$27,Inputs!$B$4="Chapter Hunt"),CHOOSE(ArtifactsInput!$N$27+1,20,24,28,32,36,40),0)/100)),0)</f>
        <v/>
      </c>
      <c r="R1578">
        <f>IF(AND(Inputs!$B$38&lt;&gt;"pvp",Inputs!$B$43&gt;0),IF(MAX(0,Inputs!$B$43-B1605)&lt;=0,0,(INT(MAX(0,Inputs!$B$43-B1605)/(IF(Inputs!$B$38="pvp",15,MAX(0.1,Skills!D11-IF(Skills!E11=TRUE,Inputs!$B$32,0)))*(1-IF(AND(ArtifactsInput!$M$27,Inputs!$B$4="Chapter Hunt"),CHOOSE(ArtifactsInput!$N$27+1,20,24,28,32,36,40),0)/100)))+1)),0)</f>
        <v/>
      </c>
      <c r="S1578">
        <f>IFERROR(O1578/N1578,0)</f>
        <v/>
      </c>
      <c r="T1578">
        <f>IF(C1578,(H1578*N1578*IF(AND(Inputs!$B$38&lt;&gt;"pvp",Inputs!$B$43&gt;0),((Skills!G11*((R1578-1)*IF(Skills!H11&gt;0,Skills!I11/Skills!H11,1)+IF(Skills!H11&gt;0,MIN(Skills!I11,MAX(0,MAX(0,Inputs!$B$43-B1605)-((R1578-1)*(IF(Inputs!$B$38="pvp",15,MAX(0.1,Skills!D11-IF(Skills!E11=TRUE,Inputs!$B$32,0)))*(1-IF(AND(ArtifactsInput!$M$27,Inputs!$B$4="Chapter Hunt"),CHOOSE(ArtifactsInput!$N$27+1,20,24,28,32,36,40),0)/100)))))/Skills!H11,1)))/Inputs!$B$43),G1578*Q1578)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1578*(1-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1578*(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1578*(1-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1578*(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8">
        <f>IF(C1578,(H1578*N1578*IF(AND(Inputs!$B$38&lt;&gt;"pvp",Inputs!$B$43&gt;0),((Skills!G11*((R1578-1)*IF(Skills!H11&gt;0,Skills!I11/Skills!H11,1)+IF(Skills!H11&gt;0,MIN(Skills!I11,MAX(0,MAX(0,Inputs!$B$43-B1605)-((R1578-1)*(IF(Inputs!$B$38="pvp",15,MAX(0.1,Skills!D11-IF(Skills!E11=TRUE,Inputs!$B$32,0)))*(1-IF(AND(ArtifactsInput!$M$27,Inputs!$B$4="Chapter Hunt"),CHOOSE(ArtifactsInput!$N$27+1,20,24,28,32,36,40),0)/100)))))/Skills!H11,1)))/Inputs!$B$43),G1578*Q1578))*IF(Inputs!$B$38="pvp",1,(1+(Inputs!$B$21+Skills!Q11+(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9">
      <c r="A1579">
        <f>Skills!A12</f>
        <v/>
      </c>
      <c r="B1579">
        <f>Skills!B12</f>
        <v/>
      </c>
      <c r="C1579">
        <f>Inputs!$B$3&gt;=110</f>
        <v/>
      </c>
      <c r="D1579">
        <f>IF(Skills!C12=1,60+Inputs!$B$25+Inputs!$B$29,IF(Skills!C12=2,90+Inputs!$B$26+Inputs!$B$29,IF(Skills!C12=3,120+Inputs!$B$27+Inputs!$B$29,MAX(0,(Inputs!$B$3-100)*3)+Inputs!$B$28+Inputs!$B$29)))</f>
        <v/>
      </c>
      <c r="E1579">
        <f>INDEX(FactorTable!$B$2:$Y$301, MATCH(ROUND(MIN(300,MAX(1,D1579)),0), FactorTable!$A$2:$A$301,0), Skills!M12+1)</f>
        <v/>
      </c>
      <c r="F1579">
        <f>IF(Skills!N12=TRUE,(Skills!L12/10)*(E1579/1000),Skills!L12/10)+Skills!O12</f>
        <v/>
      </c>
      <c r="G1579">
        <f>Skills!G12*IF(Skills!H12&gt;0,Skills!I12/Skills!H12,1)</f>
        <v/>
      </c>
      <c r="H1579">
        <f>1-(1-Skills!J12/100)^Skills!K12</f>
        <v/>
      </c>
      <c r="I1579" t="inlineStr">
        <is>
          <t>1</t>
        </is>
      </c>
      <c r="J1579">
        <f>((Inputs!$B$6*(1+Inputs!$B$7/100))+(((Inputs!$B$12*(1+Inputs!$B$13/100))-(Inputs!$B$12*(1+Inputs!$B$13/100)))+0.25*(Inputs!$B$14-Inputs!$B$14))*(1+Inputs!$B$7/100))*(F1579/100)</f>
        <v/>
      </c>
      <c r="K1579">
        <f>J1579*(1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1579)</f>
        <v/>
      </c>
      <c r="L1579">
        <f>K1579*(MIN(Inputs!$B$22+((C1589=TRUE)*(F1589-Calc!F22)),(Inputs!$B$23+0+(IF(ArtifactsInput!$M$15,CHOOSE(ArtifactsInput!$N$15+1,25,30,35,40,45,50)/100*(Inputs!$B$11-Inputs!$B$11),0))))/100+(Inputs!$B$23+0+(IF(ArtifactsInput!$M$15,CHOOSE(ArtifactsInput!$N$15+1,25,30,35,40,45,50)/100*(Inputs!$B$11-Inputs!$B$11),0)))/100)/2</f>
        <v/>
      </c>
      <c r="M1579">
        <f>L1579*(1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9">
        <f>L1579*(1-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1579*(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9">
        <f>(1-Summary!$B$11)*T1579+Summary!$B$11*V1579</f>
        <v/>
      </c>
      <c r="P1579">
        <f>IF(B1608=0,0,O1579/B1608)</f>
        <v/>
      </c>
      <c r="Q1579">
        <f>IFERROR(1/(IF(Inputs!$B$38="pvp",15,MAX(0.1,Skills!D12-IF(Skills!E12=TRUE,Inputs!$B$32,0)))*(1-IF(AND(ArtifactsInput!$M$27,Inputs!$B$4="Chapter Hunt"),CHOOSE(ArtifactsInput!$N$27+1,20,24,28,32,36,40),0)/100)),0)</f>
        <v/>
      </c>
      <c r="R1579">
        <f>IF(AND(Inputs!$B$38&lt;&gt;"pvp",Inputs!$B$43&gt;0),IF(MAX(0,Inputs!$B$43-B1605)&lt;=0,0,(INT(MAX(0,Inputs!$B$43-B1605)/(IF(Inputs!$B$38="pvp",15,MAX(0.1,Skills!D12-IF(Skills!E12=TRUE,Inputs!$B$32,0)))*(1-IF(AND(ArtifactsInput!$M$27,Inputs!$B$4="Chapter Hunt"),CHOOSE(ArtifactsInput!$N$27+1,20,24,28,32,36,40),0)/100)))+1)),0)</f>
        <v/>
      </c>
      <c r="S1579">
        <f>IFERROR(O1579/N1579,0)</f>
        <v/>
      </c>
      <c r="T1579">
        <f>IF(C1579,(H1579*N1579*IF(AND(Inputs!$B$38&lt;&gt;"pvp",Inputs!$B$43&gt;0),((Skills!G12*((R1579-1)*IF(Skills!H12&gt;0,Skills!I12/Skills!H12,1)+IF(Skills!H12&gt;0,MIN(Skills!I12,MAX(0,MAX(0,Inputs!$B$43-B1605)-((R1579-1)*(IF(Inputs!$B$38="pvp",15,MAX(0.1,Skills!D12-IF(Skills!E12=TRUE,Inputs!$B$32,0)))*(1-IF(AND(ArtifactsInput!$M$27,Inputs!$B$4="Chapter Hunt"),CHOOSE(ArtifactsInput!$N$27+1,20,24,28,32,36,40),0)/100)))))/Skills!H12,1)))/Inputs!$B$43),G1579*Q1579)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1579*(1-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1579*(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1579*(1-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1579*(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9">
        <f>IF(C1579,(H1579*N1579*IF(AND(Inputs!$B$38&lt;&gt;"pvp",Inputs!$B$43&gt;0),((Skills!G12*((R1579-1)*IF(Skills!H12&gt;0,Skills!I12/Skills!H12,1)+IF(Skills!H12&gt;0,MIN(Skills!I12,MAX(0,MAX(0,Inputs!$B$43-B1605)-((R1579-1)*(IF(Inputs!$B$38="pvp",15,MAX(0.1,Skills!D12-IF(Skills!E12=TRUE,Inputs!$B$32,0)))*(1-IF(AND(ArtifactsInput!$M$27,Inputs!$B$4="Chapter Hunt"),CHOOSE(ArtifactsInput!$N$27+1,20,24,28,32,36,40),0)/100)))))/Skills!H12,1)))/Inputs!$B$43),G1579*Q1579))*IF(Inputs!$B$38="pvp",1,(1+(Inputs!$B$21+Skills!Q12+(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0">
      <c r="A1580">
        <f>Skills!A13</f>
        <v/>
      </c>
      <c r="B1580">
        <f>Skills!B13</f>
        <v/>
      </c>
      <c r="C1580">
        <f>Inputs!$B$3&gt;=110</f>
        <v/>
      </c>
      <c r="D1580">
        <f>IF(Skills!C13=1,60+Inputs!$B$25+Inputs!$B$29,IF(Skills!C13=2,90+Inputs!$B$26+Inputs!$B$29,IF(Skills!C13=3,120+Inputs!$B$27+Inputs!$B$29,MAX(0,(Inputs!$B$3-100)*3)+Inputs!$B$28+Inputs!$B$29)))</f>
        <v/>
      </c>
      <c r="E1580">
        <f>INDEX(FactorTable!$B$2:$Y$301, MATCH(ROUND(MIN(300,MAX(1,D1580)),0), FactorTable!$A$2:$A$301,0), Skills!M13+1)</f>
        <v/>
      </c>
      <c r="F1580">
        <f>IF(Skills!N13=TRUE,(Skills!L13/10)*(E1580/1000),Skills!L13/10)+Skills!O13</f>
        <v/>
      </c>
      <c r="G1580">
        <f>Skills!G13*IF(Skills!H13&gt;0,Skills!I13/Skills!H13,1)</f>
        <v/>
      </c>
      <c r="H1580">
        <f>1-(1-Skills!J13/100)^Skills!K13</f>
        <v/>
      </c>
      <c r="I1580" t="inlineStr">
        <is>
          <t>1</t>
        </is>
      </c>
      <c r="J1580">
        <f>((Inputs!$B$6*(1+Inputs!$B$7/100))+(((Inputs!$B$12*(1+Inputs!$B$13/100))-(Inputs!$B$12*(1+Inputs!$B$13/100)))+0.25*(Inputs!$B$14-Inputs!$B$14))*(1+Inputs!$B$7/100))*(F1580/100)</f>
        <v/>
      </c>
      <c r="K1580">
        <f>J1580*(1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1580)</f>
        <v/>
      </c>
      <c r="L1580">
        <f>K1580*(MIN(Inputs!$B$22+((C1589=TRUE)*(F1589-Calc!F22)),(Inputs!$B$23+0+(IF(ArtifactsInput!$M$15,CHOOSE(ArtifactsInput!$N$15+1,25,30,35,40,45,50)/100*(Inputs!$B$11-Inputs!$B$11),0))))/100+(Inputs!$B$23+0+(IF(ArtifactsInput!$M$15,CHOOSE(ArtifactsInput!$N$15+1,25,30,35,40,45,50)/100*(Inputs!$B$11-Inputs!$B$11),0)))/100)/2</f>
        <v/>
      </c>
      <c r="M1580">
        <f>L1580*(1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0">
        <f>L1580*(1-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1580*(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0">
        <f>(1-Summary!$B$11)*T1580+Summary!$B$11*V1580</f>
        <v/>
      </c>
      <c r="P1580">
        <f>IF(B1608=0,0,O1580/B1608)</f>
        <v/>
      </c>
      <c r="Q1580">
        <f>IFERROR(1/(IF(Inputs!$B$38="pvp",15,MAX(0.1,Skills!D13-IF(Skills!E13=TRUE,Inputs!$B$32,0)))*(1-IF(AND(ArtifactsInput!$M$27,Inputs!$B$4="Chapter Hunt"),CHOOSE(ArtifactsInput!$N$27+1,20,24,28,32,36,40),0)/100)),0)</f>
        <v/>
      </c>
      <c r="R1580">
        <f>IF(AND(Inputs!$B$38&lt;&gt;"pvp",Inputs!$B$43&gt;0),IF(MAX(0,Inputs!$B$43-B1605)&lt;=0,0,(INT(MAX(0,Inputs!$B$43-B1605)/(IF(Inputs!$B$38="pvp",15,MAX(0.1,Skills!D13-IF(Skills!E13=TRUE,Inputs!$B$32,0)))*(1-IF(AND(ArtifactsInput!$M$27,Inputs!$B$4="Chapter Hunt"),CHOOSE(ArtifactsInput!$N$27+1,20,24,28,32,36,40),0)/100)))+1)),0)</f>
        <v/>
      </c>
      <c r="S1580">
        <f>IFERROR(O1580/N1580,0)</f>
        <v/>
      </c>
      <c r="T1580">
        <f>IF(C1580,(H1580*N1580*IF(AND(Inputs!$B$38&lt;&gt;"pvp",Inputs!$B$43&gt;0),((Skills!G13*((R1580-1)*IF(Skills!H13&gt;0,Skills!I13/Skills!H13,1)+IF(Skills!H13&gt;0,MIN(Skills!I13,MAX(0,MAX(0,Inputs!$B$43-B1605)-((R1580-1)*(IF(Inputs!$B$38="pvp",15,MAX(0.1,Skills!D13-IF(Skills!E13=TRUE,Inputs!$B$32,0)))*(1-IF(AND(ArtifactsInput!$M$27,Inputs!$B$4="Chapter Hunt"),CHOOSE(ArtifactsInput!$N$27+1,20,24,28,32,36,40),0)/100)))))/Skills!H13,1)))/Inputs!$B$43),G1580*Q1580)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1580*(1-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1580*(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1580*(1-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1580*(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0">
        <f>IF(C1580,(H1580*N1580*IF(AND(Inputs!$B$38&lt;&gt;"pvp",Inputs!$B$43&gt;0),((Skills!G13*((R1580-1)*IF(Skills!H13&gt;0,Skills!I13/Skills!H13,1)+IF(Skills!H13&gt;0,MIN(Skills!I13,MAX(0,MAX(0,Inputs!$B$43-B1605)-((R1580-1)*(IF(Inputs!$B$38="pvp",15,MAX(0.1,Skills!D13-IF(Skills!E13=TRUE,Inputs!$B$32,0)))*(1-IF(AND(ArtifactsInput!$M$27,Inputs!$B$4="Chapter Hunt"),CHOOSE(ArtifactsInput!$N$27+1,20,24,28,32,36,40),0)/100)))))/Skills!H13,1)))/Inputs!$B$43),G1580*Q1580))*IF(Inputs!$B$38="pvp",1,(1+(Inputs!$B$21+Skills!Q13+(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1">
      <c r="A1581">
        <f>Skills!A14</f>
        <v/>
      </c>
      <c r="B1581">
        <f>Skills!B14</f>
        <v/>
      </c>
      <c r="C1581">
        <f>Inputs!$B$3&gt;=125</f>
        <v/>
      </c>
      <c r="D1581">
        <f>IF(Skills!C14=1,60+Inputs!$B$25+Inputs!$B$29,IF(Skills!C14=2,90+Inputs!$B$26+Inputs!$B$29,IF(Skills!C14=3,120+Inputs!$B$27+Inputs!$B$29,MAX(0,(Inputs!$B$3-100)*3)+Inputs!$B$28+Inputs!$B$29)))</f>
        <v/>
      </c>
      <c r="E1581">
        <f>INDEX(FactorTable!$B$2:$Y$301, MATCH(ROUND(MIN(300,MAX(1,D1581)),0), FactorTable!$A$2:$A$301,0), Skills!M14+1)</f>
        <v/>
      </c>
      <c r="F1581">
        <f>IF(Skills!N14=TRUE,(Skills!L14/10)*(E1581/1000),Skills!L14/10)+Skills!O14</f>
        <v/>
      </c>
      <c r="G1581">
        <f>Skills!G14*IF(Skills!H14&gt;0,Skills!I14/Skills!H14,1)</f>
        <v/>
      </c>
      <c r="H1581">
        <f>1-(1-Skills!J14/100)^Skills!K14</f>
        <v/>
      </c>
      <c r="I1581" t="inlineStr">
        <is>
          <t>1</t>
        </is>
      </c>
      <c r="J1581">
        <f>((Inputs!$B$6*(1+Inputs!$B$7/100))+(((Inputs!$B$12*(1+Inputs!$B$13/100))-(Inputs!$B$12*(1+Inputs!$B$13/100)))+0.25*(Inputs!$B$14-Inputs!$B$14))*(1+Inputs!$B$7/100))*(F1581/100)</f>
        <v/>
      </c>
      <c r="K1581">
        <f>J1581*(1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1581)</f>
        <v/>
      </c>
      <c r="L1581">
        <f>K1581*(MIN(Inputs!$B$22+((C1589=TRUE)*(F1589-Calc!F22)),(Inputs!$B$23+0+(IF(ArtifactsInput!$M$15,CHOOSE(ArtifactsInput!$N$15+1,25,30,35,40,45,50)/100*(Inputs!$B$11-Inputs!$B$11),0))))/100+(Inputs!$B$23+0+(IF(ArtifactsInput!$M$15,CHOOSE(ArtifactsInput!$N$15+1,25,30,35,40,45,50)/100*(Inputs!$B$11-Inputs!$B$11),0)))/100)/2</f>
        <v/>
      </c>
      <c r="M1581">
        <f>L1581*(1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1">
        <f>L1581*(1-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1">
        <f>(1-Summary!$B$11)*T1581+Summary!$B$11*V1581</f>
        <v/>
      </c>
      <c r="P1581">
        <f>IF(B1608=0,0,O1581/B1608)</f>
        <v/>
      </c>
      <c r="Q1581" t="n">
        <v>0</v>
      </c>
      <c r="R1581" t="n">
        <v>0</v>
      </c>
      <c r="S1581">
        <f>IFERROR(O1581/N1581,0)</f>
        <v/>
      </c>
      <c r="T1581">
        <f>IF(C1581,(H1581*N1581*(B1602+IF(AND(Inputs!$B$38&lt;&gt;"pvp",Inputs!$B$43&gt;0),((Skills!G8*((R1575-1)*IF(Skills!H8&gt;0,Skills!I8/Skills!H8,1)+IF(Skills!H8&gt;0,MIN(Skills!I8,MAX(0,MAX(0,Inputs!$B$43-B1605)-((R1575-1)*(IF(Inputs!$B$38="pvp",15,MAX(0.1,Skills!D8-IF(Skills!E8=TRUE,Inputs!$B$32,0)))*(1-IF(AND(ArtifactsInput!$M$27,Inputs!$B$4="Chapter Hunt"),CHOOSE(ArtifactsInput!$N$27+1,20,24,28,32,36,40),0)/100)))))/Skills!H8,1)))/Inputs!$B$43),G1575*Q1575)+IF(AND(Inputs!$B$38&lt;&gt;"pvp",Inputs!$B$43&gt;0),((Skills!G11*((R1578-1)*IF(Skills!H11&gt;0,Skills!I11/Skills!H11,1)+IF(Skills!H11&gt;0,MIN(Skills!I11,MAX(0,MAX(0,Inputs!$B$43-B1605)-((R1578-1)*(IF(Inputs!$B$38="pvp",15,MAX(0.1,Skills!D11-IF(Skills!E11=TRUE,Inputs!$B$32,0)))*(1-IF(AND(ArtifactsInput!$M$27,Inputs!$B$4="Chapter Hunt"),CHOOSE(ArtifactsInput!$N$27+1,20,24,28,32,36,40),0)/100)))))/Skills!H11,1)))/Inputs!$B$43),G1578*Q1578)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1581*(1-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1581*(1-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1">
        <f>IF(C1581,(H1581*N1581*(B1602+IF(AND(Inputs!$B$38&lt;&gt;"pvp",Inputs!$B$43&gt;0),((Skills!G8*((R1575-1)*IF(Skills!H8&gt;0,Skills!I8/Skills!H8,1)+IF(Skills!H8&gt;0,MIN(Skills!I8,MAX(0,MAX(0,Inputs!$B$43-B1605)-((R1575-1)*(IF(Inputs!$B$38="pvp",15,MAX(0.1,Skills!D8-IF(Skills!E8=TRUE,Inputs!$B$32,0)))*(1-IF(AND(ArtifactsInput!$M$27,Inputs!$B$4="Chapter Hunt"),CHOOSE(ArtifactsInput!$N$27+1,20,24,28,32,36,40),0)/100)))))/Skills!H8,1)))/Inputs!$B$43),G1575*Q1575)+IF(AND(Inputs!$B$38&lt;&gt;"pvp",Inputs!$B$43&gt;0),((Skills!G11*((R1578-1)*IF(Skills!H11&gt;0,Skills!I11/Skills!H11,1)+IF(Skills!H11&gt;0,MIN(Skills!I11,MAX(0,MAX(0,Inputs!$B$43-B1605)-((R1578-1)*(IF(Inputs!$B$38="pvp",15,MAX(0.1,Skills!D11-IF(Skills!E11=TRUE,Inputs!$B$32,0)))*(1-IF(AND(ArtifactsInput!$M$27,Inputs!$B$4="Chapter Hunt"),CHOOSE(ArtifactsInput!$N$27+1,20,24,28,32,36,40),0)/100)))))/Skills!H11,1)))/Inputs!$B$43),G1578*Q1578)))*IF(Inputs!$B$38="pvp",1,(1+(Inputs!$B$21+Skills!Q14+(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2">
      <c r="A1582">
        <f>Skills!A15</f>
        <v/>
      </c>
      <c r="B1582">
        <f>Skills!B15</f>
        <v/>
      </c>
      <c r="C1582">
        <f>Inputs!$B$3&gt;=100</f>
        <v/>
      </c>
      <c r="D1582">
        <f>IF(Skills!C15=1,60+Inputs!$B$25+Inputs!$B$29,IF(Skills!C15=2,90+Inputs!$B$26+Inputs!$B$29,IF(Skills!C15=3,120+Inputs!$B$27+Inputs!$B$29,MAX(0,(Inputs!$B$3-100)*3)+Inputs!$B$28+Inputs!$B$29)))</f>
        <v/>
      </c>
      <c r="E1582">
        <f>INDEX(FactorTable!$B$2:$Y$301, MATCH(ROUND(MIN(300,MAX(1,D1582)),0), FactorTable!$A$2:$A$301,0), Skills!M15+1)</f>
        <v/>
      </c>
      <c r="F1582">
        <f>IF(Skills!N15=TRUE,(Skills!L15/10)*(E1582/1000),Skills!L15/10)+Skills!O15</f>
        <v/>
      </c>
      <c r="G1582" t="inlineStr"/>
      <c r="H1582" t="inlineStr"/>
      <c r="I1582" t="inlineStr">
        <is>
          <t>1</t>
        </is>
      </c>
      <c r="J1582" t="inlineStr"/>
      <c r="K1582" t="inlineStr"/>
      <c r="L1582" t="inlineStr"/>
      <c r="M1582" t="inlineStr"/>
      <c r="N1582" t="inlineStr"/>
      <c r="O1582" t="inlineStr"/>
      <c r="P1582" t="inlineStr"/>
      <c r="Q1582" t="inlineStr"/>
      <c r="R1582" t="inlineStr"/>
      <c r="S1582" t="inlineStr"/>
    </row>
    <row r="1583">
      <c r="A1583">
        <f>Skills!A16</f>
        <v/>
      </c>
      <c r="B1583">
        <f>Skills!B16</f>
        <v/>
      </c>
      <c r="C1583">
        <f>Inputs!$B$3&gt;=120</f>
        <v/>
      </c>
      <c r="D1583">
        <f>IF(Skills!C16=1,60+Inputs!$B$25+Inputs!$B$29,IF(Skills!C16=2,90+Inputs!$B$26+Inputs!$B$29,IF(Skills!C16=3,120+Inputs!$B$27+Inputs!$B$29,MAX(0,(Inputs!$B$3-100)*3)+Inputs!$B$28+Inputs!$B$29)))</f>
        <v/>
      </c>
      <c r="E1583">
        <f>INDEX(FactorTable!$B$2:$Y$301, MATCH(ROUND(MIN(300,MAX(1,D1583)),0), FactorTable!$A$2:$A$301,0), Skills!M16+1)</f>
        <v/>
      </c>
      <c r="F1583">
        <f>IF(Skills!N16=TRUE,(Skills!L16/10)*(E1583/1000),Skills!L16/10)+Skills!O16</f>
        <v/>
      </c>
      <c r="G1583" t="inlineStr"/>
      <c r="H1583" t="inlineStr"/>
      <c r="I1583" t="inlineStr">
        <is>
          <t>1</t>
        </is>
      </c>
      <c r="J1583" t="inlineStr"/>
      <c r="K1583" t="inlineStr"/>
      <c r="L1583" t="inlineStr"/>
      <c r="M1583" t="inlineStr"/>
      <c r="N1583" t="inlineStr"/>
      <c r="O1583" t="inlineStr"/>
      <c r="P1583" t="inlineStr"/>
      <c r="Q1583" t="inlineStr"/>
      <c r="R1583" t="inlineStr"/>
      <c r="S1583" t="inlineStr"/>
    </row>
    <row r="1584">
      <c r="A1584">
        <f>Skills!A17</f>
        <v/>
      </c>
      <c r="B1584">
        <f>Skills!B17</f>
        <v/>
      </c>
      <c r="C1584">
        <f>Inputs!$B$3&gt;=66</f>
        <v/>
      </c>
      <c r="D1584">
        <f>IF(Skills!C17=1,60+Inputs!$B$25+Inputs!$B$29,IF(Skills!C17=2,90+Inputs!$B$26+Inputs!$B$29,IF(Skills!C17=3,120+Inputs!$B$27+Inputs!$B$29,MAX(0,(Inputs!$B$3-100)*3)+Inputs!$B$28+Inputs!$B$29)))</f>
        <v/>
      </c>
      <c r="E1584">
        <f>INDEX(FactorTable!$B$2:$Y$301, MATCH(ROUND(MIN(300,MAX(1,D1584)),0), FactorTable!$A$2:$A$301,0), Skills!M17+1)</f>
        <v/>
      </c>
      <c r="F1584">
        <f>IF(Skills!N17=TRUE,(Skills!L17/10)*(E1584/1000),Skills!L17/10)+Skills!O17</f>
        <v/>
      </c>
      <c r="G1584">
        <f>Skills!G17*IF(Skills!H17&gt;0,Skills!I17/Skills!H17,1)</f>
        <v/>
      </c>
      <c r="H1584">
        <f>1-(1-Skills!J17/100)^Skills!K17</f>
        <v/>
      </c>
      <c r="I1584" t="inlineStr">
        <is>
          <t>1</t>
        </is>
      </c>
      <c r="J1584" t="inlineStr"/>
      <c r="K1584" t="inlineStr"/>
      <c r="L1584" t="inlineStr"/>
      <c r="M1584" t="inlineStr"/>
      <c r="N1584" t="inlineStr"/>
      <c r="O1584">
        <f>(1-Summary!$B$11)*T1584+Summary!$B$11*V1584</f>
        <v/>
      </c>
      <c r="P1584">
        <f>IF(B1608=0,0,O1584/B1608)</f>
        <v/>
      </c>
      <c r="Q1584" t="n">
        <v>0</v>
      </c>
      <c r="R1584" t="n">
        <v>0</v>
      </c>
      <c r="S1584">
        <f>IFERROR(O1584/N1584,0)</f>
        <v/>
      </c>
      <c r="T1584" t="n">
        <v>0</v>
      </c>
      <c r="V1584" t="n">
        <v>0</v>
      </c>
    </row>
    <row r="1585">
      <c r="A1585">
        <f>Skills!A18</f>
        <v/>
      </c>
      <c r="B1585">
        <f>Skills!B18</f>
        <v/>
      </c>
      <c r="C1585">
        <f>Inputs!$B$3&gt;=115</f>
        <v/>
      </c>
      <c r="D1585">
        <f>IF(Skills!C18=1,60+Inputs!$B$25+Inputs!$B$29,IF(Skills!C18=2,90+Inputs!$B$26+Inputs!$B$29,IF(Skills!C18=3,120+Inputs!$B$27+Inputs!$B$29,MAX(0,(Inputs!$B$3-100)*3)+Inputs!$B$28+Inputs!$B$29)))</f>
        <v/>
      </c>
      <c r="E1585">
        <f>INDEX(FactorTable!$B$2:$Y$301, MATCH(ROUND(MIN(300,MAX(1,D1585)),0), FactorTable!$A$2:$A$301,0), Skills!M18+1)</f>
        <v/>
      </c>
      <c r="F1585">
        <f>IF(Skills!N18=TRUE,(Skills!L18/10)*(E1585/1000),Skills!L18/10)+Skills!O18</f>
        <v/>
      </c>
      <c r="G1585">
        <f>Skills!G18*IF(Skills!H18&gt;0,Skills!I18/Skills!H18,1)</f>
        <v/>
      </c>
      <c r="H1585">
        <f>1-(1-Skills!J18/100)^Skills!K18</f>
        <v/>
      </c>
      <c r="I1585" t="inlineStr">
        <is>
          <t>1</t>
        </is>
      </c>
      <c r="J1585" t="inlineStr"/>
      <c r="K1585" t="inlineStr"/>
      <c r="L1585" t="inlineStr"/>
      <c r="M1585" t="inlineStr"/>
      <c r="N1585" t="inlineStr"/>
      <c r="O1585">
        <f>(1-Summary!$B$11)*T1585+Summary!$B$11*V1585</f>
        <v/>
      </c>
      <c r="P1585">
        <f>IF(B1608=0,0,O1585/B1608)</f>
        <v/>
      </c>
      <c r="Q1585">
        <f>IFERROR(1/(IF(Inputs!$B$38="pvp",15,MAX(0.1,Skills!D18-IF(Skills!E18=TRUE,Inputs!$B$32,0)))*(1-IF(AND(ArtifactsInput!$M$27,Inputs!$B$4="Chapter Hunt"),CHOOSE(ArtifactsInput!$N$27+1,20,24,28,32,36,40),0)/100)),0)</f>
        <v/>
      </c>
      <c r="R1585">
        <f>IF(AND(Inputs!$B$38&lt;&gt;"pvp",Inputs!$B$43&gt;0),IF(Inputs!$B$43&lt;=0,0,(INT(Inputs!$B$43/(IF(Inputs!$B$38="pvp",15,MAX(0.1,Skills!D18-IF(Skills!E18=TRUE,Inputs!$B$32,0)))*(1-IF(AND(ArtifactsInput!$M$27,Inputs!$B$4="Chapter Hunt"),CHOOSE(ArtifactsInput!$N$27+1,20,24,28,32,36,40),0)/100)))+1)),0)</f>
        <v/>
      </c>
      <c r="S1585">
        <f>IFERROR(O1585/N1585,0)</f>
        <v/>
      </c>
      <c r="T1585" t="n">
        <v>0</v>
      </c>
      <c r="V1585" t="n">
        <v>0</v>
      </c>
    </row>
    <row r="1586">
      <c r="A1586">
        <f>Skills!A19</f>
        <v/>
      </c>
      <c r="B1586">
        <f>Skills!B19</f>
        <v/>
      </c>
      <c r="C1586">
        <f>Inputs!$B$3&gt;=15</f>
        <v/>
      </c>
      <c r="D1586">
        <f>IF(Skills!C19=1,60+Inputs!$B$25+Inputs!$B$29,IF(Skills!C19=2,90+Inputs!$B$26+Inputs!$B$29,IF(Skills!C19=3,120+Inputs!$B$27+Inputs!$B$29,MAX(0,(Inputs!$B$3-100)*3)+Inputs!$B$28+Inputs!$B$29)))</f>
        <v/>
      </c>
      <c r="E1586">
        <f>INDEX(FactorTable!$B$2:$Y$301, MATCH(ROUND(MIN(300,MAX(1,D1586)),0), FactorTable!$A$2:$A$301,0), Skills!M19+1)</f>
        <v/>
      </c>
      <c r="F1586">
        <f>IF(Skills!N19=TRUE,(Skills!L19/10)*(E1586/1000),Skills!L19/10)+Skills!O19</f>
        <v/>
      </c>
      <c r="G1586">
        <f>Skills!G19*IF(Skills!H19&gt;0,Skills!I19/Skills!H19,1)</f>
        <v/>
      </c>
      <c r="H1586">
        <f>1-(1-Skills!J19/100)^Skills!K19</f>
        <v/>
      </c>
      <c r="I1586" t="inlineStr">
        <is>
          <t>1</t>
        </is>
      </c>
      <c r="J1586" t="inlineStr"/>
      <c r="K1586" t="inlineStr"/>
      <c r="L1586" t="inlineStr"/>
      <c r="M1586" t="inlineStr"/>
      <c r="N1586" t="inlineStr"/>
      <c r="O1586">
        <f>(1-Summary!$B$11)*T1586+Summary!$B$11*V1586</f>
        <v/>
      </c>
      <c r="P1586">
        <f>IF(B1608=0,0,O1586/B1608)</f>
        <v/>
      </c>
      <c r="Q1586" t="n">
        <v>0</v>
      </c>
      <c r="R1586" t="n">
        <v>0</v>
      </c>
      <c r="S1586">
        <f>IFERROR(O1586/N1586,0)</f>
        <v/>
      </c>
      <c r="T1586" t="n">
        <v>0</v>
      </c>
      <c r="V1586" t="n">
        <v>0</v>
      </c>
    </row>
    <row r="1587">
      <c r="A1587">
        <f>Skills!A20</f>
        <v/>
      </c>
      <c r="B1587">
        <f>Skills!B20</f>
        <v/>
      </c>
      <c r="C1587">
        <f>Inputs!$B$3&gt;=10</f>
        <v/>
      </c>
      <c r="D1587">
        <f>IF(Skills!C20=1,60+Inputs!$B$25+Inputs!$B$29,IF(Skills!C20=2,90+Inputs!$B$26+Inputs!$B$29,IF(Skills!C20=3,120+Inputs!$B$27+Inputs!$B$29,MAX(0,(Inputs!$B$3-100)*3)+Inputs!$B$28+Inputs!$B$29)))</f>
        <v/>
      </c>
      <c r="E1587">
        <f>INDEX(FactorTable!$B$2:$Y$301, MATCH(ROUND(MIN(300,MAX(1,D1587)),0), FactorTable!$A$2:$A$301,0), Skills!M20+1)</f>
        <v/>
      </c>
      <c r="F1587">
        <f>IF(Skills!N20=TRUE,(Skills!L20/10)*(E1587/1000),Skills!L20/10)+Skills!O20</f>
        <v/>
      </c>
      <c r="G1587">
        <f>Skills!G20*IF(Skills!H20&gt;0,Skills!I20/Skills!H20,1)</f>
        <v/>
      </c>
      <c r="H1587">
        <f>1-(1-Skills!J20/100)^Skills!K20</f>
        <v/>
      </c>
      <c r="I1587" t="inlineStr">
        <is>
          <t>1</t>
        </is>
      </c>
      <c r="J1587" t="inlineStr"/>
      <c r="K1587" t="inlineStr"/>
      <c r="L1587" t="inlineStr"/>
      <c r="M1587" t="inlineStr"/>
      <c r="N1587" t="inlineStr"/>
      <c r="O1587">
        <f>(1-Summary!$B$11)*T1587+Summary!$B$11*V1587</f>
        <v/>
      </c>
      <c r="P1587">
        <f>IF(B1608=0,0,O1587/B1608)</f>
        <v/>
      </c>
      <c r="Q1587" t="n">
        <v>0</v>
      </c>
      <c r="R1587" t="n">
        <v>0</v>
      </c>
      <c r="S1587">
        <f>IFERROR(O1587/N1587,0)</f>
        <v/>
      </c>
      <c r="T1587" t="n">
        <v>0</v>
      </c>
      <c r="V1587" t="n">
        <v>0</v>
      </c>
    </row>
    <row r="1588">
      <c r="A1588">
        <f>Skills!A21</f>
        <v/>
      </c>
      <c r="B1588">
        <f>Skills!B21</f>
        <v/>
      </c>
      <c r="C1588">
        <f>Inputs!$B$3&gt;=33</f>
        <v/>
      </c>
      <c r="D1588">
        <f>IF(Skills!C21=1,60+Inputs!$B$25+Inputs!$B$29,IF(Skills!C21=2,90+Inputs!$B$26+Inputs!$B$29,IF(Skills!C21=3,120+Inputs!$B$27+Inputs!$B$29,MAX(0,(Inputs!$B$3-100)*3)+Inputs!$B$28+Inputs!$B$29)))</f>
        <v/>
      </c>
      <c r="E1588">
        <f>INDEX(FactorTable!$B$2:$Y$301, MATCH(ROUND(MIN(300,MAX(1,D1588)),0), FactorTable!$A$2:$A$301,0), Skills!M21+1)</f>
        <v/>
      </c>
      <c r="F1588">
        <f>IF(Skills!N21=TRUE,(Skills!L21/10)*(E1588/1000),Skills!L21/10)+Skills!O21</f>
        <v/>
      </c>
      <c r="G1588">
        <f>Skills!G21*IF(Skills!H21&gt;0,Skills!I21/Skills!H21,1)</f>
        <v/>
      </c>
      <c r="H1588">
        <f>1-(1-Skills!J21/100)^Skills!K21</f>
        <v/>
      </c>
      <c r="I1588" t="inlineStr">
        <is>
          <t>1</t>
        </is>
      </c>
      <c r="J1588" t="inlineStr"/>
      <c r="K1588" t="inlineStr"/>
      <c r="L1588" t="inlineStr"/>
      <c r="M1588" t="inlineStr"/>
      <c r="N1588" t="inlineStr"/>
      <c r="O1588">
        <f>(1-Summary!$B$11)*T1588+Summary!$B$11*V1588</f>
        <v/>
      </c>
      <c r="P1588">
        <f>IF(B1608=0,0,O1588/B1608)</f>
        <v/>
      </c>
      <c r="Q1588" t="n">
        <v>0</v>
      </c>
      <c r="R1588" t="n">
        <v>0</v>
      </c>
      <c r="S1588">
        <f>IFERROR(O1588/N1588,0)</f>
        <v/>
      </c>
      <c r="T1588" t="n">
        <v>0</v>
      </c>
      <c r="V1588" t="n">
        <v>0</v>
      </c>
    </row>
    <row r="1589">
      <c r="A1589">
        <f>Skills!A22</f>
        <v/>
      </c>
      <c r="B1589">
        <f>Skills!B22</f>
        <v/>
      </c>
      <c r="C1589">
        <f>Inputs!$B$3&gt;=43</f>
        <v/>
      </c>
      <c r="D1589">
        <f>IF(Skills!C22=1,60+Inputs!$B$25+Inputs!$B$29,IF(Skills!C22=2,90+Inputs!$B$26+Inputs!$B$29,IF(Skills!C22=3,120+Inputs!$B$27+Inputs!$B$29,MAX(0,(Inputs!$B$3-100)*3)+Inputs!$B$28+Inputs!$B$29)))</f>
        <v/>
      </c>
      <c r="E1589">
        <f>INDEX(FactorTable!$B$2:$Y$301, MATCH(ROUND(MIN(300,MAX(1,D1589)),0), FactorTable!$A$2:$A$301,0), Skills!M22+1)</f>
        <v/>
      </c>
      <c r="F1589">
        <f>IF(Skills!N22=TRUE,(Skills!L22/10)*(E1589/1000),Skills!L22/10)+Skills!O22</f>
        <v/>
      </c>
      <c r="G1589">
        <f>Skills!G22*IF(Skills!H22&gt;0,Skills!I22/Skills!H22,1)</f>
        <v/>
      </c>
      <c r="H1589">
        <f>1-(1-Skills!J22/100)^Skills!K22</f>
        <v/>
      </c>
      <c r="I1589" t="inlineStr">
        <is>
          <t>1</t>
        </is>
      </c>
      <c r="J1589" t="inlineStr"/>
      <c r="K1589" t="inlineStr"/>
      <c r="L1589" t="inlineStr"/>
      <c r="M1589" t="inlineStr"/>
      <c r="N1589" t="inlineStr"/>
      <c r="O1589">
        <f>(1-Summary!$B$11)*T1589+Summary!$B$11*V1589</f>
        <v/>
      </c>
      <c r="P1589">
        <f>IF(B1608=0,0,O1589/B1608)</f>
        <v/>
      </c>
      <c r="Q1589" t="n">
        <v>0</v>
      </c>
      <c r="R1589" t="n">
        <v>0</v>
      </c>
      <c r="S1589">
        <f>IFERROR(O1589/N1589,0)</f>
        <v/>
      </c>
      <c r="T1589" t="n">
        <v>0</v>
      </c>
      <c r="V1589" t="n">
        <v>0</v>
      </c>
    </row>
    <row r="1590">
      <c r="A1590">
        <f>Skills!A23</f>
        <v/>
      </c>
      <c r="B1590">
        <f>Skills!B23</f>
        <v/>
      </c>
      <c r="C1590">
        <f>Inputs!$B$3&gt;=38</f>
        <v/>
      </c>
      <c r="D1590">
        <f>IF(Skills!C23=1,60+Inputs!$B$25+Inputs!$B$29,IF(Skills!C23=2,90+Inputs!$B$26+Inputs!$B$29,IF(Skills!C23=3,120+Inputs!$B$27+Inputs!$B$29,MAX(0,(Inputs!$B$3-100)*3)+Inputs!$B$28+Inputs!$B$29)))</f>
        <v/>
      </c>
      <c r="E1590">
        <f>INDEX(FactorTable!$B$2:$Y$301, MATCH(ROUND(MIN(300,MAX(1,D1590)),0), FactorTable!$A$2:$A$301,0), Skills!M23+1)</f>
        <v/>
      </c>
      <c r="F1590">
        <f>IF(Skills!N23=TRUE,(Skills!L23/10)*(E1590/1000),Skills!L23/10)+Skills!O23</f>
        <v/>
      </c>
      <c r="G1590">
        <f>Skills!G23*IF(Skills!H23&gt;0,Skills!I23/Skills!H23,1)</f>
        <v/>
      </c>
      <c r="H1590">
        <f>1-(1-Skills!J23/100)^Skills!K23</f>
        <v/>
      </c>
      <c r="I1590" t="inlineStr">
        <is>
          <t>1</t>
        </is>
      </c>
      <c r="J1590" t="inlineStr"/>
      <c r="K1590" t="inlineStr"/>
      <c r="L1590" t="inlineStr"/>
      <c r="M1590" t="inlineStr"/>
      <c r="N1590" t="inlineStr"/>
      <c r="O1590">
        <f>(1-Summary!$B$11)*T1590+Summary!$B$11*V1590</f>
        <v/>
      </c>
      <c r="P1590">
        <f>IF(B1608=0,0,O1590/B1608)</f>
        <v/>
      </c>
      <c r="Q1590" t="n">
        <v>0</v>
      </c>
      <c r="R1590" t="n">
        <v>0</v>
      </c>
      <c r="S1590">
        <f>IFERROR(O1590/N1590,0)</f>
        <v/>
      </c>
      <c r="T1590" t="n">
        <v>0</v>
      </c>
      <c r="V1590" t="n">
        <v>0</v>
      </c>
    </row>
    <row r="1591">
      <c r="A1591">
        <f>Skills!A24</f>
        <v/>
      </c>
      <c r="B1591">
        <f>Skills!B24</f>
        <v/>
      </c>
      <c r="C1591">
        <f>Inputs!$B$3&gt;=40</f>
        <v/>
      </c>
      <c r="D1591">
        <f>IF(Skills!C24=1,60+Inputs!$B$25+Inputs!$B$29,IF(Skills!C24=2,90+Inputs!$B$26+Inputs!$B$29,IF(Skills!C24=3,120+Inputs!$B$27+Inputs!$B$29,MAX(0,(Inputs!$B$3-100)*3)+Inputs!$B$28+Inputs!$B$29)))</f>
        <v/>
      </c>
      <c r="E1591">
        <f>INDEX(FactorTable!$B$2:$Y$301, MATCH(ROUND(MIN(300,MAX(1,D1591)),0), FactorTable!$A$2:$A$301,0), Skills!M24+1)</f>
        <v/>
      </c>
      <c r="F1591">
        <f>IF(Skills!N24=TRUE,(Skills!L24/10)*(E1591/1000),Skills!L24/10)+Skills!O24</f>
        <v/>
      </c>
      <c r="G1591">
        <f>Skills!G24*IF(Skills!H24&gt;0,Skills!I24/Skills!H24,1)</f>
        <v/>
      </c>
      <c r="H1591">
        <f>1-(1-Skills!J24/100)^Skills!K24</f>
        <v/>
      </c>
      <c r="I1591" t="inlineStr">
        <is>
          <t>1</t>
        </is>
      </c>
      <c r="J1591" t="inlineStr"/>
      <c r="K1591" t="inlineStr"/>
      <c r="L1591" t="inlineStr"/>
      <c r="M1591" t="inlineStr"/>
      <c r="N1591" t="inlineStr"/>
      <c r="O1591">
        <f>(1-Summary!$B$11)*T1591+Summary!$B$11*V1591</f>
        <v/>
      </c>
      <c r="P1591">
        <f>IF(B1608=0,0,O1591/B1608)</f>
        <v/>
      </c>
      <c r="Q1591" t="n">
        <v>0</v>
      </c>
      <c r="R1591" t="n">
        <v>0</v>
      </c>
      <c r="S1591">
        <f>IFERROR(O1591/N1591,0)</f>
        <v/>
      </c>
      <c r="T1591" t="n">
        <v>0</v>
      </c>
      <c r="V1591" t="n">
        <v>0</v>
      </c>
    </row>
    <row r="1592">
      <c r="A1592">
        <f>Skills!A25</f>
        <v/>
      </c>
      <c r="B1592">
        <f>Skills!B25</f>
        <v/>
      </c>
      <c r="C1592">
        <f>Inputs!$B$3&gt;=72</f>
        <v/>
      </c>
      <c r="D1592">
        <f>IF(Skills!C25=1,60+Inputs!$B$25+Inputs!$B$29,IF(Skills!C25=2,90+Inputs!$B$26+Inputs!$B$29,IF(Skills!C25=3,120+Inputs!$B$27+Inputs!$B$29,MAX(0,(Inputs!$B$3-100)*3)+Inputs!$B$28+Inputs!$B$29)))</f>
        <v/>
      </c>
      <c r="E1592">
        <f>INDEX(FactorTable!$B$2:$Y$301, MATCH(ROUND(MIN(300,MAX(1,D1592)),0), FactorTable!$A$2:$A$301,0), Skills!M25+1)</f>
        <v/>
      </c>
      <c r="F1592">
        <f>IF(Skills!N25=TRUE,(Skills!L25/10)*(E1592/1000),Skills!L25/10)+Skills!O25</f>
        <v/>
      </c>
      <c r="G1592">
        <f>Skills!G25*IF(Skills!H25&gt;0,Skills!I25/Skills!H25,1)</f>
        <v/>
      </c>
      <c r="H1592">
        <f>1-(1-Skills!J25/100)^Skills!K25</f>
        <v/>
      </c>
      <c r="I1592" t="inlineStr">
        <is>
          <t>1</t>
        </is>
      </c>
      <c r="J1592" t="inlineStr"/>
      <c r="K1592" t="inlineStr"/>
      <c r="L1592" t="inlineStr"/>
      <c r="M1592" t="inlineStr"/>
      <c r="N1592" t="inlineStr"/>
      <c r="O1592">
        <f>(1-Summary!$B$11)*T1592+Summary!$B$11*V1592</f>
        <v/>
      </c>
      <c r="P1592">
        <f>IF(B1608=0,0,O1592/B1608)</f>
        <v/>
      </c>
      <c r="Q1592" t="n">
        <v>0</v>
      </c>
      <c r="R1592" t="n">
        <v>0</v>
      </c>
      <c r="S1592">
        <f>IFERROR(O1592/N1592,0)</f>
        <v/>
      </c>
      <c r="T1592" t="n">
        <v>0</v>
      </c>
      <c r="V1592" t="n">
        <v>0</v>
      </c>
    </row>
    <row r="1593">
      <c r="A1593">
        <f>Skills!A26</f>
        <v/>
      </c>
      <c r="B1593">
        <f>Skills!B26</f>
        <v/>
      </c>
      <c r="C1593">
        <f>Inputs!$B$3&gt;=75</f>
        <v/>
      </c>
      <c r="D1593">
        <f>IF(Skills!C26=1,60+Inputs!$B$25+Inputs!$B$29,IF(Skills!C26=2,90+Inputs!$B$26+Inputs!$B$29,IF(Skills!C26=3,120+Inputs!$B$27+Inputs!$B$29,MAX(0,(Inputs!$B$3-100)*3)+Inputs!$B$28+Inputs!$B$29)))</f>
        <v/>
      </c>
      <c r="E1593">
        <f>INDEX(FactorTable!$B$2:$Y$301, MATCH(ROUND(MIN(300,MAX(1,D1593)),0), FactorTable!$A$2:$A$301,0), Skills!M26+1)</f>
        <v/>
      </c>
      <c r="F1593">
        <f>IF(Skills!N26=TRUE,(Skills!L26/10)*(E1593/1000),Skills!L26/10)+Skills!O26</f>
        <v/>
      </c>
      <c r="G1593">
        <f>Skills!G26*IF(Skills!H26&gt;0,Skills!I26/Skills!H26,1)</f>
        <v/>
      </c>
      <c r="H1593">
        <f>1-(1-Skills!J26/100)^Skills!K26</f>
        <v/>
      </c>
      <c r="I1593" t="inlineStr">
        <is>
          <t>1</t>
        </is>
      </c>
      <c r="J1593" t="inlineStr"/>
      <c r="K1593" t="inlineStr"/>
      <c r="L1593" t="inlineStr"/>
      <c r="M1593" t="inlineStr"/>
      <c r="N1593" t="inlineStr"/>
      <c r="O1593">
        <f>(1-Summary!$B$11)*T1593+Summary!$B$11*V1593</f>
        <v/>
      </c>
      <c r="P1593">
        <f>IF(B1608=0,0,O1593/B1608)</f>
        <v/>
      </c>
      <c r="Q1593" t="n">
        <v>0</v>
      </c>
      <c r="R1593" t="n">
        <v>0</v>
      </c>
      <c r="S1593">
        <f>IFERROR(O1593/N1593,0)</f>
        <v/>
      </c>
      <c r="T1593" t="n">
        <v>0</v>
      </c>
      <c r="V1593" t="n">
        <v>0</v>
      </c>
    </row>
    <row r="1594">
      <c r="A1594">
        <f>Skills!A27</f>
        <v/>
      </c>
      <c r="B1594">
        <f>Skills!B27</f>
        <v/>
      </c>
      <c r="C1594">
        <f>Inputs!$B$3&gt;=117</f>
        <v/>
      </c>
      <c r="D1594">
        <f>IF(Skills!C27=1,60+Inputs!$B$25+Inputs!$B$29,IF(Skills!C27=2,90+Inputs!$B$26+Inputs!$B$29,IF(Skills!C27=3,120+Inputs!$B$27+Inputs!$B$29,MAX(0,(Inputs!$B$3-100)*3)+Inputs!$B$28+Inputs!$B$29)))</f>
        <v/>
      </c>
      <c r="E1594">
        <f>INDEX(FactorTable!$B$2:$Y$301, MATCH(ROUND(MIN(300,MAX(1,D1594)),0), FactorTable!$A$2:$A$301,0), Skills!M27+1)</f>
        <v/>
      </c>
      <c r="F1594">
        <f>IF(Skills!N27=TRUE,(Skills!L27/10)*(E1594/1000),Skills!L27/10)+Skills!O27</f>
        <v/>
      </c>
      <c r="G1594">
        <f>Skills!G27*IF(Skills!H27&gt;0,Skills!I27/Skills!H27,1)</f>
        <v/>
      </c>
      <c r="H1594">
        <f>1-(1-Skills!J27/100)^Skills!K27</f>
        <v/>
      </c>
      <c r="I1594" t="inlineStr">
        <is>
          <t>1</t>
        </is>
      </c>
      <c r="J1594" t="inlineStr"/>
      <c r="K1594" t="inlineStr"/>
      <c r="L1594" t="inlineStr"/>
      <c r="M1594" t="inlineStr"/>
      <c r="N1594" t="inlineStr"/>
      <c r="O1594">
        <f>(1-Summary!$B$11)*T1594+Summary!$B$11*V1594</f>
        <v/>
      </c>
      <c r="P1594">
        <f>IF(B1608=0,0,O1594/B1608)</f>
        <v/>
      </c>
      <c r="Q1594" t="n">
        <v>0</v>
      </c>
      <c r="R1594" t="n">
        <v>0</v>
      </c>
      <c r="S1594">
        <f>IFERROR(O1594/N1594,0)</f>
        <v/>
      </c>
      <c r="T1594" t="n">
        <v>0</v>
      </c>
      <c r="V1594" t="n">
        <v>0</v>
      </c>
    </row>
    <row r="1595">
      <c r="A1595">
        <f>Skills!A28</f>
        <v/>
      </c>
      <c r="B1595">
        <f>Skills!B28</f>
        <v/>
      </c>
      <c r="C1595">
        <f>TRUE</f>
        <v/>
      </c>
      <c r="D1595">
        <f>IF(Skills!C28=1,60+Inputs!$B$25+Inputs!$B$29,IF(Skills!C28=2,90+Inputs!$B$26+Inputs!$B$29,IF(Skills!C28=3,120+Inputs!$B$27+Inputs!$B$29,MAX(0,(Inputs!$B$3-100)*3)+Inputs!$B$28+Inputs!$B$29)))</f>
        <v/>
      </c>
      <c r="E1595">
        <f>INDEX(FactorTable!$B$2:$Y$301, MATCH(ROUND(MIN(300,MAX(1,D1595)),0), FactorTable!$A$2:$A$301,0), Skills!M28+1)</f>
        <v/>
      </c>
      <c r="F1595">
        <f>IF(Skills!N28=TRUE,(Skills!L28/10)*(E1595/1000),Skills!L28/10)+Skills!O28</f>
        <v/>
      </c>
      <c r="G1595">
        <f>Skills!G28*IF(Skills!H28&gt;0,Skills!I28/Skills!H28,1)</f>
        <v/>
      </c>
      <c r="H1595">
        <f>1-(1-Skills!J28/100)^Skills!K28</f>
        <v/>
      </c>
      <c r="I1595" t="inlineStr">
        <is>
          <t>1</t>
        </is>
      </c>
      <c r="J1595" t="inlineStr"/>
      <c r="K1595" t="inlineStr"/>
      <c r="L1595" t="inlineStr"/>
      <c r="M1595" t="inlineStr"/>
      <c r="N1595" t="inlineStr"/>
      <c r="O1595">
        <f>(1-Summary!$B$11)*T1595+Summary!$B$11*V1595</f>
        <v/>
      </c>
      <c r="P1595">
        <f>IF(B1608=0,0,O1595/B1608)</f>
        <v/>
      </c>
      <c r="Q1595">
        <f>IFERROR(1/(IF(Inputs!$B$38="pvp",15,MAX(0.1,Skills!D28-IF(Skills!E28=TRUE,Inputs!$B$32,0)))*(1-IF(AND(ArtifactsInput!$M$27,Inputs!$B$4="Chapter Hunt"),CHOOSE(ArtifactsInput!$N$27+1,20,24,28,32,36,40),0)/100)),0)</f>
        <v/>
      </c>
      <c r="R1595">
        <f>IF(AND(Inputs!$B$38&lt;&gt;"pvp",Inputs!$B$43&gt;0),IF(Inputs!$B$43&lt;=0,0,(INT(Inputs!$B$43/(IF(Inputs!$B$38="pvp",15,MAX(0.1,Skills!D28-IF(Skills!E28=TRUE,Inputs!$B$32,0)))*(1-IF(AND(ArtifactsInput!$M$27,Inputs!$B$4="Chapter Hunt"),CHOOSE(ArtifactsInput!$N$27+1,20,24,28,32,36,40),0)/100)))+1)),0)</f>
        <v/>
      </c>
      <c r="S1595">
        <f>IFERROR(O1595/N1595,0)</f>
        <v/>
      </c>
      <c r="T1595" t="n">
        <v>0</v>
      </c>
      <c r="V1595" t="n">
        <v>0</v>
      </c>
    </row>
    <row r="1597">
      <c r="A1597" t="inlineStr">
        <is>
          <t>Attack% Bucket Multiplier</t>
        </is>
      </c>
      <c r="B1597">
        <f>(1+(((C1584=TRUE)*F1584*5/7)+((C1591=TRUE)*(F1591-Calc!F24))+(IF(ArtifactsInput!$M$21,CHOOSE(ArtifactsInput!$N$21+1,25,30,35,40,45,50)*(IF(OR(Inputs!$B$4="Chapter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98">
      <c r="A1598" t="inlineStr">
        <is>
          <t>Global Crit Rate Bonus %</t>
        </is>
      </c>
      <c r="B1598" t="n">
        <v>0</v>
      </c>
    </row>
    <row r="1599">
      <c r="A1599" t="inlineStr">
        <is>
          <t>Attack Speed Buff Bonus % (Nimble Feet, duty-cycle averaged)</t>
        </is>
      </c>
      <c r="B1599">
        <f>((C1595=TRUE)*F1595*IF(AND(Inputs!$B$38&lt;&gt;"pvp",Inputs!$B$43&gt;0),(((R1595-1)*(Skills!T28*(1+Inputs!$B$34/100))+MIN((Skills!T28*(1+Inputs!$B$34/100)),MAX(0,Inputs!$B$43-((R1595-1)*Skills!D28))))/Inputs!$B$43),IF(Inputs!$B$38="pvp",MIN((Skills!T28*(1+Inputs!$B$34/100)),15)/15,(Skills!T28*(1+Inputs!$B$34/100))/Skills!D28)))</f>
        <v/>
      </c>
    </row>
    <row r="1600">
      <c r="A1600" t="inlineStr">
        <is>
          <t>Actions Per Second</t>
        </is>
      </c>
      <c r="B1600">
        <f>1+MIN(150,150*(1-(1-(Inputs!$B$11+((C1587=TRUE)*(F1587-Calc!F20))+((C1588=TRUE)*(F1588-Calc!F21)))/150)*(1-B1599/150)))/100</f>
        <v/>
      </c>
    </row>
    <row r="1601">
      <c r="A1601" t="inlineStr">
        <is>
          <t>Skill + Buff Cast Rate</t>
        </is>
      </c>
      <c r="B1601">
        <f>IF(AND(Inputs!$B$38&lt;&gt;"pvp",Inputs!$B$43&gt;0),SUMPRODUCT((Skills!E2:E28=TRUE)*(C1569:C1595=TRUE)*R1569:R1595*Skills!F2:F28)/Inputs!$B$43,SUMPRODUCT((Skills!E2:E28=TRUE)*(C1569:C1595=TRUE)*Q1569:Q1595*Skills!F2:F28))</f>
        <v/>
      </c>
    </row>
    <row r="1602">
      <c r="A1602" t="inlineStr">
        <is>
          <t>Eight-Legs Easton Casts Per Second</t>
        </is>
      </c>
      <c r="B1602">
        <f>MAX(0,B1600-B1601)</f>
        <v/>
      </c>
    </row>
    <row r="1603">
      <c r="A1603" t="inlineStr">
        <is>
          <t>Global Critical Damage Bonus % (unused)</t>
        </is>
      </c>
      <c r="B1603" t="n">
        <v>0</v>
      </c>
    </row>
    <row r="1604">
      <c r="A1604" t="inlineStr">
        <is>
          <t>Global Final Damage Bonus % (Jolly Roger + Ahoy Mateys - Final Damage proc)</t>
        </is>
      </c>
      <c r="B1604">
        <f>((C1585=TRUE)*F1585*IF(AND(Inputs!$B$38&lt;&gt;"pvp",Inputs!$B$43&gt;0),(((R1585-1)*(Skills!T18*(1+Inputs!$B$34/100))+MIN((Skills!T18*(1+Inputs!$B$34/100)),MAX(0,Inputs!$B$43-((R1585-1)*Skills!D18))))/Inputs!$B$43),IF(Inputs!$B$38="pvp",MIN((Skills!T18*(1+Inputs!$B$34/100)),15)/15,(Skills!T18*(1+Inputs!$B$34/100))/Skills!D18)))+IF(Inputs!$B$3&gt;=122,20*IF(Inputs!$B$38="pvp",MIN((20*(1+Inputs!$B$34/100)),15)/15,(20*(1+Inputs!$B$34/100))/Skills!D4),0)</f>
        <v/>
      </c>
    </row>
    <row r="1605">
      <c r="A1605" t="inlineStr">
        <is>
          <t>Buff-Casting Startup Delay (s, fixed-duration only)</t>
        </is>
      </c>
      <c r="B1605">
        <f>IF(AND(Inputs!$B$38&lt;&gt;"pvp",Inputs!$B$43&gt;0),SUMPRODUCT((Skills!T2:T28&gt;0)*(Skills!E2:E28=TRUE)*(C1569:C1595=TRUE))/B1600,0)</f>
        <v/>
      </c>
    </row>
    <row r="1606">
      <c r="A1606" t="inlineStr">
        <is>
          <t>Boss-Only Total DPS (this block's swept value)</t>
        </is>
      </c>
      <c r="B1606">
        <f>SUM(T1569:T1595)</f>
        <v/>
      </c>
    </row>
    <row r="1607">
      <c r="A1607" t="inlineStr">
        <is>
          <t>Normal-Only Total DPS (this block's swept value)</t>
        </is>
      </c>
      <c r="B1607">
        <f>SUM(V1569:V1595)</f>
        <v/>
      </c>
    </row>
    <row r="1608">
      <c r="A1608" s="6" t="inlineStr">
        <is>
          <t>TOTAL DPS</t>
        </is>
      </c>
      <c r="B1608" s="6">
        <f>SUM(O1569:O1595)</f>
        <v/>
      </c>
    </row>
    <row r="1611">
      <c r="A1611" s="6" t="inlineStr">
        <is>
          <t>Stat: Athena Pierce's Old Gloves (Equip)</t>
        </is>
      </c>
    </row>
    <row r="1612">
      <c r="A1612" s="5" t="inlineStr">
        <is>
          <t>Key</t>
        </is>
      </c>
      <c r="B1612" s="5" t="inlineStr">
        <is>
          <t>Name</t>
        </is>
      </c>
      <c r="C1612" s="5" t="inlineStr">
        <is>
          <t>Unlocked</t>
        </is>
      </c>
      <c r="D1612" s="5" t="inlineStr">
        <is>
          <t>InputLevel</t>
        </is>
      </c>
      <c r="E1612" s="5" t="inlineStr">
        <is>
          <t>Factor</t>
        </is>
      </c>
      <c r="F1612" s="5" t="inlineStr">
        <is>
          <t>CoefficientPercent</t>
        </is>
      </c>
      <c r="G1612" s="5" t="inlineStr">
        <is>
          <t>EffectiveHits</t>
        </is>
      </c>
      <c r="H1612" s="5" t="inlineStr">
        <is>
          <t>ProcProbability</t>
        </is>
      </c>
      <c r="I1612" s="5" t="inlineStr">
        <is>
          <t>MapleHeroMultiplier</t>
        </is>
      </c>
      <c r="J1612" s="5" t="inlineStr">
        <is>
          <t>BaseDamage</t>
        </is>
      </c>
      <c r="K1612" s="5" t="inlineStr">
        <is>
          <t>BaseHitDamage</t>
        </is>
      </c>
      <c r="L1612" s="5" t="inlineStr">
        <is>
          <t>NonCritAvg</t>
        </is>
      </c>
      <c r="M1612" s="5" t="inlineStr">
        <is>
          <t>CritAvg</t>
        </is>
      </c>
      <c r="N1612" s="5" t="inlineStr">
        <is>
          <t>ExpectedDamage(perHit)</t>
        </is>
      </c>
      <c r="O1612" s="5" t="inlineStr">
        <is>
          <t>DPS</t>
        </is>
      </c>
      <c r="P1612" s="5" t="inlineStr">
        <is>
          <t>% of Total</t>
        </is>
      </c>
      <c r="Q1612" s="5" t="inlineStr">
        <is>
          <t>InvCooldown</t>
        </is>
      </c>
      <c r="R1612" s="5" t="inlineStr">
        <is>
          <t>CastsInFight</t>
        </is>
      </c>
      <c r="S1612" s="5" t="inlineStr">
        <is>
          <t>HitRate(perSec)</t>
        </is>
      </c>
      <c r="U1612" t="inlineStr">
        <is>
          <t>helpers</t>
        </is>
      </c>
    </row>
    <row r="1613">
      <c r="A1613">
        <f>Skills!A2</f>
        <v/>
      </c>
      <c r="B1613">
        <f>Skills!B2</f>
        <v/>
      </c>
      <c r="C1613">
        <f>Inputs!$B$3&gt;=100</f>
        <v/>
      </c>
      <c r="D1613" t="inlineStr"/>
      <c r="E1613" t="inlineStr"/>
      <c r="F1613">
        <f>U1615+Skills!O2</f>
        <v/>
      </c>
      <c r="G1613">
        <f>Skills!G2*IF(Skills!H2&gt;0,Skills!I2/Skills!H2,1)</f>
        <v/>
      </c>
      <c r="H1613">
        <f>1-(1-Skills!J2/100)^Skills!K2</f>
        <v/>
      </c>
      <c r="I1613" t="inlineStr">
        <is>
          <t>1</t>
        </is>
      </c>
      <c r="J1613">
        <f>((Inputs!$B$6*(1+Inputs!$B$7/100))+(((Inputs!$B$12*(1+Inputs!$B$13/100))-(Inputs!$B$12*(1+Inputs!$B$13/100)))+0.25*(Inputs!$B$14-Inputs!$B$14))*(1+Inputs!$B$7/100))*(F1613/100)</f>
        <v/>
      </c>
      <c r="K1613">
        <f>J1613*(1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1613)</f>
        <v/>
      </c>
      <c r="L1613">
        <f>K1613*(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13">
        <f>L1613*(1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3">
        <f>L1613*(1-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1613*(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3">
        <f>(1-Summary!$B$11)*T1613+Summary!$B$11*V1613</f>
        <v/>
      </c>
      <c r="P1613">
        <f>IF(B1652=0,0,O1613/B1652)</f>
        <v/>
      </c>
      <c r="Q1613" t="n">
        <v>0</v>
      </c>
      <c r="R1613" t="n">
        <v>0</v>
      </c>
      <c r="S1613">
        <f>IFERROR(O1613/N1613,0)</f>
        <v/>
      </c>
      <c r="T1613">
        <f>IF(C1613,(Skills!G2*N1613*B1646)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1613*(1-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1613*(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1613*(1-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1613*(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3">
        <f>MAX(0,(Inputs!$B$3-100)*3)+Inputs!$B$28+Inputs!$B$29</f>
        <v/>
      </c>
      <c r="V1613">
        <f>IF(C1613,(Skills!G2*N1613*B1646)*IF(Inputs!$B$38="pvp",1,(1+(Inputs!$B$21+Skills!Q2+(IF(ArtifactsInput!$M$33,CHOOSE(ArtifactsInput!$N$33+1,30,36,42,48,54,60),0))+(IF(AND(ArtifactsInput!$M$35,Inputs!$B$4&lt;&gt;"Chapter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4">
      <c r="A1614">
        <f>Skills!A3</f>
        <v/>
      </c>
      <c r="B1614">
        <f>Skills!B3</f>
        <v/>
      </c>
      <c r="C1614">
        <f>Inputs!$B$3&gt;=35</f>
        <v/>
      </c>
      <c r="D1614">
        <f>IF(Skills!C3=1,60+Inputs!$B$25+Inputs!$B$29,IF(Skills!C3=2,90+Inputs!$B$26+Inputs!$B$29,IF(Skills!C3=3,120+Inputs!$B$27+Inputs!$B$29,MAX(0,(Inputs!$B$3-100)*3)+Inputs!$B$28+Inputs!$B$29)))</f>
        <v/>
      </c>
      <c r="E1614">
        <f>INDEX(FactorTable!$B$2:$Y$301, MATCH(ROUND(MIN(300,MAX(1,D1614)),0), FactorTable!$A$2:$A$301,0), Skills!M3+1)</f>
        <v/>
      </c>
      <c r="F1614">
        <f>IF(Skills!N3=TRUE,(Skills!L3/10)*(E1614/1000),Skills!L3/10)+Skills!O3</f>
        <v/>
      </c>
      <c r="G1614">
        <f>Skills!G3*IF(Skills!H3&gt;0,Skills!I3/Skills!H3,1)</f>
        <v/>
      </c>
      <c r="H1614">
        <f>1-(1-Skills!J3/100)^Skills!K3</f>
        <v/>
      </c>
      <c r="I1614" t="inlineStr">
        <is>
          <t>1</t>
        </is>
      </c>
      <c r="J1614">
        <f>((Inputs!$B$6*(1+Inputs!$B$7/100))+(((Inputs!$B$12*(1+Inputs!$B$13/100))-(Inputs!$B$12*(1+Inputs!$B$13/100)))+0.25*(Inputs!$B$14-Inputs!$B$14))*(1+Inputs!$B$7/100))*(F1614/100)</f>
        <v/>
      </c>
      <c r="K1614">
        <f>J1614*(1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1626=TRUE,F1626,0)/100)*(1+(IF(Skills!A3="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1614)</f>
        <v/>
      </c>
      <c r="L1614">
        <f>K1614*(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14">
        <f>L1614*(1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4">
        <f>L1614*(1-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1614*(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4">
        <f>(1-Summary!$B$11)*T1614+Summary!$B$11*V1614</f>
        <v/>
      </c>
      <c r="P1614">
        <f>IF(B1652=0,0,O1614/B1652)</f>
        <v/>
      </c>
      <c r="Q1614">
        <f>IFERROR(1/(IF(Inputs!$B$38="pvp",15,MAX(0.1,Skills!D3-IF(Skills!E3=TRUE,Inputs!$B$32,0)))*(1-IF(AND(ArtifactsInput!$M$27,Inputs!$B$4="Chapter Hunt"),CHOOSE(ArtifactsInput!$N$27+1,20,24,28,32,36,40),0)/100)),0)</f>
        <v/>
      </c>
      <c r="R1614">
        <f>IF(AND(Inputs!$B$38&lt;&gt;"pvp",Inputs!$B$43&gt;0),IF(MAX(0,Inputs!$B$43-B1649)&lt;=0,0,(INT(MAX(0,Inputs!$B$43-B1649)/(IF(Inputs!$B$38="pvp",15,MAX(0.1,Skills!D3-IF(Skills!E3=TRUE,Inputs!$B$32,0)))*(1-IF(AND(ArtifactsInput!$M$27,Inputs!$B$4="Chapter Hunt"),CHOOSE(ArtifactsInput!$N$27+1,20,24,28,32,36,40),0)/100)))+1)),0)</f>
        <v/>
      </c>
      <c r="S1614">
        <f>IFERROR(O1614/N1614,0)</f>
        <v/>
      </c>
      <c r="T1614">
        <f>IF(C1614,(H1614*N1614*IF(AND(Inputs!$B$38&lt;&gt;"pvp",Inputs!$B$43&gt;0),((Skills!G3*((R1614-1)*IF(Skills!H3&gt;0,Skills!I3/Skills!H3,1)+IF(Skills!H3&gt;0,MIN(Skills!I3,MAX(0,MAX(0,Inputs!$B$43-B1649)-((R1614-1)*(IF(Inputs!$B$38="pvp",15,MAX(0.1,Skills!D3-IF(Skills!E3=TRUE,Inputs!$B$32,0)))*(1-IF(AND(ArtifactsInput!$M$27,Inputs!$B$4="Chapter Hunt"),CHOOSE(ArtifactsInput!$N$27+1,20,24,28,32,36,40),0)/100)))))/Skills!H3,1)))/Inputs!$B$43),G1614*Q1614)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1614*(1-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1614*(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1614*(1-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1614*(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4">
        <f>INDEX(FactorTable!$B$2:$Y$301, MATCH(ROUND(MIN(300,MAX(1,U1613)),0), FactorTable!$A$2:$A$301,0), 22)</f>
        <v/>
      </c>
      <c r="V1614">
        <f>IF(C1614,(H1614*N1614*IF(AND(Inputs!$B$38&lt;&gt;"pvp",Inputs!$B$43&gt;0),((Skills!G3*((R1614-1)*IF(Skills!H3&gt;0,Skills!I3/Skills!H3,1)+IF(Skills!H3&gt;0,MIN(Skills!I3,MAX(0,MAX(0,Inputs!$B$43-B1649)-((R1614-1)*(IF(Inputs!$B$38="pvp",15,MAX(0.1,Skills!D3-IF(Skills!E3=TRUE,Inputs!$B$32,0)))*(1-IF(AND(ArtifactsInput!$M$27,Inputs!$B$4="Chapter Hunt"),CHOOSE(ArtifactsInput!$N$27+1,20,24,28,32,36,40),0)/100)))))/Skills!H3,1)))/Inputs!$B$43),G1614*Q1614))*IF(Inputs!$B$38="pvp",1,(1+(Inputs!$B$21+Skills!Q3+(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5">
      <c r="A1615">
        <f>Skills!A4</f>
        <v/>
      </c>
      <c r="B1615">
        <f>Skills!B4</f>
        <v/>
      </c>
      <c r="C1615">
        <f>Inputs!$B$3&gt;=40</f>
        <v/>
      </c>
      <c r="D1615">
        <f>IF(Skills!C4=1,60+Inputs!$B$25+Inputs!$B$29,IF(Skills!C4=2,90+Inputs!$B$26+Inputs!$B$29,IF(Skills!C4=3,120+Inputs!$B$27+Inputs!$B$29,MAX(0,(Inputs!$B$3-100)*3)+Inputs!$B$28+Inputs!$B$29)))</f>
        <v/>
      </c>
      <c r="E1615">
        <f>INDEX(FactorTable!$B$2:$Y$301, MATCH(ROUND(MIN(300,MAX(1,D1615)),0), FactorTable!$A$2:$A$301,0), Skills!M4+1)</f>
        <v/>
      </c>
      <c r="F1615">
        <f>IF(Skills!N4=TRUE,(Skills!L4/10)*(E1615/1000),Skills!L4/10)+Skills!O4</f>
        <v/>
      </c>
      <c r="G1615">
        <f>Skills!G4*IF(Skills!H4&gt;0,Skills!I4/Skills!H4,1)</f>
        <v/>
      </c>
      <c r="H1615">
        <f>1-(1-Skills!J4/100)^Skills!K4</f>
        <v/>
      </c>
      <c r="I1615" t="inlineStr">
        <is>
          <t>1</t>
        </is>
      </c>
      <c r="J1615">
        <f>((Inputs!$B$6*(1+Inputs!$B$7/100))+(((Inputs!$B$12*(1+Inputs!$B$13/100))-(Inputs!$B$12*(1+Inputs!$B$13/100)))+0.25*(Inputs!$B$14-Inputs!$B$14))*(1+Inputs!$B$7/100))*(F1615/100)</f>
        <v/>
      </c>
      <c r="K1615">
        <f>J1615*(1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1627=TRUE,F1627,0)/100)*(1+(IF(Skills!A4="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1615)</f>
        <v/>
      </c>
      <c r="L1615">
        <f>K1615*(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15">
        <f>L1615*(1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5">
        <f>L1615*(1-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1615*(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5">
        <f>(1-Summary!$B$11)*T1615+Summary!$B$11*V1615</f>
        <v/>
      </c>
      <c r="P1615">
        <f>IF(B1652=0,0,O1615/B1652)</f>
        <v/>
      </c>
      <c r="Q1615">
        <f>IFERROR(1/(IF(Inputs!$B$38="pvp",15,MAX(0.1,Skills!D4-IF(Skills!E4=TRUE,Inputs!$B$32,0)))*(1-IF(AND(ArtifactsInput!$M$27,Inputs!$B$4="Chapter Hunt"),CHOOSE(ArtifactsInput!$N$27+1,20,24,28,32,36,40),0)/100)),0)</f>
        <v/>
      </c>
      <c r="R1615">
        <f>IF(AND(Inputs!$B$38&lt;&gt;"pvp",Inputs!$B$43&gt;0),IF(MAX(0,Inputs!$B$43-B1649)&lt;=0,0,(INT(MAX(0,Inputs!$B$43-B1649)/(IF(Inputs!$B$38="pvp",15,MAX(0.1,Skills!D4-IF(Skills!E4=TRUE,Inputs!$B$32,0)))*(1-IF(AND(ArtifactsInput!$M$27,Inputs!$B$4="Chapter Hunt"),CHOOSE(ArtifactsInput!$N$27+1,20,24,28,32,36,40),0)/100)))+1)),0)</f>
        <v/>
      </c>
      <c r="S1615">
        <f>IFERROR(O1615/N1615,0)</f>
        <v/>
      </c>
      <c r="T1615">
        <f>IF(C1615,(H1615*N1615*IF(AND(Inputs!$B$38&lt;&gt;"pvp",Inputs!$B$43&gt;0),((Skills!G4*((R1615-1)*IF(Skills!H4&gt;0,Skills!I4/Skills!H4,1)+IF(Skills!H4&gt;0,MIN(Skills!I4,MAX(0,MAX(0,Inputs!$B$43-B1649)-((R1615-1)*(IF(Inputs!$B$38="pvp",15,MAX(0.1,Skills!D4-IF(Skills!E4=TRUE,Inputs!$B$32,0)))*(1-IF(AND(ArtifactsInput!$M$27,Inputs!$B$4="Chapter Hunt"),CHOOSE(ArtifactsInput!$N$27+1,20,24,28,32,36,40),0)/100)))))/Skills!H4,1)))/Inputs!$B$43),G1615*Q1615)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1615*(1-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1615*(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1615*(1-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1615*(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5">
        <f>290*U1614/1000</f>
        <v/>
      </c>
      <c r="V1615">
        <f>IF(C1615,(H1615*N1615*IF(AND(Inputs!$B$38&lt;&gt;"pvp",Inputs!$B$43&gt;0),((Skills!G4*((R1615-1)*IF(Skills!H4&gt;0,Skills!I4/Skills!H4,1)+IF(Skills!H4&gt;0,MIN(Skills!I4,MAX(0,MAX(0,Inputs!$B$43-B1649)-((R1615-1)*(IF(Inputs!$B$38="pvp",15,MAX(0.1,Skills!D4-IF(Skills!E4=TRUE,Inputs!$B$32,0)))*(1-IF(AND(ArtifactsInput!$M$27,Inputs!$B$4="Chapter Hunt"),CHOOSE(ArtifactsInput!$N$27+1,20,24,28,32,36,40),0)/100)))))/Skills!H4,1)))/Inputs!$B$43),G1615*Q1615))*IF(Inputs!$B$38="pvp",1,(1+(Inputs!$B$21+Skills!Q4+(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6">
      <c r="A1616">
        <f>Skills!A5</f>
        <v/>
      </c>
      <c r="B1616">
        <f>Skills!B5</f>
        <v/>
      </c>
      <c r="C1616">
        <f>Inputs!$B$3&gt;=45</f>
        <v/>
      </c>
      <c r="D1616">
        <f>IF(Skills!C5=1,60+Inputs!$B$25+Inputs!$B$29,IF(Skills!C5=2,90+Inputs!$B$26+Inputs!$B$29,IF(Skills!C5=3,120+Inputs!$B$27+Inputs!$B$29,MAX(0,(Inputs!$B$3-100)*3)+Inputs!$B$28+Inputs!$B$29)))</f>
        <v/>
      </c>
      <c r="E1616">
        <f>INDEX(FactorTable!$B$2:$Y$301, MATCH(ROUND(MIN(300,MAX(1,D1616)),0), FactorTable!$A$2:$A$301,0), Skills!M5+1)</f>
        <v/>
      </c>
      <c r="F1616">
        <f>IF(Skills!N5=TRUE,(Skills!L5/10)*(E1616/1000),Skills!L5/10)+Skills!O5</f>
        <v/>
      </c>
      <c r="G1616">
        <f>Skills!G5*IF(Skills!H5&gt;0,Skills!I5/Skills!H5,1)</f>
        <v/>
      </c>
      <c r="H1616">
        <f>1-(1-Skills!J5/100)^Skills!K5</f>
        <v/>
      </c>
      <c r="I1616" t="inlineStr">
        <is>
          <t>1</t>
        </is>
      </c>
      <c r="J1616">
        <f>((Inputs!$B$6*(1+Inputs!$B$7/100))+(((Inputs!$B$12*(1+Inputs!$B$13/100))-(Inputs!$B$12*(1+Inputs!$B$13/100)))+0.25*(Inputs!$B$14-Inputs!$B$14))*(1+Inputs!$B$7/100))*(F1616/100)</f>
        <v/>
      </c>
      <c r="K1616">
        <f>J1616*(1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1627=TRUE,F1627,0)/100)*(1+(IF(Skills!A5="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1616)</f>
        <v/>
      </c>
      <c r="L1616">
        <f>K1616*(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16">
        <f>L1616*(1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6">
        <f>L1616*(1-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1616*(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6">
        <f>(1-Summary!$B$11)*T1616+Summary!$B$11*V1616</f>
        <v/>
      </c>
      <c r="P1616">
        <f>IF(B1652=0,0,O1616/B1652)</f>
        <v/>
      </c>
      <c r="Q1616">
        <f>IFERROR(1/(IF(Inputs!$B$38="pvp",15,MAX(0.1,Skills!D5-IF(Skills!E5=TRUE,Inputs!$B$32,0)))*(1-IF(AND(ArtifactsInput!$M$27,Inputs!$B$4="Chapter Hunt"),CHOOSE(ArtifactsInput!$N$27+1,20,24,28,32,36,40),0)/100)),0)</f>
        <v/>
      </c>
      <c r="R1616">
        <f>IF(AND(Inputs!$B$38&lt;&gt;"pvp",Inputs!$B$43&gt;0),IF(MAX(0,Inputs!$B$43-B1649)&lt;=0,0,(INT(MAX(0,Inputs!$B$43-B1649)/(IF(Inputs!$B$38="pvp",15,MAX(0.1,Skills!D5-IF(Skills!E5=TRUE,Inputs!$B$32,0)))*(1-IF(AND(ArtifactsInput!$M$27,Inputs!$B$4="Chapter Hunt"),CHOOSE(ArtifactsInput!$N$27+1,20,24,28,32,36,40),0)/100)))+1)),0)</f>
        <v/>
      </c>
      <c r="S1616">
        <f>IFERROR(O1616/N1616,0)</f>
        <v/>
      </c>
      <c r="T1616">
        <f>IF(C1616,(H1616*N1616*IF(AND(Inputs!$B$38&lt;&gt;"pvp",Inputs!$B$43&gt;0),((Skills!G5*((R1616-1)*IF(Skills!H5&gt;0,Skills!I5/Skills!H5,1)+IF(Skills!H5&gt;0,MIN(Skills!I5,MAX(0,MAX(0,Inputs!$B$43-B1649)-((R1616-1)*(IF(Inputs!$B$38="pvp",15,MAX(0.1,Skills!D5-IF(Skills!E5=TRUE,Inputs!$B$32,0)))*(1-IF(AND(ArtifactsInput!$M$27,Inputs!$B$4="Chapter Hunt"),CHOOSE(ArtifactsInput!$N$27+1,20,24,28,32,36,40),0)/100)))))/Skills!H5,1)))/Inputs!$B$43),G1616*Q1616)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1616*(1-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1616*(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1616*(1-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1616*(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6">
        <f>IF(C1616,(H1616*N1616*IF(AND(Inputs!$B$38&lt;&gt;"pvp",Inputs!$B$43&gt;0),((Skills!G5*((R1616-1)*IF(Skills!H5&gt;0,Skills!I5/Skills!H5,1)+IF(Skills!H5&gt;0,MIN(Skills!I5,MAX(0,MAX(0,Inputs!$B$43-B1649)-((R1616-1)*(IF(Inputs!$B$38="pvp",15,MAX(0.1,Skills!D5-IF(Skills!E5=TRUE,Inputs!$B$32,0)))*(1-IF(AND(ArtifactsInput!$M$27,Inputs!$B$4="Chapter Hunt"),CHOOSE(ArtifactsInput!$N$27+1,20,24,28,32,36,40),0)/100)))))/Skills!H5,1)))/Inputs!$B$43),G1616*Q1616))*IF(Inputs!$B$38="pvp",1,(1+(Inputs!$B$21+Skills!Q5+(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7">
      <c r="A1617">
        <f>Skills!A6</f>
        <v/>
      </c>
      <c r="B1617">
        <f>Skills!B6</f>
        <v/>
      </c>
      <c r="C1617">
        <f>Inputs!$B$3&gt;=63</f>
        <v/>
      </c>
      <c r="D1617">
        <f>IF(Skills!C6=1,60+Inputs!$B$25+Inputs!$B$29,IF(Skills!C6=2,90+Inputs!$B$26+Inputs!$B$29,IF(Skills!C6=3,120+Inputs!$B$27+Inputs!$B$29,MAX(0,(Inputs!$B$3-100)*3)+Inputs!$B$28+Inputs!$B$29)))</f>
        <v/>
      </c>
      <c r="E1617">
        <f>INDEX(FactorTable!$B$2:$Y$301, MATCH(ROUND(MIN(300,MAX(1,D1617)),0), FactorTable!$A$2:$A$301,0), Skills!M6+1)</f>
        <v/>
      </c>
      <c r="F1617">
        <f>IF(Skills!N6=TRUE,(Skills!L6/10)*(E1617/1000),Skills!L6/10)+Skills!O6</f>
        <v/>
      </c>
      <c r="G1617">
        <f>Skills!G6*IF(Skills!H6&gt;0,Skills!I6/Skills!H6,1)</f>
        <v/>
      </c>
      <c r="H1617">
        <f>1-(1-Skills!J6/100)^Skills!K6</f>
        <v/>
      </c>
      <c r="I1617" t="inlineStr">
        <is>
          <t>1</t>
        </is>
      </c>
      <c r="J1617">
        <f>((Inputs!$B$6*(1+Inputs!$B$7/100))+(((Inputs!$B$12*(1+Inputs!$B$13/100))-(Inputs!$B$12*(1+Inputs!$B$13/100)))+0.25*(Inputs!$B$14-Inputs!$B$14))*(1+Inputs!$B$7/100))*(F1617/100)</f>
        <v/>
      </c>
      <c r="K1617">
        <f>J1617*(1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1626=TRUE,F1626,0)/100)*(1+(IF(Skills!A6="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1617)</f>
        <v/>
      </c>
      <c r="L1617">
        <f>K1617*(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17">
        <f>L1617*(1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7">
        <f>L1617*(1-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1617*(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7">
        <f>(1-Summary!$B$11)*T1617+Summary!$B$11*V1617</f>
        <v/>
      </c>
      <c r="P1617">
        <f>IF(B1652=0,0,O1617/B1652)</f>
        <v/>
      </c>
      <c r="Q1617">
        <f>IFERROR(1/(IF(Inputs!$B$38="pvp",15,MAX(0.1,Skills!D6-IF(Skills!E6=TRUE,Inputs!$B$32,0)))*(1-IF(AND(ArtifactsInput!$M$27,Inputs!$B$4="Chapter Hunt"),CHOOSE(ArtifactsInput!$N$27+1,20,24,28,32,36,40),0)/100)),0)</f>
        <v/>
      </c>
      <c r="R1617">
        <f>IF(AND(Inputs!$B$38&lt;&gt;"pvp",Inputs!$B$43&gt;0),IF(MAX(0,Inputs!$B$43-B1649)&lt;=0,0,(INT(MAX(0,Inputs!$B$43-B1649)/(IF(Inputs!$B$38="pvp",15,MAX(0.1,Skills!D6-IF(Skills!E6=TRUE,Inputs!$B$32,0)))*(1-IF(AND(ArtifactsInput!$M$27,Inputs!$B$4="Chapter Hunt"),CHOOSE(ArtifactsInput!$N$27+1,20,24,28,32,36,40),0)/100)))+1)),0)</f>
        <v/>
      </c>
      <c r="S1617">
        <f>IFERROR(O1617/N1617,0)</f>
        <v/>
      </c>
      <c r="T1617">
        <f>IF(C1617,(H1617*N1617*IF(AND(Inputs!$B$38&lt;&gt;"pvp",Inputs!$B$43&gt;0),((Skills!G6*((R1617-1)*IF(Skills!H6&gt;0,Skills!I6/Skills!H6,1)+IF(Skills!H6&gt;0,MIN(Skills!I6,MAX(0,MAX(0,Inputs!$B$43-B1649)-((R1617-1)*(IF(Inputs!$B$38="pvp",15,MAX(0.1,Skills!D6-IF(Skills!E6=TRUE,Inputs!$B$32,0)))*(1-IF(AND(ArtifactsInput!$M$27,Inputs!$B$4="Chapter Hunt"),CHOOSE(ArtifactsInput!$N$27+1,20,24,28,32,36,40),0)/100)))))/Skills!H6,1)))/Inputs!$B$43),G1617*Q1617)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1617*(1-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1617*(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1617*(1-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1617*(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7">
        <f>IF(C1617,(H1617*N1617*IF(AND(Inputs!$B$38&lt;&gt;"pvp",Inputs!$B$43&gt;0),((Skills!G6*((R1617-1)*IF(Skills!H6&gt;0,Skills!I6/Skills!H6,1)+IF(Skills!H6&gt;0,MIN(Skills!I6,MAX(0,MAX(0,Inputs!$B$43-B1649)-((R1617-1)*(IF(Inputs!$B$38="pvp",15,MAX(0.1,Skills!D6-IF(Skills!E6=TRUE,Inputs!$B$32,0)))*(1-IF(AND(ArtifactsInput!$M$27,Inputs!$B$4="Chapter Hunt"),CHOOSE(ArtifactsInput!$N$27+1,20,24,28,32,36,40),0)/100)))))/Skills!H6,1)))/Inputs!$B$43),G1617*Q1617))*IF(Inputs!$B$38="pvp",1,(1+(Inputs!$B$21+Skills!Q6+(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8">
      <c r="A1618">
        <f>Skills!A7</f>
        <v/>
      </c>
      <c r="B1618">
        <f>Skills!B7</f>
        <v/>
      </c>
      <c r="C1618">
        <f>Inputs!$B$3&gt;=66</f>
        <v/>
      </c>
      <c r="D1618">
        <f>IF(Skills!C7=1,60+Inputs!$B$25+Inputs!$B$29,IF(Skills!C7=2,90+Inputs!$B$26+Inputs!$B$29,IF(Skills!C7=3,120+Inputs!$B$27+Inputs!$B$29,MAX(0,(Inputs!$B$3-100)*3)+Inputs!$B$28+Inputs!$B$29)))</f>
        <v/>
      </c>
      <c r="E1618">
        <f>INDEX(FactorTable!$B$2:$Y$301, MATCH(ROUND(MIN(300,MAX(1,D1618)),0), FactorTable!$A$2:$A$301,0), Skills!M7+1)</f>
        <v/>
      </c>
      <c r="F1618">
        <f>IF(Skills!N7=TRUE,(Skills!L7/10)*(E1618/1000),Skills!L7/10)+Skills!O7</f>
        <v/>
      </c>
      <c r="G1618">
        <f>Skills!G7*IF(Skills!H7&gt;0,Skills!I7/Skills!H7,1)</f>
        <v/>
      </c>
      <c r="H1618">
        <f>1-(1-Skills!J7/100)^Skills!K7</f>
        <v/>
      </c>
      <c r="I1618" t="inlineStr">
        <is>
          <t>1</t>
        </is>
      </c>
      <c r="J1618">
        <f>((Inputs!$B$6*(1+Inputs!$B$7/100))+(((Inputs!$B$12*(1+Inputs!$B$13/100))-(Inputs!$B$12*(1+Inputs!$B$13/100)))+0.25*(Inputs!$B$14-Inputs!$B$14))*(1+Inputs!$B$7/100))*(F1618/100)</f>
        <v/>
      </c>
      <c r="K1618">
        <f>J1618*(1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1626=TRUE,F1626,0)/100)*(1+(IF(Skills!A7="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1618)</f>
        <v/>
      </c>
      <c r="L1618">
        <f>K1618*(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18">
        <f>L1618*(1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8">
        <f>L1618*(1-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1618*(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8">
        <f>(1-Summary!$B$11)*T1618+Summary!$B$11*V1618</f>
        <v/>
      </c>
      <c r="P1618">
        <f>IF(B1652=0,0,O1618/B1652)</f>
        <v/>
      </c>
      <c r="Q1618">
        <f>IFERROR(1/(IF(Inputs!$B$38="pvp",15,MAX(0.1,Skills!D7-IF(Skills!E7=TRUE,Inputs!$B$32,0)))*(1-IF(AND(ArtifactsInput!$M$27,Inputs!$B$4="Chapter Hunt"),CHOOSE(ArtifactsInput!$N$27+1,20,24,28,32,36,40),0)/100)),0)</f>
        <v/>
      </c>
      <c r="R1618">
        <f>IF(AND(Inputs!$B$38&lt;&gt;"pvp",Inputs!$B$43&gt;0),IF(MAX(0,Inputs!$B$43-B1649)&lt;=0,0,(INT(MAX(0,Inputs!$B$43-B1649)/(IF(Inputs!$B$38="pvp",15,MAX(0.1,Skills!D7-IF(Skills!E7=TRUE,Inputs!$B$32,0)))*(1-IF(AND(ArtifactsInput!$M$27,Inputs!$B$4="Chapter Hunt"),CHOOSE(ArtifactsInput!$N$27+1,20,24,28,32,36,40),0)/100)))+1)),0)</f>
        <v/>
      </c>
      <c r="S1618">
        <f>IFERROR(O1618/N1618,0)</f>
        <v/>
      </c>
      <c r="T1618">
        <f>IF(C1618,(H1618*N1618*IF(AND(Inputs!$B$38&lt;&gt;"pvp",Inputs!$B$43&gt;0),((Skills!G7*((R1618-1)*IF(Skills!H7&gt;0,Skills!I7/Skills!H7,1)+IF(Skills!H7&gt;0,MIN(Skills!I7,MAX(0,MAX(0,Inputs!$B$43-B1649)-((R1618-1)*(IF(Inputs!$B$38="pvp",15,MAX(0.1,Skills!D7-IF(Skills!E7=TRUE,Inputs!$B$32,0)))*(1-IF(AND(ArtifactsInput!$M$27,Inputs!$B$4="Chapter Hunt"),CHOOSE(ArtifactsInput!$N$27+1,20,24,28,32,36,40),0)/100)))))/Skills!H7,1)))/Inputs!$B$43),G1618*Q1618)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1618*(1-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1618*(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1618*(1-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1618*(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8">
        <f>IF(C1618,(H1618*N1618*IF(AND(Inputs!$B$38&lt;&gt;"pvp",Inputs!$B$43&gt;0),((Skills!G7*((R1618-1)*IF(Skills!H7&gt;0,Skills!I7/Skills!H7,1)+IF(Skills!H7&gt;0,MIN(Skills!I7,MAX(0,MAX(0,Inputs!$B$43-B1649)-((R1618-1)*(IF(Inputs!$B$38="pvp",15,MAX(0.1,Skills!D7-IF(Skills!E7=TRUE,Inputs!$B$32,0)))*(1-IF(AND(ArtifactsInput!$M$27,Inputs!$B$4="Chapter Hunt"),CHOOSE(ArtifactsInput!$N$27+1,20,24,28,32,36,40),0)/100)))))/Skills!H7,1)))/Inputs!$B$43),G1618*Q1618))*IF(Inputs!$B$38="pvp",1,(1+(Inputs!$B$21+Skills!Q7+(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9">
      <c r="A1619">
        <f>Skills!A8</f>
        <v/>
      </c>
      <c r="B1619">
        <f>Skills!B8</f>
        <v/>
      </c>
      <c r="C1619">
        <f>Inputs!$B$3&gt;=100</f>
        <v/>
      </c>
      <c r="D1619">
        <f>IF(Skills!C8=1,60+Inputs!$B$25+Inputs!$B$29,IF(Skills!C8=2,90+Inputs!$B$26+Inputs!$B$29,IF(Skills!C8=3,120+Inputs!$B$27+Inputs!$B$29,MAX(0,(Inputs!$B$3-100)*3)+Inputs!$B$28+Inputs!$B$29)))</f>
        <v/>
      </c>
      <c r="E1619">
        <f>INDEX(FactorTable!$B$2:$Y$301, MATCH(ROUND(MIN(300,MAX(1,D1619)),0), FactorTable!$A$2:$A$301,0), Skills!M8+1)</f>
        <v/>
      </c>
      <c r="F1619">
        <f>IF(Skills!N8=TRUE,(Skills!L8/10)*(E1619/1000),Skills!L8/10)+Skills!O8</f>
        <v/>
      </c>
      <c r="G1619">
        <f>Skills!G8*IF(Skills!H8&gt;0,Skills!I8/Skills!H8,1)</f>
        <v/>
      </c>
      <c r="H1619">
        <f>1-(1-Skills!J8/100)^Skills!K8</f>
        <v/>
      </c>
      <c r="I1619" t="inlineStr">
        <is>
          <t>1</t>
        </is>
      </c>
      <c r="J1619">
        <f>((Inputs!$B$6*(1+Inputs!$B$7/100))+(((Inputs!$B$12*(1+Inputs!$B$13/100))-(Inputs!$B$12*(1+Inputs!$B$13/100)))+0.25*(Inputs!$B$14-Inputs!$B$14))*(1+Inputs!$B$7/100))*(F1619/100)</f>
        <v/>
      </c>
      <c r="K1619">
        <f>J1619*(1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1619)</f>
        <v/>
      </c>
      <c r="L1619">
        <f>K1619*(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19">
        <f>L1619*(1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9">
        <f>L1619*(1-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1619*(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9">
        <f>(1-Summary!$B$11)*T1619+Summary!$B$11*V1619</f>
        <v/>
      </c>
      <c r="P1619">
        <f>IF(B1652=0,0,O1619/B1652)</f>
        <v/>
      </c>
      <c r="Q1619">
        <f>IFERROR(1/(IF(Inputs!$B$38="pvp",15,MAX(0.1,Skills!D8-IF(Skills!E8=TRUE,Inputs!$B$32,0)))*(1-IF(AND(ArtifactsInput!$M$27,Inputs!$B$4="Chapter Hunt"),CHOOSE(ArtifactsInput!$N$27+1,20,24,28,32,36,40),0)/100)),0)</f>
        <v/>
      </c>
      <c r="R1619">
        <f>IF(AND(Inputs!$B$38&lt;&gt;"pvp",Inputs!$B$43&gt;0),IF(MAX(0,Inputs!$B$43-B1649)&lt;=0,0,(INT(MAX(0,Inputs!$B$43-B1649)/(IF(Inputs!$B$38="pvp",15,MAX(0.1,Skills!D8-IF(Skills!E8=TRUE,Inputs!$B$32,0)))*(1-IF(AND(ArtifactsInput!$M$27,Inputs!$B$4="Chapter Hunt"),CHOOSE(ArtifactsInput!$N$27+1,20,24,28,32,36,40),0)/100)))+1)),0)</f>
        <v/>
      </c>
      <c r="S1619">
        <f>IFERROR(O1619/N1619,0)</f>
        <v/>
      </c>
      <c r="T1619">
        <f>IF(C1619,(H1619*N1619*IF(AND(Inputs!$B$38&lt;&gt;"pvp",Inputs!$B$43&gt;0),((Skills!G8*((R1619-1)*IF(Skills!H8&gt;0,Skills!I8/Skills!H8,1)+IF(Skills!H8&gt;0,MIN(Skills!I8,MAX(0,MAX(0,Inputs!$B$43-B1649)-((R1619-1)*(IF(Inputs!$B$38="pvp",15,MAX(0.1,Skills!D8-IF(Skills!E8=TRUE,Inputs!$B$32,0)))*(1-IF(AND(ArtifactsInput!$M$27,Inputs!$B$4="Chapter Hunt"),CHOOSE(ArtifactsInput!$N$27+1,20,24,28,32,36,40),0)/100)))))/Skills!H8,1)))/Inputs!$B$43),G1619*Q1619)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1619*(1-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1619*(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1619*(1-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1619*(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9">
        <f>IF(C1619,(H1619*N1619*IF(AND(Inputs!$B$38&lt;&gt;"pvp",Inputs!$B$43&gt;0),((Skills!G8*((R1619-1)*IF(Skills!H8&gt;0,Skills!I8/Skills!H8,1)+IF(Skills!H8&gt;0,MIN(Skills!I8,MAX(0,MAX(0,Inputs!$B$43-B1649)-((R1619-1)*(IF(Inputs!$B$38="pvp",15,MAX(0.1,Skills!D8-IF(Skills!E8=TRUE,Inputs!$B$32,0)))*(1-IF(AND(ArtifactsInput!$M$27,Inputs!$B$4="Chapter Hunt"),CHOOSE(ArtifactsInput!$N$27+1,20,24,28,32,36,40),0)/100)))))/Skills!H8,1)))/Inputs!$B$43),G1619*Q1619))*IF(Inputs!$B$38="pvp",1,(1+(Inputs!$B$21+Skills!Q8+(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0">
      <c r="A1620">
        <f>Skills!A9</f>
        <v/>
      </c>
      <c r="B1620">
        <f>Skills!B9</f>
        <v/>
      </c>
      <c r="C1620">
        <f>Inputs!$B$3&gt;=103</f>
        <v/>
      </c>
      <c r="D1620">
        <f>IF(Skills!C9=1,60+Inputs!$B$25+Inputs!$B$29,IF(Skills!C9=2,90+Inputs!$B$26+Inputs!$B$29,IF(Skills!C9=3,120+Inputs!$B$27+Inputs!$B$29,MAX(0,(Inputs!$B$3-100)*3)+Inputs!$B$28+Inputs!$B$29)))</f>
        <v/>
      </c>
      <c r="E1620">
        <f>INDEX(FactorTable!$B$2:$Y$301, MATCH(ROUND(MIN(300,MAX(1,D1620)),0), FactorTable!$A$2:$A$301,0), Skills!M9+1)</f>
        <v/>
      </c>
      <c r="F1620">
        <f>IF(Skills!N9=TRUE,(Skills!L9/10)*(E1620/1000),Skills!L9/10)+Skills!O9</f>
        <v/>
      </c>
      <c r="G1620">
        <f>Skills!G9*IF(Skills!H9&gt;0,Skills!I9/Skills!H9,1)</f>
        <v/>
      </c>
      <c r="H1620">
        <f>1-(1-Skills!J9/100)^Skills!K9</f>
        <v/>
      </c>
      <c r="I1620" t="inlineStr">
        <is>
          <t>1</t>
        </is>
      </c>
      <c r="J1620">
        <f>((Inputs!$B$6*(1+Inputs!$B$7/100))+(((Inputs!$B$12*(1+Inputs!$B$13/100))-(Inputs!$B$12*(1+Inputs!$B$13/100)))+0.25*(Inputs!$B$14-Inputs!$B$14))*(1+Inputs!$B$7/100))*(F1620/100)</f>
        <v/>
      </c>
      <c r="K1620">
        <f>J1620*(1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1620)</f>
        <v/>
      </c>
      <c r="L1620">
        <f>K1620*(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20">
        <f>L1620*(1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0">
        <f>L1620*(1-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1620*(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0">
        <f>(1-Summary!$B$11)*T1620+Summary!$B$11*V1620</f>
        <v/>
      </c>
      <c r="P1620">
        <f>IF(B1652=0,0,O1620/B1652)</f>
        <v/>
      </c>
      <c r="Q1620">
        <f>IFERROR(1/(IF(Inputs!$B$38="pvp",15,MAX(0.1,Skills!D9-IF(Skills!E9=TRUE,Inputs!$B$32,0)))*(1-IF(AND(ArtifactsInput!$M$27,Inputs!$B$4="Chapter Hunt"),CHOOSE(ArtifactsInput!$N$27+1,20,24,28,32,36,40),0)/100)),0)</f>
        <v/>
      </c>
      <c r="R1620">
        <f>IF(AND(Inputs!$B$38&lt;&gt;"pvp",Inputs!$B$43&gt;0),IF(MAX(0,Inputs!$B$43-B1649)&lt;=0,0,(INT(MAX(0,Inputs!$B$43-B1649)/(IF(Inputs!$B$38="pvp",15,MAX(0.1,Skills!D9-IF(Skills!E9=TRUE,Inputs!$B$32,0)))*(1-IF(AND(ArtifactsInput!$M$27,Inputs!$B$4="Chapter Hunt"),CHOOSE(ArtifactsInput!$N$27+1,20,24,28,32,36,40),0)/100)))+1)),0)</f>
        <v/>
      </c>
      <c r="S1620">
        <f>IFERROR(O1620/N1620,0)</f>
        <v/>
      </c>
      <c r="T1620">
        <f>IF(C1620,(H1620*N1620*IF(AND(Inputs!$B$38&lt;&gt;"pvp",Inputs!$B$43&gt;0),((Skills!G9*((R1620-1)*IF(Skills!H9&gt;0,Skills!I9/Skills!H9,1)+IF(Skills!H9&gt;0,MIN(Skills!I9,MAX(0,MAX(0,Inputs!$B$43-B1649)-((R1620-1)*(IF(Inputs!$B$38="pvp",15,MAX(0.1,Skills!D9-IF(Skills!E9=TRUE,Inputs!$B$32,0)))*(1-IF(AND(ArtifactsInput!$M$27,Inputs!$B$4="Chapter Hunt"),CHOOSE(ArtifactsInput!$N$27+1,20,24,28,32,36,40),0)/100)))))/Skills!H9,1)))/Inputs!$B$43),G1620*Q1620)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1620*(1-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1620*(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1620*(1-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1620*(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0">
        <f>IF(C1620,(H1620*N1620*IF(AND(Inputs!$B$38&lt;&gt;"pvp",Inputs!$B$43&gt;0),((Skills!G9*((R1620-1)*IF(Skills!H9&gt;0,Skills!I9/Skills!H9,1)+IF(Skills!H9&gt;0,MIN(Skills!I9,MAX(0,MAX(0,Inputs!$B$43-B1649)-((R1620-1)*(IF(Inputs!$B$38="pvp",15,MAX(0.1,Skills!D9-IF(Skills!E9=TRUE,Inputs!$B$32,0)))*(1-IF(AND(ArtifactsInput!$M$27,Inputs!$B$4="Chapter Hunt"),CHOOSE(ArtifactsInput!$N$27+1,20,24,28,32,36,40),0)/100)))))/Skills!H9,1)))/Inputs!$B$43),G1620*Q1620))*IF(Inputs!$B$38="pvp",1,(1+(Inputs!$B$21+Skills!Q9+(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1">
      <c r="A1621">
        <f>Skills!A10</f>
        <v/>
      </c>
      <c r="B1621">
        <f>Skills!B10</f>
        <v/>
      </c>
      <c r="C1621">
        <f>Inputs!$B$3&gt;=113</f>
        <v/>
      </c>
      <c r="D1621">
        <f>IF(Skills!C10=1,60+Inputs!$B$25+Inputs!$B$29,IF(Skills!C10=2,90+Inputs!$B$26+Inputs!$B$29,IF(Skills!C10=3,120+Inputs!$B$27+Inputs!$B$29,MAX(0,(Inputs!$B$3-100)*3)+Inputs!$B$28+Inputs!$B$29)))</f>
        <v/>
      </c>
      <c r="E1621">
        <f>INDEX(FactorTable!$B$2:$Y$301, MATCH(ROUND(MIN(300,MAX(1,D1621)),0), FactorTable!$A$2:$A$301,0), Skills!M10+1)</f>
        <v/>
      </c>
      <c r="F1621">
        <f>IF(Skills!N10=TRUE,(Skills!L10/10)*(E1621/1000),Skills!L10/10)+Skills!O10</f>
        <v/>
      </c>
      <c r="G1621">
        <f>Skills!G10*IF(Skills!H10&gt;0,Skills!I10/Skills!H10,1)</f>
        <v/>
      </c>
      <c r="H1621">
        <f>1-(1-Skills!J10/100)^Skills!K10</f>
        <v/>
      </c>
      <c r="I1621" t="inlineStr">
        <is>
          <t>1</t>
        </is>
      </c>
      <c r="J1621">
        <f>((Inputs!$B$6*(1+Inputs!$B$7/100))+(((Inputs!$B$12*(1+Inputs!$B$13/100))-(Inputs!$B$12*(1+Inputs!$B$13/100)))+0.25*(Inputs!$B$14-Inputs!$B$14))*(1+Inputs!$B$7/100))*(F1621/100)</f>
        <v/>
      </c>
      <c r="K1621">
        <f>J1621*(1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1621)</f>
        <v/>
      </c>
      <c r="L1621">
        <f>K1621*(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21">
        <f>L1621*(1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1">
        <f>L1621*(1-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1">
        <f>(1-Summary!$B$11)*T1621+Summary!$B$11*V1621</f>
        <v/>
      </c>
      <c r="P1621">
        <f>IF(B1652=0,0,O1621/B1652)</f>
        <v/>
      </c>
      <c r="Q1621">
        <f>IFERROR(1/(IF(Inputs!$B$38="pvp",15,MAX(0.1,Skills!D10-IF(Skills!E10=TRUE,Inputs!$B$32,0)))*(1-IF(AND(ArtifactsInput!$M$27,Inputs!$B$4="Chapter Hunt"),CHOOSE(ArtifactsInput!$N$27+1,20,24,28,32,36,40),0)/100)),0)</f>
        <v/>
      </c>
      <c r="R1621">
        <f>IF(AND(Inputs!$B$38&lt;&gt;"pvp",Inputs!$B$43&gt;0),IF(MAX(0,Inputs!$B$43-B1649)&lt;=0,0,(INT(MAX(0,Inputs!$B$43-B1649)/(IF(Inputs!$B$38="pvp",15,MAX(0.1,Skills!D10-IF(Skills!E10=TRUE,Inputs!$B$32,0)))*(1-IF(AND(ArtifactsInput!$M$27,Inputs!$B$4="Chapter Hunt"),CHOOSE(ArtifactsInput!$N$27+1,20,24,28,32,36,40),0)/100)))+1)),0)</f>
        <v/>
      </c>
      <c r="S1621">
        <f>IFERROR(O1621/N1621,0)</f>
        <v/>
      </c>
      <c r="T1621">
        <f>IF(C1621,(H1621*N1621*IF(AND(Inputs!$B$38&lt;&gt;"pvp",Inputs!$B$43&gt;0),((Skills!G10*((R1621-1)*IF(Skills!H10&gt;0,Skills!I10/Skills!H10,1)+IF(Skills!H10&gt;0,MIN(Skills!I10,MAX(0,MAX(0,Inputs!$B$43-B1649)-((R1621-1)*(IF(Inputs!$B$38="pvp",15,MAX(0.1,Skills!D10-IF(Skills!E10=TRUE,Inputs!$B$32,0)))*(1-IF(AND(ArtifactsInput!$M$27,Inputs!$B$4="Chapter Hunt"),CHOOSE(ArtifactsInput!$N$27+1,20,24,28,32,36,40),0)/100)))))/Skills!H10,1)))/Inputs!$B$43),G1621*Q1621)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1621*(1-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1">
        <f>IF(C1621,(H1621*N1621*IF(AND(Inputs!$B$38&lt;&gt;"pvp",Inputs!$B$43&gt;0),((Skills!G10*((R1621-1)*IF(Skills!H10&gt;0,Skills!I10/Skills!H10,1)+IF(Skills!H10&gt;0,MIN(Skills!I10,MAX(0,MAX(0,Inputs!$B$43-B1649)-((R1621-1)*(IF(Inputs!$B$38="pvp",15,MAX(0.1,Skills!D10-IF(Skills!E10=TRUE,Inputs!$B$32,0)))*(1-IF(AND(ArtifactsInput!$M$27,Inputs!$B$4="Chapter Hunt"),CHOOSE(ArtifactsInput!$N$27+1,20,24,28,32,36,40),0)/100)))))/Skills!H10,1)))/Inputs!$B$43),G1621*Q1621))*IF(Inputs!$B$38="pvp",1,(1+(Inputs!$B$21+Skills!Q10+(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2">
      <c r="A1622">
        <f>Skills!A11</f>
        <v/>
      </c>
      <c r="B1622">
        <f>Skills!B11</f>
        <v/>
      </c>
      <c r="C1622">
        <f>Inputs!$B$3&gt;=107</f>
        <v/>
      </c>
      <c r="D1622">
        <f>IF(Skills!C11=1,60+Inputs!$B$25+Inputs!$B$29,IF(Skills!C11=2,90+Inputs!$B$26+Inputs!$B$29,IF(Skills!C11=3,120+Inputs!$B$27+Inputs!$B$29,MAX(0,(Inputs!$B$3-100)*3)+Inputs!$B$28+Inputs!$B$29)))</f>
        <v/>
      </c>
      <c r="E1622">
        <f>INDEX(FactorTable!$B$2:$Y$301, MATCH(ROUND(MIN(300,MAX(1,D1622)),0), FactorTable!$A$2:$A$301,0), Skills!M11+1)</f>
        <v/>
      </c>
      <c r="F1622">
        <f>IF(Skills!N11=TRUE,(Skills!L11/10)*(E1622/1000),Skills!L11/10)+Skills!O11</f>
        <v/>
      </c>
      <c r="G1622">
        <f>Skills!G11*IF(Skills!H11&gt;0,Skills!I11/Skills!H11,1)</f>
        <v/>
      </c>
      <c r="H1622">
        <f>1-(1-Skills!J11/100)^Skills!K11</f>
        <v/>
      </c>
      <c r="I1622" t="inlineStr">
        <is>
          <t>1</t>
        </is>
      </c>
      <c r="J1622">
        <f>((Inputs!$B$6*(1+Inputs!$B$7/100))+(((Inputs!$B$12*(1+Inputs!$B$13/100))-(Inputs!$B$12*(1+Inputs!$B$13/100)))+0.25*(Inputs!$B$14-Inputs!$B$14))*(1+Inputs!$B$7/100))*(F1622/100)</f>
        <v/>
      </c>
      <c r="K1622">
        <f>J1622*(1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1622)</f>
        <v/>
      </c>
      <c r="L1622">
        <f>K1622*(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22">
        <f>L1622*(1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2">
        <f>L1622*(1-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1622*(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2">
        <f>(1-Summary!$B$11)*T1622+Summary!$B$11*V1622</f>
        <v/>
      </c>
      <c r="P1622">
        <f>IF(B1652=0,0,O1622/B1652)</f>
        <v/>
      </c>
      <c r="Q1622">
        <f>IFERROR(1/(IF(Inputs!$B$38="pvp",15,MAX(0.1,Skills!D11-IF(Skills!E11=TRUE,Inputs!$B$32,0)))*(1-IF(AND(ArtifactsInput!$M$27,Inputs!$B$4="Chapter Hunt"),CHOOSE(ArtifactsInput!$N$27+1,20,24,28,32,36,40),0)/100)),0)</f>
        <v/>
      </c>
      <c r="R1622">
        <f>IF(AND(Inputs!$B$38&lt;&gt;"pvp",Inputs!$B$43&gt;0),IF(MAX(0,Inputs!$B$43-B1649)&lt;=0,0,(INT(MAX(0,Inputs!$B$43-B1649)/(IF(Inputs!$B$38="pvp",15,MAX(0.1,Skills!D11-IF(Skills!E11=TRUE,Inputs!$B$32,0)))*(1-IF(AND(ArtifactsInput!$M$27,Inputs!$B$4="Chapter Hunt"),CHOOSE(ArtifactsInput!$N$27+1,20,24,28,32,36,40),0)/100)))+1)),0)</f>
        <v/>
      </c>
      <c r="S1622">
        <f>IFERROR(O1622/N1622,0)</f>
        <v/>
      </c>
      <c r="T1622">
        <f>IF(C1622,(H1622*N1622*IF(AND(Inputs!$B$38&lt;&gt;"pvp",Inputs!$B$43&gt;0),((Skills!G11*((R1622-1)*IF(Skills!H11&gt;0,Skills!I11/Skills!H11,1)+IF(Skills!H11&gt;0,MIN(Skills!I11,MAX(0,MAX(0,Inputs!$B$43-B1649)-((R1622-1)*(IF(Inputs!$B$38="pvp",15,MAX(0.1,Skills!D11-IF(Skills!E11=TRUE,Inputs!$B$32,0)))*(1-IF(AND(ArtifactsInput!$M$27,Inputs!$B$4="Chapter Hunt"),CHOOSE(ArtifactsInput!$N$27+1,20,24,28,32,36,40),0)/100)))))/Skills!H11,1)))/Inputs!$B$43),G1622*Q1622)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1622*(1-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1622*(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1622*(1-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1622*(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2">
        <f>IF(C1622,(H1622*N1622*IF(AND(Inputs!$B$38&lt;&gt;"pvp",Inputs!$B$43&gt;0),((Skills!G11*((R1622-1)*IF(Skills!H11&gt;0,Skills!I11/Skills!H11,1)+IF(Skills!H11&gt;0,MIN(Skills!I11,MAX(0,MAX(0,Inputs!$B$43-B1649)-((R1622-1)*(IF(Inputs!$B$38="pvp",15,MAX(0.1,Skills!D11-IF(Skills!E11=TRUE,Inputs!$B$32,0)))*(1-IF(AND(ArtifactsInput!$M$27,Inputs!$B$4="Chapter Hunt"),CHOOSE(ArtifactsInput!$N$27+1,20,24,28,32,36,40),0)/100)))))/Skills!H11,1)))/Inputs!$B$43),G1622*Q1622))*IF(Inputs!$B$38="pvp",1,(1+(Inputs!$B$21+Skills!Q11+(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3">
      <c r="A1623">
        <f>Skills!A12</f>
        <v/>
      </c>
      <c r="B1623">
        <f>Skills!B12</f>
        <v/>
      </c>
      <c r="C1623">
        <f>Inputs!$B$3&gt;=110</f>
        <v/>
      </c>
      <c r="D1623">
        <f>IF(Skills!C12=1,60+Inputs!$B$25+Inputs!$B$29,IF(Skills!C12=2,90+Inputs!$B$26+Inputs!$B$29,IF(Skills!C12=3,120+Inputs!$B$27+Inputs!$B$29,MAX(0,(Inputs!$B$3-100)*3)+Inputs!$B$28+Inputs!$B$29)))</f>
        <v/>
      </c>
      <c r="E1623">
        <f>INDEX(FactorTable!$B$2:$Y$301, MATCH(ROUND(MIN(300,MAX(1,D1623)),0), FactorTable!$A$2:$A$301,0), Skills!M12+1)</f>
        <v/>
      </c>
      <c r="F1623">
        <f>IF(Skills!N12=TRUE,(Skills!L12/10)*(E1623/1000),Skills!L12/10)+Skills!O12</f>
        <v/>
      </c>
      <c r="G1623">
        <f>Skills!G12*IF(Skills!H12&gt;0,Skills!I12/Skills!H12,1)</f>
        <v/>
      </c>
      <c r="H1623">
        <f>1-(1-Skills!J12/100)^Skills!K12</f>
        <v/>
      </c>
      <c r="I1623" t="inlineStr">
        <is>
          <t>1</t>
        </is>
      </c>
      <c r="J1623">
        <f>((Inputs!$B$6*(1+Inputs!$B$7/100))+(((Inputs!$B$12*(1+Inputs!$B$13/100))-(Inputs!$B$12*(1+Inputs!$B$13/100)))+0.25*(Inputs!$B$14-Inputs!$B$14))*(1+Inputs!$B$7/100))*(F1623/100)</f>
        <v/>
      </c>
      <c r="K1623">
        <f>J1623*(1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1623)</f>
        <v/>
      </c>
      <c r="L1623">
        <f>K1623*(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23">
        <f>L1623*(1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3">
        <f>L1623*(1-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1623*(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3">
        <f>(1-Summary!$B$11)*T1623+Summary!$B$11*V1623</f>
        <v/>
      </c>
      <c r="P1623">
        <f>IF(B1652=0,0,O1623/B1652)</f>
        <v/>
      </c>
      <c r="Q1623">
        <f>IFERROR(1/(IF(Inputs!$B$38="pvp",15,MAX(0.1,Skills!D12-IF(Skills!E12=TRUE,Inputs!$B$32,0)))*(1-IF(AND(ArtifactsInput!$M$27,Inputs!$B$4="Chapter Hunt"),CHOOSE(ArtifactsInput!$N$27+1,20,24,28,32,36,40),0)/100)),0)</f>
        <v/>
      </c>
      <c r="R1623">
        <f>IF(AND(Inputs!$B$38&lt;&gt;"pvp",Inputs!$B$43&gt;0),IF(MAX(0,Inputs!$B$43-B1649)&lt;=0,0,(INT(MAX(0,Inputs!$B$43-B1649)/(IF(Inputs!$B$38="pvp",15,MAX(0.1,Skills!D12-IF(Skills!E12=TRUE,Inputs!$B$32,0)))*(1-IF(AND(ArtifactsInput!$M$27,Inputs!$B$4="Chapter Hunt"),CHOOSE(ArtifactsInput!$N$27+1,20,24,28,32,36,40),0)/100)))+1)),0)</f>
        <v/>
      </c>
      <c r="S1623">
        <f>IFERROR(O1623/N1623,0)</f>
        <v/>
      </c>
      <c r="T1623">
        <f>IF(C1623,(H1623*N1623*IF(AND(Inputs!$B$38&lt;&gt;"pvp",Inputs!$B$43&gt;0),((Skills!G12*((R1623-1)*IF(Skills!H12&gt;0,Skills!I12/Skills!H12,1)+IF(Skills!H12&gt;0,MIN(Skills!I12,MAX(0,MAX(0,Inputs!$B$43-B1649)-((R1623-1)*(IF(Inputs!$B$38="pvp",15,MAX(0.1,Skills!D12-IF(Skills!E12=TRUE,Inputs!$B$32,0)))*(1-IF(AND(ArtifactsInput!$M$27,Inputs!$B$4="Chapter Hunt"),CHOOSE(ArtifactsInput!$N$27+1,20,24,28,32,36,40),0)/100)))))/Skills!H12,1)))/Inputs!$B$43),G1623*Q1623)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1623*(1-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1623*(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1623*(1-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1623*(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3">
        <f>IF(C1623,(H1623*N1623*IF(AND(Inputs!$B$38&lt;&gt;"pvp",Inputs!$B$43&gt;0),((Skills!G12*((R1623-1)*IF(Skills!H12&gt;0,Skills!I12/Skills!H12,1)+IF(Skills!H12&gt;0,MIN(Skills!I12,MAX(0,MAX(0,Inputs!$B$43-B1649)-((R1623-1)*(IF(Inputs!$B$38="pvp",15,MAX(0.1,Skills!D12-IF(Skills!E12=TRUE,Inputs!$B$32,0)))*(1-IF(AND(ArtifactsInput!$M$27,Inputs!$B$4="Chapter Hunt"),CHOOSE(ArtifactsInput!$N$27+1,20,24,28,32,36,40),0)/100)))))/Skills!H12,1)))/Inputs!$B$43),G1623*Q1623))*IF(Inputs!$B$38="pvp",1,(1+(Inputs!$B$21+Skills!Q12+(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4">
      <c r="A1624">
        <f>Skills!A13</f>
        <v/>
      </c>
      <c r="B1624">
        <f>Skills!B13</f>
        <v/>
      </c>
      <c r="C1624">
        <f>Inputs!$B$3&gt;=110</f>
        <v/>
      </c>
      <c r="D1624">
        <f>IF(Skills!C13=1,60+Inputs!$B$25+Inputs!$B$29,IF(Skills!C13=2,90+Inputs!$B$26+Inputs!$B$29,IF(Skills!C13=3,120+Inputs!$B$27+Inputs!$B$29,MAX(0,(Inputs!$B$3-100)*3)+Inputs!$B$28+Inputs!$B$29)))</f>
        <v/>
      </c>
      <c r="E1624">
        <f>INDEX(FactorTable!$B$2:$Y$301, MATCH(ROUND(MIN(300,MAX(1,D1624)),0), FactorTable!$A$2:$A$301,0), Skills!M13+1)</f>
        <v/>
      </c>
      <c r="F1624">
        <f>IF(Skills!N13=TRUE,(Skills!L13/10)*(E1624/1000),Skills!L13/10)+Skills!O13</f>
        <v/>
      </c>
      <c r="G1624">
        <f>Skills!G13*IF(Skills!H13&gt;0,Skills!I13/Skills!H13,1)</f>
        <v/>
      </c>
      <c r="H1624">
        <f>1-(1-Skills!J13/100)^Skills!K13</f>
        <v/>
      </c>
      <c r="I1624" t="inlineStr">
        <is>
          <t>1</t>
        </is>
      </c>
      <c r="J1624">
        <f>((Inputs!$B$6*(1+Inputs!$B$7/100))+(((Inputs!$B$12*(1+Inputs!$B$13/100))-(Inputs!$B$12*(1+Inputs!$B$13/100)))+0.25*(Inputs!$B$14-Inputs!$B$14))*(1+Inputs!$B$7/100))*(F1624/100)</f>
        <v/>
      </c>
      <c r="K1624">
        <f>J1624*(1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1624)</f>
        <v/>
      </c>
      <c r="L1624">
        <f>K1624*(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24">
        <f>L1624*(1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4">
        <f>L1624*(1-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1624*(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4">
        <f>(1-Summary!$B$11)*T1624+Summary!$B$11*V1624</f>
        <v/>
      </c>
      <c r="P1624">
        <f>IF(B1652=0,0,O1624/B1652)</f>
        <v/>
      </c>
      <c r="Q1624">
        <f>IFERROR(1/(IF(Inputs!$B$38="pvp",15,MAX(0.1,Skills!D13-IF(Skills!E13=TRUE,Inputs!$B$32,0)))*(1-IF(AND(ArtifactsInput!$M$27,Inputs!$B$4="Chapter Hunt"),CHOOSE(ArtifactsInput!$N$27+1,20,24,28,32,36,40),0)/100)),0)</f>
        <v/>
      </c>
      <c r="R1624">
        <f>IF(AND(Inputs!$B$38&lt;&gt;"pvp",Inputs!$B$43&gt;0),IF(MAX(0,Inputs!$B$43-B1649)&lt;=0,0,(INT(MAX(0,Inputs!$B$43-B1649)/(IF(Inputs!$B$38="pvp",15,MAX(0.1,Skills!D13-IF(Skills!E13=TRUE,Inputs!$B$32,0)))*(1-IF(AND(ArtifactsInput!$M$27,Inputs!$B$4="Chapter Hunt"),CHOOSE(ArtifactsInput!$N$27+1,20,24,28,32,36,40),0)/100)))+1)),0)</f>
        <v/>
      </c>
      <c r="S1624">
        <f>IFERROR(O1624/N1624,0)</f>
        <v/>
      </c>
      <c r="T1624">
        <f>IF(C1624,(H1624*N1624*IF(AND(Inputs!$B$38&lt;&gt;"pvp",Inputs!$B$43&gt;0),((Skills!G13*((R1624-1)*IF(Skills!H13&gt;0,Skills!I13/Skills!H13,1)+IF(Skills!H13&gt;0,MIN(Skills!I13,MAX(0,MAX(0,Inputs!$B$43-B1649)-((R1624-1)*(IF(Inputs!$B$38="pvp",15,MAX(0.1,Skills!D13-IF(Skills!E13=TRUE,Inputs!$B$32,0)))*(1-IF(AND(ArtifactsInput!$M$27,Inputs!$B$4="Chapter Hunt"),CHOOSE(ArtifactsInput!$N$27+1,20,24,28,32,36,40),0)/100)))))/Skills!H13,1)))/Inputs!$B$43),G1624*Q1624)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1624*(1-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1624*(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1624*(1-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1624*(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4">
        <f>IF(C1624,(H1624*N1624*IF(AND(Inputs!$B$38&lt;&gt;"pvp",Inputs!$B$43&gt;0),((Skills!G13*((R1624-1)*IF(Skills!H13&gt;0,Skills!I13/Skills!H13,1)+IF(Skills!H13&gt;0,MIN(Skills!I13,MAX(0,MAX(0,Inputs!$B$43-B1649)-((R1624-1)*(IF(Inputs!$B$38="pvp",15,MAX(0.1,Skills!D13-IF(Skills!E13=TRUE,Inputs!$B$32,0)))*(1-IF(AND(ArtifactsInput!$M$27,Inputs!$B$4="Chapter Hunt"),CHOOSE(ArtifactsInput!$N$27+1,20,24,28,32,36,40),0)/100)))))/Skills!H13,1)))/Inputs!$B$43),G1624*Q1624))*IF(Inputs!$B$38="pvp",1,(1+(Inputs!$B$21+Skills!Q13+(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5">
      <c r="A1625">
        <f>Skills!A14</f>
        <v/>
      </c>
      <c r="B1625">
        <f>Skills!B14</f>
        <v/>
      </c>
      <c r="C1625">
        <f>Inputs!$B$3&gt;=125</f>
        <v/>
      </c>
      <c r="D1625">
        <f>IF(Skills!C14=1,60+Inputs!$B$25+Inputs!$B$29,IF(Skills!C14=2,90+Inputs!$B$26+Inputs!$B$29,IF(Skills!C14=3,120+Inputs!$B$27+Inputs!$B$29,MAX(0,(Inputs!$B$3-100)*3)+Inputs!$B$28+Inputs!$B$29)))</f>
        <v/>
      </c>
      <c r="E1625">
        <f>INDEX(FactorTable!$B$2:$Y$301, MATCH(ROUND(MIN(300,MAX(1,D1625)),0), FactorTable!$A$2:$A$301,0), Skills!M14+1)</f>
        <v/>
      </c>
      <c r="F1625">
        <f>IF(Skills!N14=TRUE,(Skills!L14/10)*(E1625/1000),Skills!L14/10)+Skills!O14</f>
        <v/>
      </c>
      <c r="G1625">
        <f>Skills!G14*IF(Skills!H14&gt;0,Skills!I14/Skills!H14,1)</f>
        <v/>
      </c>
      <c r="H1625">
        <f>1-(1-Skills!J14/100)^Skills!K14</f>
        <v/>
      </c>
      <c r="I1625" t="inlineStr">
        <is>
          <t>1</t>
        </is>
      </c>
      <c r="J1625">
        <f>((Inputs!$B$6*(1+Inputs!$B$7/100))+(((Inputs!$B$12*(1+Inputs!$B$13/100))-(Inputs!$B$12*(1+Inputs!$B$13/100)))+0.25*(Inputs!$B$14-Inputs!$B$14))*(1+Inputs!$B$7/100))*(F1625/100)</f>
        <v/>
      </c>
      <c r="K1625">
        <f>J1625*(1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1625)</f>
        <v/>
      </c>
      <c r="L1625">
        <f>K1625*(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25">
        <f>L1625*(1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5">
        <f>L1625*(1-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1625*(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5">
        <f>(1-Summary!$B$11)*T1625+Summary!$B$11*V1625</f>
        <v/>
      </c>
      <c r="P1625">
        <f>IF(B1652=0,0,O1625/B1652)</f>
        <v/>
      </c>
      <c r="Q1625" t="n">
        <v>0</v>
      </c>
      <c r="R1625" t="n">
        <v>0</v>
      </c>
      <c r="S1625">
        <f>IFERROR(O1625/N1625,0)</f>
        <v/>
      </c>
      <c r="T1625">
        <f>IF(C1625,(H1625*N1625*(B1646+IF(AND(Inputs!$B$38&lt;&gt;"pvp",Inputs!$B$43&gt;0),((Skills!G8*((R1619-1)*IF(Skills!H8&gt;0,Skills!I8/Skills!H8,1)+IF(Skills!H8&gt;0,MIN(Skills!I8,MAX(0,MAX(0,Inputs!$B$43-B1649)-((R1619-1)*(IF(Inputs!$B$38="pvp",15,MAX(0.1,Skills!D8-IF(Skills!E8=TRUE,Inputs!$B$32,0)))*(1-IF(AND(ArtifactsInput!$M$27,Inputs!$B$4="Chapter Hunt"),CHOOSE(ArtifactsInput!$N$27+1,20,24,28,32,36,40),0)/100)))))/Skills!H8,1)))/Inputs!$B$43),G1619*Q1619)+IF(AND(Inputs!$B$38&lt;&gt;"pvp",Inputs!$B$43&gt;0),((Skills!G11*((R1622-1)*IF(Skills!H11&gt;0,Skills!I11/Skills!H11,1)+IF(Skills!H11&gt;0,MIN(Skills!I11,MAX(0,MAX(0,Inputs!$B$43-B1649)-((R1622-1)*(IF(Inputs!$B$38="pvp",15,MAX(0.1,Skills!D11-IF(Skills!E11=TRUE,Inputs!$B$32,0)))*(1-IF(AND(ArtifactsInput!$M$27,Inputs!$B$4="Chapter Hunt"),CHOOSE(ArtifactsInput!$N$27+1,20,24,28,32,36,40),0)/100)))))/Skills!H11,1)))/Inputs!$B$43),G1622*Q1622)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1625*(1-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1625*(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1625*(1-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1625*(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5">
        <f>IF(C1625,(H1625*N1625*(B1646+IF(AND(Inputs!$B$38&lt;&gt;"pvp",Inputs!$B$43&gt;0),((Skills!G8*((R1619-1)*IF(Skills!H8&gt;0,Skills!I8/Skills!H8,1)+IF(Skills!H8&gt;0,MIN(Skills!I8,MAX(0,MAX(0,Inputs!$B$43-B1649)-((R1619-1)*(IF(Inputs!$B$38="pvp",15,MAX(0.1,Skills!D8-IF(Skills!E8=TRUE,Inputs!$B$32,0)))*(1-IF(AND(ArtifactsInput!$M$27,Inputs!$B$4="Chapter Hunt"),CHOOSE(ArtifactsInput!$N$27+1,20,24,28,32,36,40),0)/100)))))/Skills!H8,1)))/Inputs!$B$43),G1619*Q1619)+IF(AND(Inputs!$B$38&lt;&gt;"pvp",Inputs!$B$43&gt;0),((Skills!G11*((R1622-1)*IF(Skills!H11&gt;0,Skills!I11/Skills!H11,1)+IF(Skills!H11&gt;0,MIN(Skills!I11,MAX(0,MAX(0,Inputs!$B$43-B1649)-((R1622-1)*(IF(Inputs!$B$38="pvp",15,MAX(0.1,Skills!D11-IF(Skills!E11=TRUE,Inputs!$B$32,0)))*(1-IF(AND(ArtifactsInput!$M$27,Inputs!$B$4="Chapter Hunt"),CHOOSE(ArtifactsInput!$N$27+1,20,24,28,32,36,40),0)/100)))))/Skills!H11,1)))/Inputs!$B$43),G1622*Q1622)))*IF(Inputs!$B$38="pvp",1,(1+(Inputs!$B$21+Skills!Q14+(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6">
      <c r="A1626">
        <f>Skills!A15</f>
        <v/>
      </c>
      <c r="B1626">
        <f>Skills!B15</f>
        <v/>
      </c>
      <c r="C1626">
        <f>Inputs!$B$3&gt;=100</f>
        <v/>
      </c>
      <c r="D1626">
        <f>IF(Skills!C15=1,60+Inputs!$B$25+Inputs!$B$29,IF(Skills!C15=2,90+Inputs!$B$26+Inputs!$B$29,IF(Skills!C15=3,120+Inputs!$B$27+Inputs!$B$29,MAX(0,(Inputs!$B$3-100)*3)+Inputs!$B$28+Inputs!$B$29)))</f>
        <v/>
      </c>
      <c r="E1626">
        <f>INDEX(FactorTable!$B$2:$Y$301, MATCH(ROUND(MIN(300,MAX(1,D1626)),0), FactorTable!$A$2:$A$301,0), Skills!M15+1)</f>
        <v/>
      </c>
      <c r="F1626">
        <f>IF(Skills!N15=TRUE,(Skills!L15/10)*(E1626/1000),Skills!L15/10)+Skills!O15</f>
        <v/>
      </c>
      <c r="G1626" t="inlineStr"/>
      <c r="H1626" t="inlineStr"/>
      <c r="I1626" t="inlineStr">
        <is>
          <t>1</t>
        </is>
      </c>
      <c r="J1626" t="inlineStr"/>
      <c r="K1626" t="inlineStr"/>
      <c r="L1626" t="inlineStr"/>
      <c r="M1626" t="inlineStr"/>
      <c r="N1626" t="inlineStr"/>
      <c r="O1626" t="inlineStr"/>
      <c r="P1626" t="inlineStr"/>
      <c r="Q1626" t="inlineStr"/>
      <c r="R1626" t="inlineStr"/>
      <c r="S1626" t="inlineStr"/>
    </row>
    <row r="1627">
      <c r="A1627">
        <f>Skills!A16</f>
        <v/>
      </c>
      <c r="B1627">
        <f>Skills!B16</f>
        <v/>
      </c>
      <c r="C1627">
        <f>Inputs!$B$3&gt;=120</f>
        <v/>
      </c>
      <c r="D1627">
        <f>IF(Skills!C16=1,60+Inputs!$B$25+Inputs!$B$29,IF(Skills!C16=2,90+Inputs!$B$26+Inputs!$B$29,IF(Skills!C16=3,120+Inputs!$B$27+Inputs!$B$29,MAX(0,(Inputs!$B$3-100)*3)+Inputs!$B$28+Inputs!$B$29)))</f>
        <v/>
      </c>
      <c r="E1627">
        <f>INDEX(FactorTable!$B$2:$Y$301, MATCH(ROUND(MIN(300,MAX(1,D1627)),0), FactorTable!$A$2:$A$301,0), Skills!M16+1)</f>
        <v/>
      </c>
      <c r="F1627">
        <f>IF(Skills!N16=TRUE,(Skills!L16/10)*(E1627/1000),Skills!L16/10)+Skills!O16</f>
        <v/>
      </c>
      <c r="G1627" t="inlineStr"/>
      <c r="H1627" t="inlineStr"/>
      <c r="I1627" t="inlineStr">
        <is>
          <t>1</t>
        </is>
      </c>
      <c r="J1627" t="inlineStr"/>
      <c r="K1627" t="inlineStr"/>
      <c r="L1627" t="inlineStr"/>
      <c r="M1627" t="inlineStr"/>
      <c r="N1627" t="inlineStr"/>
      <c r="O1627" t="inlineStr"/>
      <c r="P1627" t="inlineStr"/>
      <c r="Q1627" t="inlineStr"/>
      <c r="R1627" t="inlineStr"/>
      <c r="S1627" t="inlineStr"/>
    </row>
    <row r="1628">
      <c r="A1628">
        <f>Skills!A17</f>
        <v/>
      </c>
      <c r="B1628">
        <f>Skills!B17</f>
        <v/>
      </c>
      <c r="C1628">
        <f>Inputs!$B$3&gt;=66</f>
        <v/>
      </c>
      <c r="D1628">
        <f>IF(Skills!C17=1,60+Inputs!$B$25+Inputs!$B$29,IF(Skills!C17=2,90+Inputs!$B$26+Inputs!$B$29,IF(Skills!C17=3,120+Inputs!$B$27+Inputs!$B$29,MAX(0,(Inputs!$B$3-100)*3)+Inputs!$B$28+Inputs!$B$29)))</f>
        <v/>
      </c>
      <c r="E1628">
        <f>INDEX(FactorTable!$B$2:$Y$301, MATCH(ROUND(MIN(300,MAX(1,D1628)),0), FactorTable!$A$2:$A$301,0), Skills!M17+1)</f>
        <v/>
      </c>
      <c r="F1628">
        <f>IF(Skills!N17=TRUE,(Skills!L17/10)*(E1628/1000),Skills!L17/10)+Skills!O17</f>
        <v/>
      </c>
      <c r="G1628">
        <f>Skills!G17*IF(Skills!H17&gt;0,Skills!I17/Skills!H17,1)</f>
        <v/>
      </c>
      <c r="H1628">
        <f>1-(1-Skills!J17/100)^Skills!K17</f>
        <v/>
      </c>
      <c r="I1628" t="inlineStr">
        <is>
          <t>1</t>
        </is>
      </c>
      <c r="J1628" t="inlineStr"/>
      <c r="K1628" t="inlineStr"/>
      <c r="L1628" t="inlineStr"/>
      <c r="M1628" t="inlineStr"/>
      <c r="N1628" t="inlineStr"/>
      <c r="O1628">
        <f>(1-Summary!$B$11)*T1628+Summary!$B$11*V1628</f>
        <v/>
      </c>
      <c r="P1628">
        <f>IF(B1652=0,0,O1628/B1652)</f>
        <v/>
      </c>
      <c r="Q1628" t="n">
        <v>0</v>
      </c>
      <c r="R1628" t="n">
        <v>0</v>
      </c>
      <c r="S1628">
        <f>IFERROR(O1628/N1628,0)</f>
        <v/>
      </c>
      <c r="T1628" t="n">
        <v>0</v>
      </c>
      <c r="V1628" t="n">
        <v>0</v>
      </c>
    </row>
    <row r="1629">
      <c r="A1629">
        <f>Skills!A18</f>
        <v/>
      </c>
      <c r="B1629">
        <f>Skills!B18</f>
        <v/>
      </c>
      <c r="C1629">
        <f>Inputs!$B$3&gt;=115</f>
        <v/>
      </c>
      <c r="D1629">
        <f>IF(Skills!C18=1,60+Inputs!$B$25+Inputs!$B$29,IF(Skills!C18=2,90+Inputs!$B$26+Inputs!$B$29,IF(Skills!C18=3,120+Inputs!$B$27+Inputs!$B$29,MAX(0,(Inputs!$B$3-100)*3)+Inputs!$B$28+Inputs!$B$29)))</f>
        <v/>
      </c>
      <c r="E1629">
        <f>INDEX(FactorTable!$B$2:$Y$301, MATCH(ROUND(MIN(300,MAX(1,D1629)),0), FactorTable!$A$2:$A$301,0), Skills!M18+1)</f>
        <v/>
      </c>
      <c r="F1629">
        <f>IF(Skills!N18=TRUE,(Skills!L18/10)*(E1629/1000),Skills!L18/10)+Skills!O18</f>
        <v/>
      </c>
      <c r="G1629">
        <f>Skills!G18*IF(Skills!H18&gt;0,Skills!I18/Skills!H18,1)</f>
        <v/>
      </c>
      <c r="H1629">
        <f>1-(1-Skills!J18/100)^Skills!K18</f>
        <v/>
      </c>
      <c r="I1629" t="inlineStr">
        <is>
          <t>1</t>
        </is>
      </c>
      <c r="J1629" t="inlineStr"/>
      <c r="K1629" t="inlineStr"/>
      <c r="L1629" t="inlineStr"/>
      <c r="M1629" t="inlineStr"/>
      <c r="N1629" t="inlineStr"/>
      <c r="O1629">
        <f>(1-Summary!$B$11)*T1629+Summary!$B$11*V1629</f>
        <v/>
      </c>
      <c r="P1629">
        <f>IF(B1652=0,0,O1629/B1652)</f>
        <v/>
      </c>
      <c r="Q1629">
        <f>IFERROR(1/(IF(Inputs!$B$38="pvp",15,MAX(0.1,Skills!D18-IF(Skills!E18=TRUE,Inputs!$B$32,0)))*(1-IF(AND(ArtifactsInput!$M$27,Inputs!$B$4="Chapter Hunt"),CHOOSE(ArtifactsInput!$N$27+1,20,24,28,32,36,40),0)/100)),0)</f>
        <v/>
      </c>
      <c r="R1629">
        <f>IF(AND(Inputs!$B$38&lt;&gt;"pvp",Inputs!$B$43&gt;0),IF(Inputs!$B$43&lt;=0,0,(INT(Inputs!$B$43/(IF(Inputs!$B$38="pvp",15,MAX(0.1,Skills!D18-IF(Skills!E18=TRUE,Inputs!$B$32,0)))*(1-IF(AND(ArtifactsInput!$M$27,Inputs!$B$4="Chapter Hunt"),CHOOSE(ArtifactsInput!$N$27+1,20,24,28,32,36,40),0)/100)))+1)),0)</f>
        <v/>
      </c>
      <c r="S1629">
        <f>IFERROR(O1629/N1629,0)</f>
        <v/>
      </c>
      <c r="T1629" t="n">
        <v>0</v>
      </c>
      <c r="V1629" t="n">
        <v>0</v>
      </c>
    </row>
    <row r="1630">
      <c r="A1630">
        <f>Skills!A19</f>
        <v/>
      </c>
      <c r="B1630">
        <f>Skills!B19</f>
        <v/>
      </c>
      <c r="C1630">
        <f>Inputs!$B$3&gt;=15</f>
        <v/>
      </c>
      <c r="D1630">
        <f>IF(Skills!C19=1,60+Inputs!$B$25+Inputs!$B$29,IF(Skills!C19=2,90+Inputs!$B$26+Inputs!$B$29,IF(Skills!C19=3,120+Inputs!$B$27+Inputs!$B$29,MAX(0,(Inputs!$B$3-100)*3)+Inputs!$B$28+Inputs!$B$29)))</f>
        <v/>
      </c>
      <c r="E1630">
        <f>INDEX(FactorTable!$B$2:$Y$301, MATCH(ROUND(MIN(300,MAX(1,D1630)),0), FactorTable!$A$2:$A$301,0), Skills!M19+1)</f>
        <v/>
      </c>
      <c r="F1630">
        <f>IF(Skills!N19=TRUE,(Skills!L19/10)*(E1630/1000),Skills!L19/10)+Skills!O19</f>
        <v/>
      </c>
      <c r="G1630">
        <f>Skills!G19*IF(Skills!H19&gt;0,Skills!I19/Skills!H19,1)</f>
        <v/>
      </c>
      <c r="H1630">
        <f>1-(1-Skills!J19/100)^Skills!K19</f>
        <v/>
      </c>
      <c r="I1630" t="inlineStr">
        <is>
          <t>1</t>
        </is>
      </c>
      <c r="J1630" t="inlineStr"/>
      <c r="K1630" t="inlineStr"/>
      <c r="L1630" t="inlineStr"/>
      <c r="M1630" t="inlineStr"/>
      <c r="N1630" t="inlineStr"/>
      <c r="O1630">
        <f>(1-Summary!$B$11)*T1630+Summary!$B$11*V1630</f>
        <v/>
      </c>
      <c r="P1630">
        <f>IF(B1652=0,0,O1630/B1652)</f>
        <v/>
      </c>
      <c r="Q1630" t="n">
        <v>0</v>
      </c>
      <c r="R1630" t="n">
        <v>0</v>
      </c>
      <c r="S1630">
        <f>IFERROR(O1630/N1630,0)</f>
        <v/>
      </c>
      <c r="T1630" t="n">
        <v>0</v>
      </c>
      <c r="V1630" t="n">
        <v>0</v>
      </c>
    </row>
    <row r="1631">
      <c r="A1631">
        <f>Skills!A20</f>
        <v/>
      </c>
      <c r="B1631">
        <f>Skills!B20</f>
        <v/>
      </c>
      <c r="C1631">
        <f>Inputs!$B$3&gt;=10</f>
        <v/>
      </c>
      <c r="D1631">
        <f>IF(Skills!C20=1,60+Inputs!$B$25+Inputs!$B$29,IF(Skills!C20=2,90+Inputs!$B$26+Inputs!$B$29,IF(Skills!C20=3,120+Inputs!$B$27+Inputs!$B$29,MAX(0,(Inputs!$B$3-100)*3)+Inputs!$B$28+Inputs!$B$29)))</f>
        <v/>
      </c>
      <c r="E1631">
        <f>INDEX(FactorTable!$B$2:$Y$301, MATCH(ROUND(MIN(300,MAX(1,D1631)),0), FactorTable!$A$2:$A$301,0), Skills!M20+1)</f>
        <v/>
      </c>
      <c r="F1631">
        <f>IF(Skills!N20=TRUE,(Skills!L20/10)*(E1631/1000),Skills!L20/10)+Skills!O20</f>
        <v/>
      </c>
      <c r="G1631">
        <f>Skills!G20*IF(Skills!H20&gt;0,Skills!I20/Skills!H20,1)</f>
        <v/>
      </c>
      <c r="H1631">
        <f>1-(1-Skills!J20/100)^Skills!K20</f>
        <v/>
      </c>
      <c r="I1631" t="inlineStr">
        <is>
          <t>1</t>
        </is>
      </c>
      <c r="J1631" t="inlineStr"/>
      <c r="K1631" t="inlineStr"/>
      <c r="L1631" t="inlineStr"/>
      <c r="M1631" t="inlineStr"/>
      <c r="N1631" t="inlineStr"/>
      <c r="O1631">
        <f>(1-Summary!$B$11)*T1631+Summary!$B$11*V1631</f>
        <v/>
      </c>
      <c r="P1631">
        <f>IF(B1652=0,0,O1631/B1652)</f>
        <v/>
      </c>
      <c r="Q1631" t="n">
        <v>0</v>
      </c>
      <c r="R1631" t="n">
        <v>0</v>
      </c>
      <c r="S1631">
        <f>IFERROR(O1631/N1631,0)</f>
        <v/>
      </c>
      <c r="T1631" t="n">
        <v>0</v>
      </c>
      <c r="V1631" t="n">
        <v>0</v>
      </c>
    </row>
    <row r="1632">
      <c r="A1632">
        <f>Skills!A21</f>
        <v/>
      </c>
      <c r="B1632">
        <f>Skills!B21</f>
        <v/>
      </c>
      <c r="C1632">
        <f>Inputs!$B$3&gt;=33</f>
        <v/>
      </c>
      <c r="D1632">
        <f>IF(Skills!C21=1,60+Inputs!$B$25+Inputs!$B$29,IF(Skills!C21=2,90+Inputs!$B$26+Inputs!$B$29,IF(Skills!C21=3,120+Inputs!$B$27+Inputs!$B$29,MAX(0,(Inputs!$B$3-100)*3)+Inputs!$B$28+Inputs!$B$29)))</f>
        <v/>
      </c>
      <c r="E1632">
        <f>INDEX(FactorTable!$B$2:$Y$301, MATCH(ROUND(MIN(300,MAX(1,D1632)),0), FactorTable!$A$2:$A$301,0), Skills!M21+1)</f>
        <v/>
      </c>
      <c r="F1632">
        <f>IF(Skills!N21=TRUE,(Skills!L21/10)*(E1632/1000),Skills!L21/10)+Skills!O21</f>
        <v/>
      </c>
      <c r="G1632">
        <f>Skills!G21*IF(Skills!H21&gt;0,Skills!I21/Skills!H21,1)</f>
        <v/>
      </c>
      <c r="H1632">
        <f>1-(1-Skills!J21/100)^Skills!K21</f>
        <v/>
      </c>
      <c r="I1632" t="inlineStr">
        <is>
          <t>1</t>
        </is>
      </c>
      <c r="J1632" t="inlineStr"/>
      <c r="K1632" t="inlineStr"/>
      <c r="L1632" t="inlineStr"/>
      <c r="M1632" t="inlineStr"/>
      <c r="N1632" t="inlineStr"/>
      <c r="O1632">
        <f>(1-Summary!$B$11)*T1632+Summary!$B$11*V1632</f>
        <v/>
      </c>
      <c r="P1632">
        <f>IF(B1652=0,0,O1632/B1652)</f>
        <v/>
      </c>
      <c r="Q1632" t="n">
        <v>0</v>
      </c>
      <c r="R1632" t="n">
        <v>0</v>
      </c>
      <c r="S1632">
        <f>IFERROR(O1632/N1632,0)</f>
        <v/>
      </c>
      <c r="T1632" t="n">
        <v>0</v>
      </c>
      <c r="V1632" t="n">
        <v>0</v>
      </c>
    </row>
    <row r="1633">
      <c r="A1633">
        <f>Skills!A22</f>
        <v/>
      </c>
      <c r="B1633">
        <f>Skills!B22</f>
        <v/>
      </c>
      <c r="C1633">
        <f>Inputs!$B$3&gt;=43</f>
        <v/>
      </c>
      <c r="D1633">
        <f>IF(Skills!C22=1,60+Inputs!$B$25+Inputs!$B$29,IF(Skills!C22=2,90+Inputs!$B$26+Inputs!$B$29,IF(Skills!C22=3,120+Inputs!$B$27+Inputs!$B$29,MAX(0,(Inputs!$B$3-100)*3)+Inputs!$B$28+Inputs!$B$29)))</f>
        <v/>
      </c>
      <c r="E1633">
        <f>INDEX(FactorTable!$B$2:$Y$301, MATCH(ROUND(MIN(300,MAX(1,D1633)),0), FactorTable!$A$2:$A$301,0), Skills!M22+1)</f>
        <v/>
      </c>
      <c r="F1633">
        <f>IF(Skills!N22=TRUE,(Skills!L22/10)*(E1633/1000),Skills!L22/10)+Skills!O22</f>
        <v/>
      </c>
      <c r="G1633">
        <f>Skills!G22*IF(Skills!H22&gt;0,Skills!I22/Skills!H22,1)</f>
        <v/>
      </c>
      <c r="H1633">
        <f>1-(1-Skills!J22/100)^Skills!K22</f>
        <v/>
      </c>
      <c r="I1633" t="inlineStr">
        <is>
          <t>1</t>
        </is>
      </c>
      <c r="J1633" t="inlineStr"/>
      <c r="K1633" t="inlineStr"/>
      <c r="L1633" t="inlineStr"/>
      <c r="M1633" t="inlineStr"/>
      <c r="N1633" t="inlineStr"/>
      <c r="O1633">
        <f>(1-Summary!$B$11)*T1633+Summary!$B$11*V1633</f>
        <v/>
      </c>
      <c r="P1633">
        <f>IF(B1652=0,0,O1633/B1652)</f>
        <v/>
      </c>
      <c r="Q1633" t="n">
        <v>0</v>
      </c>
      <c r="R1633" t="n">
        <v>0</v>
      </c>
      <c r="S1633">
        <f>IFERROR(O1633/N1633,0)</f>
        <v/>
      </c>
      <c r="T1633" t="n">
        <v>0</v>
      </c>
      <c r="V1633" t="n">
        <v>0</v>
      </c>
    </row>
    <row r="1634">
      <c r="A1634">
        <f>Skills!A23</f>
        <v/>
      </c>
      <c r="B1634">
        <f>Skills!B23</f>
        <v/>
      </c>
      <c r="C1634">
        <f>Inputs!$B$3&gt;=38</f>
        <v/>
      </c>
      <c r="D1634">
        <f>IF(Skills!C23=1,60+Inputs!$B$25+Inputs!$B$29,IF(Skills!C23=2,90+Inputs!$B$26+Inputs!$B$29,IF(Skills!C23=3,120+Inputs!$B$27+Inputs!$B$29,MAX(0,(Inputs!$B$3-100)*3)+Inputs!$B$28+Inputs!$B$29)))</f>
        <v/>
      </c>
      <c r="E1634">
        <f>INDEX(FactorTable!$B$2:$Y$301, MATCH(ROUND(MIN(300,MAX(1,D1634)),0), FactorTable!$A$2:$A$301,0), Skills!M23+1)</f>
        <v/>
      </c>
      <c r="F1634">
        <f>IF(Skills!N23=TRUE,(Skills!L23/10)*(E1634/1000),Skills!L23/10)+Skills!O23</f>
        <v/>
      </c>
      <c r="G1634">
        <f>Skills!G23*IF(Skills!H23&gt;0,Skills!I23/Skills!H23,1)</f>
        <v/>
      </c>
      <c r="H1634">
        <f>1-(1-Skills!J23/100)^Skills!K23</f>
        <v/>
      </c>
      <c r="I1634" t="inlineStr">
        <is>
          <t>1</t>
        </is>
      </c>
      <c r="J1634" t="inlineStr"/>
      <c r="K1634" t="inlineStr"/>
      <c r="L1634" t="inlineStr"/>
      <c r="M1634" t="inlineStr"/>
      <c r="N1634" t="inlineStr"/>
      <c r="O1634">
        <f>(1-Summary!$B$11)*T1634+Summary!$B$11*V1634</f>
        <v/>
      </c>
      <c r="P1634">
        <f>IF(B1652=0,0,O1634/B1652)</f>
        <v/>
      </c>
      <c r="Q1634" t="n">
        <v>0</v>
      </c>
      <c r="R1634" t="n">
        <v>0</v>
      </c>
      <c r="S1634">
        <f>IFERROR(O1634/N1634,0)</f>
        <v/>
      </c>
      <c r="T1634" t="n">
        <v>0</v>
      </c>
      <c r="V1634" t="n">
        <v>0</v>
      </c>
    </row>
    <row r="1635">
      <c r="A1635">
        <f>Skills!A24</f>
        <v/>
      </c>
      <c r="B1635">
        <f>Skills!B24</f>
        <v/>
      </c>
      <c r="C1635">
        <f>Inputs!$B$3&gt;=40</f>
        <v/>
      </c>
      <c r="D1635">
        <f>IF(Skills!C24=1,60+Inputs!$B$25+Inputs!$B$29,IF(Skills!C24=2,90+Inputs!$B$26+Inputs!$B$29,IF(Skills!C24=3,120+Inputs!$B$27+Inputs!$B$29,MAX(0,(Inputs!$B$3-100)*3)+Inputs!$B$28+Inputs!$B$29)))</f>
        <v/>
      </c>
      <c r="E1635">
        <f>INDEX(FactorTable!$B$2:$Y$301, MATCH(ROUND(MIN(300,MAX(1,D1635)),0), FactorTable!$A$2:$A$301,0), Skills!M24+1)</f>
        <v/>
      </c>
      <c r="F1635">
        <f>IF(Skills!N24=TRUE,(Skills!L24/10)*(E1635/1000),Skills!L24/10)+Skills!O24</f>
        <v/>
      </c>
      <c r="G1635">
        <f>Skills!G24*IF(Skills!H24&gt;0,Skills!I24/Skills!H24,1)</f>
        <v/>
      </c>
      <c r="H1635">
        <f>1-(1-Skills!J24/100)^Skills!K24</f>
        <v/>
      </c>
      <c r="I1635" t="inlineStr">
        <is>
          <t>1</t>
        </is>
      </c>
      <c r="J1635" t="inlineStr"/>
      <c r="K1635" t="inlineStr"/>
      <c r="L1635" t="inlineStr"/>
      <c r="M1635" t="inlineStr"/>
      <c r="N1635" t="inlineStr"/>
      <c r="O1635">
        <f>(1-Summary!$B$11)*T1635+Summary!$B$11*V1635</f>
        <v/>
      </c>
      <c r="P1635">
        <f>IF(B1652=0,0,O1635/B1652)</f>
        <v/>
      </c>
      <c r="Q1635" t="n">
        <v>0</v>
      </c>
      <c r="R1635" t="n">
        <v>0</v>
      </c>
      <c r="S1635">
        <f>IFERROR(O1635/N1635,0)</f>
        <v/>
      </c>
      <c r="T1635" t="n">
        <v>0</v>
      </c>
      <c r="V1635" t="n">
        <v>0</v>
      </c>
    </row>
    <row r="1636">
      <c r="A1636">
        <f>Skills!A25</f>
        <v/>
      </c>
      <c r="B1636">
        <f>Skills!B25</f>
        <v/>
      </c>
      <c r="C1636">
        <f>Inputs!$B$3&gt;=72</f>
        <v/>
      </c>
      <c r="D1636">
        <f>IF(Skills!C25=1,60+Inputs!$B$25+Inputs!$B$29,IF(Skills!C25=2,90+Inputs!$B$26+Inputs!$B$29,IF(Skills!C25=3,120+Inputs!$B$27+Inputs!$B$29,MAX(0,(Inputs!$B$3-100)*3)+Inputs!$B$28+Inputs!$B$29)))</f>
        <v/>
      </c>
      <c r="E1636">
        <f>INDEX(FactorTable!$B$2:$Y$301, MATCH(ROUND(MIN(300,MAX(1,D1636)),0), FactorTable!$A$2:$A$301,0), Skills!M25+1)</f>
        <v/>
      </c>
      <c r="F1636">
        <f>IF(Skills!N25=TRUE,(Skills!L25/10)*(E1636/1000),Skills!L25/10)+Skills!O25</f>
        <v/>
      </c>
      <c r="G1636">
        <f>Skills!G25*IF(Skills!H25&gt;0,Skills!I25/Skills!H25,1)</f>
        <v/>
      </c>
      <c r="H1636">
        <f>1-(1-Skills!J25/100)^Skills!K25</f>
        <v/>
      </c>
      <c r="I1636" t="inlineStr">
        <is>
          <t>1</t>
        </is>
      </c>
      <c r="J1636" t="inlineStr"/>
      <c r="K1636" t="inlineStr"/>
      <c r="L1636" t="inlineStr"/>
      <c r="M1636" t="inlineStr"/>
      <c r="N1636" t="inlineStr"/>
      <c r="O1636">
        <f>(1-Summary!$B$11)*T1636+Summary!$B$11*V1636</f>
        <v/>
      </c>
      <c r="P1636">
        <f>IF(B1652=0,0,O1636/B1652)</f>
        <v/>
      </c>
      <c r="Q1636" t="n">
        <v>0</v>
      </c>
      <c r="R1636" t="n">
        <v>0</v>
      </c>
      <c r="S1636">
        <f>IFERROR(O1636/N1636,0)</f>
        <v/>
      </c>
      <c r="T1636" t="n">
        <v>0</v>
      </c>
      <c r="V1636" t="n">
        <v>0</v>
      </c>
    </row>
    <row r="1637">
      <c r="A1637">
        <f>Skills!A26</f>
        <v/>
      </c>
      <c r="B1637">
        <f>Skills!B26</f>
        <v/>
      </c>
      <c r="C1637">
        <f>Inputs!$B$3&gt;=75</f>
        <v/>
      </c>
      <c r="D1637">
        <f>IF(Skills!C26=1,60+Inputs!$B$25+Inputs!$B$29,IF(Skills!C26=2,90+Inputs!$B$26+Inputs!$B$29,IF(Skills!C26=3,120+Inputs!$B$27+Inputs!$B$29,MAX(0,(Inputs!$B$3-100)*3)+Inputs!$B$28+Inputs!$B$29)))</f>
        <v/>
      </c>
      <c r="E1637">
        <f>INDEX(FactorTable!$B$2:$Y$301, MATCH(ROUND(MIN(300,MAX(1,D1637)),0), FactorTable!$A$2:$A$301,0), Skills!M26+1)</f>
        <v/>
      </c>
      <c r="F1637">
        <f>IF(Skills!N26=TRUE,(Skills!L26/10)*(E1637/1000),Skills!L26/10)+Skills!O26</f>
        <v/>
      </c>
      <c r="G1637">
        <f>Skills!G26*IF(Skills!H26&gt;0,Skills!I26/Skills!H26,1)</f>
        <v/>
      </c>
      <c r="H1637">
        <f>1-(1-Skills!J26/100)^Skills!K26</f>
        <v/>
      </c>
      <c r="I1637" t="inlineStr">
        <is>
          <t>1</t>
        </is>
      </c>
      <c r="J1637" t="inlineStr"/>
      <c r="K1637" t="inlineStr"/>
      <c r="L1637" t="inlineStr"/>
      <c r="M1637" t="inlineStr"/>
      <c r="N1637" t="inlineStr"/>
      <c r="O1637">
        <f>(1-Summary!$B$11)*T1637+Summary!$B$11*V1637</f>
        <v/>
      </c>
      <c r="P1637">
        <f>IF(B1652=0,0,O1637/B1652)</f>
        <v/>
      </c>
      <c r="Q1637" t="n">
        <v>0</v>
      </c>
      <c r="R1637" t="n">
        <v>0</v>
      </c>
      <c r="S1637">
        <f>IFERROR(O1637/N1637,0)</f>
        <v/>
      </c>
      <c r="T1637" t="n">
        <v>0</v>
      </c>
      <c r="V1637" t="n">
        <v>0</v>
      </c>
    </row>
    <row r="1638">
      <c r="A1638">
        <f>Skills!A27</f>
        <v/>
      </c>
      <c r="B1638">
        <f>Skills!B27</f>
        <v/>
      </c>
      <c r="C1638">
        <f>Inputs!$B$3&gt;=117</f>
        <v/>
      </c>
      <c r="D1638">
        <f>IF(Skills!C27=1,60+Inputs!$B$25+Inputs!$B$29,IF(Skills!C27=2,90+Inputs!$B$26+Inputs!$B$29,IF(Skills!C27=3,120+Inputs!$B$27+Inputs!$B$29,MAX(0,(Inputs!$B$3-100)*3)+Inputs!$B$28+Inputs!$B$29)))</f>
        <v/>
      </c>
      <c r="E1638">
        <f>INDEX(FactorTable!$B$2:$Y$301, MATCH(ROUND(MIN(300,MAX(1,D1638)),0), FactorTable!$A$2:$A$301,0), Skills!M27+1)</f>
        <v/>
      </c>
      <c r="F1638">
        <f>IF(Skills!N27=TRUE,(Skills!L27/10)*(E1638/1000),Skills!L27/10)+Skills!O27</f>
        <v/>
      </c>
      <c r="G1638">
        <f>Skills!G27*IF(Skills!H27&gt;0,Skills!I27/Skills!H27,1)</f>
        <v/>
      </c>
      <c r="H1638">
        <f>1-(1-Skills!J27/100)^Skills!K27</f>
        <v/>
      </c>
      <c r="I1638" t="inlineStr">
        <is>
          <t>1</t>
        </is>
      </c>
      <c r="J1638" t="inlineStr"/>
      <c r="K1638" t="inlineStr"/>
      <c r="L1638" t="inlineStr"/>
      <c r="M1638" t="inlineStr"/>
      <c r="N1638" t="inlineStr"/>
      <c r="O1638">
        <f>(1-Summary!$B$11)*T1638+Summary!$B$11*V1638</f>
        <v/>
      </c>
      <c r="P1638">
        <f>IF(B1652=0,0,O1638/B1652)</f>
        <v/>
      </c>
      <c r="Q1638" t="n">
        <v>0</v>
      </c>
      <c r="R1638" t="n">
        <v>0</v>
      </c>
      <c r="S1638">
        <f>IFERROR(O1638/N1638,0)</f>
        <v/>
      </c>
      <c r="T1638" t="n">
        <v>0</v>
      </c>
      <c r="V1638" t="n">
        <v>0</v>
      </c>
    </row>
    <row r="1639">
      <c r="A1639">
        <f>Skills!A28</f>
        <v/>
      </c>
      <c r="B1639">
        <f>Skills!B28</f>
        <v/>
      </c>
      <c r="C1639">
        <f>TRUE</f>
        <v/>
      </c>
      <c r="D1639">
        <f>IF(Skills!C28=1,60+Inputs!$B$25+Inputs!$B$29,IF(Skills!C28=2,90+Inputs!$B$26+Inputs!$B$29,IF(Skills!C28=3,120+Inputs!$B$27+Inputs!$B$29,MAX(0,(Inputs!$B$3-100)*3)+Inputs!$B$28+Inputs!$B$29)))</f>
        <v/>
      </c>
      <c r="E1639">
        <f>INDEX(FactorTable!$B$2:$Y$301, MATCH(ROUND(MIN(300,MAX(1,D1639)),0), FactorTable!$A$2:$A$301,0), Skills!M28+1)</f>
        <v/>
      </c>
      <c r="F1639">
        <f>IF(Skills!N28=TRUE,(Skills!L28/10)*(E1639/1000),Skills!L28/10)+Skills!O28</f>
        <v/>
      </c>
      <c r="G1639">
        <f>Skills!G28*IF(Skills!H28&gt;0,Skills!I28/Skills!H28,1)</f>
        <v/>
      </c>
      <c r="H1639">
        <f>1-(1-Skills!J28/100)^Skills!K28</f>
        <v/>
      </c>
      <c r="I1639" t="inlineStr">
        <is>
          <t>1</t>
        </is>
      </c>
      <c r="J1639" t="inlineStr"/>
      <c r="K1639" t="inlineStr"/>
      <c r="L1639" t="inlineStr"/>
      <c r="M1639" t="inlineStr"/>
      <c r="N1639" t="inlineStr"/>
      <c r="O1639">
        <f>(1-Summary!$B$11)*T1639+Summary!$B$11*V1639</f>
        <v/>
      </c>
      <c r="P1639">
        <f>IF(B1652=0,0,O1639/B1652)</f>
        <v/>
      </c>
      <c r="Q1639">
        <f>IFERROR(1/(IF(Inputs!$B$38="pvp",15,MAX(0.1,Skills!D28-IF(Skills!E28=TRUE,Inputs!$B$32,0)))*(1-IF(AND(ArtifactsInput!$M$27,Inputs!$B$4="Chapter Hunt"),CHOOSE(ArtifactsInput!$N$27+1,20,24,28,32,36,40),0)/100)),0)</f>
        <v/>
      </c>
      <c r="R1639">
        <f>IF(AND(Inputs!$B$38&lt;&gt;"pvp",Inputs!$B$43&gt;0),IF(Inputs!$B$43&lt;=0,0,(INT(Inputs!$B$43/(IF(Inputs!$B$38="pvp",15,MAX(0.1,Skills!D28-IF(Skills!E28=TRUE,Inputs!$B$32,0)))*(1-IF(AND(ArtifactsInput!$M$27,Inputs!$B$4="Chapter Hunt"),CHOOSE(ArtifactsInput!$N$27+1,20,24,28,32,36,40),0)/100)))+1)),0)</f>
        <v/>
      </c>
      <c r="S1639">
        <f>IFERROR(O1639/N1639,0)</f>
        <v/>
      </c>
      <c r="T1639" t="n">
        <v>0</v>
      </c>
      <c r="V1639" t="n">
        <v>0</v>
      </c>
    </row>
    <row r="1641">
      <c r="A1641" t="inlineStr">
        <is>
          <t>Attack% Bucket Multiplier</t>
        </is>
      </c>
      <c r="B1641">
        <f>(1+(((C1628=TRUE)*F1628*5/7)+((C1635=TRUE)*(F1635-Calc!F24))+(IF(ArtifactsInput!$M$21,CHOOSE(ArtifactsInput!$N$21+1,25,30,35,40,45,50)*(IF(OR(Inputs!$B$4="Chapter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42">
      <c r="A1642" t="inlineStr">
        <is>
          <t>Global Crit Rate Bonus %</t>
        </is>
      </c>
      <c r="B1642" t="n">
        <v>0</v>
      </c>
    </row>
    <row r="1643">
      <c r="A1643" t="inlineStr">
        <is>
          <t>Attack Speed Buff Bonus % (Nimble Feet, duty-cycle averaged)</t>
        </is>
      </c>
      <c r="B1643">
        <f>((C1639=TRUE)*F1639*IF(AND(Inputs!$B$38&lt;&gt;"pvp",Inputs!$B$43&gt;0),(((R1639-1)*(Skills!T28*(1+Inputs!$B$34/100))+MIN((Skills!T28*(1+Inputs!$B$34/100)),MAX(0,Inputs!$B$43-((R1639-1)*Skills!D28))))/Inputs!$B$43),IF(Inputs!$B$38="pvp",MIN((Skills!T28*(1+Inputs!$B$34/100)),15)/15,(Skills!T28*(1+Inputs!$B$34/100))/Skills!D28)))</f>
        <v/>
      </c>
    </row>
    <row r="1644">
      <c r="A1644" t="inlineStr">
        <is>
          <t>Actions Per Second</t>
        </is>
      </c>
      <c r="B1644">
        <f>1+MIN(150,150*(1-(1-(Inputs!$B$11+((C1631=TRUE)*(F1631-Calc!F20))+((C1632=TRUE)*(F1632-Calc!F21)))/150)*(1-B1643/150)))/100</f>
        <v/>
      </c>
    </row>
    <row r="1645">
      <c r="A1645" t="inlineStr">
        <is>
          <t>Skill + Buff Cast Rate</t>
        </is>
      </c>
      <c r="B1645">
        <f>IF(AND(Inputs!$B$38&lt;&gt;"pvp",Inputs!$B$43&gt;0),SUMPRODUCT((Skills!E2:E28=TRUE)*(C1613:C1639=TRUE)*R1613:R1639*Skills!F2:F28)/Inputs!$B$43,SUMPRODUCT((Skills!E2:E28=TRUE)*(C1613:C1639=TRUE)*Q1613:Q1639*Skills!F2:F28))</f>
        <v/>
      </c>
    </row>
    <row r="1646">
      <c r="A1646" t="inlineStr">
        <is>
          <t>Eight-Legs Easton Casts Per Second</t>
        </is>
      </c>
      <c r="B1646">
        <f>MAX(0,B1644-B1645)</f>
        <v/>
      </c>
    </row>
    <row r="1647">
      <c r="A1647" t="inlineStr">
        <is>
          <t>Global Critical Damage Bonus % (unused)</t>
        </is>
      </c>
      <c r="B1647" t="n">
        <v>0</v>
      </c>
    </row>
    <row r="1648">
      <c r="A1648" t="inlineStr">
        <is>
          <t>Global Final Damage Bonus % (Jolly Roger + Ahoy Mateys - Final Damage proc)</t>
        </is>
      </c>
      <c r="B1648">
        <f>((C1629=TRUE)*F1629*IF(AND(Inputs!$B$38&lt;&gt;"pvp",Inputs!$B$43&gt;0),(((R1629-1)*(Skills!T18*(1+Inputs!$B$34/100))+MIN((Skills!T18*(1+Inputs!$B$34/100)),MAX(0,Inputs!$B$43-((R1629-1)*Skills!D18))))/Inputs!$B$43),IF(Inputs!$B$38="pvp",MIN((Skills!T18*(1+Inputs!$B$34/100)),15)/15,(Skills!T18*(1+Inputs!$B$34/100))/Skills!D18)))+IF(Inputs!$B$3&gt;=122,20*IF(Inputs!$B$38="pvp",MIN((20*(1+Inputs!$B$34/100)),15)/15,(20*(1+Inputs!$B$34/100))/Skills!D4),0)</f>
        <v/>
      </c>
    </row>
    <row r="1649">
      <c r="A1649" t="inlineStr">
        <is>
          <t>Buff-Casting Startup Delay (s, fixed-duration only)</t>
        </is>
      </c>
      <c r="B1649">
        <f>IF(AND(Inputs!$B$38&lt;&gt;"pvp",Inputs!$B$43&gt;0),SUMPRODUCT((Skills!T2:T28&gt;0)*(Skills!E2:E28=TRUE)*(C1613:C1639=TRUE))/B1644,0)</f>
        <v/>
      </c>
    </row>
    <row r="1650">
      <c r="A1650" t="inlineStr">
        <is>
          <t>Boss-Only Total DPS (this block's swept value)</t>
        </is>
      </c>
      <c r="B1650">
        <f>SUM(T1613:T1639)</f>
        <v/>
      </c>
    </row>
    <row r="1651">
      <c r="A1651" t="inlineStr">
        <is>
          <t>Normal-Only Total DPS (this block's swept value)</t>
        </is>
      </c>
      <c r="B1651">
        <f>SUM(V1613:V1639)</f>
        <v/>
      </c>
    </row>
    <row r="1652">
      <c r="A1652" s="6" t="inlineStr">
        <is>
          <t>TOTAL DPS</t>
        </is>
      </c>
      <c r="B1652" s="6">
        <f>SUM(O1613:O1639)</f>
        <v/>
      </c>
    </row>
    <row r="1655">
      <c r="A1655" s="6" t="inlineStr">
        <is>
          <t>Stat: Zakum's Stone Piece (Equip)</t>
        </is>
      </c>
    </row>
    <row r="1656">
      <c r="A1656" s="5" t="inlineStr">
        <is>
          <t>Key</t>
        </is>
      </c>
      <c r="B1656" s="5" t="inlineStr">
        <is>
          <t>Name</t>
        </is>
      </c>
      <c r="C1656" s="5" t="inlineStr">
        <is>
          <t>Unlocked</t>
        </is>
      </c>
      <c r="D1656" s="5" t="inlineStr">
        <is>
          <t>InputLevel</t>
        </is>
      </c>
      <c r="E1656" s="5" t="inlineStr">
        <is>
          <t>Factor</t>
        </is>
      </c>
      <c r="F1656" s="5" t="inlineStr">
        <is>
          <t>CoefficientPercent</t>
        </is>
      </c>
      <c r="G1656" s="5" t="inlineStr">
        <is>
          <t>EffectiveHits</t>
        </is>
      </c>
      <c r="H1656" s="5" t="inlineStr">
        <is>
          <t>ProcProbability</t>
        </is>
      </c>
      <c r="I1656" s="5" t="inlineStr">
        <is>
          <t>MapleHeroMultiplier</t>
        </is>
      </c>
      <c r="J1656" s="5" t="inlineStr">
        <is>
          <t>BaseDamage</t>
        </is>
      </c>
      <c r="K1656" s="5" t="inlineStr">
        <is>
          <t>BaseHitDamage</t>
        </is>
      </c>
      <c r="L1656" s="5" t="inlineStr">
        <is>
          <t>NonCritAvg</t>
        </is>
      </c>
      <c r="M1656" s="5" t="inlineStr">
        <is>
          <t>CritAvg</t>
        </is>
      </c>
      <c r="N1656" s="5" t="inlineStr">
        <is>
          <t>ExpectedDamage(perHit)</t>
        </is>
      </c>
      <c r="O1656" s="5" t="inlineStr">
        <is>
          <t>DPS</t>
        </is>
      </c>
      <c r="P1656" s="5" t="inlineStr">
        <is>
          <t>% of Total</t>
        </is>
      </c>
      <c r="Q1656" s="5" t="inlineStr">
        <is>
          <t>InvCooldown</t>
        </is>
      </c>
      <c r="R1656" s="5" t="inlineStr">
        <is>
          <t>CastsInFight</t>
        </is>
      </c>
      <c r="S1656" s="5" t="inlineStr">
        <is>
          <t>HitRate(perSec)</t>
        </is>
      </c>
      <c r="U1656" t="inlineStr">
        <is>
          <t>helpers</t>
        </is>
      </c>
    </row>
    <row r="1657">
      <c r="A1657">
        <f>Skills!A2</f>
        <v/>
      </c>
      <c r="B1657">
        <f>Skills!B2</f>
        <v/>
      </c>
      <c r="C1657">
        <f>Inputs!$B$3&gt;=100</f>
        <v/>
      </c>
      <c r="D1657" t="inlineStr"/>
      <c r="E1657" t="inlineStr"/>
      <c r="F1657">
        <f>U1659+Skills!O2</f>
        <v/>
      </c>
      <c r="G1657">
        <f>Skills!G2*IF(Skills!H2&gt;0,Skills!I2/Skills!H2,1)</f>
        <v/>
      </c>
      <c r="H1657">
        <f>1-(1-Skills!J2/100)^Skills!K2</f>
        <v/>
      </c>
      <c r="I1657" t="inlineStr">
        <is>
          <t>1</t>
        </is>
      </c>
      <c r="J1657">
        <f>((Inputs!$B$6*(1+Inputs!$B$7/100))+(((Inputs!$B$12*(1+Inputs!$B$13/100))-(Inputs!$B$12*(1+Inputs!$B$13/100)))+0.25*(Inputs!$B$14-Inputs!$B$14))*(1+Inputs!$B$7/100))*(F1657/100)</f>
        <v/>
      </c>
      <c r="K1657">
        <f>J1657*(1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1657)</f>
        <v/>
      </c>
      <c r="L1657">
        <f>K1657*(MIN(Inputs!$B$22+((C1677=TRUE)*(F1677-Calc!F22)),(Inputs!$B$23+0+(IF(ArtifactsInput!$M$15,CHOOSE(ArtifactsInput!$N$15+1,25,30,35,40,45,50)/100*(Inputs!$B$11-Inputs!$B$11),0))))/100+(Inputs!$B$23+0+(IF(ArtifactsInput!$M$15,CHOOSE(ArtifactsInput!$N$15+1,25,30,35,40,45,50)/100*(Inputs!$B$11-Inputs!$B$11),0)))/100)/2</f>
        <v/>
      </c>
      <c r="M1657">
        <f>L1657*(1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7">
        <f>L1657*(1-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1657*(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7">
        <f>(1-Summary!$B$11)*T1657+Summary!$B$11*V1657</f>
        <v/>
      </c>
      <c r="P1657">
        <f>IF(B1696=0,0,O1657/B1696)</f>
        <v/>
      </c>
      <c r="Q1657" t="n">
        <v>0</v>
      </c>
      <c r="R1657" t="n">
        <v>0</v>
      </c>
      <c r="S1657">
        <f>IFERROR(O1657/N1657,0)</f>
        <v/>
      </c>
      <c r="T1657">
        <f>IF(C1657,(Skills!G2*N1657*B1690)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1657*(1-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1657*(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1657*(1-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1657*(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57">
        <f>MAX(0,(Inputs!$B$3-100)*3)+Inputs!$B$28+Inputs!$B$29</f>
        <v/>
      </c>
      <c r="V1657">
        <f>IF(C1657,(Skills!G2*N1657*B1690)*IF(Inputs!$B$38="pvp",1,(1+(Inputs!$B$21+Skills!Q2+(IF(ArtifactsInput!$M$33,CHOOSE(ArtifactsInput!$N$33+1,30,36,42,48,54,60),0))+(IF(AND(ArtifactsInput!$M$35,Inputs!$B$4&lt;&gt;"Chapter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8">
      <c r="A1658">
        <f>Skills!A3</f>
        <v/>
      </c>
      <c r="B1658">
        <f>Skills!B3</f>
        <v/>
      </c>
      <c r="C1658">
        <f>Inputs!$B$3&gt;=35</f>
        <v/>
      </c>
      <c r="D1658">
        <f>IF(Skills!C3=1,60+Inputs!$B$25+Inputs!$B$29,IF(Skills!C3=2,90+Inputs!$B$26+Inputs!$B$29,IF(Skills!C3=3,120+Inputs!$B$27+Inputs!$B$29,MAX(0,(Inputs!$B$3-100)*3)+Inputs!$B$28+Inputs!$B$29)))</f>
        <v/>
      </c>
      <c r="E1658">
        <f>INDEX(FactorTable!$B$2:$Y$301, MATCH(ROUND(MIN(300,MAX(1,D1658)),0), FactorTable!$A$2:$A$301,0), Skills!M3+1)</f>
        <v/>
      </c>
      <c r="F1658">
        <f>IF(Skills!N3=TRUE,(Skills!L3/10)*(E1658/1000),Skills!L3/10)+Skills!O3</f>
        <v/>
      </c>
      <c r="G1658">
        <f>Skills!G3*IF(Skills!H3&gt;0,Skills!I3/Skills!H3,1)</f>
        <v/>
      </c>
      <c r="H1658">
        <f>1-(1-Skills!J3/100)^Skills!K3</f>
        <v/>
      </c>
      <c r="I1658" t="inlineStr">
        <is>
          <t>1</t>
        </is>
      </c>
      <c r="J1658">
        <f>((Inputs!$B$6*(1+Inputs!$B$7/100))+(((Inputs!$B$12*(1+Inputs!$B$13/100))-(Inputs!$B$12*(1+Inputs!$B$13/100)))+0.25*(Inputs!$B$14-Inputs!$B$14))*(1+Inputs!$B$7/100))*(F1658/100)</f>
        <v/>
      </c>
      <c r="K1658">
        <f>J1658*(1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1670=TRUE,F1670,0)/100)*(1+(IF(Skills!A3="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1658)</f>
        <v/>
      </c>
      <c r="L1658">
        <f>K1658*(MIN(Inputs!$B$22+((C1677=TRUE)*(F1677-Calc!F22)),(Inputs!$B$23+0+(IF(ArtifactsInput!$M$15,CHOOSE(ArtifactsInput!$N$15+1,25,30,35,40,45,50)/100*(Inputs!$B$11-Inputs!$B$11),0))))/100+(Inputs!$B$23+0+(IF(ArtifactsInput!$M$15,CHOOSE(ArtifactsInput!$N$15+1,25,30,35,40,45,50)/100*(Inputs!$B$11-Inputs!$B$11),0)))/100)/2</f>
        <v/>
      </c>
      <c r="M1658">
        <f>L1658*(1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8">
        <f>L1658*(1-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1658*(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8">
        <f>(1-Summary!$B$11)*T1658+Summary!$B$11*V1658</f>
        <v/>
      </c>
      <c r="P1658">
        <f>IF(B1696=0,0,O1658/B1696)</f>
        <v/>
      </c>
      <c r="Q1658">
        <f>IFERROR(1/(IF(Inputs!$B$38="pvp",15,MAX(0.1,Skills!D3-IF(Skills!E3=TRUE,Inputs!$B$32,0)))*(1-IF(AND(ArtifactsInput!$M$27,Inputs!$B$4="Chapter Hunt"),CHOOSE(ArtifactsInput!$N$27+1,20,24,28,32,36,40),0)/100)),0)</f>
        <v/>
      </c>
      <c r="R1658">
        <f>IF(AND(Inputs!$B$38&lt;&gt;"pvp",Inputs!$B$43&gt;0),IF(MAX(0,Inputs!$B$43-B1693)&lt;=0,0,(INT(MAX(0,Inputs!$B$43-B1693)/(IF(Inputs!$B$38="pvp",15,MAX(0.1,Skills!D3-IF(Skills!E3=TRUE,Inputs!$B$32,0)))*(1-IF(AND(ArtifactsInput!$M$27,Inputs!$B$4="Chapter Hunt"),CHOOSE(ArtifactsInput!$N$27+1,20,24,28,32,36,40),0)/100)))+1)),0)</f>
        <v/>
      </c>
      <c r="S1658">
        <f>IFERROR(O1658/N1658,0)</f>
        <v/>
      </c>
      <c r="T1658">
        <f>IF(C1658,(H1658*N1658*IF(AND(Inputs!$B$38&lt;&gt;"pvp",Inputs!$B$43&gt;0),((Skills!G3*((R1658-1)*IF(Skills!H3&gt;0,Skills!I3/Skills!H3,1)+IF(Skills!H3&gt;0,MIN(Skills!I3,MAX(0,MAX(0,Inputs!$B$43-B1693)-((R1658-1)*(IF(Inputs!$B$38="pvp",15,MAX(0.1,Skills!D3-IF(Skills!E3=TRUE,Inputs!$B$32,0)))*(1-IF(AND(ArtifactsInput!$M$27,Inputs!$B$4="Chapter Hunt"),CHOOSE(ArtifactsInput!$N$27+1,20,24,28,32,36,40),0)/100)))))/Skills!H3,1)))/Inputs!$B$43),G1658*Q1658)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1658*(1-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1658*(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1658*(1-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1658*(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58">
        <f>INDEX(FactorTable!$B$2:$Y$301, MATCH(ROUND(MIN(300,MAX(1,U1657)),0), FactorTable!$A$2:$A$301,0), 22)</f>
        <v/>
      </c>
      <c r="V1658">
        <f>IF(C1658,(H1658*N1658*IF(AND(Inputs!$B$38&lt;&gt;"pvp",Inputs!$B$43&gt;0),((Skills!G3*((R1658-1)*IF(Skills!H3&gt;0,Skills!I3/Skills!H3,1)+IF(Skills!H3&gt;0,MIN(Skills!I3,MAX(0,MAX(0,Inputs!$B$43-B1693)-((R1658-1)*(IF(Inputs!$B$38="pvp",15,MAX(0.1,Skills!D3-IF(Skills!E3=TRUE,Inputs!$B$32,0)))*(1-IF(AND(ArtifactsInput!$M$27,Inputs!$B$4="Chapter Hunt"),CHOOSE(ArtifactsInput!$N$27+1,20,24,28,32,36,40),0)/100)))))/Skills!H3,1)))/Inputs!$B$43),G1658*Q1658))*IF(Inputs!$B$38="pvp",1,(1+(Inputs!$B$21+Skills!Q3+(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9">
      <c r="A1659">
        <f>Skills!A4</f>
        <v/>
      </c>
      <c r="B1659">
        <f>Skills!B4</f>
        <v/>
      </c>
      <c r="C1659">
        <f>Inputs!$B$3&gt;=40</f>
        <v/>
      </c>
      <c r="D1659">
        <f>IF(Skills!C4=1,60+Inputs!$B$25+Inputs!$B$29,IF(Skills!C4=2,90+Inputs!$B$26+Inputs!$B$29,IF(Skills!C4=3,120+Inputs!$B$27+Inputs!$B$29,MAX(0,(Inputs!$B$3-100)*3)+Inputs!$B$28+Inputs!$B$29)))</f>
        <v/>
      </c>
      <c r="E1659">
        <f>INDEX(FactorTable!$B$2:$Y$301, MATCH(ROUND(MIN(300,MAX(1,D1659)),0), FactorTable!$A$2:$A$301,0), Skills!M4+1)</f>
        <v/>
      </c>
      <c r="F1659">
        <f>IF(Skills!N4=TRUE,(Skills!L4/10)*(E1659/1000),Skills!L4/10)+Skills!O4</f>
        <v/>
      </c>
      <c r="G1659">
        <f>Skills!G4*IF(Skills!H4&gt;0,Skills!I4/Skills!H4,1)</f>
        <v/>
      </c>
      <c r="H1659">
        <f>1-(1-Skills!J4/100)^Skills!K4</f>
        <v/>
      </c>
      <c r="I1659" t="inlineStr">
        <is>
          <t>1</t>
        </is>
      </c>
      <c r="J1659">
        <f>((Inputs!$B$6*(1+Inputs!$B$7/100))+(((Inputs!$B$12*(1+Inputs!$B$13/100))-(Inputs!$B$12*(1+Inputs!$B$13/100)))+0.25*(Inputs!$B$14-Inputs!$B$14))*(1+Inputs!$B$7/100))*(F1659/100)</f>
        <v/>
      </c>
      <c r="K1659">
        <f>J1659*(1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1671=TRUE,F1671,0)/100)*(1+(IF(Skills!A4="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1659)</f>
        <v/>
      </c>
      <c r="L1659">
        <f>K1659*(MIN(Inputs!$B$22+((C1677=TRUE)*(F1677-Calc!F22)),(Inputs!$B$23+0+(IF(ArtifactsInput!$M$15,CHOOSE(ArtifactsInput!$N$15+1,25,30,35,40,45,50)/100*(Inputs!$B$11-Inputs!$B$11),0))))/100+(Inputs!$B$23+0+(IF(ArtifactsInput!$M$15,CHOOSE(ArtifactsInput!$N$15+1,25,30,35,40,45,50)/100*(Inputs!$B$11-Inputs!$B$11),0)))/100)/2</f>
        <v/>
      </c>
      <c r="M1659">
        <f>L1659*(1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9">
        <f>L1659*(1-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1659*(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9">
        <f>(1-Summary!$B$11)*T1659+Summary!$B$11*V1659</f>
        <v/>
      </c>
      <c r="P1659">
        <f>IF(B1696=0,0,O1659/B1696)</f>
        <v/>
      </c>
      <c r="Q1659">
        <f>IFERROR(1/(IF(Inputs!$B$38="pvp",15,MAX(0.1,Skills!D4-IF(Skills!E4=TRUE,Inputs!$B$32,0)))*(1-IF(AND(ArtifactsInput!$M$27,Inputs!$B$4="Chapter Hunt"),CHOOSE(ArtifactsInput!$N$27+1,20,24,28,32,36,40),0)/100)),0)</f>
        <v/>
      </c>
      <c r="R1659">
        <f>IF(AND(Inputs!$B$38&lt;&gt;"pvp",Inputs!$B$43&gt;0),IF(MAX(0,Inputs!$B$43-B1693)&lt;=0,0,(INT(MAX(0,Inputs!$B$43-B1693)/(IF(Inputs!$B$38="pvp",15,MAX(0.1,Skills!D4-IF(Skills!E4=TRUE,Inputs!$B$32,0)))*(1-IF(AND(ArtifactsInput!$M$27,Inputs!$B$4="Chapter Hunt"),CHOOSE(ArtifactsInput!$N$27+1,20,24,28,32,36,40),0)/100)))+1)),0)</f>
        <v/>
      </c>
      <c r="S1659">
        <f>IFERROR(O1659/N1659,0)</f>
        <v/>
      </c>
      <c r="T1659">
        <f>IF(C1659,(H1659*N1659*IF(AND(Inputs!$B$38&lt;&gt;"pvp",Inputs!$B$43&gt;0),((Skills!G4*((R1659-1)*IF(Skills!H4&gt;0,Skills!I4/Skills!H4,1)+IF(Skills!H4&gt;0,MIN(Skills!I4,MAX(0,MAX(0,Inputs!$B$43-B1693)-((R1659-1)*(IF(Inputs!$B$38="pvp",15,MAX(0.1,Skills!D4-IF(Skills!E4=TRUE,Inputs!$B$32,0)))*(1-IF(AND(ArtifactsInput!$M$27,Inputs!$B$4="Chapter Hunt"),CHOOSE(ArtifactsInput!$N$27+1,20,24,28,32,36,40),0)/100)))))/Skills!H4,1)))/Inputs!$B$43),G1659*Q1659)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1659*(1-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1659*(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1659*(1-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1659*(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59">
        <f>290*U1658/1000</f>
        <v/>
      </c>
      <c r="V1659">
        <f>IF(C1659,(H1659*N1659*IF(AND(Inputs!$B$38&lt;&gt;"pvp",Inputs!$B$43&gt;0),((Skills!G4*((R1659-1)*IF(Skills!H4&gt;0,Skills!I4/Skills!H4,1)+IF(Skills!H4&gt;0,MIN(Skills!I4,MAX(0,MAX(0,Inputs!$B$43-B1693)-((R1659-1)*(IF(Inputs!$B$38="pvp",15,MAX(0.1,Skills!D4-IF(Skills!E4=TRUE,Inputs!$B$32,0)))*(1-IF(AND(ArtifactsInput!$M$27,Inputs!$B$4="Chapter Hunt"),CHOOSE(ArtifactsInput!$N$27+1,20,24,28,32,36,40),0)/100)))))/Skills!H4,1)))/Inputs!$B$43),G1659*Q1659))*IF(Inputs!$B$38="pvp",1,(1+(Inputs!$B$21+Skills!Q4+(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0">
      <c r="A1660">
        <f>Skills!A5</f>
        <v/>
      </c>
      <c r="B1660">
        <f>Skills!B5</f>
        <v/>
      </c>
      <c r="C1660">
        <f>Inputs!$B$3&gt;=45</f>
        <v/>
      </c>
      <c r="D1660">
        <f>IF(Skills!C5=1,60+Inputs!$B$25+Inputs!$B$29,IF(Skills!C5=2,90+Inputs!$B$26+Inputs!$B$29,IF(Skills!C5=3,120+Inputs!$B$27+Inputs!$B$29,MAX(0,(Inputs!$B$3-100)*3)+Inputs!$B$28+Inputs!$B$29)))</f>
        <v/>
      </c>
      <c r="E1660">
        <f>INDEX(FactorTable!$B$2:$Y$301, MATCH(ROUND(MIN(300,MAX(1,D1660)),0), FactorTable!$A$2:$A$301,0), Skills!M5+1)</f>
        <v/>
      </c>
      <c r="F1660">
        <f>IF(Skills!N5=TRUE,(Skills!L5/10)*(E1660/1000),Skills!L5/10)+Skills!O5</f>
        <v/>
      </c>
      <c r="G1660">
        <f>Skills!G5*IF(Skills!H5&gt;0,Skills!I5/Skills!H5,1)</f>
        <v/>
      </c>
      <c r="H1660">
        <f>1-(1-Skills!J5/100)^Skills!K5</f>
        <v/>
      </c>
      <c r="I1660" t="inlineStr">
        <is>
          <t>1</t>
        </is>
      </c>
      <c r="J1660">
        <f>((Inputs!$B$6*(1+Inputs!$B$7/100))+(((Inputs!$B$12*(1+Inputs!$B$13/100))-(Inputs!$B$12*(1+Inputs!$B$13/100)))+0.25*(Inputs!$B$14-Inputs!$B$14))*(1+Inputs!$B$7/100))*(F1660/100)</f>
        <v/>
      </c>
      <c r="K1660">
        <f>J1660*(1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1671=TRUE,F1671,0)/100)*(1+(IF(Skills!A5="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1660)</f>
        <v/>
      </c>
      <c r="L1660">
        <f>K1660*(MIN(Inputs!$B$22+((C1677=TRUE)*(F1677-Calc!F22)),(Inputs!$B$23+0+(IF(ArtifactsInput!$M$15,CHOOSE(ArtifactsInput!$N$15+1,25,30,35,40,45,50)/100*(Inputs!$B$11-Inputs!$B$11),0))))/100+(Inputs!$B$23+0+(IF(ArtifactsInput!$M$15,CHOOSE(ArtifactsInput!$N$15+1,25,30,35,40,45,50)/100*(Inputs!$B$11-Inputs!$B$11),0)))/100)/2</f>
        <v/>
      </c>
      <c r="M1660">
        <f>L1660*(1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0">
        <f>L1660*(1-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1660*(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0">
        <f>(1-Summary!$B$11)*T1660+Summary!$B$11*V1660</f>
        <v/>
      </c>
      <c r="P1660">
        <f>IF(B1696=0,0,O1660/B1696)</f>
        <v/>
      </c>
      <c r="Q1660">
        <f>IFERROR(1/(IF(Inputs!$B$38="pvp",15,MAX(0.1,Skills!D5-IF(Skills!E5=TRUE,Inputs!$B$32,0)))*(1-IF(AND(ArtifactsInput!$M$27,Inputs!$B$4="Chapter Hunt"),CHOOSE(ArtifactsInput!$N$27+1,20,24,28,32,36,40),0)/100)),0)</f>
        <v/>
      </c>
      <c r="R1660">
        <f>IF(AND(Inputs!$B$38&lt;&gt;"pvp",Inputs!$B$43&gt;0),IF(MAX(0,Inputs!$B$43-B1693)&lt;=0,0,(INT(MAX(0,Inputs!$B$43-B1693)/(IF(Inputs!$B$38="pvp",15,MAX(0.1,Skills!D5-IF(Skills!E5=TRUE,Inputs!$B$32,0)))*(1-IF(AND(ArtifactsInput!$M$27,Inputs!$B$4="Chapter Hunt"),CHOOSE(ArtifactsInput!$N$27+1,20,24,28,32,36,40),0)/100)))+1)),0)</f>
        <v/>
      </c>
      <c r="S1660">
        <f>IFERROR(O1660/N1660,0)</f>
        <v/>
      </c>
      <c r="T1660">
        <f>IF(C1660,(H1660*N1660*IF(AND(Inputs!$B$38&lt;&gt;"pvp",Inputs!$B$43&gt;0),((Skills!G5*((R1660-1)*IF(Skills!H5&gt;0,Skills!I5/Skills!H5,1)+IF(Skills!H5&gt;0,MIN(Skills!I5,MAX(0,MAX(0,Inputs!$B$43-B1693)-((R1660-1)*(IF(Inputs!$B$38="pvp",15,MAX(0.1,Skills!D5-IF(Skills!E5=TRUE,Inputs!$B$32,0)))*(1-IF(AND(ArtifactsInput!$M$27,Inputs!$B$4="Chapter Hunt"),CHOOSE(ArtifactsInput!$N$27+1,20,24,28,32,36,40),0)/100)))))/Skills!H5,1)))/Inputs!$B$43),G1660*Q1660)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1660*(1-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1660*(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1660*(1-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1660*(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0">
        <f>IF(C1660,(H1660*N1660*IF(AND(Inputs!$B$38&lt;&gt;"pvp",Inputs!$B$43&gt;0),((Skills!G5*((R1660-1)*IF(Skills!H5&gt;0,Skills!I5/Skills!H5,1)+IF(Skills!H5&gt;0,MIN(Skills!I5,MAX(0,MAX(0,Inputs!$B$43-B1693)-((R1660-1)*(IF(Inputs!$B$38="pvp",15,MAX(0.1,Skills!D5-IF(Skills!E5=TRUE,Inputs!$B$32,0)))*(1-IF(AND(ArtifactsInput!$M$27,Inputs!$B$4="Chapter Hunt"),CHOOSE(ArtifactsInput!$N$27+1,20,24,28,32,36,40),0)/100)))))/Skills!H5,1)))/Inputs!$B$43),G1660*Q1660))*IF(Inputs!$B$38="pvp",1,(1+(Inputs!$B$21+Skills!Q5+(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1">
      <c r="A1661">
        <f>Skills!A6</f>
        <v/>
      </c>
      <c r="B1661">
        <f>Skills!B6</f>
        <v/>
      </c>
      <c r="C1661">
        <f>Inputs!$B$3&gt;=63</f>
        <v/>
      </c>
      <c r="D1661">
        <f>IF(Skills!C6=1,60+Inputs!$B$25+Inputs!$B$29,IF(Skills!C6=2,90+Inputs!$B$26+Inputs!$B$29,IF(Skills!C6=3,120+Inputs!$B$27+Inputs!$B$29,MAX(0,(Inputs!$B$3-100)*3)+Inputs!$B$28+Inputs!$B$29)))</f>
        <v/>
      </c>
      <c r="E1661">
        <f>INDEX(FactorTable!$B$2:$Y$301, MATCH(ROUND(MIN(300,MAX(1,D1661)),0), FactorTable!$A$2:$A$301,0), Skills!M6+1)</f>
        <v/>
      </c>
      <c r="F1661">
        <f>IF(Skills!N6=TRUE,(Skills!L6/10)*(E1661/1000),Skills!L6/10)+Skills!O6</f>
        <v/>
      </c>
      <c r="G1661">
        <f>Skills!G6*IF(Skills!H6&gt;0,Skills!I6/Skills!H6,1)</f>
        <v/>
      </c>
      <c r="H1661">
        <f>1-(1-Skills!J6/100)^Skills!K6</f>
        <v/>
      </c>
      <c r="I1661" t="inlineStr">
        <is>
          <t>1</t>
        </is>
      </c>
      <c r="J1661">
        <f>((Inputs!$B$6*(1+Inputs!$B$7/100))+(((Inputs!$B$12*(1+Inputs!$B$13/100))-(Inputs!$B$12*(1+Inputs!$B$13/100)))+0.25*(Inputs!$B$14-Inputs!$B$14))*(1+Inputs!$B$7/100))*(F1661/100)</f>
        <v/>
      </c>
      <c r="K1661">
        <f>J1661*(1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1670=TRUE,F1670,0)/100)*(1+(IF(Skills!A6="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1661)</f>
        <v/>
      </c>
      <c r="L1661">
        <f>K1661*(MIN(Inputs!$B$22+((C1677=TRUE)*(F1677-Calc!F22)),(Inputs!$B$23+0+(IF(ArtifactsInput!$M$15,CHOOSE(ArtifactsInput!$N$15+1,25,30,35,40,45,50)/100*(Inputs!$B$11-Inputs!$B$11),0))))/100+(Inputs!$B$23+0+(IF(ArtifactsInput!$M$15,CHOOSE(ArtifactsInput!$N$15+1,25,30,35,40,45,50)/100*(Inputs!$B$11-Inputs!$B$11),0)))/100)/2</f>
        <v/>
      </c>
      <c r="M1661">
        <f>L1661*(1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1">
        <f>L1661*(1-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1">
        <f>(1-Summary!$B$11)*T1661+Summary!$B$11*V1661</f>
        <v/>
      </c>
      <c r="P1661">
        <f>IF(B1696=0,0,O1661/B1696)</f>
        <v/>
      </c>
      <c r="Q1661">
        <f>IFERROR(1/(IF(Inputs!$B$38="pvp",15,MAX(0.1,Skills!D6-IF(Skills!E6=TRUE,Inputs!$B$32,0)))*(1-IF(AND(ArtifactsInput!$M$27,Inputs!$B$4="Chapter Hunt"),CHOOSE(ArtifactsInput!$N$27+1,20,24,28,32,36,40),0)/100)),0)</f>
        <v/>
      </c>
      <c r="R1661">
        <f>IF(AND(Inputs!$B$38&lt;&gt;"pvp",Inputs!$B$43&gt;0),IF(MAX(0,Inputs!$B$43-B1693)&lt;=0,0,(INT(MAX(0,Inputs!$B$43-B1693)/(IF(Inputs!$B$38="pvp",15,MAX(0.1,Skills!D6-IF(Skills!E6=TRUE,Inputs!$B$32,0)))*(1-IF(AND(ArtifactsInput!$M$27,Inputs!$B$4="Chapter Hunt"),CHOOSE(ArtifactsInput!$N$27+1,20,24,28,32,36,40),0)/100)))+1)),0)</f>
        <v/>
      </c>
      <c r="S1661">
        <f>IFERROR(O1661/N1661,0)</f>
        <v/>
      </c>
      <c r="T1661">
        <f>IF(C1661,(H1661*N1661*IF(AND(Inputs!$B$38&lt;&gt;"pvp",Inputs!$B$43&gt;0),((Skills!G6*((R1661-1)*IF(Skills!H6&gt;0,Skills!I6/Skills!H6,1)+IF(Skills!H6&gt;0,MIN(Skills!I6,MAX(0,MAX(0,Inputs!$B$43-B1693)-((R1661-1)*(IF(Inputs!$B$38="pvp",15,MAX(0.1,Skills!D6-IF(Skills!E6=TRUE,Inputs!$B$32,0)))*(1-IF(AND(ArtifactsInput!$M$27,Inputs!$B$4="Chapter Hunt"),CHOOSE(ArtifactsInput!$N$27+1,20,24,28,32,36,40),0)/100)))))/Skills!H6,1)))/Inputs!$B$43),G1661*Q1661)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1661*(1-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1">
        <f>IF(C1661,(H1661*N1661*IF(AND(Inputs!$B$38&lt;&gt;"pvp",Inputs!$B$43&gt;0),((Skills!G6*((R1661-1)*IF(Skills!H6&gt;0,Skills!I6/Skills!H6,1)+IF(Skills!H6&gt;0,MIN(Skills!I6,MAX(0,MAX(0,Inputs!$B$43-B1693)-((R1661-1)*(IF(Inputs!$B$38="pvp",15,MAX(0.1,Skills!D6-IF(Skills!E6=TRUE,Inputs!$B$32,0)))*(1-IF(AND(ArtifactsInput!$M$27,Inputs!$B$4="Chapter Hunt"),CHOOSE(ArtifactsInput!$N$27+1,20,24,28,32,36,40),0)/100)))))/Skills!H6,1)))/Inputs!$B$43),G1661*Q1661))*IF(Inputs!$B$38="pvp",1,(1+(Inputs!$B$21+Skills!Q6+(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2">
      <c r="A1662">
        <f>Skills!A7</f>
        <v/>
      </c>
      <c r="B1662">
        <f>Skills!B7</f>
        <v/>
      </c>
      <c r="C1662">
        <f>Inputs!$B$3&gt;=66</f>
        <v/>
      </c>
      <c r="D1662">
        <f>IF(Skills!C7=1,60+Inputs!$B$25+Inputs!$B$29,IF(Skills!C7=2,90+Inputs!$B$26+Inputs!$B$29,IF(Skills!C7=3,120+Inputs!$B$27+Inputs!$B$29,MAX(0,(Inputs!$B$3-100)*3)+Inputs!$B$28+Inputs!$B$29)))</f>
        <v/>
      </c>
      <c r="E1662">
        <f>INDEX(FactorTable!$B$2:$Y$301, MATCH(ROUND(MIN(300,MAX(1,D1662)),0), FactorTable!$A$2:$A$301,0), Skills!M7+1)</f>
        <v/>
      </c>
      <c r="F1662">
        <f>IF(Skills!N7=TRUE,(Skills!L7/10)*(E1662/1000),Skills!L7/10)+Skills!O7</f>
        <v/>
      </c>
      <c r="G1662">
        <f>Skills!G7*IF(Skills!H7&gt;0,Skills!I7/Skills!H7,1)</f>
        <v/>
      </c>
      <c r="H1662">
        <f>1-(1-Skills!J7/100)^Skills!K7</f>
        <v/>
      </c>
      <c r="I1662" t="inlineStr">
        <is>
          <t>1</t>
        </is>
      </c>
      <c r="J1662">
        <f>((Inputs!$B$6*(1+Inputs!$B$7/100))+(((Inputs!$B$12*(1+Inputs!$B$13/100))-(Inputs!$B$12*(1+Inputs!$B$13/100)))+0.25*(Inputs!$B$14-Inputs!$B$14))*(1+Inputs!$B$7/100))*(F1662/100)</f>
        <v/>
      </c>
      <c r="K1662">
        <f>J1662*(1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1670=TRUE,F1670,0)/100)*(1+(IF(Skills!A7="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1662)</f>
        <v/>
      </c>
      <c r="L1662">
        <f>K1662*(MIN(Inputs!$B$22+((C1677=TRUE)*(F1677-Calc!F22)),(Inputs!$B$23+0+(IF(ArtifactsInput!$M$15,CHOOSE(ArtifactsInput!$N$15+1,25,30,35,40,45,50)/100*(Inputs!$B$11-Inputs!$B$11),0))))/100+(Inputs!$B$23+0+(IF(ArtifactsInput!$M$15,CHOOSE(ArtifactsInput!$N$15+1,25,30,35,40,45,50)/100*(Inputs!$B$11-Inputs!$B$11),0)))/100)/2</f>
        <v/>
      </c>
      <c r="M1662">
        <f>L1662*(1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2">
        <f>L1662*(1-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1662*(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2">
        <f>(1-Summary!$B$11)*T1662+Summary!$B$11*V1662</f>
        <v/>
      </c>
      <c r="P1662">
        <f>IF(B1696=0,0,O1662/B1696)</f>
        <v/>
      </c>
      <c r="Q1662">
        <f>IFERROR(1/(IF(Inputs!$B$38="pvp",15,MAX(0.1,Skills!D7-IF(Skills!E7=TRUE,Inputs!$B$32,0)))*(1-IF(AND(ArtifactsInput!$M$27,Inputs!$B$4="Chapter Hunt"),CHOOSE(ArtifactsInput!$N$27+1,20,24,28,32,36,40),0)/100)),0)</f>
        <v/>
      </c>
      <c r="R1662">
        <f>IF(AND(Inputs!$B$38&lt;&gt;"pvp",Inputs!$B$43&gt;0),IF(MAX(0,Inputs!$B$43-B1693)&lt;=0,0,(INT(MAX(0,Inputs!$B$43-B1693)/(IF(Inputs!$B$38="pvp",15,MAX(0.1,Skills!D7-IF(Skills!E7=TRUE,Inputs!$B$32,0)))*(1-IF(AND(ArtifactsInput!$M$27,Inputs!$B$4="Chapter Hunt"),CHOOSE(ArtifactsInput!$N$27+1,20,24,28,32,36,40),0)/100)))+1)),0)</f>
        <v/>
      </c>
      <c r="S1662">
        <f>IFERROR(O1662/N1662,0)</f>
        <v/>
      </c>
      <c r="T1662">
        <f>IF(C1662,(H1662*N1662*IF(AND(Inputs!$B$38&lt;&gt;"pvp",Inputs!$B$43&gt;0),((Skills!G7*((R1662-1)*IF(Skills!H7&gt;0,Skills!I7/Skills!H7,1)+IF(Skills!H7&gt;0,MIN(Skills!I7,MAX(0,MAX(0,Inputs!$B$43-B1693)-((R1662-1)*(IF(Inputs!$B$38="pvp",15,MAX(0.1,Skills!D7-IF(Skills!E7=TRUE,Inputs!$B$32,0)))*(1-IF(AND(ArtifactsInput!$M$27,Inputs!$B$4="Chapter Hunt"),CHOOSE(ArtifactsInput!$N$27+1,20,24,28,32,36,40),0)/100)))))/Skills!H7,1)))/Inputs!$B$43),G1662*Q1662)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1662*(1-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1662*(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1662*(1-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1662*(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2">
        <f>IF(C1662,(H1662*N1662*IF(AND(Inputs!$B$38&lt;&gt;"pvp",Inputs!$B$43&gt;0),((Skills!G7*((R1662-1)*IF(Skills!H7&gt;0,Skills!I7/Skills!H7,1)+IF(Skills!H7&gt;0,MIN(Skills!I7,MAX(0,MAX(0,Inputs!$B$43-B1693)-((R1662-1)*(IF(Inputs!$B$38="pvp",15,MAX(0.1,Skills!D7-IF(Skills!E7=TRUE,Inputs!$B$32,0)))*(1-IF(AND(ArtifactsInput!$M$27,Inputs!$B$4="Chapter Hunt"),CHOOSE(ArtifactsInput!$N$27+1,20,24,28,32,36,40),0)/100)))))/Skills!H7,1)))/Inputs!$B$43),G1662*Q1662))*IF(Inputs!$B$38="pvp",1,(1+(Inputs!$B$21+Skills!Q7+(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3">
      <c r="A1663">
        <f>Skills!A8</f>
        <v/>
      </c>
      <c r="B1663">
        <f>Skills!B8</f>
        <v/>
      </c>
      <c r="C1663">
        <f>Inputs!$B$3&gt;=100</f>
        <v/>
      </c>
      <c r="D1663">
        <f>IF(Skills!C8=1,60+Inputs!$B$25+Inputs!$B$29,IF(Skills!C8=2,90+Inputs!$B$26+Inputs!$B$29,IF(Skills!C8=3,120+Inputs!$B$27+Inputs!$B$29,MAX(0,(Inputs!$B$3-100)*3)+Inputs!$B$28+Inputs!$B$29)))</f>
        <v/>
      </c>
      <c r="E1663">
        <f>INDEX(FactorTable!$B$2:$Y$301, MATCH(ROUND(MIN(300,MAX(1,D1663)),0), FactorTable!$A$2:$A$301,0), Skills!M8+1)</f>
        <v/>
      </c>
      <c r="F1663">
        <f>IF(Skills!N8=TRUE,(Skills!L8/10)*(E1663/1000),Skills!L8/10)+Skills!O8</f>
        <v/>
      </c>
      <c r="G1663">
        <f>Skills!G8*IF(Skills!H8&gt;0,Skills!I8/Skills!H8,1)</f>
        <v/>
      </c>
      <c r="H1663">
        <f>1-(1-Skills!J8/100)^Skills!K8</f>
        <v/>
      </c>
      <c r="I1663" t="inlineStr">
        <is>
          <t>1</t>
        </is>
      </c>
      <c r="J1663">
        <f>((Inputs!$B$6*(1+Inputs!$B$7/100))+(((Inputs!$B$12*(1+Inputs!$B$13/100))-(Inputs!$B$12*(1+Inputs!$B$13/100)))+0.25*(Inputs!$B$14-Inputs!$B$14))*(1+Inputs!$B$7/100))*(F1663/100)</f>
        <v/>
      </c>
      <c r="K1663">
        <f>J1663*(1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1663)</f>
        <v/>
      </c>
      <c r="L1663">
        <f>K1663*(MIN(Inputs!$B$22+((C1677=TRUE)*(F1677-Calc!F22)),(Inputs!$B$23+0+(IF(ArtifactsInput!$M$15,CHOOSE(ArtifactsInput!$N$15+1,25,30,35,40,45,50)/100*(Inputs!$B$11-Inputs!$B$11),0))))/100+(Inputs!$B$23+0+(IF(ArtifactsInput!$M$15,CHOOSE(ArtifactsInput!$N$15+1,25,30,35,40,45,50)/100*(Inputs!$B$11-Inputs!$B$11),0)))/100)/2</f>
        <v/>
      </c>
      <c r="M1663">
        <f>L1663*(1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3">
        <f>L1663*(1-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1663*(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3">
        <f>(1-Summary!$B$11)*T1663+Summary!$B$11*V1663</f>
        <v/>
      </c>
      <c r="P1663">
        <f>IF(B1696=0,0,O1663/B1696)</f>
        <v/>
      </c>
      <c r="Q1663">
        <f>IFERROR(1/(IF(Inputs!$B$38="pvp",15,MAX(0.1,Skills!D8-IF(Skills!E8=TRUE,Inputs!$B$32,0)))*(1-IF(AND(ArtifactsInput!$M$27,Inputs!$B$4="Chapter Hunt"),CHOOSE(ArtifactsInput!$N$27+1,20,24,28,32,36,40),0)/100)),0)</f>
        <v/>
      </c>
      <c r="R1663">
        <f>IF(AND(Inputs!$B$38&lt;&gt;"pvp",Inputs!$B$43&gt;0),IF(MAX(0,Inputs!$B$43-B1693)&lt;=0,0,(INT(MAX(0,Inputs!$B$43-B1693)/(IF(Inputs!$B$38="pvp",15,MAX(0.1,Skills!D8-IF(Skills!E8=TRUE,Inputs!$B$32,0)))*(1-IF(AND(ArtifactsInput!$M$27,Inputs!$B$4="Chapter Hunt"),CHOOSE(ArtifactsInput!$N$27+1,20,24,28,32,36,40),0)/100)))+1)),0)</f>
        <v/>
      </c>
      <c r="S1663">
        <f>IFERROR(O1663/N1663,0)</f>
        <v/>
      </c>
      <c r="T1663">
        <f>IF(C1663,(H1663*N1663*IF(AND(Inputs!$B$38&lt;&gt;"pvp",Inputs!$B$43&gt;0),((Skills!G8*((R1663-1)*IF(Skills!H8&gt;0,Skills!I8/Skills!H8,1)+IF(Skills!H8&gt;0,MIN(Skills!I8,MAX(0,MAX(0,Inputs!$B$43-B1693)-((R1663-1)*(IF(Inputs!$B$38="pvp",15,MAX(0.1,Skills!D8-IF(Skills!E8=TRUE,Inputs!$B$32,0)))*(1-IF(AND(ArtifactsInput!$M$27,Inputs!$B$4="Chapter Hunt"),CHOOSE(ArtifactsInput!$N$27+1,20,24,28,32,36,40),0)/100)))))/Skills!H8,1)))/Inputs!$B$43),G1663*Q1663)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1663*(1-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1663*(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1663*(1-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1663*(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3">
        <f>IF(C1663,(H1663*N1663*IF(AND(Inputs!$B$38&lt;&gt;"pvp",Inputs!$B$43&gt;0),((Skills!G8*((R1663-1)*IF(Skills!H8&gt;0,Skills!I8/Skills!H8,1)+IF(Skills!H8&gt;0,MIN(Skills!I8,MAX(0,MAX(0,Inputs!$B$43-B1693)-((R1663-1)*(IF(Inputs!$B$38="pvp",15,MAX(0.1,Skills!D8-IF(Skills!E8=TRUE,Inputs!$B$32,0)))*(1-IF(AND(ArtifactsInput!$M$27,Inputs!$B$4="Chapter Hunt"),CHOOSE(ArtifactsInput!$N$27+1,20,24,28,32,36,40),0)/100)))))/Skills!H8,1)))/Inputs!$B$43),G1663*Q1663))*IF(Inputs!$B$38="pvp",1,(1+(Inputs!$B$21+Skills!Q8+(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4">
      <c r="A1664">
        <f>Skills!A9</f>
        <v/>
      </c>
      <c r="B1664">
        <f>Skills!B9</f>
        <v/>
      </c>
      <c r="C1664">
        <f>Inputs!$B$3&gt;=103</f>
        <v/>
      </c>
      <c r="D1664">
        <f>IF(Skills!C9=1,60+Inputs!$B$25+Inputs!$B$29,IF(Skills!C9=2,90+Inputs!$B$26+Inputs!$B$29,IF(Skills!C9=3,120+Inputs!$B$27+Inputs!$B$29,MAX(0,(Inputs!$B$3-100)*3)+Inputs!$B$28+Inputs!$B$29)))</f>
        <v/>
      </c>
      <c r="E1664">
        <f>INDEX(FactorTable!$B$2:$Y$301, MATCH(ROUND(MIN(300,MAX(1,D1664)),0), FactorTable!$A$2:$A$301,0), Skills!M9+1)</f>
        <v/>
      </c>
      <c r="F1664">
        <f>IF(Skills!N9=TRUE,(Skills!L9/10)*(E1664/1000),Skills!L9/10)+Skills!O9</f>
        <v/>
      </c>
      <c r="G1664">
        <f>Skills!G9*IF(Skills!H9&gt;0,Skills!I9/Skills!H9,1)</f>
        <v/>
      </c>
      <c r="H1664">
        <f>1-(1-Skills!J9/100)^Skills!K9</f>
        <v/>
      </c>
      <c r="I1664" t="inlineStr">
        <is>
          <t>1</t>
        </is>
      </c>
      <c r="J1664">
        <f>((Inputs!$B$6*(1+Inputs!$B$7/100))+(((Inputs!$B$12*(1+Inputs!$B$13/100))-(Inputs!$B$12*(1+Inputs!$B$13/100)))+0.25*(Inputs!$B$14-Inputs!$B$14))*(1+Inputs!$B$7/100))*(F1664/100)</f>
        <v/>
      </c>
      <c r="K1664">
        <f>J1664*(1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1664)</f>
        <v/>
      </c>
      <c r="L1664">
        <f>K1664*(MIN(Inputs!$B$22+((C1677=TRUE)*(F1677-Calc!F22)),(Inputs!$B$23+0+(IF(ArtifactsInput!$M$15,CHOOSE(ArtifactsInput!$N$15+1,25,30,35,40,45,50)/100*(Inputs!$B$11-Inputs!$B$11),0))))/100+(Inputs!$B$23+0+(IF(ArtifactsInput!$M$15,CHOOSE(ArtifactsInput!$N$15+1,25,30,35,40,45,50)/100*(Inputs!$B$11-Inputs!$B$11),0)))/100)/2</f>
        <v/>
      </c>
      <c r="M1664">
        <f>L1664*(1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4">
        <f>L1664*(1-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1664*(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4">
        <f>(1-Summary!$B$11)*T1664+Summary!$B$11*V1664</f>
        <v/>
      </c>
      <c r="P1664">
        <f>IF(B1696=0,0,O1664/B1696)</f>
        <v/>
      </c>
      <c r="Q1664">
        <f>IFERROR(1/(IF(Inputs!$B$38="pvp",15,MAX(0.1,Skills!D9-IF(Skills!E9=TRUE,Inputs!$B$32,0)))*(1-IF(AND(ArtifactsInput!$M$27,Inputs!$B$4="Chapter Hunt"),CHOOSE(ArtifactsInput!$N$27+1,20,24,28,32,36,40),0)/100)),0)</f>
        <v/>
      </c>
      <c r="R1664">
        <f>IF(AND(Inputs!$B$38&lt;&gt;"pvp",Inputs!$B$43&gt;0),IF(MAX(0,Inputs!$B$43-B1693)&lt;=0,0,(INT(MAX(0,Inputs!$B$43-B1693)/(IF(Inputs!$B$38="pvp",15,MAX(0.1,Skills!D9-IF(Skills!E9=TRUE,Inputs!$B$32,0)))*(1-IF(AND(ArtifactsInput!$M$27,Inputs!$B$4="Chapter Hunt"),CHOOSE(ArtifactsInput!$N$27+1,20,24,28,32,36,40),0)/100)))+1)),0)</f>
        <v/>
      </c>
      <c r="S1664">
        <f>IFERROR(O1664/N1664,0)</f>
        <v/>
      </c>
      <c r="T1664">
        <f>IF(C1664,(H1664*N1664*IF(AND(Inputs!$B$38&lt;&gt;"pvp",Inputs!$B$43&gt;0),((Skills!G9*((R1664-1)*IF(Skills!H9&gt;0,Skills!I9/Skills!H9,1)+IF(Skills!H9&gt;0,MIN(Skills!I9,MAX(0,MAX(0,Inputs!$B$43-B1693)-((R1664-1)*(IF(Inputs!$B$38="pvp",15,MAX(0.1,Skills!D9-IF(Skills!E9=TRUE,Inputs!$B$32,0)))*(1-IF(AND(ArtifactsInput!$M$27,Inputs!$B$4="Chapter Hunt"),CHOOSE(ArtifactsInput!$N$27+1,20,24,28,32,36,40),0)/100)))))/Skills!H9,1)))/Inputs!$B$43),G1664*Q1664)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1664*(1-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1664*(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1664*(1-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1664*(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4">
        <f>IF(C1664,(H1664*N1664*IF(AND(Inputs!$B$38&lt;&gt;"pvp",Inputs!$B$43&gt;0),((Skills!G9*((R1664-1)*IF(Skills!H9&gt;0,Skills!I9/Skills!H9,1)+IF(Skills!H9&gt;0,MIN(Skills!I9,MAX(0,MAX(0,Inputs!$B$43-B1693)-((R1664-1)*(IF(Inputs!$B$38="pvp",15,MAX(0.1,Skills!D9-IF(Skills!E9=TRUE,Inputs!$B$32,0)))*(1-IF(AND(ArtifactsInput!$M$27,Inputs!$B$4="Chapter Hunt"),CHOOSE(ArtifactsInput!$N$27+1,20,24,28,32,36,40),0)/100)))))/Skills!H9,1)))/Inputs!$B$43),G1664*Q1664))*IF(Inputs!$B$38="pvp",1,(1+(Inputs!$B$21+Skills!Q9+(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5">
      <c r="A1665">
        <f>Skills!A10</f>
        <v/>
      </c>
      <c r="B1665">
        <f>Skills!B10</f>
        <v/>
      </c>
      <c r="C1665">
        <f>Inputs!$B$3&gt;=113</f>
        <v/>
      </c>
      <c r="D1665">
        <f>IF(Skills!C10=1,60+Inputs!$B$25+Inputs!$B$29,IF(Skills!C10=2,90+Inputs!$B$26+Inputs!$B$29,IF(Skills!C10=3,120+Inputs!$B$27+Inputs!$B$29,MAX(0,(Inputs!$B$3-100)*3)+Inputs!$B$28+Inputs!$B$29)))</f>
        <v/>
      </c>
      <c r="E1665">
        <f>INDEX(FactorTable!$B$2:$Y$301, MATCH(ROUND(MIN(300,MAX(1,D1665)),0), FactorTable!$A$2:$A$301,0), Skills!M10+1)</f>
        <v/>
      </c>
      <c r="F1665">
        <f>IF(Skills!N10=TRUE,(Skills!L10/10)*(E1665/1000),Skills!L10/10)+Skills!O10</f>
        <v/>
      </c>
      <c r="G1665">
        <f>Skills!G10*IF(Skills!H10&gt;0,Skills!I10/Skills!H10,1)</f>
        <v/>
      </c>
      <c r="H1665">
        <f>1-(1-Skills!J10/100)^Skills!K10</f>
        <v/>
      </c>
      <c r="I1665" t="inlineStr">
        <is>
          <t>1</t>
        </is>
      </c>
      <c r="J1665">
        <f>((Inputs!$B$6*(1+Inputs!$B$7/100))+(((Inputs!$B$12*(1+Inputs!$B$13/100))-(Inputs!$B$12*(1+Inputs!$B$13/100)))+0.25*(Inputs!$B$14-Inputs!$B$14))*(1+Inputs!$B$7/100))*(F1665/100)</f>
        <v/>
      </c>
      <c r="K1665">
        <f>J1665*(1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1665)</f>
        <v/>
      </c>
      <c r="L1665">
        <f>K1665*(MIN(Inputs!$B$22+((C1677=TRUE)*(F1677-Calc!F22)),(Inputs!$B$23+0+(IF(ArtifactsInput!$M$15,CHOOSE(ArtifactsInput!$N$15+1,25,30,35,40,45,50)/100*(Inputs!$B$11-Inputs!$B$11),0))))/100+(Inputs!$B$23+0+(IF(ArtifactsInput!$M$15,CHOOSE(ArtifactsInput!$N$15+1,25,30,35,40,45,50)/100*(Inputs!$B$11-Inputs!$B$11),0)))/100)/2</f>
        <v/>
      </c>
      <c r="M1665">
        <f>L1665*(1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5">
        <f>L1665*(1-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1665*(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5">
        <f>(1-Summary!$B$11)*T1665+Summary!$B$11*V1665</f>
        <v/>
      </c>
      <c r="P1665">
        <f>IF(B1696=0,0,O1665/B1696)</f>
        <v/>
      </c>
      <c r="Q1665">
        <f>IFERROR(1/(IF(Inputs!$B$38="pvp",15,MAX(0.1,Skills!D10-IF(Skills!E10=TRUE,Inputs!$B$32,0)))*(1-IF(AND(ArtifactsInput!$M$27,Inputs!$B$4="Chapter Hunt"),CHOOSE(ArtifactsInput!$N$27+1,20,24,28,32,36,40),0)/100)),0)</f>
        <v/>
      </c>
      <c r="R1665">
        <f>IF(AND(Inputs!$B$38&lt;&gt;"pvp",Inputs!$B$43&gt;0),IF(MAX(0,Inputs!$B$43-B1693)&lt;=0,0,(INT(MAX(0,Inputs!$B$43-B1693)/(IF(Inputs!$B$38="pvp",15,MAX(0.1,Skills!D10-IF(Skills!E10=TRUE,Inputs!$B$32,0)))*(1-IF(AND(ArtifactsInput!$M$27,Inputs!$B$4="Chapter Hunt"),CHOOSE(ArtifactsInput!$N$27+1,20,24,28,32,36,40),0)/100)))+1)),0)</f>
        <v/>
      </c>
      <c r="S1665">
        <f>IFERROR(O1665/N1665,0)</f>
        <v/>
      </c>
      <c r="T1665">
        <f>IF(C1665,(H1665*N1665*IF(AND(Inputs!$B$38&lt;&gt;"pvp",Inputs!$B$43&gt;0),((Skills!G10*((R1665-1)*IF(Skills!H10&gt;0,Skills!I10/Skills!H10,1)+IF(Skills!H10&gt;0,MIN(Skills!I10,MAX(0,MAX(0,Inputs!$B$43-B1693)-((R1665-1)*(IF(Inputs!$B$38="pvp",15,MAX(0.1,Skills!D10-IF(Skills!E10=TRUE,Inputs!$B$32,0)))*(1-IF(AND(ArtifactsInput!$M$27,Inputs!$B$4="Chapter Hunt"),CHOOSE(ArtifactsInput!$N$27+1,20,24,28,32,36,40),0)/100)))))/Skills!H10,1)))/Inputs!$B$43),G1665*Q1665)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1665*(1-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1665*(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1665*(1-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1665*(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5">
        <f>IF(C1665,(H1665*N1665*IF(AND(Inputs!$B$38&lt;&gt;"pvp",Inputs!$B$43&gt;0),((Skills!G10*((R1665-1)*IF(Skills!H10&gt;0,Skills!I10/Skills!H10,1)+IF(Skills!H10&gt;0,MIN(Skills!I10,MAX(0,MAX(0,Inputs!$B$43-B1693)-((R1665-1)*(IF(Inputs!$B$38="pvp",15,MAX(0.1,Skills!D10-IF(Skills!E10=TRUE,Inputs!$B$32,0)))*(1-IF(AND(ArtifactsInput!$M$27,Inputs!$B$4="Chapter Hunt"),CHOOSE(ArtifactsInput!$N$27+1,20,24,28,32,36,40),0)/100)))))/Skills!H10,1)))/Inputs!$B$43),G1665*Q1665))*IF(Inputs!$B$38="pvp",1,(1+(Inputs!$B$21+Skills!Q10+(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6">
      <c r="A1666">
        <f>Skills!A11</f>
        <v/>
      </c>
      <c r="B1666">
        <f>Skills!B11</f>
        <v/>
      </c>
      <c r="C1666">
        <f>Inputs!$B$3&gt;=107</f>
        <v/>
      </c>
      <c r="D1666">
        <f>IF(Skills!C11=1,60+Inputs!$B$25+Inputs!$B$29,IF(Skills!C11=2,90+Inputs!$B$26+Inputs!$B$29,IF(Skills!C11=3,120+Inputs!$B$27+Inputs!$B$29,MAX(0,(Inputs!$B$3-100)*3)+Inputs!$B$28+Inputs!$B$29)))</f>
        <v/>
      </c>
      <c r="E1666">
        <f>INDEX(FactorTable!$B$2:$Y$301, MATCH(ROUND(MIN(300,MAX(1,D1666)),0), FactorTable!$A$2:$A$301,0), Skills!M11+1)</f>
        <v/>
      </c>
      <c r="F1666">
        <f>IF(Skills!N11=TRUE,(Skills!L11/10)*(E1666/1000),Skills!L11/10)+Skills!O11</f>
        <v/>
      </c>
      <c r="G1666">
        <f>Skills!G11*IF(Skills!H11&gt;0,Skills!I11/Skills!H11,1)</f>
        <v/>
      </c>
      <c r="H1666">
        <f>1-(1-Skills!J11/100)^Skills!K11</f>
        <v/>
      </c>
      <c r="I1666" t="inlineStr">
        <is>
          <t>1</t>
        </is>
      </c>
      <c r="J1666">
        <f>((Inputs!$B$6*(1+Inputs!$B$7/100))+(((Inputs!$B$12*(1+Inputs!$B$13/100))-(Inputs!$B$12*(1+Inputs!$B$13/100)))+0.25*(Inputs!$B$14-Inputs!$B$14))*(1+Inputs!$B$7/100))*(F1666/100)</f>
        <v/>
      </c>
      <c r="K1666">
        <f>J1666*(1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1666)</f>
        <v/>
      </c>
      <c r="L1666">
        <f>K1666*(MIN(Inputs!$B$22+((C1677=TRUE)*(F1677-Calc!F22)),(Inputs!$B$23+0+(IF(ArtifactsInput!$M$15,CHOOSE(ArtifactsInput!$N$15+1,25,30,35,40,45,50)/100*(Inputs!$B$11-Inputs!$B$11),0))))/100+(Inputs!$B$23+0+(IF(ArtifactsInput!$M$15,CHOOSE(ArtifactsInput!$N$15+1,25,30,35,40,45,50)/100*(Inputs!$B$11-Inputs!$B$11),0)))/100)/2</f>
        <v/>
      </c>
      <c r="M1666">
        <f>L1666*(1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6">
        <f>L1666*(1-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1666*(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6">
        <f>(1-Summary!$B$11)*T1666+Summary!$B$11*V1666</f>
        <v/>
      </c>
      <c r="P1666">
        <f>IF(B1696=0,0,O1666/B1696)</f>
        <v/>
      </c>
      <c r="Q1666">
        <f>IFERROR(1/(IF(Inputs!$B$38="pvp",15,MAX(0.1,Skills!D11-IF(Skills!E11=TRUE,Inputs!$B$32,0)))*(1-IF(AND(ArtifactsInput!$M$27,Inputs!$B$4="Chapter Hunt"),CHOOSE(ArtifactsInput!$N$27+1,20,24,28,32,36,40),0)/100)),0)</f>
        <v/>
      </c>
      <c r="R1666">
        <f>IF(AND(Inputs!$B$38&lt;&gt;"pvp",Inputs!$B$43&gt;0),IF(MAX(0,Inputs!$B$43-B1693)&lt;=0,0,(INT(MAX(0,Inputs!$B$43-B1693)/(IF(Inputs!$B$38="pvp",15,MAX(0.1,Skills!D11-IF(Skills!E11=TRUE,Inputs!$B$32,0)))*(1-IF(AND(ArtifactsInput!$M$27,Inputs!$B$4="Chapter Hunt"),CHOOSE(ArtifactsInput!$N$27+1,20,24,28,32,36,40),0)/100)))+1)),0)</f>
        <v/>
      </c>
      <c r="S1666">
        <f>IFERROR(O1666/N1666,0)</f>
        <v/>
      </c>
      <c r="T1666">
        <f>IF(C1666,(H1666*N1666*IF(AND(Inputs!$B$38&lt;&gt;"pvp",Inputs!$B$43&gt;0),((Skills!G11*((R1666-1)*IF(Skills!H11&gt;0,Skills!I11/Skills!H11,1)+IF(Skills!H11&gt;0,MIN(Skills!I11,MAX(0,MAX(0,Inputs!$B$43-B1693)-((R1666-1)*(IF(Inputs!$B$38="pvp",15,MAX(0.1,Skills!D11-IF(Skills!E11=TRUE,Inputs!$B$32,0)))*(1-IF(AND(ArtifactsInput!$M$27,Inputs!$B$4="Chapter Hunt"),CHOOSE(ArtifactsInput!$N$27+1,20,24,28,32,36,40),0)/100)))))/Skills!H11,1)))/Inputs!$B$43),G1666*Q1666)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1666*(1-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1666*(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1666*(1-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1666*(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6">
        <f>IF(C1666,(H1666*N1666*IF(AND(Inputs!$B$38&lt;&gt;"pvp",Inputs!$B$43&gt;0),((Skills!G11*((R1666-1)*IF(Skills!H11&gt;0,Skills!I11/Skills!H11,1)+IF(Skills!H11&gt;0,MIN(Skills!I11,MAX(0,MAX(0,Inputs!$B$43-B1693)-((R1666-1)*(IF(Inputs!$B$38="pvp",15,MAX(0.1,Skills!D11-IF(Skills!E11=TRUE,Inputs!$B$32,0)))*(1-IF(AND(ArtifactsInput!$M$27,Inputs!$B$4="Chapter Hunt"),CHOOSE(ArtifactsInput!$N$27+1,20,24,28,32,36,40),0)/100)))))/Skills!H11,1)))/Inputs!$B$43),G1666*Q1666))*IF(Inputs!$B$38="pvp",1,(1+(Inputs!$B$21+Skills!Q11+(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7">
      <c r="A1667">
        <f>Skills!A12</f>
        <v/>
      </c>
      <c r="B1667">
        <f>Skills!B12</f>
        <v/>
      </c>
      <c r="C1667">
        <f>Inputs!$B$3&gt;=110</f>
        <v/>
      </c>
      <c r="D1667">
        <f>IF(Skills!C12=1,60+Inputs!$B$25+Inputs!$B$29,IF(Skills!C12=2,90+Inputs!$B$26+Inputs!$B$29,IF(Skills!C12=3,120+Inputs!$B$27+Inputs!$B$29,MAX(0,(Inputs!$B$3-100)*3)+Inputs!$B$28+Inputs!$B$29)))</f>
        <v/>
      </c>
      <c r="E1667">
        <f>INDEX(FactorTable!$B$2:$Y$301, MATCH(ROUND(MIN(300,MAX(1,D1667)),0), FactorTable!$A$2:$A$301,0), Skills!M12+1)</f>
        <v/>
      </c>
      <c r="F1667">
        <f>IF(Skills!N12=TRUE,(Skills!L12/10)*(E1667/1000),Skills!L12/10)+Skills!O12</f>
        <v/>
      </c>
      <c r="G1667">
        <f>Skills!G12*IF(Skills!H12&gt;0,Skills!I12/Skills!H12,1)</f>
        <v/>
      </c>
      <c r="H1667">
        <f>1-(1-Skills!J12/100)^Skills!K12</f>
        <v/>
      </c>
      <c r="I1667" t="inlineStr">
        <is>
          <t>1</t>
        </is>
      </c>
      <c r="J1667">
        <f>((Inputs!$B$6*(1+Inputs!$B$7/100))+(((Inputs!$B$12*(1+Inputs!$B$13/100))-(Inputs!$B$12*(1+Inputs!$B$13/100)))+0.25*(Inputs!$B$14-Inputs!$B$14))*(1+Inputs!$B$7/100))*(F1667/100)</f>
        <v/>
      </c>
      <c r="K1667">
        <f>J1667*(1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1667)</f>
        <v/>
      </c>
      <c r="L1667">
        <f>K1667*(MIN(Inputs!$B$22+((C1677=TRUE)*(F1677-Calc!F22)),(Inputs!$B$23+0+(IF(ArtifactsInput!$M$15,CHOOSE(ArtifactsInput!$N$15+1,25,30,35,40,45,50)/100*(Inputs!$B$11-Inputs!$B$11),0))))/100+(Inputs!$B$23+0+(IF(ArtifactsInput!$M$15,CHOOSE(ArtifactsInput!$N$15+1,25,30,35,40,45,50)/100*(Inputs!$B$11-Inputs!$B$11),0)))/100)/2</f>
        <v/>
      </c>
      <c r="M1667">
        <f>L1667*(1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7">
        <f>L1667*(1-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1667*(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7">
        <f>(1-Summary!$B$11)*T1667+Summary!$B$11*V1667</f>
        <v/>
      </c>
      <c r="P1667">
        <f>IF(B1696=0,0,O1667/B1696)</f>
        <v/>
      </c>
      <c r="Q1667">
        <f>IFERROR(1/(IF(Inputs!$B$38="pvp",15,MAX(0.1,Skills!D12-IF(Skills!E12=TRUE,Inputs!$B$32,0)))*(1-IF(AND(ArtifactsInput!$M$27,Inputs!$B$4="Chapter Hunt"),CHOOSE(ArtifactsInput!$N$27+1,20,24,28,32,36,40),0)/100)),0)</f>
        <v/>
      </c>
      <c r="R1667">
        <f>IF(AND(Inputs!$B$38&lt;&gt;"pvp",Inputs!$B$43&gt;0),IF(MAX(0,Inputs!$B$43-B1693)&lt;=0,0,(INT(MAX(0,Inputs!$B$43-B1693)/(IF(Inputs!$B$38="pvp",15,MAX(0.1,Skills!D12-IF(Skills!E12=TRUE,Inputs!$B$32,0)))*(1-IF(AND(ArtifactsInput!$M$27,Inputs!$B$4="Chapter Hunt"),CHOOSE(ArtifactsInput!$N$27+1,20,24,28,32,36,40),0)/100)))+1)),0)</f>
        <v/>
      </c>
      <c r="S1667">
        <f>IFERROR(O1667/N1667,0)</f>
        <v/>
      </c>
      <c r="T1667">
        <f>IF(C1667,(H1667*N1667*IF(AND(Inputs!$B$38&lt;&gt;"pvp",Inputs!$B$43&gt;0),((Skills!G12*((R1667-1)*IF(Skills!H12&gt;0,Skills!I12/Skills!H12,1)+IF(Skills!H12&gt;0,MIN(Skills!I12,MAX(0,MAX(0,Inputs!$B$43-B1693)-((R1667-1)*(IF(Inputs!$B$38="pvp",15,MAX(0.1,Skills!D12-IF(Skills!E12=TRUE,Inputs!$B$32,0)))*(1-IF(AND(ArtifactsInput!$M$27,Inputs!$B$4="Chapter Hunt"),CHOOSE(ArtifactsInput!$N$27+1,20,24,28,32,36,40),0)/100)))))/Skills!H12,1)))/Inputs!$B$43),G1667*Q1667)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1667*(1-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1667*(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1667*(1-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1667*(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7">
        <f>IF(C1667,(H1667*N1667*IF(AND(Inputs!$B$38&lt;&gt;"pvp",Inputs!$B$43&gt;0),((Skills!G12*((R1667-1)*IF(Skills!H12&gt;0,Skills!I12/Skills!H12,1)+IF(Skills!H12&gt;0,MIN(Skills!I12,MAX(0,MAX(0,Inputs!$B$43-B1693)-((R1667-1)*(IF(Inputs!$B$38="pvp",15,MAX(0.1,Skills!D12-IF(Skills!E12=TRUE,Inputs!$B$32,0)))*(1-IF(AND(ArtifactsInput!$M$27,Inputs!$B$4="Chapter Hunt"),CHOOSE(ArtifactsInput!$N$27+1,20,24,28,32,36,40),0)/100)))))/Skills!H12,1)))/Inputs!$B$43),G1667*Q1667))*IF(Inputs!$B$38="pvp",1,(1+(Inputs!$B$21+Skills!Q12+(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8">
      <c r="A1668">
        <f>Skills!A13</f>
        <v/>
      </c>
      <c r="B1668">
        <f>Skills!B13</f>
        <v/>
      </c>
      <c r="C1668">
        <f>Inputs!$B$3&gt;=110</f>
        <v/>
      </c>
      <c r="D1668">
        <f>IF(Skills!C13=1,60+Inputs!$B$25+Inputs!$B$29,IF(Skills!C13=2,90+Inputs!$B$26+Inputs!$B$29,IF(Skills!C13=3,120+Inputs!$B$27+Inputs!$B$29,MAX(0,(Inputs!$B$3-100)*3)+Inputs!$B$28+Inputs!$B$29)))</f>
        <v/>
      </c>
      <c r="E1668">
        <f>INDEX(FactorTable!$B$2:$Y$301, MATCH(ROUND(MIN(300,MAX(1,D1668)),0), FactorTable!$A$2:$A$301,0), Skills!M13+1)</f>
        <v/>
      </c>
      <c r="F1668">
        <f>IF(Skills!N13=TRUE,(Skills!L13/10)*(E1668/1000),Skills!L13/10)+Skills!O13</f>
        <v/>
      </c>
      <c r="G1668">
        <f>Skills!G13*IF(Skills!H13&gt;0,Skills!I13/Skills!H13,1)</f>
        <v/>
      </c>
      <c r="H1668">
        <f>1-(1-Skills!J13/100)^Skills!K13</f>
        <v/>
      </c>
      <c r="I1668" t="inlineStr">
        <is>
          <t>1</t>
        </is>
      </c>
      <c r="J1668">
        <f>((Inputs!$B$6*(1+Inputs!$B$7/100))+(((Inputs!$B$12*(1+Inputs!$B$13/100))-(Inputs!$B$12*(1+Inputs!$B$13/100)))+0.25*(Inputs!$B$14-Inputs!$B$14))*(1+Inputs!$B$7/100))*(F1668/100)</f>
        <v/>
      </c>
      <c r="K1668">
        <f>J1668*(1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1668)</f>
        <v/>
      </c>
      <c r="L1668">
        <f>K1668*(MIN(Inputs!$B$22+((C1677=TRUE)*(F1677-Calc!F22)),(Inputs!$B$23+0+(IF(ArtifactsInput!$M$15,CHOOSE(ArtifactsInput!$N$15+1,25,30,35,40,45,50)/100*(Inputs!$B$11-Inputs!$B$11),0))))/100+(Inputs!$B$23+0+(IF(ArtifactsInput!$M$15,CHOOSE(ArtifactsInput!$N$15+1,25,30,35,40,45,50)/100*(Inputs!$B$11-Inputs!$B$11),0)))/100)/2</f>
        <v/>
      </c>
      <c r="M1668">
        <f>L1668*(1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8">
        <f>L1668*(1-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1668*(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8">
        <f>(1-Summary!$B$11)*T1668+Summary!$B$11*V1668</f>
        <v/>
      </c>
      <c r="P1668">
        <f>IF(B1696=0,0,O1668/B1696)</f>
        <v/>
      </c>
      <c r="Q1668">
        <f>IFERROR(1/(IF(Inputs!$B$38="pvp",15,MAX(0.1,Skills!D13-IF(Skills!E13=TRUE,Inputs!$B$32,0)))*(1-IF(AND(ArtifactsInput!$M$27,Inputs!$B$4="Chapter Hunt"),CHOOSE(ArtifactsInput!$N$27+1,20,24,28,32,36,40),0)/100)),0)</f>
        <v/>
      </c>
      <c r="R1668">
        <f>IF(AND(Inputs!$B$38&lt;&gt;"pvp",Inputs!$B$43&gt;0),IF(MAX(0,Inputs!$B$43-B1693)&lt;=0,0,(INT(MAX(0,Inputs!$B$43-B1693)/(IF(Inputs!$B$38="pvp",15,MAX(0.1,Skills!D13-IF(Skills!E13=TRUE,Inputs!$B$32,0)))*(1-IF(AND(ArtifactsInput!$M$27,Inputs!$B$4="Chapter Hunt"),CHOOSE(ArtifactsInput!$N$27+1,20,24,28,32,36,40),0)/100)))+1)),0)</f>
        <v/>
      </c>
      <c r="S1668">
        <f>IFERROR(O1668/N1668,0)</f>
        <v/>
      </c>
      <c r="T1668">
        <f>IF(C1668,(H1668*N1668*IF(AND(Inputs!$B$38&lt;&gt;"pvp",Inputs!$B$43&gt;0),((Skills!G13*((R1668-1)*IF(Skills!H13&gt;0,Skills!I13/Skills!H13,1)+IF(Skills!H13&gt;0,MIN(Skills!I13,MAX(0,MAX(0,Inputs!$B$43-B1693)-((R1668-1)*(IF(Inputs!$B$38="pvp",15,MAX(0.1,Skills!D13-IF(Skills!E13=TRUE,Inputs!$B$32,0)))*(1-IF(AND(ArtifactsInput!$M$27,Inputs!$B$4="Chapter Hunt"),CHOOSE(ArtifactsInput!$N$27+1,20,24,28,32,36,40),0)/100)))))/Skills!H13,1)))/Inputs!$B$43),G1668*Q1668)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1668*(1-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1668*(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1668*(1-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1668*(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8">
        <f>IF(C1668,(H1668*N1668*IF(AND(Inputs!$B$38&lt;&gt;"pvp",Inputs!$B$43&gt;0),((Skills!G13*((R1668-1)*IF(Skills!H13&gt;0,Skills!I13/Skills!H13,1)+IF(Skills!H13&gt;0,MIN(Skills!I13,MAX(0,MAX(0,Inputs!$B$43-B1693)-((R1668-1)*(IF(Inputs!$B$38="pvp",15,MAX(0.1,Skills!D13-IF(Skills!E13=TRUE,Inputs!$B$32,0)))*(1-IF(AND(ArtifactsInput!$M$27,Inputs!$B$4="Chapter Hunt"),CHOOSE(ArtifactsInput!$N$27+1,20,24,28,32,36,40),0)/100)))))/Skills!H13,1)))/Inputs!$B$43),G1668*Q1668))*IF(Inputs!$B$38="pvp",1,(1+(Inputs!$B$21+Skills!Q13+(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9">
      <c r="A1669">
        <f>Skills!A14</f>
        <v/>
      </c>
      <c r="B1669">
        <f>Skills!B14</f>
        <v/>
      </c>
      <c r="C1669">
        <f>Inputs!$B$3&gt;=125</f>
        <v/>
      </c>
      <c r="D1669">
        <f>IF(Skills!C14=1,60+Inputs!$B$25+Inputs!$B$29,IF(Skills!C14=2,90+Inputs!$B$26+Inputs!$B$29,IF(Skills!C14=3,120+Inputs!$B$27+Inputs!$B$29,MAX(0,(Inputs!$B$3-100)*3)+Inputs!$B$28+Inputs!$B$29)))</f>
        <v/>
      </c>
      <c r="E1669">
        <f>INDEX(FactorTable!$B$2:$Y$301, MATCH(ROUND(MIN(300,MAX(1,D1669)),0), FactorTable!$A$2:$A$301,0), Skills!M14+1)</f>
        <v/>
      </c>
      <c r="F1669">
        <f>IF(Skills!N14=TRUE,(Skills!L14/10)*(E1669/1000),Skills!L14/10)+Skills!O14</f>
        <v/>
      </c>
      <c r="G1669">
        <f>Skills!G14*IF(Skills!H14&gt;0,Skills!I14/Skills!H14,1)</f>
        <v/>
      </c>
      <c r="H1669">
        <f>1-(1-Skills!J14/100)^Skills!K14</f>
        <v/>
      </c>
      <c r="I1669" t="inlineStr">
        <is>
          <t>1</t>
        </is>
      </c>
      <c r="J1669">
        <f>((Inputs!$B$6*(1+Inputs!$B$7/100))+(((Inputs!$B$12*(1+Inputs!$B$13/100))-(Inputs!$B$12*(1+Inputs!$B$13/100)))+0.25*(Inputs!$B$14-Inputs!$B$14))*(1+Inputs!$B$7/100))*(F1669/100)</f>
        <v/>
      </c>
      <c r="K1669">
        <f>J1669*(1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1669)</f>
        <v/>
      </c>
      <c r="L1669">
        <f>K1669*(MIN(Inputs!$B$22+((C1677=TRUE)*(F1677-Calc!F22)),(Inputs!$B$23+0+(IF(ArtifactsInput!$M$15,CHOOSE(ArtifactsInput!$N$15+1,25,30,35,40,45,50)/100*(Inputs!$B$11-Inputs!$B$11),0))))/100+(Inputs!$B$23+0+(IF(ArtifactsInput!$M$15,CHOOSE(ArtifactsInput!$N$15+1,25,30,35,40,45,50)/100*(Inputs!$B$11-Inputs!$B$11),0)))/100)/2</f>
        <v/>
      </c>
      <c r="M1669">
        <f>L1669*(1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9">
        <f>L1669*(1-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1669*(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9">
        <f>(1-Summary!$B$11)*T1669+Summary!$B$11*V1669</f>
        <v/>
      </c>
      <c r="P1669">
        <f>IF(B1696=0,0,O1669/B1696)</f>
        <v/>
      </c>
      <c r="Q1669" t="n">
        <v>0</v>
      </c>
      <c r="R1669" t="n">
        <v>0</v>
      </c>
      <c r="S1669">
        <f>IFERROR(O1669/N1669,0)</f>
        <v/>
      </c>
      <c r="T1669">
        <f>IF(C1669,(H1669*N1669*(B1690+IF(AND(Inputs!$B$38&lt;&gt;"pvp",Inputs!$B$43&gt;0),((Skills!G8*((R1663-1)*IF(Skills!H8&gt;0,Skills!I8/Skills!H8,1)+IF(Skills!H8&gt;0,MIN(Skills!I8,MAX(0,MAX(0,Inputs!$B$43-B1693)-((R1663-1)*(IF(Inputs!$B$38="pvp",15,MAX(0.1,Skills!D8-IF(Skills!E8=TRUE,Inputs!$B$32,0)))*(1-IF(AND(ArtifactsInput!$M$27,Inputs!$B$4="Chapter Hunt"),CHOOSE(ArtifactsInput!$N$27+1,20,24,28,32,36,40),0)/100)))))/Skills!H8,1)))/Inputs!$B$43),G1663*Q1663)+IF(AND(Inputs!$B$38&lt;&gt;"pvp",Inputs!$B$43&gt;0),((Skills!G11*((R1666-1)*IF(Skills!H11&gt;0,Skills!I11/Skills!H11,1)+IF(Skills!H11&gt;0,MIN(Skills!I11,MAX(0,MAX(0,Inputs!$B$43-B1693)-((R1666-1)*(IF(Inputs!$B$38="pvp",15,MAX(0.1,Skills!D11-IF(Skills!E11=TRUE,Inputs!$B$32,0)))*(1-IF(AND(ArtifactsInput!$M$27,Inputs!$B$4="Chapter Hunt"),CHOOSE(ArtifactsInput!$N$27+1,20,24,28,32,36,40),0)/100)))))/Skills!H11,1)))/Inputs!$B$43),G1666*Q1666)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1669*(1-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1669*(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1669*(1-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1669*(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9">
        <f>IF(C1669,(H1669*N1669*(B1690+IF(AND(Inputs!$B$38&lt;&gt;"pvp",Inputs!$B$43&gt;0),((Skills!G8*((R1663-1)*IF(Skills!H8&gt;0,Skills!I8/Skills!H8,1)+IF(Skills!H8&gt;0,MIN(Skills!I8,MAX(0,MAX(0,Inputs!$B$43-B1693)-((R1663-1)*(IF(Inputs!$B$38="pvp",15,MAX(0.1,Skills!D8-IF(Skills!E8=TRUE,Inputs!$B$32,0)))*(1-IF(AND(ArtifactsInput!$M$27,Inputs!$B$4="Chapter Hunt"),CHOOSE(ArtifactsInput!$N$27+1,20,24,28,32,36,40),0)/100)))))/Skills!H8,1)))/Inputs!$B$43),G1663*Q1663)+IF(AND(Inputs!$B$38&lt;&gt;"pvp",Inputs!$B$43&gt;0),((Skills!G11*((R1666-1)*IF(Skills!H11&gt;0,Skills!I11/Skills!H11,1)+IF(Skills!H11&gt;0,MIN(Skills!I11,MAX(0,MAX(0,Inputs!$B$43-B1693)-((R1666-1)*(IF(Inputs!$B$38="pvp",15,MAX(0.1,Skills!D11-IF(Skills!E11=TRUE,Inputs!$B$32,0)))*(1-IF(AND(ArtifactsInput!$M$27,Inputs!$B$4="Chapter Hunt"),CHOOSE(ArtifactsInput!$N$27+1,20,24,28,32,36,40),0)/100)))))/Skills!H11,1)))/Inputs!$B$43),G1666*Q1666)))*IF(Inputs!$B$38="pvp",1,(1+(Inputs!$B$21+Skills!Q14+(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0">
      <c r="A1670">
        <f>Skills!A15</f>
        <v/>
      </c>
      <c r="B1670">
        <f>Skills!B15</f>
        <v/>
      </c>
      <c r="C1670">
        <f>Inputs!$B$3&gt;=100</f>
        <v/>
      </c>
      <c r="D1670">
        <f>IF(Skills!C15=1,60+Inputs!$B$25+Inputs!$B$29,IF(Skills!C15=2,90+Inputs!$B$26+Inputs!$B$29,IF(Skills!C15=3,120+Inputs!$B$27+Inputs!$B$29,MAX(0,(Inputs!$B$3-100)*3)+Inputs!$B$28+Inputs!$B$29)))</f>
        <v/>
      </c>
      <c r="E1670">
        <f>INDEX(FactorTable!$B$2:$Y$301, MATCH(ROUND(MIN(300,MAX(1,D1670)),0), FactorTable!$A$2:$A$301,0), Skills!M15+1)</f>
        <v/>
      </c>
      <c r="F1670">
        <f>IF(Skills!N15=TRUE,(Skills!L15/10)*(E1670/1000),Skills!L15/10)+Skills!O15</f>
        <v/>
      </c>
      <c r="G1670" t="inlineStr"/>
      <c r="H1670" t="inlineStr"/>
      <c r="I1670" t="inlineStr">
        <is>
          <t>1</t>
        </is>
      </c>
      <c r="J1670" t="inlineStr"/>
      <c r="K1670" t="inlineStr"/>
      <c r="L1670" t="inlineStr"/>
      <c r="M1670" t="inlineStr"/>
      <c r="N1670" t="inlineStr"/>
      <c r="O1670" t="inlineStr"/>
      <c r="P1670" t="inlineStr"/>
      <c r="Q1670" t="inlineStr"/>
      <c r="R1670" t="inlineStr"/>
      <c r="S1670" t="inlineStr"/>
    </row>
    <row r="1671">
      <c r="A1671">
        <f>Skills!A16</f>
        <v/>
      </c>
      <c r="B1671">
        <f>Skills!B16</f>
        <v/>
      </c>
      <c r="C1671">
        <f>Inputs!$B$3&gt;=120</f>
        <v/>
      </c>
      <c r="D1671">
        <f>IF(Skills!C16=1,60+Inputs!$B$25+Inputs!$B$29,IF(Skills!C16=2,90+Inputs!$B$26+Inputs!$B$29,IF(Skills!C16=3,120+Inputs!$B$27+Inputs!$B$29,MAX(0,(Inputs!$B$3-100)*3)+Inputs!$B$28+Inputs!$B$29)))</f>
        <v/>
      </c>
      <c r="E1671">
        <f>INDEX(FactorTable!$B$2:$Y$301, MATCH(ROUND(MIN(300,MAX(1,D1671)),0), FactorTable!$A$2:$A$301,0), Skills!M16+1)</f>
        <v/>
      </c>
      <c r="F1671">
        <f>IF(Skills!N16=TRUE,(Skills!L16/10)*(E1671/1000),Skills!L16/10)+Skills!O16</f>
        <v/>
      </c>
      <c r="G1671" t="inlineStr"/>
      <c r="H1671" t="inlineStr"/>
      <c r="I1671" t="inlineStr">
        <is>
          <t>1</t>
        </is>
      </c>
      <c r="J1671" t="inlineStr"/>
      <c r="K1671" t="inlineStr"/>
      <c r="L1671" t="inlineStr"/>
      <c r="M1671" t="inlineStr"/>
      <c r="N1671" t="inlineStr"/>
      <c r="O1671" t="inlineStr"/>
      <c r="P1671" t="inlineStr"/>
      <c r="Q1671" t="inlineStr"/>
      <c r="R1671" t="inlineStr"/>
      <c r="S1671" t="inlineStr"/>
    </row>
    <row r="1672">
      <c r="A1672">
        <f>Skills!A17</f>
        <v/>
      </c>
      <c r="B1672">
        <f>Skills!B17</f>
        <v/>
      </c>
      <c r="C1672">
        <f>Inputs!$B$3&gt;=66</f>
        <v/>
      </c>
      <c r="D1672">
        <f>IF(Skills!C17=1,60+Inputs!$B$25+Inputs!$B$29,IF(Skills!C17=2,90+Inputs!$B$26+Inputs!$B$29,IF(Skills!C17=3,120+Inputs!$B$27+Inputs!$B$29,MAX(0,(Inputs!$B$3-100)*3)+Inputs!$B$28+Inputs!$B$29)))</f>
        <v/>
      </c>
      <c r="E1672">
        <f>INDEX(FactorTable!$B$2:$Y$301, MATCH(ROUND(MIN(300,MAX(1,D1672)),0), FactorTable!$A$2:$A$301,0), Skills!M17+1)</f>
        <v/>
      </c>
      <c r="F1672">
        <f>IF(Skills!N17=TRUE,(Skills!L17/10)*(E1672/1000),Skills!L17/10)+Skills!O17</f>
        <v/>
      </c>
      <c r="G1672">
        <f>Skills!G17*IF(Skills!H17&gt;0,Skills!I17/Skills!H17,1)</f>
        <v/>
      </c>
      <c r="H1672">
        <f>1-(1-Skills!J17/100)^Skills!K17</f>
        <v/>
      </c>
      <c r="I1672" t="inlineStr">
        <is>
          <t>1</t>
        </is>
      </c>
      <c r="J1672" t="inlineStr"/>
      <c r="K1672" t="inlineStr"/>
      <c r="L1672" t="inlineStr"/>
      <c r="M1672" t="inlineStr"/>
      <c r="N1672" t="inlineStr"/>
      <c r="O1672">
        <f>(1-Summary!$B$11)*T1672+Summary!$B$11*V1672</f>
        <v/>
      </c>
      <c r="P1672">
        <f>IF(B1696=0,0,O1672/B1696)</f>
        <v/>
      </c>
      <c r="Q1672" t="n">
        <v>0</v>
      </c>
      <c r="R1672" t="n">
        <v>0</v>
      </c>
      <c r="S1672">
        <f>IFERROR(O1672/N1672,0)</f>
        <v/>
      </c>
      <c r="T1672" t="n">
        <v>0</v>
      </c>
      <c r="V1672" t="n">
        <v>0</v>
      </c>
    </row>
    <row r="1673">
      <c r="A1673">
        <f>Skills!A18</f>
        <v/>
      </c>
      <c r="B1673">
        <f>Skills!B18</f>
        <v/>
      </c>
      <c r="C1673">
        <f>Inputs!$B$3&gt;=115</f>
        <v/>
      </c>
      <c r="D1673">
        <f>IF(Skills!C18=1,60+Inputs!$B$25+Inputs!$B$29,IF(Skills!C18=2,90+Inputs!$B$26+Inputs!$B$29,IF(Skills!C18=3,120+Inputs!$B$27+Inputs!$B$29,MAX(0,(Inputs!$B$3-100)*3)+Inputs!$B$28+Inputs!$B$29)))</f>
        <v/>
      </c>
      <c r="E1673">
        <f>INDEX(FactorTable!$B$2:$Y$301, MATCH(ROUND(MIN(300,MAX(1,D1673)),0), FactorTable!$A$2:$A$301,0), Skills!M18+1)</f>
        <v/>
      </c>
      <c r="F1673">
        <f>IF(Skills!N18=TRUE,(Skills!L18/10)*(E1673/1000),Skills!L18/10)+Skills!O18</f>
        <v/>
      </c>
      <c r="G1673">
        <f>Skills!G18*IF(Skills!H18&gt;0,Skills!I18/Skills!H18,1)</f>
        <v/>
      </c>
      <c r="H1673">
        <f>1-(1-Skills!J18/100)^Skills!K18</f>
        <v/>
      </c>
      <c r="I1673" t="inlineStr">
        <is>
          <t>1</t>
        </is>
      </c>
      <c r="J1673" t="inlineStr"/>
      <c r="K1673" t="inlineStr"/>
      <c r="L1673" t="inlineStr"/>
      <c r="M1673" t="inlineStr"/>
      <c r="N1673" t="inlineStr"/>
      <c r="O1673">
        <f>(1-Summary!$B$11)*T1673+Summary!$B$11*V1673</f>
        <v/>
      </c>
      <c r="P1673">
        <f>IF(B1696=0,0,O1673/B1696)</f>
        <v/>
      </c>
      <c r="Q1673">
        <f>IFERROR(1/(IF(Inputs!$B$38="pvp",15,MAX(0.1,Skills!D18-IF(Skills!E18=TRUE,Inputs!$B$32,0)))*(1-IF(AND(ArtifactsInput!$M$27,Inputs!$B$4="Chapter Hunt"),CHOOSE(ArtifactsInput!$N$27+1,20,24,28,32,36,40),0)/100)),0)</f>
        <v/>
      </c>
      <c r="R1673">
        <f>IF(AND(Inputs!$B$38&lt;&gt;"pvp",Inputs!$B$43&gt;0),IF(Inputs!$B$43&lt;=0,0,(INT(Inputs!$B$43/(IF(Inputs!$B$38="pvp",15,MAX(0.1,Skills!D18-IF(Skills!E18=TRUE,Inputs!$B$32,0)))*(1-IF(AND(ArtifactsInput!$M$27,Inputs!$B$4="Chapter Hunt"),CHOOSE(ArtifactsInput!$N$27+1,20,24,28,32,36,40),0)/100)))+1)),0)</f>
        <v/>
      </c>
      <c r="S1673">
        <f>IFERROR(O1673/N1673,0)</f>
        <v/>
      </c>
      <c r="T1673" t="n">
        <v>0</v>
      </c>
      <c r="V1673" t="n">
        <v>0</v>
      </c>
    </row>
    <row r="1674">
      <c r="A1674">
        <f>Skills!A19</f>
        <v/>
      </c>
      <c r="B1674">
        <f>Skills!B19</f>
        <v/>
      </c>
      <c r="C1674">
        <f>Inputs!$B$3&gt;=15</f>
        <v/>
      </c>
      <c r="D1674">
        <f>IF(Skills!C19=1,60+Inputs!$B$25+Inputs!$B$29,IF(Skills!C19=2,90+Inputs!$B$26+Inputs!$B$29,IF(Skills!C19=3,120+Inputs!$B$27+Inputs!$B$29,MAX(0,(Inputs!$B$3-100)*3)+Inputs!$B$28+Inputs!$B$29)))</f>
        <v/>
      </c>
      <c r="E1674">
        <f>INDEX(FactorTable!$B$2:$Y$301, MATCH(ROUND(MIN(300,MAX(1,D1674)),0), FactorTable!$A$2:$A$301,0), Skills!M19+1)</f>
        <v/>
      </c>
      <c r="F1674">
        <f>IF(Skills!N19=TRUE,(Skills!L19/10)*(E1674/1000),Skills!L19/10)+Skills!O19</f>
        <v/>
      </c>
      <c r="G1674">
        <f>Skills!G19*IF(Skills!H19&gt;0,Skills!I19/Skills!H19,1)</f>
        <v/>
      </c>
      <c r="H1674">
        <f>1-(1-Skills!J19/100)^Skills!K19</f>
        <v/>
      </c>
      <c r="I1674" t="inlineStr">
        <is>
          <t>1</t>
        </is>
      </c>
      <c r="J1674" t="inlineStr"/>
      <c r="K1674" t="inlineStr"/>
      <c r="L1674" t="inlineStr"/>
      <c r="M1674" t="inlineStr"/>
      <c r="N1674" t="inlineStr"/>
      <c r="O1674">
        <f>(1-Summary!$B$11)*T1674+Summary!$B$11*V1674</f>
        <v/>
      </c>
      <c r="P1674">
        <f>IF(B1696=0,0,O1674/B1696)</f>
        <v/>
      </c>
      <c r="Q1674" t="n">
        <v>0</v>
      </c>
      <c r="R1674" t="n">
        <v>0</v>
      </c>
      <c r="S1674">
        <f>IFERROR(O1674/N1674,0)</f>
        <v/>
      </c>
      <c r="T1674" t="n">
        <v>0</v>
      </c>
      <c r="V1674" t="n">
        <v>0</v>
      </c>
    </row>
    <row r="1675">
      <c r="A1675">
        <f>Skills!A20</f>
        <v/>
      </c>
      <c r="B1675">
        <f>Skills!B20</f>
        <v/>
      </c>
      <c r="C1675">
        <f>Inputs!$B$3&gt;=10</f>
        <v/>
      </c>
      <c r="D1675">
        <f>IF(Skills!C20=1,60+Inputs!$B$25+Inputs!$B$29,IF(Skills!C20=2,90+Inputs!$B$26+Inputs!$B$29,IF(Skills!C20=3,120+Inputs!$B$27+Inputs!$B$29,MAX(0,(Inputs!$B$3-100)*3)+Inputs!$B$28+Inputs!$B$29)))</f>
        <v/>
      </c>
      <c r="E1675">
        <f>INDEX(FactorTable!$B$2:$Y$301, MATCH(ROUND(MIN(300,MAX(1,D1675)),0), FactorTable!$A$2:$A$301,0), Skills!M20+1)</f>
        <v/>
      </c>
      <c r="F1675">
        <f>IF(Skills!N20=TRUE,(Skills!L20/10)*(E1675/1000),Skills!L20/10)+Skills!O20</f>
        <v/>
      </c>
      <c r="G1675">
        <f>Skills!G20*IF(Skills!H20&gt;0,Skills!I20/Skills!H20,1)</f>
        <v/>
      </c>
      <c r="H1675">
        <f>1-(1-Skills!J20/100)^Skills!K20</f>
        <v/>
      </c>
      <c r="I1675" t="inlineStr">
        <is>
          <t>1</t>
        </is>
      </c>
      <c r="J1675" t="inlineStr"/>
      <c r="K1675" t="inlineStr"/>
      <c r="L1675" t="inlineStr"/>
      <c r="M1675" t="inlineStr"/>
      <c r="N1675" t="inlineStr"/>
      <c r="O1675">
        <f>(1-Summary!$B$11)*T1675+Summary!$B$11*V1675</f>
        <v/>
      </c>
      <c r="P1675">
        <f>IF(B1696=0,0,O1675/B1696)</f>
        <v/>
      </c>
      <c r="Q1675" t="n">
        <v>0</v>
      </c>
      <c r="R1675" t="n">
        <v>0</v>
      </c>
      <c r="S1675">
        <f>IFERROR(O1675/N1675,0)</f>
        <v/>
      </c>
      <c r="T1675" t="n">
        <v>0</v>
      </c>
      <c r="V1675" t="n">
        <v>0</v>
      </c>
    </row>
    <row r="1676">
      <c r="A1676">
        <f>Skills!A21</f>
        <v/>
      </c>
      <c r="B1676">
        <f>Skills!B21</f>
        <v/>
      </c>
      <c r="C1676">
        <f>Inputs!$B$3&gt;=33</f>
        <v/>
      </c>
      <c r="D1676">
        <f>IF(Skills!C21=1,60+Inputs!$B$25+Inputs!$B$29,IF(Skills!C21=2,90+Inputs!$B$26+Inputs!$B$29,IF(Skills!C21=3,120+Inputs!$B$27+Inputs!$B$29,MAX(0,(Inputs!$B$3-100)*3)+Inputs!$B$28+Inputs!$B$29)))</f>
        <v/>
      </c>
      <c r="E1676">
        <f>INDEX(FactorTable!$B$2:$Y$301, MATCH(ROUND(MIN(300,MAX(1,D1676)),0), FactorTable!$A$2:$A$301,0), Skills!M21+1)</f>
        <v/>
      </c>
      <c r="F1676">
        <f>IF(Skills!N21=TRUE,(Skills!L21/10)*(E1676/1000),Skills!L21/10)+Skills!O21</f>
        <v/>
      </c>
      <c r="G1676">
        <f>Skills!G21*IF(Skills!H21&gt;0,Skills!I21/Skills!H21,1)</f>
        <v/>
      </c>
      <c r="H1676">
        <f>1-(1-Skills!J21/100)^Skills!K21</f>
        <v/>
      </c>
      <c r="I1676" t="inlineStr">
        <is>
          <t>1</t>
        </is>
      </c>
      <c r="J1676" t="inlineStr"/>
      <c r="K1676" t="inlineStr"/>
      <c r="L1676" t="inlineStr"/>
      <c r="M1676" t="inlineStr"/>
      <c r="N1676" t="inlineStr"/>
      <c r="O1676">
        <f>(1-Summary!$B$11)*T1676+Summary!$B$11*V1676</f>
        <v/>
      </c>
      <c r="P1676">
        <f>IF(B1696=0,0,O1676/B1696)</f>
        <v/>
      </c>
      <c r="Q1676" t="n">
        <v>0</v>
      </c>
      <c r="R1676" t="n">
        <v>0</v>
      </c>
      <c r="S1676">
        <f>IFERROR(O1676/N1676,0)</f>
        <v/>
      </c>
      <c r="T1676" t="n">
        <v>0</v>
      </c>
      <c r="V1676" t="n">
        <v>0</v>
      </c>
    </row>
    <row r="1677">
      <c r="A1677">
        <f>Skills!A22</f>
        <v/>
      </c>
      <c r="B1677">
        <f>Skills!B22</f>
        <v/>
      </c>
      <c r="C1677">
        <f>Inputs!$B$3&gt;=43</f>
        <v/>
      </c>
      <c r="D1677">
        <f>IF(Skills!C22=1,60+Inputs!$B$25+Inputs!$B$29,IF(Skills!C22=2,90+Inputs!$B$26+Inputs!$B$29,IF(Skills!C22=3,120+Inputs!$B$27+Inputs!$B$29,MAX(0,(Inputs!$B$3-100)*3)+Inputs!$B$28+Inputs!$B$29)))</f>
        <v/>
      </c>
      <c r="E1677">
        <f>INDEX(FactorTable!$B$2:$Y$301, MATCH(ROUND(MIN(300,MAX(1,D1677)),0), FactorTable!$A$2:$A$301,0), Skills!M22+1)</f>
        <v/>
      </c>
      <c r="F1677">
        <f>IF(Skills!N22=TRUE,(Skills!L22/10)*(E1677/1000),Skills!L22/10)+Skills!O22</f>
        <v/>
      </c>
      <c r="G1677">
        <f>Skills!G22*IF(Skills!H22&gt;0,Skills!I22/Skills!H22,1)</f>
        <v/>
      </c>
      <c r="H1677">
        <f>1-(1-Skills!J22/100)^Skills!K22</f>
        <v/>
      </c>
      <c r="I1677" t="inlineStr">
        <is>
          <t>1</t>
        </is>
      </c>
      <c r="J1677" t="inlineStr"/>
      <c r="K1677" t="inlineStr"/>
      <c r="L1677" t="inlineStr"/>
      <c r="M1677" t="inlineStr"/>
      <c r="N1677" t="inlineStr"/>
      <c r="O1677">
        <f>(1-Summary!$B$11)*T1677+Summary!$B$11*V1677</f>
        <v/>
      </c>
      <c r="P1677">
        <f>IF(B1696=0,0,O1677/B1696)</f>
        <v/>
      </c>
      <c r="Q1677" t="n">
        <v>0</v>
      </c>
      <c r="R1677" t="n">
        <v>0</v>
      </c>
      <c r="S1677">
        <f>IFERROR(O1677/N1677,0)</f>
        <v/>
      </c>
      <c r="T1677" t="n">
        <v>0</v>
      </c>
      <c r="V1677" t="n">
        <v>0</v>
      </c>
    </row>
    <row r="1678">
      <c r="A1678">
        <f>Skills!A23</f>
        <v/>
      </c>
      <c r="B1678">
        <f>Skills!B23</f>
        <v/>
      </c>
      <c r="C1678">
        <f>Inputs!$B$3&gt;=38</f>
        <v/>
      </c>
      <c r="D1678">
        <f>IF(Skills!C23=1,60+Inputs!$B$25+Inputs!$B$29,IF(Skills!C23=2,90+Inputs!$B$26+Inputs!$B$29,IF(Skills!C23=3,120+Inputs!$B$27+Inputs!$B$29,MAX(0,(Inputs!$B$3-100)*3)+Inputs!$B$28+Inputs!$B$29)))</f>
        <v/>
      </c>
      <c r="E1678">
        <f>INDEX(FactorTable!$B$2:$Y$301, MATCH(ROUND(MIN(300,MAX(1,D1678)),0), FactorTable!$A$2:$A$301,0), Skills!M23+1)</f>
        <v/>
      </c>
      <c r="F1678">
        <f>IF(Skills!N23=TRUE,(Skills!L23/10)*(E1678/1000),Skills!L23/10)+Skills!O23</f>
        <v/>
      </c>
      <c r="G1678">
        <f>Skills!G23*IF(Skills!H23&gt;0,Skills!I23/Skills!H23,1)</f>
        <v/>
      </c>
      <c r="H1678">
        <f>1-(1-Skills!J23/100)^Skills!K23</f>
        <v/>
      </c>
      <c r="I1678" t="inlineStr">
        <is>
          <t>1</t>
        </is>
      </c>
      <c r="J1678" t="inlineStr"/>
      <c r="K1678" t="inlineStr"/>
      <c r="L1678" t="inlineStr"/>
      <c r="M1678" t="inlineStr"/>
      <c r="N1678" t="inlineStr"/>
      <c r="O1678">
        <f>(1-Summary!$B$11)*T1678+Summary!$B$11*V1678</f>
        <v/>
      </c>
      <c r="P1678">
        <f>IF(B1696=0,0,O1678/B1696)</f>
        <v/>
      </c>
      <c r="Q1678" t="n">
        <v>0</v>
      </c>
      <c r="R1678" t="n">
        <v>0</v>
      </c>
      <c r="S1678">
        <f>IFERROR(O1678/N1678,0)</f>
        <v/>
      </c>
      <c r="T1678" t="n">
        <v>0</v>
      </c>
      <c r="V1678" t="n">
        <v>0</v>
      </c>
    </row>
    <row r="1679">
      <c r="A1679">
        <f>Skills!A24</f>
        <v/>
      </c>
      <c r="B1679">
        <f>Skills!B24</f>
        <v/>
      </c>
      <c r="C1679">
        <f>Inputs!$B$3&gt;=40</f>
        <v/>
      </c>
      <c r="D1679">
        <f>IF(Skills!C24=1,60+Inputs!$B$25+Inputs!$B$29,IF(Skills!C24=2,90+Inputs!$B$26+Inputs!$B$29,IF(Skills!C24=3,120+Inputs!$B$27+Inputs!$B$29,MAX(0,(Inputs!$B$3-100)*3)+Inputs!$B$28+Inputs!$B$29)))</f>
        <v/>
      </c>
      <c r="E1679">
        <f>INDEX(FactorTable!$B$2:$Y$301, MATCH(ROUND(MIN(300,MAX(1,D1679)),0), FactorTable!$A$2:$A$301,0), Skills!M24+1)</f>
        <v/>
      </c>
      <c r="F1679">
        <f>IF(Skills!N24=TRUE,(Skills!L24/10)*(E1679/1000),Skills!L24/10)+Skills!O24</f>
        <v/>
      </c>
      <c r="G1679">
        <f>Skills!G24*IF(Skills!H24&gt;0,Skills!I24/Skills!H24,1)</f>
        <v/>
      </c>
      <c r="H1679">
        <f>1-(1-Skills!J24/100)^Skills!K24</f>
        <v/>
      </c>
      <c r="I1679" t="inlineStr">
        <is>
          <t>1</t>
        </is>
      </c>
      <c r="J1679" t="inlineStr"/>
      <c r="K1679" t="inlineStr"/>
      <c r="L1679" t="inlineStr"/>
      <c r="M1679" t="inlineStr"/>
      <c r="N1679" t="inlineStr"/>
      <c r="O1679">
        <f>(1-Summary!$B$11)*T1679+Summary!$B$11*V1679</f>
        <v/>
      </c>
      <c r="P1679">
        <f>IF(B1696=0,0,O1679/B1696)</f>
        <v/>
      </c>
      <c r="Q1679" t="n">
        <v>0</v>
      </c>
      <c r="R1679" t="n">
        <v>0</v>
      </c>
      <c r="S1679">
        <f>IFERROR(O1679/N1679,0)</f>
        <v/>
      </c>
      <c r="T1679" t="n">
        <v>0</v>
      </c>
      <c r="V1679" t="n">
        <v>0</v>
      </c>
    </row>
    <row r="1680">
      <c r="A1680">
        <f>Skills!A25</f>
        <v/>
      </c>
      <c r="B1680">
        <f>Skills!B25</f>
        <v/>
      </c>
      <c r="C1680">
        <f>Inputs!$B$3&gt;=72</f>
        <v/>
      </c>
      <c r="D1680">
        <f>IF(Skills!C25=1,60+Inputs!$B$25+Inputs!$B$29,IF(Skills!C25=2,90+Inputs!$B$26+Inputs!$B$29,IF(Skills!C25=3,120+Inputs!$B$27+Inputs!$B$29,MAX(0,(Inputs!$B$3-100)*3)+Inputs!$B$28+Inputs!$B$29)))</f>
        <v/>
      </c>
      <c r="E1680">
        <f>INDEX(FactorTable!$B$2:$Y$301, MATCH(ROUND(MIN(300,MAX(1,D1680)),0), FactorTable!$A$2:$A$301,0), Skills!M25+1)</f>
        <v/>
      </c>
      <c r="F1680">
        <f>IF(Skills!N25=TRUE,(Skills!L25/10)*(E1680/1000),Skills!L25/10)+Skills!O25</f>
        <v/>
      </c>
      <c r="G1680">
        <f>Skills!G25*IF(Skills!H25&gt;0,Skills!I25/Skills!H25,1)</f>
        <v/>
      </c>
      <c r="H1680">
        <f>1-(1-Skills!J25/100)^Skills!K25</f>
        <v/>
      </c>
      <c r="I1680" t="inlineStr">
        <is>
          <t>1</t>
        </is>
      </c>
      <c r="J1680" t="inlineStr"/>
      <c r="K1680" t="inlineStr"/>
      <c r="L1680" t="inlineStr"/>
      <c r="M1680" t="inlineStr"/>
      <c r="N1680" t="inlineStr"/>
      <c r="O1680">
        <f>(1-Summary!$B$11)*T1680+Summary!$B$11*V1680</f>
        <v/>
      </c>
      <c r="P1680">
        <f>IF(B1696=0,0,O1680/B1696)</f>
        <v/>
      </c>
      <c r="Q1680" t="n">
        <v>0</v>
      </c>
      <c r="R1680" t="n">
        <v>0</v>
      </c>
      <c r="S1680">
        <f>IFERROR(O1680/N1680,0)</f>
        <v/>
      </c>
      <c r="T1680" t="n">
        <v>0</v>
      </c>
      <c r="V1680" t="n">
        <v>0</v>
      </c>
    </row>
    <row r="1681">
      <c r="A1681">
        <f>Skills!A26</f>
        <v/>
      </c>
      <c r="B1681">
        <f>Skills!B26</f>
        <v/>
      </c>
      <c r="C1681">
        <f>Inputs!$B$3&gt;=75</f>
        <v/>
      </c>
      <c r="D1681">
        <f>IF(Skills!C26=1,60+Inputs!$B$25+Inputs!$B$29,IF(Skills!C26=2,90+Inputs!$B$26+Inputs!$B$29,IF(Skills!C26=3,120+Inputs!$B$27+Inputs!$B$29,MAX(0,(Inputs!$B$3-100)*3)+Inputs!$B$28+Inputs!$B$29)))</f>
        <v/>
      </c>
      <c r="E1681">
        <f>INDEX(FactorTable!$B$2:$Y$301, MATCH(ROUND(MIN(300,MAX(1,D1681)),0), FactorTable!$A$2:$A$301,0), Skills!M26+1)</f>
        <v/>
      </c>
      <c r="F1681">
        <f>IF(Skills!N26=TRUE,(Skills!L26/10)*(E1681/1000),Skills!L26/10)+Skills!O26</f>
        <v/>
      </c>
      <c r="G1681">
        <f>Skills!G26*IF(Skills!H26&gt;0,Skills!I26/Skills!H26,1)</f>
        <v/>
      </c>
      <c r="H1681">
        <f>1-(1-Skills!J26/100)^Skills!K26</f>
        <v/>
      </c>
      <c r="I1681" t="inlineStr">
        <is>
          <t>1</t>
        </is>
      </c>
      <c r="J1681" t="inlineStr"/>
      <c r="K1681" t="inlineStr"/>
      <c r="L1681" t="inlineStr"/>
      <c r="M1681" t="inlineStr"/>
      <c r="N1681" t="inlineStr"/>
      <c r="O1681">
        <f>(1-Summary!$B$11)*T1681+Summary!$B$11*V1681</f>
        <v/>
      </c>
      <c r="P1681">
        <f>IF(B1696=0,0,O1681/B1696)</f>
        <v/>
      </c>
      <c r="Q1681" t="n">
        <v>0</v>
      </c>
      <c r="R1681" t="n">
        <v>0</v>
      </c>
      <c r="S1681">
        <f>IFERROR(O1681/N1681,0)</f>
        <v/>
      </c>
      <c r="T1681" t="n">
        <v>0</v>
      </c>
      <c r="V1681" t="n">
        <v>0</v>
      </c>
    </row>
    <row r="1682">
      <c r="A1682">
        <f>Skills!A27</f>
        <v/>
      </c>
      <c r="B1682">
        <f>Skills!B27</f>
        <v/>
      </c>
      <c r="C1682">
        <f>Inputs!$B$3&gt;=117</f>
        <v/>
      </c>
      <c r="D1682">
        <f>IF(Skills!C27=1,60+Inputs!$B$25+Inputs!$B$29,IF(Skills!C27=2,90+Inputs!$B$26+Inputs!$B$29,IF(Skills!C27=3,120+Inputs!$B$27+Inputs!$B$29,MAX(0,(Inputs!$B$3-100)*3)+Inputs!$B$28+Inputs!$B$29)))</f>
        <v/>
      </c>
      <c r="E1682">
        <f>INDEX(FactorTable!$B$2:$Y$301, MATCH(ROUND(MIN(300,MAX(1,D1682)),0), FactorTable!$A$2:$A$301,0), Skills!M27+1)</f>
        <v/>
      </c>
      <c r="F1682">
        <f>IF(Skills!N27=TRUE,(Skills!L27/10)*(E1682/1000),Skills!L27/10)+Skills!O27</f>
        <v/>
      </c>
      <c r="G1682">
        <f>Skills!G27*IF(Skills!H27&gt;0,Skills!I27/Skills!H27,1)</f>
        <v/>
      </c>
      <c r="H1682">
        <f>1-(1-Skills!J27/100)^Skills!K27</f>
        <v/>
      </c>
      <c r="I1682" t="inlineStr">
        <is>
          <t>1</t>
        </is>
      </c>
      <c r="J1682" t="inlineStr"/>
      <c r="K1682" t="inlineStr"/>
      <c r="L1682" t="inlineStr"/>
      <c r="M1682" t="inlineStr"/>
      <c r="N1682" t="inlineStr"/>
      <c r="O1682">
        <f>(1-Summary!$B$11)*T1682+Summary!$B$11*V1682</f>
        <v/>
      </c>
      <c r="P1682">
        <f>IF(B1696=0,0,O1682/B1696)</f>
        <v/>
      </c>
      <c r="Q1682" t="n">
        <v>0</v>
      </c>
      <c r="R1682" t="n">
        <v>0</v>
      </c>
      <c r="S1682">
        <f>IFERROR(O1682/N1682,0)</f>
        <v/>
      </c>
      <c r="T1682" t="n">
        <v>0</v>
      </c>
      <c r="V1682" t="n">
        <v>0</v>
      </c>
    </row>
    <row r="1683">
      <c r="A1683">
        <f>Skills!A28</f>
        <v/>
      </c>
      <c r="B1683">
        <f>Skills!B28</f>
        <v/>
      </c>
      <c r="C1683">
        <f>TRUE</f>
        <v/>
      </c>
      <c r="D1683">
        <f>IF(Skills!C28=1,60+Inputs!$B$25+Inputs!$B$29,IF(Skills!C28=2,90+Inputs!$B$26+Inputs!$B$29,IF(Skills!C28=3,120+Inputs!$B$27+Inputs!$B$29,MAX(0,(Inputs!$B$3-100)*3)+Inputs!$B$28+Inputs!$B$29)))</f>
        <v/>
      </c>
      <c r="E1683">
        <f>INDEX(FactorTable!$B$2:$Y$301, MATCH(ROUND(MIN(300,MAX(1,D1683)),0), FactorTable!$A$2:$A$301,0), Skills!M28+1)</f>
        <v/>
      </c>
      <c r="F1683">
        <f>IF(Skills!N28=TRUE,(Skills!L28/10)*(E1683/1000),Skills!L28/10)+Skills!O28</f>
        <v/>
      </c>
      <c r="G1683">
        <f>Skills!G28*IF(Skills!H28&gt;0,Skills!I28/Skills!H28,1)</f>
        <v/>
      </c>
      <c r="H1683">
        <f>1-(1-Skills!J28/100)^Skills!K28</f>
        <v/>
      </c>
      <c r="I1683" t="inlineStr">
        <is>
          <t>1</t>
        </is>
      </c>
      <c r="J1683" t="inlineStr"/>
      <c r="K1683" t="inlineStr"/>
      <c r="L1683" t="inlineStr"/>
      <c r="M1683" t="inlineStr"/>
      <c r="N1683" t="inlineStr"/>
      <c r="O1683">
        <f>(1-Summary!$B$11)*T1683+Summary!$B$11*V1683</f>
        <v/>
      </c>
      <c r="P1683">
        <f>IF(B1696=0,0,O1683/B1696)</f>
        <v/>
      </c>
      <c r="Q1683">
        <f>IFERROR(1/(IF(Inputs!$B$38="pvp",15,MAX(0.1,Skills!D28-IF(Skills!E28=TRUE,Inputs!$B$32,0)))*(1-IF(AND(ArtifactsInput!$M$27,Inputs!$B$4="Chapter Hunt"),CHOOSE(ArtifactsInput!$N$27+1,20,24,28,32,36,40),0)/100)),0)</f>
        <v/>
      </c>
      <c r="R1683">
        <f>IF(AND(Inputs!$B$38&lt;&gt;"pvp",Inputs!$B$43&gt;0),IF(Inputs!$B$43&lt;=0,0,(INT(Inputs!$B$43/(IF(Inputs!$B$38="pvp",15,MAX(0.1,Skills!D28-IF(Skills!E28=TRUE,Inputs!$B$32,0)))*(1-IF(AND(ArtifactsInput!$M$27,Inputs!$B$4="Chapter Hunt"),CHOOSE(ArtifactsInput!$N$27+1,20,24,28,32,36,40),0)/100)))+1)),0)</f>
        <v/>
      </c>
      <c r="S1683">
        <f>IFERROR(O1683/N1683,0)</f>
        <v/>
      </c>
      <c r="T1683" t="n">
        <v>0</v>
      </c>
      <c r="V1683" t="n">
        <v>0</v>
      </c>
    </row>
    <row r="1685">
      <c r="A1685" t="inlineStr">
        <is>
          <t>Attack% Bucket Multiplier</t>
        </is>
      </c>
      <c r="B1685">
        <f>(1+(((C1672=TRUE)*F1672*5/7)+((C1679=TRUE)*(F1679-Calc!F24))+(IF(ArtifactsInput!$M$21,CHOOSE(ArtifactsInput!$N$21+1,25,30,35,40,45,50)*(IF(OR(Inputs!$B$4="Chapter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86">
      <c r="A1686" t="inlineStr">
        <is>
          <t>Global Crit Rate Bonus %</t>
        </is>
      </c>
      <c r="B1686" t="n">
        <v>0</v>
      </c>
    </row>
    <row r="1687">
      <c r="A1687" t="inlineStr">
        <is>
          <t>Attack Speed Buff Bonus % (Nimble Feet, duty-cycle averaged)</t>
        </is>
      </c>
      <c r="B1687">
        <f>((C1683=TRUE)*F1683*IF(AND(Inputs!$B$38&lt;&gt;"pvp",Inputs!$B$43&gt;0),(((R1683-1)*(Skills!T28*(1+Inputs!$B$34/100))+MIN((Skills!T28*(1+Inputs!$B$34/100)),MAX(0,Inputs!$B$43-((R1683-1)*Skills!D28))))/Inputs!$B$43),IF(Inputs!$B$38="pvp",MIN((Skills!T28*(1+Inputs!$B$34/100)),15)/15,(Skills!T28*(1+Inputs!$B$34/100))/Skills!D28)))</f>
        <v/>
      </c>
    </row>
    <row r="1688">
      <c r="A1688" t="inlineStr">
        <is>
          <t>Actions Per Second</t>
        </is>
      </c>
      <c r="B1688">
        <f>1+MIN(150,150*(1-(1-(Inputs!$B$11+((C1675=TRUE)*(F1675-Calc!F20))+((C1676=TRUE)*(F1676-Calc!F21)))/150)*(1-B1687/150)))/100</f>
        <v/>
      </c>
    </row>
    <row r="1689">
      <c r="A1689" t="inlineStr">
        <is>
          <t>Skill + Buff Cast Rate</t>
        </is>
      </c>
      <c r="B1689">
        <f>IF(AND(Inputs!$B$38&lt;&gt;"pvp",Inputs!$B$43&gt;0),SUMPRODUCT((Skills!E2:E28=TRUE)*(C1657:C1683=TRUE)*R1657:R1683*Skills!F2:F28)/Inputs!$B$43,SUMPRODUCT((Skills!E2:E28=TRUE)*(C1657:C1683=TRUE)*Q1657:Q1683*Skills!F2:F28))</f>
        <v/>
      </c>
    </row>
    <row r="1690">
      <c r="A1690" t="inlineStr">
        <is>
          <t>Eight-Legs Easton Casts Per Second</t>
        </is>
      </c>
      <c r="B1690">
        <f>MAX(0,B1688-B1689)</f>
        <v/>
      </c>
    </row>
    <row r="1691">
      <c r="A1691" t="inlineStr">
        <is>
          <t>Global Critical Damage Bonus % (unused)</t>
        </is>
      </c>
      <c r="B1691" t="n">
        <v>0</v>
      </c>
    </row>
    <row r="1692">
      <c r="A1692" t="inlineStr">
        <is>
          <t>Global Final Damage Bonus % (Jolly Roger + Ahoy Mateys - Final Damage proc)</t>
        </is>
      </c>
      <c r="B1692">
        <f>((C1673=TRUE)*F1673*IF(AND(Inputs!$B$38&lt;&gt;"pvp",Inputs!$B$43&gt;0),(((R1673-1)*(Skills!T18*(1+Inputs!$B$34/100))+MIN((Skills!T18*(1+Inputs!$B$34/100)),MAX(0,Inputs!$B$43-((R1673-1)*Skills!D18))))/Inputs!$B$43),IF(Inputs!$B$38="pvp",MIN((Skills!T18*(1+Inputs!$B$34/100)),15)/15,(Skills!T18*(1+Inputs!$B$34/100))/Skills!D18)))+IF(Inputs!$B$3&gt;=122,20*IF(Inputs!$B$38="pvp",MIN((20*(1+Inputs!$B$34/100)),15)/15,(20*(1+Inputs!$B$34/100))/Skills!D4),0)</f>
        <v/>
      </c>
    </row>
    <row r="1693">
      <c r="A1693" t="inlineStr">
        <is>
          <t>Buff-Casting Startup Delay (s, fixed-duration only)</t>
        </is>
      </c>
      <c r="B1693">
        <f>IF(AND(Inputs!$B$38&lt;&gt;"pvp",Inputs!$B$43&gt;0),SUMPRODUCT((Skills!T2:T28&gt;0)*(Skills!E2:E28=TRUE)*(C1657:C1683=TRUE))/B1688,0)</f>
        <v/>
      </c>
    </row>
    <row r="1694">
      <c r="A1694" t="inlineStr">
        <is>
          <t>Boss-Only Total DPS (this block's swept value)</t>
        </is>
      </c>
      <c r="B1694">
        <f>SUM(T1657:T1683)</f>
        <v/>
      </c>
    </row>
    <row r="1695">
      <c r="A1695" t="inlineStr">
        <is>
          <t>Normal-Only Total DPS (this block's swept value)</t>
        </is>
      </c>
      <c r="B1695">
        <f>SUM(V1657:V1683)</f>
        <v/>
      </c>
    </row>
    <row r="1696">
      <c r="A1696" s="6" t="inlineStr">
        <is>
          <t>TOTAL DPS</t>
        </is>
      </c>
      <c r="B1696" s="6">
        <f>SUM(O1657:O1683)</f>
        <v/>
      </c>
    </row>
    <row r="1699">
      <c r="A1699" s="6" t="inlineStr">
        <is>
          <t>Stat: Horntail's Scale (Equip)</t>
        </is>
      </c>
    </row>
    <row r="1700">
      <c r="A1700" s="5" t="inlineStr">
        <is>
          <t>Key</t>
        </is>
      </c>
      <c r="B1700" s="5" t="inlineStr">
        <is>
          <t>Name</t>
        </is>
      </c>
      <c r="C1700" s="5" t="inlineStr">
        <is>
          <t>Unlocked</t>
        </is>
      </c>
      <c r="D1700" s="5" t="inlineStr">
        <is>
          <t>InputLevel</t>
        </is>
      </c>
      <c r="E1700" s="5" t="inlineStr">
        <is>
          <t>Factor</t>
        </is>
      </c>
      <c r="F1700" s="5" t="inlineStr">
        <is>
          <t>CoefficientPercent</t>
        </is>
      </c>
      <c r="G1700" s="5" t="inlineStr">
        <is>
          <t>EffectiveHits</t>
        </is>
      </c>
      <c r="H1700" s="5" t="inlineStr">
        <is>
          <t>ProcProbability</t>
        </is>
      </c>
      <c r="I1700" s="5" t="inlineStr">
        <is>
          <t>MapleHeroMultiplier</t>
        </is>
      </c>
      <c r="J1700" s="5" t="inlineStr">
        <is>
          <t>BaseDamage</t>
        </is>
      </c>
      <c r="K1700" s="5" t="inlineStr">
        <is>
          <t>BaseHitDamage</t>
        </is>
      </c>
      <c r="L1700" s="5" t="inlineStr">
        <is>
          <t>NonCritAvg</t>
        </is>
      </c>
      <c r="M1700" s="5" t="inlineStr">
        <is>
          <t>CritAvg</t>
        </is>
      </c>
      <c r="N1700" s="5" t="inlineStr">
        <is>
          <t>ExpectedDamage(perHit)</t>
        </is>
      </c>
      <c r="O1700" s="5" t="inlineStr">
        <is>
          <t>DPS</t>
        </is>
      </c>
      <c r="P1700" s="5" t="inlineStr">
        <is>
          <t>% of Total</t>
        </is>
      </c>
      <c r="Q1700" s="5" t="inlineStr">
        <is>
          <t>InvCooldown</t>
        </is>
      </c>
      <c r="R1700" s="5" t="inlineStr">
        <is>
          <t>CastsInFight</t>
        </is>
      </c>
      <c r="S1700" s="5" t="inlineStr">
        <is>
          <t>HitRate(perSec)</t>
        </is>
      </c>
      <c r="U1700" t="inlineStr">
        <is>
          <t>helpers</t>
        </is>
      </c>
    </row>
    <row r="1701">
      <c r="A1701">
        <f>Skills!A2</f>
        <v/>
      </c>
      <c r="B1701">
        <f>Skills!B2</f>
        <v/>
      </c>
      <c r="C1701">
        <f>Inputs!$B$3&gt;=100</f>
        <v/>
      </c>
      <c r="D1701" t="inlineStr"/>
      <c r="E1701" t="inlineStr"/>
      <c r="F1701">
        <f>U1703+Skills!O2</f>
        <v/>
      </c>
      <c r="G1701">
        <f>Skills!G2*IF(Skills!H2&gt;0,Skills!I2/Skills!H2,1)</f>
        <v/>
      </c>
      <c r="H1701">
        <f>1-(1-Skills!J2/100)^Skills!K2</f>
        <v/>
      </c>
      <c r="I1701" t="inlineStr">
        <is>
          <t>1</t>
        </is>
      </c>
      <c r="J1701">
        <f>((Inputs!$B$6*(1+Inputs!$B$7/100))+(((Inputs!$B$12*(1+Inputs!$B$13/100))-(Inputs!$B$12*(1+Inputs!$B$13/100)))+0.25*(Inputs!$B$14-Inputs!$B$14))*(1+Inputs!$B$7/100))*(F1701/100)</f>
        <v/>
      </c>
      <c r="K1701">
        <f>J1701*(1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1701)</f>
        <v/>
      </c>
      <c r="L1701">
        <f>K1701*(MIN(Inputs!$B$22+((C1721=TRUE)*(F1721-Calc!F22)),(Inputs!$B$23+0+(IF(ArtifactsInput!$M$15,CHOOSE(ArtifactsInput!$N$15+1,25,30,35,40,45,50)/100*(Inputs!$B$11-Inputs!$B$11),0))))/100+(Inputs!$B$23+0+(IF(ArtifactsInput!$M$15,CHOOSE(ArtifactsInput!$N$15+1,25,30,35,40,45,50)/100*(Inputs!$B$11-Inputs!$B$11),0)))/100)/2</f>
        <v/>
      </c>
      <c r="M1701">
        <f>L1701*(1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1">
        <f>L1701*(1-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1">
        <f>(1-Summary!$B$11)*T1701+Summary!$B$11*V1701</f>
        <v/>
      </c>
      <c r="P1701">
        <f>IF(B1740=0,0,O1701/B1740)</f>
        <v/>
      </c>
      <c r="Q1701" t="n">
        <v>0</v>
      </c>
      <c r="R1701" t="n">
        <v>0</v>
      </c>
      <c r="S1701">
        <f>IFERROR(O1701/N1701,0)</f>
        <v/>
      </c>
      <c r="T1701">
        <f>IF(C1701,(Skills!G2*N1701*B1734)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1701*(1-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1">
        <f>MAX(0,(Inputs!$B$3-100)*3)+Inputs!$B$28+Inputs!$B$29</f>
        <v/>
      </c>
      <c r="V1701">
        <f>IF(C1701,(Skills!G2*N1701*B1734)*IF(Inputs!$B$38="pvp",1,(1+(Inputs!$B$21+Skills!Q2+(IF(ArtifactsInput!$M$33,CHOOSE(ArtifactsInput!$N$33+1,30,36,42,48,54,60),0))+(IF(AND(ArtifactsInput!$M$35,Inputs!$B$4&lt;&gt;"Chapter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2">
      <c r="A1702">
        <f>Skills!A3</f>
        <v/>
      </c>
      <c r="B1702">
        <f>Skills!B3</f>
        <v/>
      </c>
      <c r="C1702">
        <f>Inputs!$B$3&gt;=35</f>
        <v/>
      </c>
      <c r="D1702">
        <f>IF(Skills!C3=1,60+Inputs!$B$25+Inputs!$B$29,IF(Skills!C3=2,90+Inputs!$B$26+Inputs!$B$29,IF(Skills!C3=3,120+Inputs!$B$27+Inputs!$B$29,MAX(0,(Inputs!$B$3-100)*3)+Inputs!$B$28+Inputs!$B$29)))</f>
        <v/>
      </c>
      <c r="E1702">
        <f>INDEX(FactorTable!$B$2:$Y$301, MATCH(ROUND(MIN(300,MAX(1,D1702)),0), FactorTable!$A$2:$A$301,0), Skills!M3+1)</f>
        <v/>
      </c>
      <c r="F1702">
        <f>IF(Skills!N3=TRUE,(Skills!L3/10)*(E1702/1000),Skills!L3/10)+Skills!O3</f>
        <v/>
      </c>
      <c r="G1702">
        <f>Skills!G3*IF(Skills!H3&gt;0,Skills!I3/Skills!H3,1)</f>
        <v/>
      </c>
      <c r="H1702">
        <f>1-(1-Skills!J3/100)^Skills!K3</f>
        <v/>
      </c>
      <c r="I1702" t="inlineStr">
        <is>
          <t>1</t>
        </is>
      </c>
      <c r="J1702">
        <f>((Inputs!$B$6*(1+Inputs!$B$7/100))+(((Inputs!$B$12*(1+Inputs!$B$13/100))-(Inputs!$B$12*(1+Inputs!$B$13/100)))+0.25*(Inputs!$B$14-Inputs!$B$14))*(1+Inputs!$B$7/100))*(F1702/100)</f>
        <v/>
      </c>
      <c r="K1702">
        <f>J1702*(1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1714=TRUE,F1714,0)/100)*(1+(IF(Skills!A3="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1702)</f>
        <v/>
      </c>
      <c r="L1702">
        <f>K1702*(MIN(Inputs!$B$22+((C1721=TRUE)*(F1721-Calc!F22)),(Inputs!$B$23+0+(IF(ArtifactsInput!$M$15,CHOOSE(ArtifactsInput!$N$15+1,25,30,35,40,45,50)/100*(Inputs!$B$11-Inputs!$B$11),0))))/100+(Inputs!$B$23+0+(IF(ArtifactsInput!$M$15,CHOOSE(ArtifactsInput!$N$15+1,25,30,35,40,45,50)/100*(Inputs!$B$11-Inputs!$B$11),0)))/100)/2</f>
        <v/>
      </c>
      <c r="M1702">
        <f>L1702*(1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2">
        <f>L1702*(1-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1702*(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2">
        <f>(1-Summary!$B$11)*T1702+Summary!$B$11*V1702</f>
        <v/>
      </c>
      <c r="P1702">
        <f>IF(B1740=0,0,O1702/B1740)</f>
        <v/>
      </c>
      <c r="Q1702">
        <f>IFERROR(1/(IF(Inputs!$B$38="pvp",15,MAX(0.1,Skills!D3-IF(Skills!E3=TRUE,Inputs!$B$32,0)))*(1-IF(AND(ArtifactsInput!$M$27,Inputs!$B$4="Chapter Hunt"),CHOOSE(ArtifactsInput!$N$27+1,20,24,28,32,36,40),0)/100)),0)</f>
        <v/>
      </c>
      <c r="R1702">
        <f>IF(AND(Inputs!$B$38&lt;&gt;"pvp",Inputs!$B$43&gt;0),IF(MAX(0,Inputs!$B$43-B1737)&lt;=0,0,(INT(MAX(0,Inputs!$B$43-B1737)/(IF(Inputs!$B$38="pvp",15,MAX(0.1,Skills!D3-IF(Skills!E3=TRUE,Inputs!$B$32,0)))*(1-IF(AND(ArtifactsInput!$M$27,Inputs!$B$4="Chapter Hunt"),CHOOSE(ArtifactsInput!$N$27+1,20,24,28,32,36,40),0)/100)))+1)),0)</f>
        <v/>
      </c>
      <c r="S1702">
        <f>IFERROR(O1702/N1702,0)</f>
        <v/>
      </c>
      <c r="T1702">
        <f>IF(C1702,(H1702*N1702*IF(AND(Inputs!$B$38&lt;&gt;"pvp",Inputs!$B$43&gt;0),((Skills!G3*((R1702-1)*IF(Skills!H3&gt;0,Skills!I3/Skills!H3,1)+IF(Skills!H3&gt;0,MIN(Skills!I3,MAX(0,MAX(0,Inputs!$B$43-B1737)-((R1702-1)*(IF(Inputs!$B$38="pvp",15,MAX(0.1,Skills!D3-IF(Skills!E3=TRUE,Inputs!$B$32,0)))*(1-IF(AND(ArtifactsInput!$M$27,Inputs!$B$4="Chapter Hunt"),CHOOSE(ArtifactsInput!$N$27+1,20,24,28,32,36,40),0)/100)))))/Skills!H3,1)))/Inputs!$B$43),G1702*Q1702)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1702*(1-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1702*(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1702*(1-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1702*(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2">
        <f>INDEX(FactorTable!$B$2:$Y$301, MATCH(ROUND(MIN(300,MAX(1,U1701)),0), FactorTable!$A$2:$A$301,0), 22)</f>
        <v/>
      </c>
      <c r="V1702">
        <f>IF(C1702,(H1702*N1702*IF(AND(Inputs!$B$38&lt;&gt;"pvp",Inputs!$B$43&gt;0),((Skills!G3*((R1702-1)*IF(Skills!H3&gt;0,Skills!I3/Skills!H3,1)+IF(Skills!H3&gt;0,MIN(Skills!I3,MAX(0,MAX(0,Inputs!$B$43-B1737)-((R1702-1)*(IF(Inputs!$B$38="pvp",15,MAX(0.1,Skills!D3-IF(Skills!E3=TRUE,Inputs!$B$32,0)))*(1-IF(AND(ArtifactsInput!$M$27,Inputs!$B$4="Chapter Hunt"),CHOOSE(ArtifactsInput!$N$27+1,20,24,28,32,36,40),0)/100)))))/Skills!H3,1)))/Inputs!$B$43),G1702*Q1702))*IF(Inputs!$B$38="pvp",1,(1+(Inputs!$B$21+Skills!Q3+(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3">
      <c r="A1703">
        <f>Skills!A4</f>
        <v/>
      </c>
      <c r="B1703">
        <f>Skills!B4</f>
        <v/>
      </c>
      <c r="C1703">
        <f>Inputs!$B$3&gt;=40</f>
        <v/>
      </c>
      <c r="D1703">
        <f>IF(Skills!C4=1,60+Inputs!$B$25+Inputs!$B$29,IF(Skills!C4=2,90+Inputs!$B$26+Inputs!$B$29,IF(Skills!C4=3,120+Inputs!$B$27+Inputs!$B$29,MAX(0,(Inputs!$B$3-100)*3)+Inputs!$B$28+Inputs!$B$29)))</f>
        <v/>
      </c>
      <c r="E1703">
        <f>INDEX(FactorTable!$B$2:$Y$301, MATCH(ROUND(MIN(300,MAX(1,D1703)),0), FactorTable!$A$2:$A$301,0), Skills!M4+1)</f>
        <v/>
      </c>
      <c r="F1703">
        <f>IF(Skills!N4=TRUE,(Skills!L4/10)*(E1703/1000),Skills!L4/10)+Skills!O4</f>
        <v/>
      </c>
      <c r="G1703">
        <f>Skills!G4*IF(Skills!H4&gt;0,Skills!I4/Skills!H4,1)</f>
        <v/>
      </c>
      <c r="H1703">
        <f>1-(1-Skills!J4/100)^Skills!K4</f>
        <v/>
      </c>
      <c r="I1703" t="inlineStr">
        <is>
          <t>1</t>
        </is>
      </c>
      <c r="J1703">
        <f>((Inputs!$B$6*(1+Inputs!$B$7/100))+(((Inputs!$B$12*(1+Inputs!$B$13/100))-(Inputs!$B$12*(1+Inputs!$B$13/100)))+0.25*(Inputs!$B$14-Inputs!$B$14))*(1+Inputs!$B$7/100))*(F1703/100)</f>
        <v/>
      </c>
      <c r="K1703">
        <f>J1703*(1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1715=TRUE,F1715,0)/100)*(1+(IF(Skills!A4="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1703)</f>
        <v/>
      </c>
      <c r="L1703">
        <f>K1703*(MIN(Inputs!$B$22+((C1721=TRUE)*(F1721-Calc!F22)),(Inputs!$B$23+0+(IF(ArtifactsInput!$M$15,CHOOSE(ArtifactsInput!$N$15+1,25,30,35,40,45,50)/100*(Inputs!$B$11-Inputs!$B$11),0))))/100+(Inputs!$B$23+0+(IF(ArtifactsInput!$M$15,CHOOSE(ArtifactsInput!$N$15+1,25,30,35,40,45,50)/100*(Inputs!$B$11-Inputs!$B$11),0)))/100)/2</f>
        <v/>
      </c>
      <c r="M1703">
        <f>L1703*(1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3">
        <f>L1703*(1-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1703*(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3">
        <f>(1-Summary!$B$11)*T1703+Summary!$B$11*V1703</f>
        <v/>
      </c>
      <c r="P1703">
        <f>IF(B1740=0,0,O1703/B1740)</f>
        <v/>
      </c>
      <c r="Q1703">
        <f>IFERROR(1/(IF(Inputs!$B$38="pvp",15,MAX(0.1,Skills!D4-IF(Skills!E4=TRUE,Inputs!$B$32,0)))*(1-IF(AND(ArtifactsInput!$M$27,Inputs!$B$4="Chapter Hunt"),CHOOSE(ArtifactsInput!$N$27+1,20,24,28,32,36,40),0)/100)),0)</f>
        <v/>
      </c>
      <c r="R1703">
        <f>IF(AND(Inputs!$B$38&lt;&gt;"pvp",Inputs!$B$43&gt;0),IF(MAX(0,Inputs!$B$43-B1737)&lt;=0,0,(INT(MAX(0,Inputs!$B$43-B1737)/(IF(Inputs!$B$38="pvp",15,MAX(0.1,Skills!D4-IF(Skills!E4=TRUE,Inputs!$B$32,0)))*(1-IF(AND(ArtifactsInput!$M$27,Inputs!$B$4="Chapter Hunt"),CHOOSE(ArtifactsInput!$N$27+1,20,24,28,32,36,40),0)/100)))+1)),0)</f>
        <v/>
      </c>
      <c r="S1703">
        <f>IFERROR(O1703/N1703,0)</f>
        <v/>
      </c>
      <c r="T1703">
        <f>IF(C1703,(H1703*N1703*IF(AND(Inputs!$B$38&lt;&gt;"pvp",Inputs!$B$43&gt;0),((Skills!G4*((R1703-1)*IF(Skills!H4&gt;0,Skills!I4/Skills!H4,1)+IF(Skills!H4&gt;0,MIN(Skills!I4,MAX(0,MAX(0,Inputs!$B$43-B1737)-((R1703-1)*(IF(Inputs!$B$38="pvp",15,MAX(0.1,Skills!D4-IF(Skills!E4=TRUE,Inputs!$B$32,0)))*(1-IF(AND(ArtifactsInput!$M$27,Inputs!$B$4="Chapter Hunt"),CHOOSE(ArtifactsInput!$N$27+1,20,24,28,32,36,40),0)/100)))))/Skills!H4,1)))/Inputs!$B$43),G1703*Q1703)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1703*(1-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1703*(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1703*(1-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1703*(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3">
        <f>290*U1702/1000</f>
        <v/>
      </c>
      <c r="V1703">
        <f>IF(C1703,(H1703*N1703*IF(AND(Inputs!$B$38&lt;&gt;"pvp",Inputs!$B$43&gt;0),((Skills!G4*((R1703-1)*IF(Skills!H4&gt;0,Skills!I4/Skills!H4,1)+IF(Skills!H4&gt;0,MIN(Skills!I4,MAX(0,MAX(0,Inputs!$B$43-B1737)-((R1703-1)*(IF(Inputs!$B$38="pvp",15,MAX(0.1,Skills!D4-IF(Skills!E4=TRUE,Inputs!$B$32,0)))*(1-IF(AND(ArtifactsInput!$M$27,Inputs!$B$4="Chapter Hunt"),CHOOSE(ArtifactsInput!$N$27+1,20,24,28,32,36,40),0)/100)))))/Skills!H4,1)))/Inputs!$B$43),G1703*Q1703))*IF(Inputs!$B$38="pvp",1,(1+(Inputs!$B$21+Skills!Q4+(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4">
      <c r="A1704">
        <f>Skills!A5</f>
        <v/>
      </c>
      <c r="B1704">
        <f>Skills!B5</f>
        <v/>
      </c>
      <c r="C1704">
        <f>Inputs!$B$3&gt;=45</f>
        <v/>
      </c>
      <c r="D1704">
        <f>IF(Skills!C5=1,60+Inputs!$B$25+Inputs!$B$29,IF(Skills!C5=2,90+Inputs!$B$26+Inputs!$B$29,IF(Skills!C5=3,120+Inputs!$B$27+Inputs!$B$29,MAX(0,(Inputs!$B$3-100)*3)+Inputs!$B$28+Inputs!$B$29)))</f>
        <v/>
      </c>
      <c r="E1704">
        <f>INDEX(FactorTable!$B$2:$Y$301, MATCH(ROUND(MIN(300,MAX(1,D1704)),0), FactorTable!$A$2:$A$301,0), Skills!M5+1)</f>
        <v/>
      </c>
      <c r="F1704">
        <f>IF(Skills!N5=TRUE,(Skills!L5/10)*(E1704/1000),Skills!L5/10)+Skills!O5</f>
        <v/>
      </c>
      <c r="G1704">
        <f>Skills!G5*IF(Skills!H5&gt;0,Skills!I5/Skills!H5,1)</f>
        <v/>
      </c>
      <c r="H1704">
        <f>1-(1-Skills!J5/100)^Skills!K5</f>
        <v/>
      </c>
      <c r="I1704" t="inlineStr">
        <is>
          <t>1</t>
        </is>
      </c>
      <c r="J1704">
        <f>((Inputs!$B$6*(1+Inputs!$B$7/100))+(((Inputs!$B$12*(1+Inputs!$B$13/100))-(Inputs!$B$12*(1+Inputs!$B$13/100)))+0.25*(Inputs!$B$14-Inputs!$B$14))*(1+Inputs!$B$7/100))*(F1704/100)</f>
        <v/>
      </c>
      <c r="K1704">
        <f>J1704*(1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1715=TRUE,F1715,0)/100)*(1+(IF(Skills!A5="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1704)</f>
        <v/>
      </c>
      <c r="L1704">
        <f>K1704*(MIN(Inputs!$B$22+((C1721=TRUE)*(F1721-Calc!F22)),(Inputs!$B$23+0+(IF(ArtifactsInput!$M$15,CHOOSE(ArtifactsInput!$N$15+1,25,30,35,40,45,50)/100*(Inputs!$B$11-Inputs!$B$11),0))))/100+(Inputs!$B$23+0+(IF(ArtifactsInput!$M$15,CHOOSE(ArtifactsInput!$N$15+1,25,30,35,40,45,50)/100*(Inputs!$B$11-Inputs!$B$11),0)))/100)/2</f>
        <v/>
      </c>
      <c r="M1704">
        <f>L1704*(1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4">
        <f>L1704*(1-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1704*(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4">
        <f>(1-Summary!$B$11)*T1704+Summary!$B$11*V1704</f>
        <v/>
      </c>
      <c r="P1704">
        <f>IF(B1740=0,0,O1704/B1740)</f>
        <v/>
      </c>
      <c r="Q1704">
        <f>IFERROR(1/(IF(Inputs!$B$38="pvp",15,MAX(0.1,Skills!D5-IF(Skills!E5=TRUE,Inputs!$B$32,0)))*(1-IF(AND(ArtifactsInput!$M$27,Inputs!$B$4="Chapter Hunt"),CHOOSE(ArtifactsInput!$N$27+1,20,24,28,32,36,40),0)/100)),0)</f>
        <v/>
      </c>
      <c r="R1704">
        <f>IF(AND(Inputs!$B$38&lt;&gt;"pvp",Inputs!$B$43&gt;0),IF(MAX(0,Inputs!$B$43-B1737)&lt;=0,0,(INT(MAX(0,Inputs!$B$43-B1737)/(IF(Inputs!$B$38="pvp",15,MAX(0.1,Skills!D5-IF(Skills!E5=TRUE,Inputs!$B$32,0)))*(1-IF(AND(ArtifactsInput!$M$27,Inputs!$B$4="Chapter Hunt"),CHOOSE(ArtifactsInput!$N$27+1,20,24,28,32,36,40),0)/100)))+1)),0)</f>
        <v/>
      </c>
      <c r="S1704">
        <f>IFERROR(O1704/N1704,0)</f>
        <v/>
      </c>
      <c r="T1704">
        <f>IF(C1704,(H1704*N1704*IF(AND(Inputs!$B$38&lt;&gt;"pvp",Inputs!$B$43&gt;0),((Skills!G5*((R1704-1)*IF(Skills!H5&gt;0,Skills!I5/Skills!H5,1)+IF(Skills!H5&gt;0,MIN(Skills!I5,MAX(0,MAX(0,Inputs!$B$43-B1737)-((R1704-1)*(IF(Inputs!$B$38="pvp",15,MAX(0.1,Skills!D5-IF(Skills!E5=TRUE,Inputs!$B$32,0)))*(1-IF(AND(ArtifactsInput!$M$27,Inputs!$B$4="Chapter Hunt"),CHOOSE(ArtifactsInput!$N$27+1,20,24,28,32,36,40),0)/100)))))/Skills!H5,1)))/Inputs!$B$43),G1704*Q1704)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1704*(1-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1704*(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1704*(1-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1704*(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4">
        <f>IF(C1704,(H1704*N1704*IF(AND(Inputs!$B$38&lt;&gt;"pvp",Inputs!$B$43&gt;0),((Skills!G5*((R1704-1)*IF(Skills!H5&gt;0,Skills!I5/Skills!H5,1)+IF(Skills!H5&gt;0,MIN(Skills!I5,MAX(0,MAX(0,Inputs!$B$43-B1737)-((R1704-1)*(IF(Inputs!$B$38="pvp",15,MAX(0.1,Skills!D5-IF(Skills!E5=TRUE,Inputs!$B$32,0)))*(1-IF(AND(ArtifactsInput!$M$27,Inputs!$B$4="Chapter Hunt"),CHOOSE(ArtifactsInput!$N$27+1,20,24,28,32,36,40),0)/100)))))/Skills!H5,1)))/Inputs!$B$43),G1704*Q1704))*IF(Inputs!$B$38="pvp",1,(1+(Inputs!$B$21+Skills!Q5+(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5">
      <c r="A1705">
        <f>Skills!A6</f>
        <v/>
      </c>
      <c r="B1705">
        <f>Skills!B6</f>
        <v/>
      </c>
      <c r="C1705">
        <f>Inputs!$B$3&gt;=63</f>
        <v/>
      </c>
      <c r="D1705">
        <f>IF(Skills!C6=1,60+Inputs!$B$25+Inputs!$B$29,IF(Skills!C6=2,90+Inputs!$B$26+Inputs!$B$29,IF(Skills!C6=3,120+Inputs!$B$27+Inputs!$B$29,MAX(0,(Inputs!$B$3-100)*3)+Inputs!$B$28+Inputs!$B$29)))</f>
        <v/>
      </c>
      <c r="E1705">
        <f>INDEX(FactorTable!$B$2:$Y$301, MATCH(ROUND(MIN(300,MAX(1,D1705)),0), FactorTable!$A$2:$A$301,0), Skills!M6+1)</f>
        <v/>
      </c>
      <c r="F1705">
        <f>IF(Skills!N6=TRUE,(Skills!L6/10)*(E1705/1000),Skills!L6/10)+Skills!O6</f>
        <v/>
      </c>
      <c r="G1705">
        <f>Skills!G6*IF(Skills!H6&gt;0,Skills!I6/Skills!H6,1)</f>
        <v/>
      </c>
      <c r="H1705">
        <f>1-(1-Skills!J6/100)^Skills!K6</f>
        <v/>
      </c>
      <c r="I1705" t="inlineStr">
        <is>
          <t>1</t>
        </is>
      </c>
      <c r="J1705">
        <f>((Inputs!$B$6*(1+Inputs!$B$7/100))+(((Inputs!$B$12*(1+Inputs!$B$13/100))-(Inputs!$B$12*(1+Inputs!$B$13/100)))+0.25*(Inputs!$B$14-Inputs!$B$14))*(1+Inputs!$B$7/100))*(F1705/100)</f>
        <v/>
      </c>
      <c r="K1705">
        <f>J1705*(1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1714=TRUE,F1714,0)/100)*(1+(IF(Skills!A6="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1705)</f>
        <v/>
      </c>
      <c r="L1705">
        <f>K1705*(MIN(Inputs!$B$22+((C1721=TRUE)*(F1721-Calc!F22)),(Inputs!$B$23+0+(IF(ArtifactsInput!$M$15,CHOOSE(ArtifactsInput!$N$15+1,25,30,35,40,45,50)/100*(Inputs!$B$11-Inputs!$B$11),0))))/100+(Inputs!$B$23+0+(IF(ArtifactsInput!$M$15,CHOOSE(ArtifactsInput!$N$15+1,25,30,35,40,45,50)/100*(Inputs!$B$11-Inputs!$B$11),0)))/100)/2</f>
        <v/>
      </c>
      <c r="M1705">
        <f>L1705*(1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5">
        <f>L1705*(1-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1705*(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5">
        <f>(1-Summary!$B$11)*T1705+Summary!$B$11*V1705</f>
        <v/>
      </c>
      <c r="P1705">
        <f>IF(B1740=0,0,O1705/B1740)</f>
        <v/>
      </c>
      <c r="Q1705">
        <f>IFERROR(1/(IF(Inputs!$B$38="pvp",15,MAX(0.1,Skills!D6-IF(Skills!E6=TRUE,Inputs!$B$32,0)))*(1-IF(AND(ArtifactsInput!$M$27,Inputs!$B$4="Chapter Hunt"),CHOOSE(ArtifactsInput!$N$27+1,20,24,28,32,36,40),0)/100)),0)</f>
        <v/>
      </c>
      <c r="R1705">
        <f>IF(AND(Inputs!$B$38&lt;&gt;"pvp",Inputs!$B$43&gt;0),IF(MAX(0,Inputs!$B$43-B1737)&lt;=0,0,(INT(MAX(0,Inputs!$B$43-B1737)/(IF(Inputs!$B$38="pvp",15,MAX(0.1,Skills!D6-IF(Skills!E6=TRUE,Inputs!$B$32,0)))*(1-IF(AND(ArtifactsInput!$M$27,Inputs!$B$4="Chapter Hunt"),CHOOSE(ArtifactsInput!$N$27+1,20,24,28,32,36,40),0)/100)))+1)),0)</f>
        <v/>
      </c>
      <c r="S1705">
        <f>IFERROR(O1705/N1705,0)</f>
        <v/>
      </c>
      <c r="T1705">
        <f>IF(C1705,(H1705*N1705*IF(AND(Inputs!$B$38&lt;&gt;"pvp",Inputs!$B$43&gt;0),((Skills!G6*((R1705-1)*IF(Skills!H6&gt;0,Skills!I6/Skills!H6,1)+IF(Skills!H6&gt;0,MIN(Skills!I6,MAX(0,MAX(0,Inputs!$B$43-B1737)-((R1705-1)*(IF(Inputs!$B$38="pvp",15,MAX(0.1,Skills!D6-IF(Skills!E6=TRUE,Inputs!$B$32,0)))*(1-IF(AND(ArtifactsInput!$M$27,Inputs!$B$4="Chapter Hunt"),CHOOSE(ArtifactsInput!$N$27+1,20,24,28,32,36,40),0)/100)))))/Skills!H6,1)))/Inputs!$B$43),G1705*Q1705)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1705*(1-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1705*(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1705*(1-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1705*(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5">
        <f>IF(C1705,(H1705*N1705*IF(AND(Inputs!$B$38&lt;&gt;"pvp",Inputs!$B$43&gt;0),((Skills!G6*((R1705-1)*IF(Skills!H6&gt;0,Skills!I6/Skills!H6,1)+IF(Skills!H6&gt;0,MIN(Skills!I6,MAX(0,MAX(0,Inputs!$B$43-B1737)-((R1705-1)*(IF(Inputs!$B$38="pvp",15,MAX(0.1,Skills!D6-IF(Skills!E6=TRUE,Inputs!$B$32,0)))*(1-IF(AND(ArtifactsInput!$M$27,Inputs!$B$4="Chapter Hunt"),CHOOSE(ArtifactsInput!$N$27+1,20,24,28,32,36,40),0)/100)))))/Skills!H6,1)))/Inputs!$B$43),G1705*Q1705))*IF(Inputs!$B$38="pvp",1,(1+(Inputs!$B$21+Skills!Q6+(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6">
      <c r="A1706">
        <f>Skills!A7</f>
        <v/>
      </c>
      <c r="B1706">
        <f>Skills!B7</f>
        <v/>
      </c>
      <c r="C1706">
        <f>Inputs!$B$3&gt;=66</f>
        <v/>
      </c>
      <c r="D1706">
        <f>IF(Skills!C7=1,60+Inputs!$B$25+Inputs!$B$29,IF(Skills!C7=2,90+Inputs!$B$26+Inputs!$B$29,IF(Skills!C7=3,120+Inputs!$B$27+Inputs!$B$29,MAX(0,(Inputs!$B$3-100)*3)+Inputs!$B$28+Inputs!$B$29)))</f>
        <v/>
      </c>
      <c r="E1706">
        <f>INDEX(FactorTable!$B$2:$Y$301, MATCH(ROUND(MIN(300,MAX(1,D1706)),0), FactorTable!$A$2:$A$301,0), Skills!M7+1)</f>
        <v/>
      </c>
      <c r="F1706">
        <f>IF(Skills!N7=TRUE,(Skills!L7/10)*(E1706/1000),Skills!L7/10)+Skills!O7</f>
        <v/>
      </c>
      <c r="G1706">
        <f>Skills!G7*IF(Skills!H7&gt;0,Skills!I7/Skills!H7,1)</f>
        <v/>
      </c>
      <c r="H1706">
        <f>1-(1-Skills!J7/100)^Skills!K7</f>
        <v/>
      </c>
      <c r="I1706" t="inlineStr">
        <is>
          <t>1</t>
        </is>
      </c>
      <c r="J1706">
        <f>((Inputs!$B$6*(1+Inputs!$B$7/100))+(((Inputs!$B$12*(1+Inputs!$B$13/100))-(Inputs!$B$12*(1+Inputs!$B$13/100)))+0.25*(Inputs!$B$14-Inputs!$B$14))*(1+Inputs!$B$7/100))*(F1706/100)</f>
        <v/>
      </c>
      <c r="K1706">
        <f>J1706*(1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1714=TRUE,F1714,0)/100)*(1+(IF(Skills!A7="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1706)</f>
        <v/>
      </c>
      <c r="L1706">
        <f>K1706*(MIN(Inputs!$B$22+((C1721=TRUE)*(F1721-Calc!F22)),(Inputs!$B$23+0+(IF(ArtifactsInput!$M$15,CHOOSE(ArtifactsInput!$N$15+1,25,30,35,40,45,50)/100*(Inputs!$B$11-Inputs!$B$11),0))))/100+(Inputs!$B$23+0+(IF(ArtifactsInput!$M$15,CHOOSE(ArtifactsInput!$N$15+1,25,30,35,40,45,50)/100*(Inputs!$B$11-Inputs!$B$11),0)))/100)/2</f>
        <v/>
      </c>
      <c r="M1706">
        <f>L1706*(1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6">
        <f>L1706*(1-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1706*(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6">
        <f>(1-Summary!$B$11)*T1706+Summary!$B$11*V1706</f>
        <v/>
      </c>
      <c r="P1706">
        <f>IF(B1740=0,0,O1706/B1740)</f>
        <v/>
      </c>
      <c r="Q1706">
        <f>IFERROR(1/(IF(Inputs!$B$38="pvp",15,MAX(0.1,Skills!D7-IF(Skills!E7=TRUE,Inputs!$B$32,0)))*(1-IF(AND(ArtifactsInput!$M$27,Inputs!$B$4="Chapter Hunt"),CHOOSE(ArtifactsInput!$N$27+1,20,24,28,32,36,40),0)/100)),0)</f>
        <v/>
      </c>
      <c r="R1706">
        <f>IF(AND(Inputs!$B$38&lt;&gt;"pvp",Inputs!$B$43&gt;0),IF(MAX(0,Inputs!$B$43-B1737)&lt;=0,0,(INT(MAX(0,Inputs!$B$43-B1737)/(IF(Inputs!$B$38="pvp",15,MAX(0.1,Skills!D7-IF(Skills!E7=TRUE,Inputs!$B$32,0)))*(1-IF(AND(ArtifactsInput!$M$27,Inputs!$B$4="Chapter Hunt"),CHOOSE(ArtifactsInput!$N$27+1,20,24,28,32,36,40),0)/100)))+1)),0)</f>
        <v/>
      </c>
      <c r="S1706">
        <f>IFERROR(O1706/N1706,0)</f>
        <v/>
      </c>
      <c r="T1706">
        <f>IF(C1706,(H1706*N1706*IF(AND(Inputs!$B$38&lt;&gt;"pvp",Inputs!$B$43&gt;0),((Skills!G7*((R1706-1)*IF(Skills!H7&gt;0,Skills!I7/Skills!H7,1)+IF(Skills!H7&gt;0,MIN(Skills!I7,MAX(0,MAX(0,Inputs!$B$43-B1737)-((R1706-1)*(IF(Inputs!$B$38="pvp",15,MAX(0.1,Skills!D7-IF(Skills!E7=TRUE,Inputs!$B$32,0)))*(1-IF(AND(ArtifactsInput!$M$27,Inputs!$B$4="Chapter Hunt"),CHOOSE(ArtifactsInput!$N$27+1,20,24,28,32,36,40),0)/100)))))/Skills!H7,1)))/Inputs!$B$43),G1706*Q1706)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1706*(1-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1706*(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1706*(1-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1706*(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6">
        <f>IF(C1706,(H1706*N1706*IF(AND(Inputs!$B$38&lt;&gt;"pvp",Inputs!$B$43&gt;0),((Skills!G7*((R1706-1)*IF(Skills!H7&gt;0,Skills!I7/Skills!H7,1)+IF(Skills!H7&gt;0,MIN(Skills!I7,MAX(0,MAX(0,Inputs!$B$43-B1737)-((R1706-1)*(IF(Inputs!$B$38="pvp",15,MAX(0.1,Skills!D7-IF(Skills!E7=TRUE,Inputs!$B$32,0)))*(1-IF(AND(ArtifactsInput!$M$27,Inputs!$B$4="Chapter Hunt"),CHOOSE(ArtifactsInput!$N$27+1,20,24,28,32,36,40),0)/100)))))/Skills!H7,1)))/Inputs!$B$43),G1706*Q1706))*IF(Inputs!$B$38="pvp",1,(1+(Inputs!$B$21+Skills!Q7+(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7">
      <c r="A1707">
        <f>Skills!A8</f>
        <v/>
      </c>
      <c r="B1707">
        <f>Skills!B8</f>
        <v/>
      </c>
      <c r="C1707">
        <f>Inputs!$B$3&gt;=100</f>
        <v/>
      </c>
      <c r="D1707">
        <f>IF(Skills!C8=1,60+Inputs!$B$25+Inputs!$B$29,IF(Skills!C8=2,90+Inputs!$B$26+Inputs!$B$29,IF(Skills!C8=3,120+Inputs!$B$27+Inputs!$B$29,MAX(0,(Inputs!$B$3-100)*3)+Inputs!$B$28+Inputs!$B$29)))</f>
        <v/>
      </c>
      <c r="E1707">
        <f>INDEX(FactorTable!$B$2:$Y$301, MATCH(ROUND(MIN(300,MAX(1,D1707)),0), FactorTable!$A$2:$A$301,0), Skills!M8+1)</f>
        <v/>
      </c>
      <c r="F1707">
        <f>IF(Skills!N8=TRUE,(Skills!L8/10)*(E1707/1000),Skills!L8/10)+Skills!O8</f>
        <v/>
      </c>
      <c r="G1707">
        <f>Skills!G8*IF(Skills!H8&gt;0,Skills!I8/Skills!H8,1)</f>
        <v/>
      </c>
      <c r="H1707">
        <f>1-(1-Skills!J8/100)^Skills!K8</f>
        <v/>
      </c>
      <c r="I1707" t="inlineStr">
        <is>
          <t>1</t>
        </is>
      </c>
      <c r="J1707">
        <f>((Inputs!$B$6*(1+Inputs!$B$7/100))+(((Inputs!$B$12*(1+Inputs!$B$13/100))-(Inputs!$B$12*(1+Inputs!$B$13/100)))+0.25*(Inputs!$B$14-Inputs!$B$14))*(1+Inputs!$B$7/100))*(F1707/100)</f>
        <v/>
      </c>
      <c r="K1707">
        <f>J1707*(1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1707)</f>
        <v/>
      </c>
      <c r="L1707">
        <f>K1707*(MIN(Inputs!$B$22+((C1721=TRUE)*(F1721-Calc!F22)),(Inputs!$B$23+0+(IF(ArtifactsInput!$M$15,CHOOSE(ArtifactsInput!$N$15+1,25,30,35,40,45,50)/100*(Inputs!$B$11-Inputs!$B$11),0))))/100+(Inputs!$B$23+0+(IF(ArtifactsInput!$M$15,CHOOSE(ArtifactsInput!$N$15+1,25,30,35,40,45,50)/100*(Inputs!$B$11-Inputs!$B$11),0)))/100)/2</f>
        <v/>
      </c>
      <c r="M1707">
        <f>L1707*(1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7">
        <f>L1707*(1-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1707*(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7">
        <f>(1-Summary!$B$11)*T1707+Summary!$B$11*V1707</f>
        <v/>
      </c>
      <c r="P1707">
        <f>IF(B1740=0,0,O1707/B1740)</f>
        <v/>
      </c>
      <c r="Q1707">
        <f>IFERROR(1/(IF(Inputs!$B$38="pvp",15,MAX(0.1,Skills!D8-IF(Skills!E8=TRUE,Inputs!$B$32,0)))*(1-IF(AND(ArtifactsInput!$M$27,Inputs!$B$4="Chapter Hunt"),CHOOSE(ArtifactsInput!$N$27+1,20,24,28,32,36,40),0)/100)),0)</f>
        <v/>
      </c>
      <c r="R1707">
        <f>IF(AND(Inputs!$B$38&lt;&gt;"pvp",Inputs!$B$43&gt;0),IF(MAX(0,Inputs!$B$43-B1737)&lt;=0,0,(INT(MAX(0,Inputs!$B$43-B1737)/(IF(Inputs!$B$38="pvp",15,MAX(0.1,Skills!D8-IF(Skills!E8=TRUE,Inputs!$B$32,0)))*(1-IF(AND(ArtifactsInput!$M$27,Inputs!$B$4="Chapter Hunt"),CHOOSE(ArtifactsInput!$N$27+1,20,24,28,32,36,40),0)/100)))+1)),0)</f>
        <v/>
      </c>
      <c r="S1707">
        <f>IFERROR(O1707/N1707,0)</f>
        <v/>
      </c>
      <c r="T1707">
        <f>IF(C1707,(H1707*N1707*IF(AND(Inputs!$B$38&lt;&gt;"pvp",Inputs!$B$43&gt;0),((Skills!G8*((R1707-1)*IF(Skills!H8&gt;0,Skills!I8/Skills!H8,1)+IF(Skills!H8&gt;0,MIN(Skills!I8,MAX(0,MAX(0,Inputs!$B$43-B1737)-((R1707-1)*(IF(Inputs!$B$38="pvp",15,MAX(0.1,Skills!D8-IF(Skills!E8=TRUE,Inputs!$B$32,0)))*(1-IF(AND(ArtifactsInput!$M$27,Inputs!$B$4="Chapter Hunt"),CHOOSE(ArtifactsInput!$N$27+1,20,24,28,32,36,40),0)/100)))))/Skills!H8,1)))/Inputs!$B$43),G1707*Q1707)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1707*(1-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1707*(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1707*(1-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1707*(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7">
        <f>IF(C1707,(H1707*N1707*IF(AND(Inputs!$B$38&lt;&gt;"pvp",Inputs!$B$43&gt;0),((Skills!G8*((R1707-1)*IF(Skills!H8&gt;0,Skills!I8/Skills!H8,1)+IF(Skills!H8&gt;0,MIN(Skills!I8,MAX(0,MAX(0,Inputs!$B$43-B1737)-((R1707-1)*(IF(Inputs!$B$38="pvp",15,MAX(0.1,Skills!D8-IF(Skills!E8=TRUE,Inputs!$B$32,0)))*(1-IF(AND(ArtifactsInput!$M$27,Inputs!$B$4="Chapter Hunt"),CHOOSE(ArtifactsInput!$N$27+1,20,24,28,32,36,40),0)/100)))))/Skills!H8,1)))/Inputs!$B$43),G1707*Q1707))*IF(Inputs!$B$38="pvp",1,(1+(Inputs!$B$21+Skills!Q8+(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8">
      <c r="A1708">
        <f>Skills!A9</f>
        <v/>
      </c>
      <c r="B1708">
        <f>Skills!B9</f>
        <v/>
      </c>
      <c r="C1708">
        <f>Inputs!$B$3&gt;=103</f>
        <v/>
      </c>
      <c r="D1708">
        <f>IF(Skills!C9=1,60+Inputs!$B$25+Inputs!$B$29,IF(Skills!C9=2,90+Inputs!$B$26+Inputs!$B$29,IF(Skills!C9=3,120+Inputs!$B$27+Inputs!$B$29,MAX(0,(Inputs!$B$3-100)*3)+Inputs!$B$28+Inputs!$B$29)))</f>
        <v/>
      </c>
      <c r="E1708">
        <f>INDEX(FactorTable!$B$2:$Y$301, MATCH(ROUND(MIN(300,MAX(1,D1708)),0), FactorTable!$A$2:$A$301,0), Skills!M9+1)</f>
        <v/>
      </c>
      <c r="F1708">
        <f>IF(Skills!N9=TRUE,(Skills!L9/10)*(E1708/1000),Skills!L9/10)+Skills!O9</f>
        <v/>
      </c>
      <c r="G1708">
        <f>Skills!G9*IF(Skills!H9&gt;0,Skills!I9/Skills!H9,1)</f>
        <v/>
      </c>
      <c r="H1708">
        <f>1-(1-Skills!J9/100)^Skills!K9</f>
        <v/>
      </c>
      <c r="I1708" t="inlineStr">
        <is>
          <t>1</t>
        </is>
      </c>
      <c r="J1708">
        <f>((Inputs!$B$6*(1+Inputs!$B$7/100))+(((Inputs!$B$12*(1+Inputs!$B$13/100))-(Inputs!$B$12*(1+Inputs!$B$13/100)))+0.25*(Inputs!$B$14-Inputs!$B$14))*(1+Inputs!$B$7/100))*(F1708/100)</f>
        <v/>
      </c>
      <c r="K1708">
        <f>J1708*(1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1708)</f>
        <v/>
      </c>
      <c r="L1708">
        <f>K1708*(MIN(Inputs!$B$22+((C1721=TRUE)*(F1721-Calc!F22)),(Inputs!$B$23+0+(IF(ArtifactsInput!$M$15,CHOOSE(ArtifactsInput!$N$15+1,25,30,35,40,45,50)/100*(Inputs!$B$11-Inputs!$B$11),0))))/100+(Inputs!$B$23+0+(IF(ArtifactsInput!$M$15,CHOOSE(ArtifactsInput!$N$15+1,25,30,35,40,45,50)/100*(Inputs!$B$11-Inputs!$B$11),0)))/100)/2</f>
        <v/>
      </c>
      <c r="M1708">
        <f>L1708*(1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8">
        <f>L1708*(1-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1708*(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8">
        <f>(1-Summary!$B$11)*T1708+Summary!$B$11*V1708</f>
        <v/>
      </c>
      <c r="P1708">
        <f>IF(B1740=0,0,O1708/B1740)</f>
        <v/>
      </c>
      <c r="Q1708">
        <f>IFERROR(1/(IF(Inputs!$B$38="pvp",15,MAX(0.1,Skills!D9-IF(Skills!E9=TRUE,Inputs!$B$32,0)))*(1-IF(AND(ArtifactsInput!$M$27,Inputs!$B$4="Chapter Hunt"),CHOOSE(ArtifactsInput!$N$27+1,20,24,28,32,36,40),0)/100)),0)</f>
        <v/>
      </c>
      <c r="R1708">
        <f>IF(AND(Inputs!$B$38&lt;&gt;"pvp",Inputs!$B$43&gt;0),IF(MAX(0,Inputs!$B$43-B1737)&lt;=0,0,(INT(MAX(0,Inputs!$B$43-B1737)/(IF(Inputs!$B$38="pvp",15,MAX(0.1,Skills!D9-IF(Skills!E9=TRUE,Inputs!$B$32,0)))*(1-IF(AND(ArtifactsInput!$M$27,Inputs!$B$4="Chapter Hunt"),CHOOSE(ArtifactsInput!$N$27+1,20,24,28,32,36,40),0)/100)))+1)),0)</f>
        <v/>
      </c>
      <c r="S1708">
        <f>IFERROR(O1708/N1708,0)</f>
        <v/>
      </c>
      <c r="T1708">
        <f>IF(C1708,(H1708*N1708*IF(AND(Inputs!$B$38&lt;&gt;"pvp",Inputs!$B$43&gt;0),((Skills!G9*((R1708-1)*IF(Skills!H9&gt;0,Skills!I9/Skills!H9,1)+IF(Skills!H9&gt;0,MIN(Skills!I9,MAX(0,MAX(0,Inputs!$B$43-B1737)-((R1708-1)*(IF(Inputs!$B$38="pvp",15,MAX(0.1,Skills!D9-IF(Skills!E9=TRUE,Inputs!$B$32,0)))*(1-IF(AND(ArtifactsInput!$M$27,Inputs!$B$4="Chapter Hunt"),CHOOSE(ArtifactsInput!$N$27+1,20,24,28,32,36,40),0)/100)))))/Skills!H9,1)))/Inputs!$B$43),G1708*Q1708)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1708*(1-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1708*(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1708*(1-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1708*(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8">
        <f>IF(C1708,(H1708*N1708*IF(AND(Inputs!$B$38&lt;&gt;"pvp",Inputs!$B$43&gt;0),((Skills!G9*((R1708-1)*IF(Skills!H9&gt;0,Skills!I9/Skills!H9,1)+IF(Skills!H9&gt;0,MIN(Skills!I9,MAX(0,MAX(0,Inputs!$B$43-B1737)-((R1708-1)*(IF(Inputs!$B$38="pvp",15,MAX(0.1,Skills!D9-IF(Skills!E9=TRUE,Inputs!$B$32,0)))*(1-IF(AND(ArtifactsInput!$M$27,Inputs!$B$4="Chapter Hunt"),CHOOSE(ArtifactsInput!$N$27+1,20,24,28,32,36,40),0)/100)))))/Skills!H9,1)))/Inputs!$B$43),G1708*Q1708))*IF(Inputs!$B$38="pvp",1,(1+(Inputs!$B$21+Skills!Q9+(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9">
      <c r="A1709">
        <f>Skills!A10</f>
        <v/>
      </c>
      <c r="B1709">
        <f>Skills!B10</f>
        <v/>
      </c>
      <c r="C1709">
        <f>Inputs!$B$3&gt;=113</f>
        <v/>
      </c>
      <c r="D1709">
        <f>IF(Skills!C10=1,60+Inputs!$B$25+Inputs!$B$29,IF(Skills!C10=2,90+Inputs!$B$26+Inputs!$B$29,IF(Skills!C10=3,120+Inputs!$B$27+Inputs!$B$29,MAX(0,(Inputs!$B$3-100)*3)+Inputs!$B$28+Inputs!$B$29)))</f>
        <v/>
      </c>
      <c r="E1709">
        <f>INDEX(FactorTable!$B$2:$Y$301, MATCH(ROUND(MIN(300,MAX(1,D1709)),0), FactorTable!$A$2:$A$301,0), Skills!M10+1)</f>
        <v/>
      </c>
      <c r="F1709">
        <f>IF(Skills!N10=TRUE,(Skills!L10/10)*(E1709/1000),Skills!L10/10)+Skills!O10</f>
        <v/>
      </c>
      <c r="G1709">
        <f>Skills!G10*IF(Skills!H10&gt;0,Skills!I10/Skills!H10,1)</f>
        <v/>
      </c>
      <c r="H1709">
        <f>1-(1-Skills!J10/100)^Skills!K10</f>
        <v/>
      </c>
      <c r="I1709" t="inlineStr">
        <is>
          <t>1</t>
        </is>
      </c>
      <c r="J1709">
        <f>((Inputs!$B$6*(1+Inputs!$B$7/100))+(((Inputs!$B$12*(1+Inputs!$B$13/100))-(Inputs!$B$12*(1+Inputs!$B$13/100)))+0.25*(Inputs!$B$14-Inputs!$B$14))*(1+Inputs!$B$7/100))*(F1709/100)</f>
        <v/>
      </c>
      <c r="K1709">
        <f>J1709*(1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1709)</f>
        <v/>
      </c>
      <c r="L1709">
        <f>K1709*(MIN(Inputs!$B$22+((C1721=TRUE)*(F1721-Calc!F22)),(Inputs!$B$23+0+(IF(ArtifactsInput!$M$15,CHOOSE(ArtifactsInput!$N$15+1,25,30,35,40,45,50)/100*(Inputs!$B$11-Inputs!$B$11),0))))/100+(Inputs!$B$23+0+(IF(ArtifactsInput!$M$15,CHOOSE(ArtifactsInput!$N$15+1,25,30,35,40,45,50)/100*(Inputs!$B$11-Inputs!$B$11),0)))/100)/2</f>
        <v/>
      </c>
      <c r="M1709">
        <f>L1709*(1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9">
        <f>L1709*(1-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1709*(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9">
        <f>(1-Summary!$B$11)*T1709+Summary!$B$11*V1709</f>
        <v/>
      </c>
      <c r="P1709">
        <f>IF(B1740=0,0,O1709/B1740)</f>
        <v/>
      </c>
      <c r="Q1709">
        <f>IFERROR(1/(IF(Inputs!$B$38="pvp",15,MAX(0.1,Skills!D10-IF(Skills!E10=TRUE,Inputs!$B$32,0)))*(1-IF(AND(ArtifactsInput!$M$27,Inputs!$B$4="Chapter Hunt"),CHOOSE(ArtifactsInput!$N$27+1,20,24,28,32,36,40),0)/100)),0)</f>
        <v/>
      </c>
      <c r="R1709">
        <f>IF(AND(Inputs!$B$38&lt;&gt;"pvp",Inputs!$B$43&gt;0),IF(MAX(0,Inputs!$B$43-B1737)&lt;=0,0,(INT(MAX(0,Inputs!$B$43-B1737)/(IF(Inputs!$B$38="pvp",15,MAX(0.1,Skills!D10-IF(Skills!E10=TRUE,Inputs!$B$32,0)))*(1-IF(AND(ArtifactsInput!$M$27,Inputs!$B$4="Chapter Hunt"),CHOOSE(ArtifactsInput!$N$27+1,20,24,28,32,36,40),0)/100)))+1)),0)</f>
        <v/>
      </c>
      <c r="S1709">
        <f>IFERROR(O1709/N1709,0)</f>
        <v/>
      </c>
      <c r="T1709">
        <f>IF(C1709,(H1709*N1709*IF(AND(Inputs!$B$38&lt;&gt;"pvp",Inputs!$B$43&gt;0),((Skills!G10*((R1709-1)*IF(Skills!H10&gt;0,Skills!I10/Skills!H10,1)+IF(Skills!H10&gt;0,MIN(Skills!I10,MAX(0,MAX(0,Inputs!$B$43-B1737)-((R1709-1)*(IF(Inputs!$B$38="pvp",15,MAX(0.1,Skills!D10-IF(Skills!E10=TRUE,Inputs!$B$32,0)))*(1-IF(AND(ArtifactsInput!$M$27,Inputs!$B$4="Chapter Hunt"),CHOOSE(ArtifactsInput!$N$27+1,20,24,28,32,36,40),0)/100)))))/Skills!H10,1)))/Inputs!$B$43),G1709*Q1709)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1709*(1-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1709*(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1709*(1-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1709*(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9">
        <f>IF(C1709,(H1709*N1709*IF(AND(Inputs!$B$38&lt;&gt;"pvp",Inputs!$B$43&gt;0),((Skills!G10*((R1709-1)*IF(Skills!H10&gt;0,Skills!I10/Skills!H10,1)+IF(Skills!H10&gt;0,MIN(Skills!I10,MAX(0,MAX(0,Inputs!$B$43-B1737)-((R1709-1)*(IF(Inputs!$B$38="pvp",15,MAX(0.1,Skills!D10-IF(Skills!E10=TRUE,Inputs!$B$32,0)))*(1-IF(AND(ArtifactsInput!$M$27,Inputs!$B$4="Chapter Hunt"),CHOOSE(ArtifactsInput!$N$27+1,20,24,28,32,36,40),0)/100)))))/Skills!H10,1)))/Inputs!$B$43),G1709*Q1709))*IF(Inputs!$B$38="pvp",1,(1+(Inputs!$B$21+Skills!Q10+(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0">
      <c r="A1710">
        <f>Skills!A11</f>
        <v/>
      </c>
      <c r="B1710">
        <f>Skills!B11</f>
        <v/>
      </c>
      <c r="C1710">
        <f>Inputs!$B$3&gt;=107</f>
        <v/>
      </c>
      <c r="D1710">
        <f>IF(Skills!C11=1,60+Inputs!$B$25+Inputs!$B$29,IF(Skills!C11=2,90+Inputs!$B$26+Inputs!$B$29,IF(Skills!C11=3,120+Inputs!$B$27+Inputs!$B$29,MAX(0,(Inputs!$B$3-100)*3)+Inputs!$B$28+Inputs!$B$29)))</f>
        <v/>
      </c>
      <c r="E1710">
        <f>INDEX(FactorTable!$B$2:$Y$301, MATCH(ROUND(MIN(300,MAX(1,D1710)),0), FactorTable!$A$2:$A$301,0), Skills!M11+1)</f>
        <v/>
      </c>
      <c r="F1710">
        <f>IF(Skills!N11=TRUE,(Skills!L11/10)*(E1710/1000),Skills!L11/10)+Skills!O11</f>
        <v/>
      </c>
      <c r="G1710">
        <f>Skills!G11*IF(Skills!H11&gt;0,Skills!I11/Skills!H11,1)</f>
        <v/>
      </c>
      <c r="H1710">
        <f>1-(1-Skills!J11/100)^Skills!K11</f>
        <v/>
      </c>
      <c r="I1710" t="inlineStr">
        <is>
          <t>1</t>
        </is>
      </c>
      <c r="J1710">
        <f>((Inputs!$B$6*(1+Inputs!$B$7/100))+(((Inputs!$B$12*(1+Inputs!$B$13/100))-(Inputs!$B$12*(1+Inputs!$B$13/100)))+0.25*(Inputs!$B$14-Inputs!$B$14))*(1+Inputs!$B$7/100))*(F1710/100)</f>
        <v/>
      </c>
      <c r="K1710">
        <f>J1710*(1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1710)</f>
        <v/>
      </c>
      <c r="L1710">
        <f>K1710*(MIN(Inputs!$B$22+((C1721=TRUE)*(F1721-Calc!F22)),(Inputs!$B$23+0+(IF(ArtifactsInput!$M$15,CHOOSE(ArtifactsInput!$N$15+1,25,30,35,40,45,50)/100*(Inputs!$B$11-Inputs!$B$11),0))))/100+(Inputs!$B$23+0+(IF(ArtifactsInput!$M$15,CHOOSE(ArtifactsInput!$N$15+1,25,30,35,40,45,50)/100*(Inputs!$B$11-Inputs!$B$11),0)))/100)/2</f>
        <v/>
      </c>
      <c r="M1710">
        <f>L1710*(1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0">
        <f>L1710*(1-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1710*(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0">
        <f>(1-Summary!$B$11)*T1710+Summary!$B$11*V1710</f>
        <v/>
      </c>
      <c r="P1710">
        <f>IF(B1740=0,0,O1710/B1740)</f>
        <v/>
      </c>
      <c r="Q1710">
        <f>IFERROR(1/(IF(Inputs!$B$38="pvp",15,MAX(0.1,Skills!D11-IF(Skills!E11=TRUE,Inputs!$B$32,0)))*(1-IF(AND(ArtifactsInput!$M$27,Inputs!$B$4="Chapter Hunt"),CHOOSE(ArtifactsInput!$N$27+1,20,24,28,32,36,40),0)/100)),0)</f>
        <v/>
      </c>
      <c r="R1710">
        <f>IF(AND(Inputs!$B$38&lt;&gt;"pvp",Inputs!$B$43&gt;0),IF(MAX(0,Inputs!$B$43-B1737)&lt;=0,0,(INT(MAX(0,Inputs!$B$43-B1737)/(IF(Inputs!$B$38="pvp",15,MAX(0.1,Skills!D11-IF(Skills!E11=TRUE,Inputs!$B$32,0)))*(1-IF(AND(ArtifactsInput!$M$27,Inputs!$B$4="Chapter Hunt"),CHOOSE(ArtifactsInput!$N$27+1,20,24,28,32,36,40),0)/100)))+1)),0)</f>
        <v/>
      </c>
      <c r="S1710">
        <f>IFERROR(O1710/N1710,0)</f>
        <v/>
      </c>
      <c r="T1710">
        <f>IF(C1710,(H1710*N1710*IF(AND(Inputs!$B$38&lt;&gt;"pvp",Inputs!$B$43&gt;0),((Skills!G11*((R1710-1)*IF(Skills!H11&gt;0,Skills!I11/Skills!H11,1)+IF(Skills!H11&gt;0,MIN(Skills!I11,MAX(0,MAX(0,Inputs!$B$43-B1737)-((R1710-1)*(IF(Inputs!$B$38="pvp",15,MAX(0.1,Skills!D11-IF(Skills!E11=TRUE,Inputs!$B$32,0)))*(1-IF(AND(ArtifactsInput!$M$27,Inputs!$B$4="Chapter Hunt"),CHOOSE(ArtifactsInput!$N$27+1,20,24,28,32,36,40),0)/100)))))/Skills!H11,1)))/Inputs!$B$43),G1710*Q1710)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1710*(1-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1710*(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1710*(1-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1710*(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0">
        <f>IF(C1710,(H1710*N1710*IF(AND(Inputs!$B$38&lt;&gt;"pvp",Inputs!$B$43&gt;0),((Skills!G11*((R1710-1)*IF(Skills!H11&gt;0,Skills!I11/Skills!H11,1)+IF(Skills!H11&gt;0,MIN(Skills!I11,MAX(0,MAX(0,Inputs!$B$43-B1737)-((R1710-1)*(IF(Inputs!$B$38="pvp",15,MAX(0.1,Skills!D11-IF(Skills!E11=TRUE,Inputs!$B$32,0)))*(1-IF(AND(ArtifactsInput!$M$27,Inputs!$B$4="Chapter Hunt"),CHOOSE(ArtifactsInput!$N$27+1,20,24,28,32,36,40),0)/100)))))/Skills!H11,1)))/Inputs!$B$43),G1710*Q1710))*IF(Inputs!$B$38="pvp",1,(1+(Inputs!$B$21+Skills!Q11+(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1">
      <c r="A1711">
        <f>Skills!A12</f>
        <v/>
      </c>
      <c r="B1711">
        <f>Skills!B12</f>
        <v/>
      </c>
      <c r="C1711">
        <f>Inputs!$B$3&gt;=110</f>
        <v/>
      </c>
      <c r="D1711">
        <f>IF(Skills!C12=1,60+Inputs!$B$25+Inputs!$B$29,IF(Skills!C12=2,90+Inputs!$B$26+Inputs!$B$29,IF(Skills!C12=3,120+Inputs!$B$27+Inputs!$B$29,MAX(0,(Inputs!$B$3-100)*3)+Inputs!$B$28+Inputs!$B$29)))</f>
        <v/>
      </c>
      <c r="E1711">
        <f>INDEX(FactorTable!$B$2:$Y$301, MATCH(ROUND(MIN(300,MAX(1,D1711)),0), FactorTable!$A$2:$A$301,0), Skills!M12+1)</f>
        <v/>
      </c>
      <c r="F1711">
        <f>IF(Skills!N12=TRUE,(Skills!L12/10)*(E1711/1000),Skills!L12/10)+Skills!O12</f>
        <v/>
      </c>
      <c r="G1711">
        <f>Skills!G12*IF(Skills!H12&gt;0,Skills!I12/Skills!H12,1)</f>
        <v/>
      </c>
      <c r="H1711">
        <f>1-(1-Skills!J12/100)^Skills!K12</f>
        <v/>
      </c>
      <c r="I1711" t="inlineStr">
        <is>
          <t>1</t>
        </is>
      </c>
      <c r="J1711">
        <f>((Inputs!$B$6*(1+Inputs!$B$7/100))+(((Inputs!$B$12*(1+Inputs!$B$13/100))-(Inputs!$B$12*(1+Inputs!$B$13/100)))+0.25*(Inputs!$B$14-Inputs!$B$14))*(1+Inputs!$B$7/100))*(F1711/100)</f>
        <v/>
      </c>
      <c r="K1711">
        <f>J1711*(1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1711)</f>
        <v/>
      </c>
      <c r="L1711">
        <f>K1711*(MIN(Inputs!$B$22+((C1721=TRUE)*(F1721-Calc!F22)),(Inputs!$B$23+0+(IF(ArtifactsInput!$M$15,CHOOSE(ArtifactsInput!$N$15+1,25,30,35,40,45,50)/100*(Inputs!$B$11-Inputs!$B$11),0))))/100+(Inputs!$B$23+0+(IF(ArtifactsInput!$M$15,CHOOSE(ArtifactsInput!$N$15+1,25,30,35,40,45,50)/100*(Inputs!$B$11-Inputs!$B$11),0)))/100)/2</f>
        <v/>
      </c>
      <c r="M1711">
        <f>L1711*(1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1">
        <f>L1711*(1-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1">
        <f>(1-Summary!$B$11)*T1711+Summary!$B$11*V1711</f>
        <v/>
      </c>
      <c r="P1711">
        <f>IF(B1740=0,0,O1711/B1740)</f>
        <v/>
      </c>
      <c r="Q1711">
        <f>IFERROR(1/(IF(Inputs!$B$38="pvp",15,MAX(0.1,Skills!D12-IF(Skills!E12=TRUE,Inputs!$B$32,0)))*(1-IF(AND(ArtifactsInput!$M$27,Inputs!$B$4="Chapter Hunt"),CHOOSE(ArtifactsInput!$N$27+1,20,24,28,32,36,40),0)/100)),0)</f>
        <v/>
      </c>
      <c r="R1711">
        <f>IF(AND(Inputs!$B$38&lt;&gt;"pvp",Inputs!$B$43&gt;0),IF(MAX(0,Inputs!$B$43-B1737)&lt;=0,0,(INT(MAX(0,Inputs!$B$43-B1737)/(IF(Inputs!$B$38="pvp",15,MAX(0.1,Skills!D12-IF(Skills!E12=TRUE,Inputs!$B$32,0)))*(1-IF(AND(ArtifactsInput!$M$27,Inputs!$B$4="Chapter Hunt"),CHOOSE(ArtifactsInput!$N$27+1,20,24,28,32,36,40),0)/100)))+1)),0)</f>
        <v/>
      </c>
      <c r="S1711">
        <f>IFERROR(O1711/N1711,0)</f>
        <v/>
      </c>
      <c r="T1711">
        <f>IF(C1711,(H1711*N1711*IF(AND(Inputs!$B$38&lt;&gt;"pvp",Inputs!$B$43&gt;0),((Skills!G12*((R1711-1)*IF(Skills!H12&gt;0,Skills!I12/Skills!H12,1)+IF(Skills!H12&gt;0,MIN(Skills!I12,MAX(0,MAX(0,Inputs!$B$43-B1737)-((R1711-1)*(IF(Inputs!$B$38="pvp",15,MAX(0.1,Skills!D12-IF(Skills!E12=TRUE,Inputs!$B$32,0)))*(1-IF(AND(ArtifactsInput!$M$27,Inputs!$B$4="Chapter Hunt"),CHOOSE(ArtifactsInput!$N$27+1,20,24,28,32,36,40),0)/100)))))/Skills!H12,1)))/Inputs!$B$43),G1711*Q1711)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1711*(1-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1">
        <f>IF(C1711,(H1711*N1711*IF(AND(Inputs!$B$38&lt;&gt;"pvp",Inputs!$B$43&gt;0),((Skills!G12*((R1711-1)*IF(Skills!H12&gt;0,Skills!I12/Skills!H12,1)+IF(Skills!H12&gt;0,MIN(Skills!I12,MAX(0,MAX(0,Inputs!$B$43-B1737)-((R1711-1)*(IF(Inputs!$B$38="pvp",15,MAX(0.1,Skills!D12-IF(Skills!E12=TRUE,Inputs!$B$32,0)))*(1-IF(AND(ArtifactsInput!$M$27,Inputs!$B$4="Chapter Hunt"),CHOOSE(ArtifactsInput!$N$27+1,20,24,28,32,36,40),0)/100)))))/Skills!H12,1)))/Inputs!$B$43),G1711*Q1711))*IF(Inputs!$B$38="pvp",1,(1+(Inputs!$B$21+Skills!Q12+(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2">
      <c r="A1712">
        <f>Skills!A13</f>
        <v/>
      </c>
      <c r="B1712">
        <f>Skills!B13</f>
        <v/>
      </c>
      <c r="C1712">
        <f>Inputs!$B$3&gt;=110</f>
        <v/>
      </c>
      <c r="D1712">
        <f>IF(Skills!C13=1,60+Inputs!$B$25+Inputs!$B$29,IF(Skills!C13=2,90+Inputs!$B$26+Inputs!$B$29,IF(Skills!C13=3,120+Inputs!$B$27+Inputs!$B$29,MAX(0,(Inputs!$B$3-100)*3)+Inputs!$B$28+Inputs!$B$29)))</f>
        <v/>
      </c>
      <c r="E1712">
        <f>INDEX(FactorTable!$B$2:$Y$301, MATCH(ROUND(MIN(300,MAX(1,D1712)),0), FactorTable!$A$2:$A$301,0), Skills!M13+1)</f>
        <v/>
      </c>
      <c r="F1712">
        <f>IF(Skills!N13=TRUE,(Skills!L13/10)*(E1712/1000),Skills!L13/10)+Skills!O13</f>
        <v/>
      </c>
      <c r="G1712">
        <f>Skills!G13*IF(Skills!H13&gt;0,Skills!I13/Skills!H13,1)</f>
        <v/>
      </c>
      <c r="H1712">
        <f>1-(1-Skills!J13/100)^Skills!K13</f>
        <v/>
      </c>
      <c r="I1712" t="inlineStr">
        <is>
          <t>1</t>
        </is>
      </c>
      <c r="J1712">
        <f>((Inputs!$B$6*(1+Inputs!$B$7/100))+(((Inputs!$B$12*(1+Inputs!$B$13/100))-(Inputs!$B$12*(1+Inputs!$B$13/100)))+0.25*(Inputs!$B$14-Inputs!$B$14))*(1+Inputs!$B$7/100))*(F1712/100)</f>
        <v/>
      </c>
      <c r="K1712">
        <f>J1712*(1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1712)</f>
        <v/>
      </c>
      <c r="L1712">
        <f>K1712*(MIN(Inputs!$B$22+((C1721=TRUE)*(F1721-Calc!F22)),(Inputs!$B$23+0+(IF(ArtifactsInput!$M$15,CHOOSE(ArtifactsInput!$N$15+1,25,30,35,40,45,50)/100*(Inputs!$B$11-Inputs!$B$11),0))))/100+(Inputs!$B$23+0+(IF(ArtifactsInput!$M$15,CHOOSE(ArtifactsInput!$N$15+1,25,30,35,40,45,50)/100*(Inputs!$B$11-Inputs!$B$11),0)))/100)/2</f>
        <v/>
      </c>
      <c r="M1712">
        <f>L1712*(1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2">
        <f>L1712*(1-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1712*(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2">
        <f>(1-Summary!$B$11)*T1712+Summary!$B$11*V1712</f>
        <v/>
      </c>
      <c r="P1712">
        <f>IF(B1740=0,0,O1712/B1740)</f>
        <v/>
      </c>
      <c r="Q1712">
        <f>IFERROR(1/(IF(Inputs!$B$38="pvp",15,MAX(0.1,Skills!D13-IF(Skills!E13=TRUE,Inputs!$B$32,0)))*(1-IF(AND(ArtifactsInput!$M$27,Inputs!$B$4="Chapter Hunt"),CHOOSE(ArtifactsInput!$N$27+1,20,24,28,32,36,40),0)/100)),0)</f>
        <v/>
      </c>
      <c r="R1712">
        <f>IF(AND(Inputs!$B$38&lt;&gt;"pvp",Inputs!$B$43&gt;0),IF(MAX(0,Inputs!$B$43-B1737)&lt;=0,0,(INT(MAX(0,Inputs!$B$43-B1737)/(IF(Inputs!$B$38="pvp",15,MAX(0.1,Skills!D13-IF(Skills!E13=TRUE,Inputs!$B$32,0)))*(1-IF(AND(ArtifactsInput!$M$27,Inputs!$B$4="Chapter Hunt"),CHOOSE(ArtifactsInput!$N$27+1,20,24,28,32,36,40),0)/100)))+1)),0)</f>
        <v/>
      </c>
      <c r="S1712">
        <f>IFERROR(O1712/N1712,0)</f>
        <v/>
      </c>
      <c r="T1712">
        <f>IF(C1712,(H1712*N1712*IF(AND(Inputs!$B$38&lt;&gt;"pvp",Inputs!$B$43&gt;0),((Skills!G13*((R1712-1)*IF(Skills!H13&gt;0,Skills!I13/Skills!H13,1)+IF(Skills!H13&gt;0,MIN(Skills!I13,MAX(0,MAX(0,Inputs!$B$43-B1737)-((R1712-1)*(IF(Inputs!$B$38="pvp",15,MAX(0.1,Skills!D13-IF(Skills!E13=TRUE,Inputs!$B$32,0)))*(1-IF(AND(ArtifactsInput!$M$27,Inputs!$B$4="Chapter Hunt"),CHOOSE(ArtifactsInput!$N$27+1,20,24,28,32,36,40),0)/100)))))/Skills!H13,1)))/Inputs!$B$43),G1712*Q1712)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1712*(1-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1712*(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1712*(1-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1712*(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2">
        <f>IF(C1712,(H1712*N1712*IF(AND(Inputs!$B$38&lt;&gt;"pvp",Inputs!$B$43&gt;0),((Skills!G13*((R1712-1)*IF(Skills!H13&gt;0,Skills!I13/Skills!H13,1)+IF(Skills!H13&gt;0,MIN(Skills!I13,MAX(0,MAX(0,Inputs!$B$43-B1737)-((R1712-1)*(IF(Inputs!$B$38="pvp",15,MAX(0.1,Skills!D13-IF(Skills!E13=TRUE,Inputs!$B$32,0)))*(1-IF(AND(ArtifactsInput!$M$27,Inputs!$B$4="Chapter Hunt"),CHOOSE(ArtifactsInput!$N$27+1,20,24,28,32,36,40),0)/100)))))/Skills!H13,1)))/Inputs!$B$43),G1712*Q1712))*IF(Inputs!$B$38="pvp",1,(1+(Inputs!$B$21+Skills!Q13+(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3">
      <c r="A1713">
        <f>Skills!A14</f>
        <v/>
      </c>
      <c r="B1713">
        <f>Skills!B14</f>
        <v/>
      </c>
      <c r="C1713">
        <f>Inputs!$B$3&gt;=125</f>
        <v/>
      </c>
      <c r="D1713">
        <f>IF(Skills!C14=1,60+Inputs!$B$25+Inputs!$B$29,IF(Skills!C14=2,90+Inputs!$B$26+Inputs!$B$29,IF(Skills!C14=3,120+Inputs!$B$27+Inputs!$B$29,MAX(0,(Inputs!$B$3-100)*3)+Inputs!$B$28+Inputs!$B$29)))</f>
        <v/>
      </c>
      <c r="E1713">
        <f>INDEX(FactorTable!$B$2:$Y$301, MATCH(ROUND(MIN(300,MAX(1,D1713)),0), FactorTable!$A$2:$A$301,0), Skills!M14+1)</f>
        <v/>
      </c>
      <c r="F1713">
        <f>IF(Skills!N14=TRUE,(Skills!L14/10)*(E1713/1000),Skills!L14/10)+Skills!O14</f>
        <v/>
      </c>
      <c r="G1713">
        <f>Skills!G14*IF(Skills!H14&gt;0,Skills!I14/Skills!H14,1)</f>
        <v/>
      </c>
      <c r="H1713">
        <f>1-(1-Skills!J14/100)^Skills!K14</f>
        <v/>
      </c>
      <c r="I1713" t="inlineStr">
        <is>
          <t>1</t>
        </is>
      </c>
      <c r="J1713">
        <f>((Inputs!$B$6*(1+Inputs!$B$7/100))+(((Inputs!$B$12*(1+Inputs!$B$13/100))-(Inputs!$B$12*(1+Inputs!$B$13/100)))+0.25*(Inputs!$B$14-Inputs!$B$14))*(1+Inputs!$B$7/100))*(F1713/100)</f>
        <v/>
      </c>
      <c r="K1713">
        <f>J1713*(1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1713)</f>
        <v/>
      </c>
      <c r="L1713">
        <f>K1713*(MIN(Inputs!$B$22+((C1721=TRUE)*(F1721-Calc!F22)),(Inputs!$B$23+0+(IF(ArtifactsInput!$M$15,CHOOSE(ArtifactsInput!$N$15+1,25,30,35,40,45,50)/100*(Inputs!$B$11-Inputs!$B$11),0))))/100+(Inputs!$B$23+0+(IF(ArtifactsInput!$M$15,CHOOSE(ArtifactsInput!$N$15+1,25,30,35,40,45,50)/100*(Inputs!$B$11-Inputs!$B$11),0)))/100)/2</f>
        <v/>
      </c>
      <c r="M1713">
        <f>L1713*(1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3">
        <f>L1713*(1-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1713*(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3">
        <f>(1-Summary!$B$11)*T1713+Summary!$B$11*V1713</f>
        <v/>
      </c>
      <c r="P1713">
        <f>IF(B1740=0,0,O1713/B1740)</f>
        <v/>
      </c>
      <c r="Q1713" t="n">
        <v>0</v>
      </c>
      <c r="R1713" t="n">
        <v>0</v>
      </c>
      <c r="S1713">
        <f>IFERROR(O1713/N1713,0)</f>
        <v/>
      </c>
      <c r="T1713">
        <f>IF(C1713,(H1713*N1713*(B1734+IF(AND(Inputs!$B$38&lt;&gt;"pvp",Inputs!$B$43&gt;0),((Skills!G8*((R1707-1)*IF(Skills!H8&gt;0,Skills!I8/Skills!H8,1)+IF(Skills!H8&gt;0,MIN(Skills!I8,MAX(0,MAX(0,Inputs!$B$43-B1737)-((R1707-1)*(IF(Inputs!$B$38="pvp",15,MAX(0.1,Skills!D8-IF(Skills!E8=TRUE,Inputs!$B$32,0)))*(1-IF(AND(ArtifactsInput!$M$27,Inputs!$B$4="Chapter Hunt"),CHOOSE(ArtifactsInput!$N$27+1,20,24,28,32,36,40),0)/100)))))/Skills!H8,1)))/Inputs!$B$43),G1707*Q1707)+IF(AND(Inputs!$B$38&lt;&gt;"pvp",Inputs!$B$43&gt;0),((Skills!G11*((R1710-1)*IF(Skills!H11&gt;0,Skills!I11/Skills!H11,1)+IF(Skills!H11&gt;0,MIN(Skills!I11,MAX(0,MAX(0,Inputs!$B$43-B1737)-((R1710-1)*(IF(Inputs!$B$38="pvp",15,MAX(0.1,Skills!D11-IF(Skills!E11=TRUE,Inputs!$B$32,0)))*(1-IF(AND(ArtifactsInput!$M$27,Inputs!$B$4="Chapter Hunt"),CHOOSE(ArtifactsInput!$N$27+1,20,24,28,32,36,40),0)/100)))))/Skills!H11,1)))/Inputs!$B$43),G1710*Q1710)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1713*(1-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1713*(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1713*(1-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1713*(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3">
        <f>IF(C1713,(H1713*N1713*(B1734+IF(AND(Inputs!$B$38&lt;&gt;"pvp",Inputs!$B$43&gt;0),((Skills!G8*((R1707-1)*IF(Skills!H8&gt;0,Skills!I8/Skills!H8,1)+IF(Skills!H8&gt;0,MIN(Skills!I8,MAX(0,MAX(0,Inputs!$B$43-B1737)-((R1707-1)*(IF(Inputs!$B$38="pvp",15,MAX(0.1,Skills!D8-IF(Skills!E8=TRUE,Inputs!$B$32,0)))*(1-IF(AND(ArtifactsInput!$M$27,Inputs!$B$4="Chapter Hunt"),CHOOSE(ArtifactsInput!$N$27+1,20,24,28,32,36,40),0)/100)))))/Skills!H8,1)))/Inputs!$B$43),G1707*Q1707)+IF(AND(Inputs!$B$38&lt;&gt;"pvp",Inputs!$B$43&gt;0),((Skills!G11*((R1710-1)*IF(Skills!H11&gt;0,Skills!I11/Skills!H11,1)+IF(Skills!H11&gt;0,MIN(Skills!I11,MAX(0,MAX(0,Inputs!$B$43-B1737)-((R1710-1)*(IF(Inputs!$B$38="pvp",15,MAX(0.1,Skills!D11-IF(Skills!E11=TRUE,Inputs!$B$32,0)))*(1-IF(AND(ArtifactsInput!$M$27,Inputs!$B$4="Chapter Hunt"),CHOOSE(ArtifactsInput!$N$27+1,20,24,28,32,36,40),0)/100)))))/Skills!H11,1)))/Inputs!$B$43),G1710*Q1710)))*IF(Inputs!$B$38="pvp",1,(1+(Inputs!$B$21+Skills!Q14+(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4">
      <c r="A1714">
        <f>Skills!A15</f>
        <v/>
      </c>
      <c r="B1714">
        <f>Skills!B15</f>
        <v/>
      </c>
      <c r="C1714">
        <f>Inputs!$B$3&gt;=100</f>
        <v/>
      </c>
      <c r="D1714">
        <f>IF(Skills!C15=1,60+Inputs!$B$25+Inputs!$B$29,IF(Skills!C15=2,90+Inputs!$B$26+Inputs!$B$29,IF(Skills!C15=3,120+Inputs!$B$27+Inputs!$B$29,MAX(0,(Inputs!$B$3-100)*3)+Inputs!$B$28+Inputs!$B$29)))</f>
        <v/>
      </c>
      <c r="E1714">
        <f>INDEX(FactorTable!$B$2:$Y$301, MATCH(ROUND(MIN(300,MAX(1,D1714)),0), FactorTable!$A$2:$A$301,0), Skills!M15+1)</f>
        <v/>
      </c>
      <c r="F1714">
        <f>IF(Skills!N15=TRUE,(Skills!L15/10)*(E1714/1000),Skills!L15/10)+Skills!O15</f>
        <v/>
      </c>
      <c r="G1714" t="inlineStr"/>
      <c r="H1714" t="inlineStr"/>
      <c r="I1714" t="inlineStr">
        <is>
          <t>1</t>
        </is>
      </c>
      <c r="J1714" t="inlineStr"/>
      <c r="K1714" t="inlineStr"/>
      <c r="L1714" t="inlineStr"/>
      <c r="M1714" t="inlineStr"/>
      <c r="N1714" t="inlineStr"/>
      <c r="O1714" t="inlineStr"/>
      <c r="P1714" t="inlineStr"/>
      <c r="Q1714" t="inlineStr"/>
      <c r="R1714" t="inlineStr"/>
      <c r="S1714" t="inlineStr"/>
    </row>
    <row r="1715">
      <c r="A1715">
        <f>Skills!A16</f>
        <v/>
      </c>
      <c r="B1715">
        <f>Skills!B16</f>
        <v/>
      </c>
      <c r="C1715">
        <f>Inputs!$B$3&gt;=120</f>
        <v/>
      </c>
      <c r="D1715">
        <f>IF(Skills!C16=1,60+Inputs!$B$25+Inputs!$B$29,IF(Skills!C16=2,90+Inputs!$B$26+Inputs!$B$29,IF(Skills!C16=3,120+Inputs!$B$27+Inputs!$B$29,MAX(0,(Inputs!$B$3-100)*3)+Inputs!$B$28+Inputs!$B$29)))</f>
        <v/>
      </c>
      <c r="E1715">
        <f>INDEX(FactorTable!$B$2:$Y$301, MATCH(ROUND(MIN(300,MAX(1,D1715)),0), FactorTable!$A$2:$A$301,0), Skills!M16+1)</f>
        <v/>
      </c>
      <c r="F1715">
        <f>IF(Skills!N16=TRUE,(Skills!L16/10)*(E1715/1000),Skills!L16/10)+Skills!O16</f>
        <v/>
      </c>
      <c r="G1715" t="inlineStr"/>
      <c r="H1715" t="inlineStr"/>
      <c r="I1715" t="inlineStr">
        <is>
          <t>1</t>
        </is>
      </c>
      <c r="J1715" t="inlineStr"/>
      <c r="K1715" t="inlineStr"/>
      <c r="L1715" t="inlineStr"/>
      <c r="M1715" t="inlineStr"/>
      <c r="N1715" t="inlineStr"/>
      <c r="O1715" t="inlineStr"/>
      <c r="P1715" t="inlineStr"/>
      <c r="Q1715" t="inlineStr"/>
      <c r="R1715" t="inlineStr"/>
      <c r="S1715" t="inlineStr"/>
    </row>
    <row r="1716">
      <c r="A1716">
        <f>Skills!A17</f>
        <v/>
      </c>
      <c r="B1716">
        <f>Skills!B17</f>
        <v/>
      </c>
      <c r="C1716">
        <f>Inputs!$B$3&gt;=66</f>
        <v/>
      </c>
      <c r="D1716">
        <f>IF(Skills!C17=1,60+Inputs!$B$25+Inputs!$B$29,IF(Skills!C17=2,90+Inputs!$B$26+Inputs!$B$29,IF(Skills!C17=3,120+Inputs!$B$27+Inputs!$B$29,MAX(0,(Inputs!$B$3-100)*3)+Inputs!$B$28+Inputs!$B$29)))</f>
        <v/>
      </c>
      <c r="E1716">
        <f>INDEX(FactorTable!$B$2:$Y$301, MATCH(ROUND(MIN(300,MAX(1,D1716)),0), FactorTable!$A$2:$A$301,0), Skills!M17+1)</f>
        <v/>
      </c>
      <c r="F1716">
        <f>IF(Skills!N17=TRUE,(Skills!L17/10)*(E1716/1000),Skills!L17/10)+Skills!O17</f>
        <v/>
      </c>
      <c r="G1716">
        <f>Skills!G17*IF(Skills!H17&gt;0,Skills!I17/Skills!H17,1)</f>
        <v/>
      </c>
      <c r="H1716">
        <f>1-(1-Skills!J17/100)^Skills!K17</f>
        <v/>
      </c>
      <c r="I1716" t="inlineStr">
        <is>
          <t>1</t>
        </is>
      </c>
      <c r="J1716" t="inlineStr"/>
      <c r="K1716" t="inlineStr"/>
      <c r="L1716" t="inlineStr"/>
      <c r="M1716" t="inlineStr"/>
      <c r="N1716" t="inlineStr"/>
      <c r="O1716">
        <f>(1-Summary!$B$11)*T1716+Summary!$B$11*V1716</f>
        <v/>
      </c>
      <c r="P1716">
        <f>IF(B1740=0,0,O1716/B1740)</f>
        <v/>
      </c>
      <c r="Q1716" t="n">
        <v>0</v>
      </c>
      <c r="R1716" t="n">
        <v>0</v>
      </c>
      <c r="S1716">
        <f>IFERROR(O1716/N1716,0)</f>
        <v/>
      </c>
      <c r="T1716" t="n">
        <v>0</v>
      </c>
      <c r="V1716" t="n">
        <v>0</v>
      </c>
    </row>
    <row r="1717">
      <c r="A1717">
        <f>Skills!A18</f>
        <v/>
      </c>
      <c r="B1717">
        <f>Skills!B18</f>
        <v/>
      </c>
      <c r="C1717">
        <f>Inputs!$B$3&gt;=115</f>
        <v/>
      </c>
      <c r="D1717">
        <f>IF(Skills!C18=1,60+Inputs!$B$25+Inputs!$B$29,IF(Skills!C18=2,90+Inputs!$B$26+Inputs!$B$29,IF(Skills!C18=3,120+Inputs!$B$27+Inputs!$B$29,MAX(0,(Inputs!$B$3-100)*3)+Inputs!$B$28+Inputs!$B$29)))</f>
        <v/>
      </c>
      <c r="E1717">
        <f>INDEX(FactorTable!$B$2:$Y$301, MATCH(ROUND(MIN(300,MAX(1,D1717)),0), FactorTable!$A$2:$A$301,0), Skills!M18+1)</f>
        <v/>
      </c>
      <c r="F1717">
        <f>IF(Skills!N18=TRUE,(Skills!L18/10)*(E1717/1000),Skills!L18/10)+Skills!O18</f>
        <v/>
      </c>
      <c r="G1717">
        <f>Skills!G18*IF(Skills!H18&gt;0,Skills!I18/Skills!H18,1)</f>
        <v/>
      </c>
      <c r="H1717">
        <f>1-(1-Skills!J18/100)^Skills!K18</f>
        <v/>
      </c>
      <c r="I1717" t="inlineStr">
        <is>
          <t>1</t>
        </is>
      </c>
      <c r="J1717" t="inlineStr"/>
      <c r="K1717" t="inlineStr"/>
      <c r="L1717" t="inlineStr"/>
      <c r="M1717" t="inlineStr"/>
      <c r="N1717" t="inlineStr"/>
      <c r="O1717">
        <f>(1-Summary!$B$11)*T1717+Summary!$B$11*V1717</f>
        <v/>
      </c>
      <c r="P1717">
        <f>IF(B1740=0,0,O1717/B1740)</f>
        <v/>
      </c>
      <c r="Q1717">
        <f>IFERROR(1/(IF(Inputs!$B$38="pvp",15,MAX(0.1,Skills!D18-IF(Skills!E18=TRUE,Inputs!$B$32,0)))*(1-IF(AND(ArtifactsInput!$M$27,Inputs!$B$4="Chapter Hunt"),CHOOSE(ArtifactsInput!$N$27+1,20,24,28,32,36,40),0)/100)),0)</f>
        <v/>
      </c>
      <c r="R1717">
        <f>IF(AND(Inputs!$B$38&lt;&gt;"pvp",Inputs!$B$43&gt;0),IF(Inputs!$B$43&lt;=0,0,(INT(Inputs!$B$43/(IF(Inputs!$B$38="pvp",15,MAX(0.1,Skills!D18-IF(Skills!E18=TRUE,Inputs!$B$32,0)))*(1-IF(AND(ArtifactsInput!$M$27,Inputs!$B$4="Chapter Hunt"),CHOOSE(ArtifactsInput!$N$27+1,20,24,28,32,36,40),0)/100)))+1)),0)</f>
        <v/>
      </c>
      <c r="S1717">
        <f>IFERROR(O1717/N1717,0)</f>
        <v/>
      </c>
      <c r="T1717" t="n">
        <v>0</v>
      </c>
      <c r="V1717" t="n">
        <v>0</v>
      </c>
    </row>
    <row r="1718">
      <c r="A1718">
        <f>Skills!A19</f>
        <v/>
      </c>
      <c r="B1718">
        <f>Skills!B19</f>
        <v/>
      </c>
      <c r="C1718">
        <f>Inputs!$B$3&gt;=15</f>
        <v/>
      </c>
      <c r="D1718">
        <f>IF(Skills!C19=1,60+Inputs!$B$25+Inputs!$B$29,IF(Skills!C19=2,90+Inputs!$B$26+Inputs!$B$29,IF(Skills!C19=3,120+Inputs!$B$27+Inputs!$B$29,MAX(0,(Inputs!$B$3-100)*3)+Inputs!$B$28+Inputs!$B$29)))</f>
        <v/>
      </c>
      <c r="E1718">
        <f>INDEX(FactorTable!$B$2:$Y$301, MATCH(ROUND(MIN(300,MAX(1,D1718)),0), FactorTable!$A$2:$A$301,0), Skills!M19+1)</f>
        <v/>
      </c>
      <c r="F1718">
        <f>IF(Skills!N19=TRUE,(Skills!L19/10)*(E1718/1000),Skills!L19/10)+Skills!O19</f>
        <v/>
      </c>
      <c r="G1718">
        <f>Skills!G19*IF(Skills!H19&gt;0,Skills!I19/Skills!H19,1)</f>
        <v/>
      </c>
      <c r="H1718">
        <f>1-(1-Skills!J19/100)^Skills!K19</f>
        <v/>
      </c>
      <c r="I1718" t="inlineStr">
        <is>
          <t>1</t>
        </is>
      </c>
      <c r="J1718" t="inlineStr"/>
      <c r="K1718" t="inlineStr"/>
      <c r="L1718" t="inlineStr"/>
      <c r="M1718" t="inlineStr"/>
      <c r="N1718" t="inlineStr"/>
      <c r="O1718">
        <f>(1-Summary!$B$11)*T1718+Summary!$B$11*V1718</f>
        <v/>
      </c>
      <c r="P1718">
        <f>IF(B1740=0,0,O1718/B1740)</f>
        <v/>
      </c>
      <c r="Q1718" t="n">
        <v>0</v>
      </c>
      <c r="R1718" t="n">
        <v>0</v>
      </c>
      <c r="S1718">
        <f>IFERROR(O1718/N1718,0)</f>
        <v/>
      </c>
      <c r="T1718" t="n">
        <v>0</v>
      </c>
      <c r="V1718" t="n">
        <v>0</v>
      </c>
    </row>
    <row r="1719">
      <c r="A1719">
        <f>Skills!A20</f>
        <v/>
      </c>
      <c r="B1719">
        <f>Skills!B20</f>
        <v/>
      </c>
      <c r="C1719">
        <f>Inputs!$B$3&gt;=10</f>
        <v/>
      </c>
      <c r="D1719">
        <f>IF(Skills!C20=1,60+Inputs!$B$25+Inputs!$B$29,IF(Skills!C20=2,90+Inputs!$B$26+Inputs!$B$29,IF(Skills!C20=3,120+Inputs!$B$27+Inputs!$B$29,MAX(0,(Inputs!$B$3-100)*3)+Inputs!$B$28+Inputs!$B$29)))</f>
        <v/>
      </c>
      <c r="E1719">
        <f>INDEX(FactorTable!$B$2:$Y$301, MATCH(ROUND(MIN(300,MAX(1,D1719)),0), FactorTable!$A$2:$A$301,0), Skills!M20+1)</f>
        <v/>
      </c>
      <c r="F1719">
        <f>IF(Skills!N20=TRUE,(Skills!L20/10)*(E1719/1000),Skills!L20/10)+Skills!O20</f>
        <v/>
      </c>
      <c r="G1719">
        <f>Skills!G20*IF(Skills!H20&gt;0,Skills!I20/Skills!H20,1)</f>
        <v/>
      </c>
      <c r="H1719">
        <f>1-(1-Skills!J20/100)^Skills!K20</f>
        <v/>
      </c>
      <c r="I1719" t="inlineStr">
        <is>
          <t>1</t>
        </is>
      </c>
      <c r="J1719" t="inlineStr"/>
      <c r="K1719" t="inlineStr"/>
      <c r="L1719" t="inlineStr"/>
      <c r="M1719" t="inlineStr"/>
      <c r="N1719" t="inlineStr"/>
      <c r="O1719">
        <f>(1-Summary!$B$11)*T1719+Summary!$B$11*V1719</f>
        <v/>
      </c>
      <c r="P1719">
        <f>IF(B1740=0,0,O1719/B1740)</f>
        <v/>
      </c>
      <c r="Q1719" t="n">
        <v>0</v>
      </c>
      <c r="R1719" t="n">
        <v>0</v>
      </c>
      <c r="S1719">
        <f>IFERROR(O1719/N1719,0)</f>
        <v/>
      </c>
      <c r="T1719" t="n">
        <v>0</v>
      </c>
      <c r="V1719" t="n">
        <v>0</v>
      </c>
    </row>
    <row r="1720">
      <c r="A1720">
        <f>Skills!A21</f>
        <v/>
      </c>
      <c r="B1720">
        <f>Skills!B21</f>
        <v/>
      </c>
      <c r="C1720">
        <f>Inputs!$B$3&gt;=33</f>
        <v/>
      </c>
      <c r="D1720">
        <f>IF(Skills!C21=1,60+Inputs!$B$25+Inputs!$B$29,IF(Skills!C21=2,90+Inputs!$B$26+Inputs!$B$29,IF(Skills!C21=3,120+Inputs!$B$27+Inputs!$B$29,MAX(0,(Inputs!$B$3-100)*3)+Inputs!$B$28+Inputs!$B$29)))</f>
        <v/>
      </c>
      <c r="E1720">
        <f>INDEX(FactorTable!$B$2:$Y$301, MATCH(ROUND(MIN(300,MAX(1,D1720)),0), FactorTable!$A$2:$A$301,0), Skills!M21+1)</f>
        <v/>
      </c>
      <c r="F1720">
        <f>IF(Skills!N21=TRUE,(Skills!L21/10)*(E1720/1000),Skills!L21/10)+Skills!O21</f>
        <v/>
      </c>
      <c r="G1720">
        <f>Skills!G21*IF(Skills!H21&gt;0,Skills!I21/Skills!H21,1)</f>
        <v/>
      </c>
      <c r="H1720">
        <f>1-(1-Skills!J21/100)^Skills!K21</f>
        <v/>
      </c>
      <c r="I1720" t="inlineStr">
        <is>
          <t>1</t>
        </is>
      </c>
      <c r="J1720" t="inlineStr"/>
      <c r="K1720" t="inlineStr"/>
      <c r="L1720" t="inlineStr"/>
      <c r="M1720" t="inlineStr"/>
      <c r="N1720" t="inlineStr"/>
      <c r="O1720">
        <f>(1-Summary!$B$11)*T1720+Summary!$B$11*V1720</f>
        <v/>
      </c>
      <c r="P1720">
        <f>IF(B1740=0,0,O1720/B1740)</f>
        <v/>
      </c>
      <c r="Q1720" t="n">
        <v>0</v>
      </c>
      <c r="R1720" t="n">
        <v>0</v>
      </c>
      <c r="S1720">
        <f>IFERROR(O1720/N1720,0)</f>
        <v/>
      </c>
      <c r="T1720" t="n">
        <v>0</v>
      </c>
      <c r="V1720" t="n">
        <v>0</v>
      </c>
    </row>
    <row r="1721">
      <c r="A1721">
        <f>Skills!A22</f>
        <v/>
      </c>
      <c r="B1721">
        <f>Skills!B22</f>
        <v/>
      </c>
      <c r="C1721">
        <f>Inputs!$B$3&gt;=43</f>
        <v/>
      </c>
      <c r="D1721">
        <f>IF(Skills!C22=1,60+Inputs!$B$25+Inputs!$B$29,IF(Skills!C22=2,90+Inputs!$B$26+Inputs!$B$29,IF(Skills!C22=3,120+Inputs!$B$27+Inputs!$B$29,MAX(0,(Inputs!$B$3-100)*3)+Inputs!$B$28+Inputs!$B$29)))</f>
        <v/>
      </c>
      <c r="E1721">
        <f>INDEX(FactorTable!$B$2:$Y$301, MATCH(ROUND(MIN(300,MAX(1,D1721)),0), FactorTable!$A$2:$A$301,0), Skills!M22+1)</f>
        <v/>
      </c>
      <c r="F1721">
        <f>IF(Skills!N22=TRUE,(Skills!L22/10)*(E1721/1000),Skills!L22/10)+Skills!O22</f>
        <v/>
      </c>
      <c r="G1721">
        <f>Skills!G22*IF(Skills!H22&gt;0,Skills!I22/Skills!H22,1)</f>
        <v/>
      </c>
      <c r="H1721">
        <f>1-(1-Skills!J22/100)^Skills!K22</f>
        <v/>
      </c>
      <c r="I1721" t="inlineStr">
        <is>
          <t>1</t>
        </is>
      </c>
      <c r="J1721" t="inlineStr"/>
      <c r="K1721" t="inlineStr"/>
      <c r="L1721" t="inlineStr"/>
      <c r="M1721" t="inlineStr"/>
      <c r="N1721" t="inlineStr"/>
      <c r="O1721">
        <f>(1-Summary!$B$11)*T1721+Summary!$B$11*V1721</f>
        <v/>
      </c>
      <c r="P1721">
        <f>IF(B1740=0,0,O1721/B1740)</f>
        <v/>
      </c>
      <c r="Q1721" t="n">
        <v>0</v>
      </c>
      <c r="R1721" t="n">
        <v>0</v>
      </c>
      <c r="S1721">
        <f>IFERROR(O1721/N1721,0)</f>
        <v/>
      </c>
      <c r="T1721" t="n">
        <v>0</v>
      </c>
      <c r="V1721" t="n">
        <v>0</v>
      </c>
    </row>
    <row r="1722">
      <c r="A1722">
        <f>Skills!A23</f>
        <v/>
      </c>
      <c r="B1722">
        <f>Skills!B23</f>
        <v/>
      </c>
      <c r="C1722">
        <f>Inputs!$B$3&gt;=38</f>
        <v/>
      </c>
      <c r="D1722">
        <f>IF(Skills!C23=1,60+Inputs!$B$25+Inputs!$B$29,IF(Skills!C23=2,90+Inputs!$B$26+Inputs!$B$29,IF(Skills!C23=3,120+Inputs!$B$27+Inputs!$B$29,MAX(0,(Inputs!$B$3-100)*3)+Inputs!$B$28+Inputs!$B$29)))</f>
        <v/>
      </c>
      <c r="E1722">
        <f>INDEX(FactorTable!$B$2:$Y$301, MATCH(ROUND(MIN(300,MAX(1,D1722)),0), FactorTable!$A$2:$A$301,0), Skills!M23+1)</f>
        <v/>
      </c>
      <c r="F1722">
        <f>IF(Skills!N23=TRUE,(Skills!L23/10)*(E1722/1000),Skills!L23/10)+Skills!O23</f>
        <v/>
      </c>
      <c r="G1722">
        <f>Skills!G23*IF(Skills!H23&gt;0,Skills!I23/Skills!H23,1)</f>
        <v/>
      </c>
      <c r="H1722">
        <f>1-(1-Skills!J23/100)^Skills!K23</f>
        <v/>
      </c>
      <c r="I1722" t="inlineStr">
        <is>
          <t>1</t>
        </is>
      </c>
      <c r="J1722" t="inlineStr"/>
      <c r="K1722" t="inlineStr"/>
      <c r="L1722" t="inlineStr"/>
      <c r="M1722" t="inlineStr"/>
      <c r="N1722" t="inlineStr"/>
      <c r="O1722">
        <f>(1-Summary!$B$11)*T1722+Summary!$B$11*V1722</f>
        <v/>
      </c>
      <c r="P1722">
        <f>IF(B1740=0,0,O1722/B1740)</f>
        <v/>
      </c>
      <c r="Q1722" t="n">
        <v>0</v>
      </c>
      <c r="R1722" t="n">
        <v>0</v>
      </c>
      <c r="S1722">
        <f>IFERROR(O1722/N1722,0)</f>
        <v/>
      </c>
      <c r="T1722" t="n">
        <v>0</v>
      </c>
      <c r="V1722" t="n">
        <v>0</v>
      </c>
    </row>
    <row r="1723">
      <c r="A1723">
        <f>Skills!A24</f>
        <v/>
      </c>
      <c r="B1723">
        <f>Skills!B24</f>
        <v/>
      </c>
      <c r="C1723">
        <f>Inputs!$B$3&gt;=40</f>
        <v/>
      </c>
      <c r="D1723">
        <f>IF(Skills!C24=1,60+Inputs!$B$25+Inputs!$B$29,IF(Skills!C24=2,90+Inputs!$B$26+Inputs!$B$29,IF(Skills!C24=3,120+Inputs!$B$27+Inputs!$B$29,MAX(0,(Inputs!$B$3-100)*3)+Inputs!$B$28+Inputs!$B$29)))</f>
        <v/>
      </c>
      <c r="E1723">
        <f>INDEX(FactorTable!$B$2:$Y$301, MATCH(ROUND(MIN(300,MAX(1,D1723)),0), FactorTable!$A$2:$A$301,0), Skills!M24+1)</f>
        <v/>
      </c>
      <c r="F1723">
        <f>IF(Skills!N24=TRUE,(Skills!L24/10)*(E1723/1000),Skills!L24/10)+Skills!O24</f>
        <v/>
      </c>
      <c r="G1723">
        <f>Skills!G24*IF(Skills!H24&gt;0,Skills!I24/Skills!H24,1)</f>
        <v/>
      </c>
      <c r="H1723">
        <f>1-(1-Skills!J24/100)^Skills!K24</f>
        <v/>
      </c>
      <c r="I1723" t="inlineStr">
        <is>
          <t>1</t>
        </is>
      </c>
      <c r="J1723" t="inlineStr"/>
      <c r="K1723" t="inlineStr"/>
      <c r="L1723" t="inlineStr"/>
      <c r="M1723" t="inlineStr"/>
      <c r="N1723" t="inlineStr"/>
      <c r="O1723">
        <f>(1-Summary!$B$11)*T1723+Summary!$B$11*V1723</f>
        <v/>
      </c>
      <c r="P1723">
        <f>IF(B1740=0,0,O1723/B1740)</f>
        <v/>
      </c>
      <c r="Q1723" t="n">
        <v>0</v>
      </c>
      <c r="R1723" t="n">
        <v>0</v>
      </c>
      <c r="S1723">
        <f>IFERROR(O1723/N1723,0)</f>
        <v/>
      </c>
      <c r="T1723" t="n">
        <v>0</v>
      </c>
      <c r="V1723" t="n">
        <v>0</v>
      </c>
    </row>
    <row r="1724">
      <c r="A1724">
        <f>Skills!A25</f>
        <v/>
      </c>
      <c r="B1724">
        <f>Skills!B25</f>
        <v/>
      </c>
      <c r="C1724">
        <f>Inputs!$B$3&gt;=72</f>
        <v/>
      </c>
      <c r="D1724">
        <f>IF(Skills!C25=1,60+Inputs!$B$25+Inputs!$B$29,IF(Skills!C25=2,90+Inputs!$B$26+Inputs!$B$29,IF(Skills!C25=3,120+Inputs!$B$27+Inputs!$B$29,MAX(0,(Inputs!$B$3-100)*3)+Inputs!$B$28+Inputs!$B$29)))</f>
        <v/>
      </c>
      <c r="E1724">
        <f>INDEX(FactorTable!$B$2:$Y$301, MATCH(ROUND(MIN(300,MAX(1,D1724)),0), FactorTable!$A$2:$A$301,0), Skills!M25+1)</f>
        <v/>
      </c>
      <c r="F1724">
        <f>IF(Skills!N25=TRUE,(Skills!L25/10)*(E1724/1000),Skills!L25/10)+Skills!O25</f>
        <v/>
      </c>
      <c r="G1724">
        <f>Skills!G25*IF(Skills!H25&gt;0,Skills!I25/Skills!H25,1)</f>
        <v/>
      </c>
      <c r="H1724">
        <f>1-(1-Skills!J25/100)^Skills!K25</f>
        <v/>
      </c>
      <c r="I1724" t="inlineStr">
        <is>
          <t>1</t>
        </is>
      </c>
      <c r="J1724" t="inlineStr"/>
      <c r="K1724" t="inlineStr"/>
      <c r="L1724" t="inlineStr"/>
      <c r="M1724" t="inlineStr"/>
      <c r="N1724" t="inlineStr"/>
      <c r="O1724">
        <f>(1-Summary!$B$11)*T1724+Summary!$B$11*V1724</f>
        <v/>
      </c>
      <c r="P1724">
        <f>IF(B1740=0,0,O1724/B1740)</f>
        <v/>
      </c>
      <c r="Q1724" t="n">
        <v>0</v>
      </c>
      <c r="R1724" t="n">
        <v>0</v>
      </c>
      <c r="S1724">
        <f>IFERROR(O1724/N1724,0)</f>
        <v/>
      </c>
      <c r="T1724" t="n">
        <v>0</v>
      </c>
      <c r="V1724" t="n">
        <v>0</v>
      </c>
    </row>
    <row r="1725">
      <c r="A1725">
        <f>Skills!A26</f>
        <v/>
      </c>
      <c r="B1725">
        <f>Skills!B26</f>
        <v/>
      </c>
      <c r="C1725">
        <f>Inputs!$B$3&gt;=75</f>
        <v/>
      </c>
      <c r="D1725">
        <f>IF(Skills!C26=1,60+Inputs!$B$25+Inputs!$B$29,IF(Skills!C26=2,90+Inputs!$B$26+Inputs!$B$29,IF(Skills!C26=3,120+Inputs!$B$27+Inputs!$B$29,MAX(0,(Inputs!$B$3-100)*3)+Inputs!$B$28+Inputs!$B$29)))</f>
        <v/>
      </c>
      <c r="E1725">
        <f>INDEX(FactorTable!$B$2:$Y$301, MATCH(ROUND(MIN(300,MAX(1,D1725)),0), FactorTable!$A$2:$A$301,0), Skills!M26+1)</f>
        <v/>
      </c>
      <c r="F1725">
        <f>IF(Skills!N26=TRUE,(Skills!L26/10)*(E1725/1000),Skills!L26/10)+Skills!O26</f>
        <v/>
      </c>
      <c r="G1725">
        <f>Skills!G26*IF(Skills!H26&gt;0,Skills!I26/Skills!H26,1)</f>
        <v/>
      </c>
      <c r="H1725">
        <f>1-(1-Skills!J26/100)^Skills!K26</f>
        <v/>
      </c>
      <c r="I1725" t="inlineStr">
        <is>
          <t>1</t>
        </is>
      </c>
      <c r="J1725" t="inlineStr"/>
      <c r="K1725" t="inlineStr"/>
      <c r="L1725" t="inlineStr"/>
      <c r="M1725" t="inlineStr"/>
      <c r="N1725" t="inlineStr"/>
      <c r="O1725">
        <f>(1-Summary!$B$11)*T1725+Summary!$B$11*V1725</f>
        <v/>
      </c>
      <c r="P1725">
        <f>IF(B1740=0,0,O1725/B1740)</f>
        <v/>
      </c>
      <c r="Q1725" t="n">
        <v>0</v>
      </c>
      <c r="R1725" t="n">
        <v>0</v>
      </c>
      <c r="S1725">
        <f>IFERROR(O1725/N1725,0)</f>
        <v/>
      </c>
      <c r="T1725" t="n">
        <v>0</v>
      </c>
      <c r="V1725" t="n">
        <v>0</v>
      </c>
    </row>
    <row r="1726">
      <c r="A1726">
        <f>Skills!A27</f>
        <v/>
      </c>
      <c r="B1726">
        <f>Skills!B27</f>
        <v/>
      </c>
      <c r="C1726">
        <f>Inputs!$B$3&gt;=117</f>
        <v/>
      </c>
      <c r="D1726">
        <f>IF(Skills!C27=1,60+Inputs!$B$25+Inputs!$B$29,IF(Skills!C27=2,90+Inputs!$B$26+Inputs!$B$29,IF(Skills!C27=3,120+Inputs!$B$27+Inputs!$B$29,MAX(0,(Inputs!$B$3-100)*3)+Inputs!$B$28+Inputs!$B$29)))</f>
        <v/>
      </c>
      <c r="E1726">
        <f>INDEX(FactorTable!$B$2:$Y$301, MATCH(ROUND(MIN(300,MAX(1,D1726)),0), FactorTable!$A$2:$A$301,0), Skills!M27+1)</f>
        <v/>
      </c>
      <c r="F1726">
        <f>IF(Skills!N27=TRUE,(Skills!L27/10)*(E1726/1000),Skills!L27/10)+Skills!O27</f>
        <v/>
      </c>
      <c r="G1726">
        <f>Skills!G27*IF(Skills!H27&gt;0,Skills!I27/Skills!H27,1)</f>
        <v/>
      </c>
      <c r="H1726">
        <f>1-(1-Skills!J27/100)^Skills!K27</f>
        <v/>
      </c>
      <c r="I1726" t="inlineStr">
        <is>
          <t>1</t>
        </is>
      </c>
      <c r="J1726" t="inlineStr"/>
      <c r="K1726" t="inlineStr"/>
      <c r="L1726" t="inlineStr"/>
      <c r="M1726" t="inlineStr"/>
      <c r="N1726" t="inlineStr"/>
      <c r="O1726">
        <f>(1-Summary!$B$11)*T1726+Summary!$B$11*V1726</f>
        <v/>
      </c>
      <c r="P1726">
        <f>IF(B1740=0,0,O1726/B1740)</f>
        <v/>
      </c>
      <c r="Q1726" t="n">
        <v>0</v>
      </c>
      <c r="R1726" t="n">
        <v>0</v>
      </c>
      <c r="S1726">
        <f>IFERROR(O1726/N1726,0)</f>
        <v/>
      </c>
      <c r="T1726" t="n">
        <v>0</v>
      </c>
      <c r="V1726" t="n">
        <v>0</v>
      </c>
    </row>
    <row r="1727">
      <c r="A1727">
        <f>Skills!A28</f>
        <v/>
      </c>
      <c r="B1727">
        <f>Skills!B28</f>
        <v/>
      </c>
      <c r="C1727">
        <f>TRUE</f>
        <v/>
      </c>
      <c r="D1727">
        <f>IF(Skills!C28=1,60+Inputs!$B$25+Inputs!$B$29,IF(Skills!C28=2,90+Inputs!$B$26+Inputs!$B$29,IF(Skills!C28=3,120+Inputs!$B$27+Inputs!$B$29,MAX(0,(Inputs!$B$3-100)*3)+Inputs!$B$28+Inputs!$B$29)))</f>
        <v/>
      </c>
      <c r="E1727">
        <f>INDEX(FactorTable!$B$2:$Y$301, MATCH(ROUND(MIN(300,MAX(1,D1727)),0), FactorTable!$A$2:$A$301,0), Skills!M28+1)</f>
        <v/>
      </c>
      <c r="F1727">
        <f>IF(Skills!N28=TRUE,(Skills!L28/10)*(E1727/1000),Skills!L28/10)+Skills!O28</f>
        <v/>
      </c>
      <c r="G1727">
        <f>Skills!G28*IF(Skills!H28&gt;0,Skills!I28/Skills!H28,1)</f>
        <v/>
      </c>
      <c r="H1727">
        <f>1-(1-Skills!J28/100)^Skills!K28</f>
        <v/>
      </c>
      <c r="I1727" t="inlineStr">
        <is>
          <t>1</t>
        </is>
      </c>
      <c r="J1727" t="inlineStr"/>
      <c r="K1727" t="inlineStr"/>
      <c r="L1727" t="inlineStr"/>
      <c r="M1727" t="inlineStr"/>
      <c r="N1727" t="inlineStr"/>
      <c r="O1727">
        <f>(1-Summary!$B$11)*T1727+Summary!$B$11*V1727</f>
        <v/>
      </c>
      <c r="P1727">
        <f>IF(B1740=0,0,O1727/B1740)</f>
        <v/>
      </c>
      <c r="Q1727">
        <f>IFERROR(1/(IF(Inputs!$B$38="pvp",15,MAX(0.1,Skills!D28-IF(Skills!E28=TRUE,Inputs!$B$32,0)))*(1-IF(AND(ArtifactsInput!$M$27,Inputs!$B$4="Chapter Hunt"),CHOOSE(ArtifactsInput!$N$27+1,20,24,28,32,36,40),0)/100)),0)</f>
        <v/>
      </c>
      <c r="R1727">
        <f>IF(AND(Inputs!$B$38&lt;&gt;"pvp",Inputs!$B$43&gt;0),IF(Inputs!$B$43&lt;=0,0,(INT(Inputs!$B$43/(IF(Inputs!$B$38="pvp",15,MAX(0.1,Skills!D28-IF(Skills!E28=TRUE,Inputs!$B$32,0)))*(1-IF(AND(ArtifactsInput!$M$27,Inputs!$B$4="Chapter Hunt"),CHOOSE(ArtifactsInput!$N$27+1,20,24,28,32,36,40),0)/100)))+1)),0)</f>
        <v/>
      </c>
      <c r="S1727">
        <f>IFERROR(O1727/N1727,0)</f>
        <v/>
      </c>
      <c r="T1727" t="n">
        <v>0</v>
      </c>
      <c r="V1727" t="n">
        <v>0</v>
      </c>
    </row>
    <row r="1729">
      <c r="A1729" t="inlineStr">
        <is>
          <t>Attack% Bucket Multiplier</t>
        </is>
      </c>
      <c r="B1729">
        <f>(1+(((C1716=TRUE)*F1716*5/7)+((C1723=TRUE)*(F1723-Calc!F24))+(IF(ArtifactsInput!$M$21,CHOOSE(ArtifactsInput!$N$21+1,25,30,35,40,45,50)*(IF(OR(Inputs!$B$4="Chapter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30">
      <c r="A1730" t="inlineStr">
        <is>
          <t>Global Crit Rate Bonus %</t>
        </is>
      </c>
      <c r="B1730" t="n">
        <v>0</v>
      </c>
    </row>
    <row r="1731">
      <c r="A1731" t="inlineStr">
        <is>
          <t>Attack Speed Buff Bonus % (Nimble Feet, duty-cycle averaged)</t>
        </is>
      </c>
      <c r="B1731">
        <f>((C1727=TRUE)*F1727*IF(AND(Inputs!$B$38&lt;&gt;"pvp",Inputs!$B$43&gt;0),(((R1727-1)*(Skills!T28*(1+Inputs!$B$34/100))+MIN((Skills!T28*(1+Inputs!$B$34/100)),MAX(0,Inputs!$B$43-((R1727-1)*Skills!D28))))/Inputs!$B$43),IF(Inputs!$B$38="pvp",MIN((Skills!T28*(1+Inputs!$B$34/100)),15)/15,(Skills!T28*(1+Inputs!$B$34/100))/Skills!D28)))</f>
        <v/>
      </c>
    </row>
    <row r="1732">
      <c r="A1732" t="inlineStr">
        <is>
          <t>Actions Per Second</t>
        </is>
      </c>
      <c r="B1732">
        <f>1+MIN(150,150*(1-(1-(Inputs!$B$11+((C1719=TRUE)*(F1719-Calc!F20))+((C1720=TRUE)*(F1720-Calc!F21)))/150)*(1-B1731/150)))/100</f>
        <v/>
      </c>
    </row>
    <row r="1733">
      <c r="A1733" t="inlineStr">
        <is>
          <t>Skill + Buff Cast Rate</t>
        </is>
      </c>
      <c r="B1733">
        <f>IF(AND(Inputs!$B$38&lt;&gt;"pvp",Inputs!$B$43&gt;0),SUMPRODUCT((Skills!E2:E28=TRUE)*(C1701:C1727=TRUE)*R1701:R1727*Skills!F2:F28)/Inputs!$B$43,SUMPRODUCT((Skills!E2:E28=TRUE)*(C1701:C1727=TRUE)*Q1701:Q1727*Skills!F2:F28))</f>
        <v/>
      </c>
    </row>
    <row r="1734">
      <c r="A1734" t="inlineStr">
        <is>
          <t>Eight-Legs Easton Casts Per Second</t>
        </is>
      </c>
      <c r="B1734">
        <f>MAX(0,B1732-B1733)</f>
        <v/>
      </c>
    </row>
    <row r="1735">
      <c r="A1735" t="inlineStr">
        <is>
          <t>Global Critical Damage Bonus % (unused)</t>
        </is>
      </c>
      <c r="B1735" t="n">
        <v>0</v>
      </c>
    </row>
    <row r="1736">
      <c r="A1736" t="inlineStr">
        <is>
          <t>Global Final Damage Bonus % (Jolly Roger + Ahoy Mateys - Final Damage proc)</t>
        </is>
      </c>
      <c r="B1736">
        <f>((C1717=TRUE)*F1717*IF(AND(Inputs!$B$38&lt;&gt;"pvp",Inputs!$B$43&gt;0),(((R1717-1)*(Skills!T18*(1+Inputs!$B$34/100))+MIN((Skills!T18*(1+Inputs!$B$34/100)),MAX(0,Inputs!$B$43-((R1717-1)*Skills!D18))))/Inputs!$B$43),IF(Inputs!$B$38="pvp",MIN((Skills!T18*(1+Inputs!$B$34/100)),15)/15,(Skills!T18*(1+Inputs!$B$34/100))/Skills!D18)))+IF(Inputs!$B$3&gt;=122,20*IF(Inputs!$B$38="pvp",MIN((20*(1+Inputs!$B$34/100)),15)/15,(20*(1+Inputs!$B$34/100))/Skills!D4),0)</f>
        <v/>
      </c>
    </row>
    <row r="1737">
      <c r="A1737" t="inlineStr">
        <is>
          <t>Buff-Casting Startup Delay (s, fixed-duration only)</t>
        </is>
      </c>
      <c r="B1737">
        <f>IF(AND(Inputs!$B$38&lt;&gt;"pvp",Inputs!$B$43&gt;0),SUMPRODUCT((Skills!T2:T28&gt;0)*(Skills!E2:E28=TRUE)*(C1701:C1727=TRUE))/B1732,0)</f>
        <v/>
      </c>
    </row>
    <row r="1738">
      <c r="A1738" t="inlineStr">
        <is>
          <t>Boss-Only Total DPS (this block's swept value)</t>
        </is>
      </c>
      <c r="B1738">
        <f>SUM(T1701:T1727)</f>
        <v/>
      </c>
    </row>
    <row r="1739">
      <c r="A1739" t="inlineStr">
        <is>
          <t>Normal-Only Total DPS (this block's swept value)</t>
        </is>
      </c>
      <c r="B1739">
        <f>SUM(V1701:V1727)</f>
        <v/>
      </c>
    </row>
    <row r="1740">
      <c r="A1740" s="6" t="inlineStr">
        <is>
          <t>TOTAL DPS</t>
        </is>
      </c>
      <c r="B1740" s="6">
        <f>SUM(O1701:O1727)</f>
        <v/>
      </c>
    </row>
    <row r="1743">
      <c r="A1743" s="6" t="inlineStr">
        <is>
          <t>Stat: Pink Bean's Giant Rib (Equip)</t>
        </is>
      </c>
    </row>
    <row r="1744">
      <c r="A1744" s="5" t="inlineStr">
        <is>
          <t>Key</t>
        </is>
      </c>
      <c r="B1744" s="5" t="inlineStr">
        <is>
          <t>Name</t>
        </is>
      </c>
      <c r="C1744" s="5" t="inlineStr">
        <is>
          <t>Unlocked</t>
        </is>
      </c>
      <c r="D1744" s="5" t="inlineStr">
        <is>
          <t>InputLevel</t>
        </is>
      </c>
      <c r="E1744" s="5" t="inlineStr">
        <is>
          <t>Factor</t>
        </is>
      </c>
      <c r="F1744" s="5" t="inlineStr">
        <is>
          <t>CoefficientPercent</t>
        </is>
      </c>
      <c r="G1744" s="5" t="inlineStr">
        <is>
          <t>EffectiveHits</t>
        </is>
      </c>
      <c r="H1744" s="5" t="inlineStr">
        <is>
          <t>ProcProbability</t>
        </is>
      </c>
      <c r="I1744" s="5" t="inlineStr">
        <is>
          <t>MapleHeroMultiplier</t>
        </is>
      </c>
      <c r="J1744" s="5" t="inlineStr">
        <is>
          <t>BaseDamage</t>
        </is>
      </c>
      <c r="K1744" s="5" t="inlineStr">
        <is>
          <t>BaseHitDamage</t>
        </is>
      </c>
      <c r="L1744" s="5" t="inlineStr">
        <is>
          <t>NonCritAvg</t>
        </is>
      </c>
      <c r="M1744" s="5" t="inlineStr">
        <is>
          <t>CritAvg</t>
        </is>
      </c>
      <c r="N1744" s="5" t="inlineStr">
        <is>
          <t>ExpectedDamage(perHit)</t>
        </is>
      </c>
      <c r="O1744" s="5" t="inlineStr">
        <is>
          <t>DPS</t>
        </is>
      </c>
      <c r="P1744" s="5" t="inlineStr">
        <is>
          <t>% of Total</t>
        </is>
      </c>
      <c r="Q1744" s="5" t="inlineStr">
        <is>
          <t>InvCooldown</t>
        </is>
      </c>
      <c r="R1744" s="5" t="inlineStr">
        <is>
          <t>CastsInFight</t>
        </is>
      </c>
      <c r="S1744" s="5" t="inlineStr">
        <is>
          <t>HitRate(perSec)</t>
        </is>
      </c>
      <c r="U1744" t="inlineStr">
        <is>
          <t>helpers</t>
        </is>
      </c>
    </row>
    <row r="1745">
      <c r="A1745">
        <f>Skills!A2</f>
        <v/>
      </c>
      <c r="B1745">
        <f>Skills!B2</f>
        <v/>
      </c>
      <c r="C1745">
        <f>Inputs!$B$3&gt;=100</f>
        <v/>
      </c>
      <c r="D1745" t="inlineStr"/>
      <c r="E1745" t="inlineStr"/>
      <c r="F1745">
        <f>U1747+Skills!O2</f>
        <v/>
      </c>
      <c r="G1745">
        <f>Skills!G2*IF(Skills!H2&gt;0,Skills!I2/Skills!H2,1)</f>
        <v/>
      </c>
      <c r="H1745">
        <f>1-(1-Skills!J2/100)^Skills!K2</f>
        <v/>
      </c>
      <c r="I1745" t="inlineStr">
        <is>
          <t>1</t>
        </is>
      </c>
      <c r="J1745">
        <f>((Inputs!$B$6*(1+Inputs!$B$7/100))+(((Inputs!$B$12*(1+Inputs!$B$13/100))-(Inputs!$B$12*(1+Inputs!$B$13/100)))+0.25*(Inputs!$B$14-Inputs!$B$14))*(1+Inputs!$B$7/100))*(F1745/100)</f>
        <v/>
      </c>
      <c r="K1745">
        <f>J1745*(1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1745)</f>
        <v/>
      </c>
      <c r="L1745">
        <f>K1745*(MIN(Inputs!$B$22+((C1765=TRUE)*(F1765-Calc!F22)),(Inputs!$B$23+0+(IF(ArtifactsInput!$M$15,CHOOSE(ArtifactsInput!$N$15+1,25,30,35,40,45,50)/100*(Inputs!$B$11-Inputs!$B$11),0))))/100+(Inputs!$B$23+0+(IF(ArtifactsInput!$M$15,CHOOSE(ArtifactsInput!$N$15+1,25,30,35,40,45,50)/100*(Inputs!$B$11-Inputs!$B$11),0)))/100)/2</f>
        <v/>
      </c>
      <c r="M1745">
        <f>L1745*(1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5">
        <f>L1745*(1-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1745*(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5">
        <f>(1-Summary!$B$11)*T1745+Summary!$B$11*V1745</f>
        <v/>
      </c>
      <c r="P1745">
        <f>IF(B1784=0,0,O1745/B1784)</f>
        <v/>
      </c>
      <c r="Q1745" t="n">
        <v>0</v>
      </c>
      <c r="R1745" t="n">
        <v>0</v>
      </c>
      <c r="S1745">
        <f>IFERROR(O1745/N1745,0)</f>
        <v/>
      </c>
      <c r="T1745">
        <f>IF(C1745,(Skills!G2*N1745*B1778)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1745*(1-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1745*(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1745*(1-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1745*(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45">
        <f>MAX(0,(Inputs!$B$3-100)*3)+Inputs!$B$28+Inputs!$B$29</f>
        <v/>
      </c>
      <c r="V1745">
        <f>IF(C1745,(Skills!G2*N1745*B1778)*IF(Inputs!$B$38="pvp",1,(1+(Inputs!$B$21+Skills!Q2+(IF(ArtifactsInput!$M$33,CHOOSE(ArtifactsInput!$N$33+1,30,36,42,48,54,60),0))+(IF(AND(ArtifactsInput!$M$35,Inputs!$B$4&lt;&gt;"Chapter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6">
      <c r="A1746">
        <f>Skills!A3</f>
        <v/>
      </c>
      <c r="B1746">
        <f>Skills!B3</f>
        <v/>
      </c>
      <c r="C1746">
        <f>Inputs!$B$3&gt;=35</f>
        <v/>
      </c>
      <c r="D1746">
        <f>IF(Skills!C3=1,60+Inputs!$B$25+Inputs!$B$29,IF(Skills!C3=2,90+Inputs!$B$26+Inputs!$B$29,IF(Skills!C3=3,120+Inputs!$B$27+Inputs!$B$29,MAX(0,(Inputs!$B$3-100)*3)+Inputs!$B$28+Inputs!$B$29)))</f>
        <v/>
      </c>
      <c r="E1746">
        <f>INDEX(FactorTable!$B$2:$Y$301, MATCH(ROUND(MIN(300,MAX(1,D1746)),0), FactorTable!$A$2:$A$301,0), Skills!M3+1)</f>
        <v/>
      </c>
      <c r="F1746">
        <f>IF(Skills!N3=TRUE,(Skills!L3/10)*(E1746/1000),Skills!L3/10)+Skills!O3</f>
        <v/>
      </c>
      <c r="G1746">
        <f>Skills!G3*IF(Skills!H3&gt;0,Skills!I3/Skills!H3,1)</f>
        <v/>
      </c>
      <c r="H1746">
        <f>1-(1-Skills!J3/100)^Skills!K3</f>
        <v/>
      </c>
      <c r="I1746" t="inlineStr">
        <is>
          <t>1</t>
        </is>
      </c>
      <c r="J1746">
        <f>((Inputs!$B$6*(1+Inputs!$B$7/100))+(((Inputs!$B$12*(1+Inputs!$B$13/100))-(Inputs!$B$12*(1+Inputs!$B$13/100)))+0.25*(Inputs!$B$14-Inputs!$B$14))*(1+Inputs!$B$7/100))*(F1746/100)</f>
        <v/>
      </c>
      <c r="K1746">
        <f>J1746*(1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1758=TRUE,F1758,0)/100)*(1+(IF(Skills!A3="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1746)</f>
        <v/>
      </c>
      <c r="L1746">
        <f>K1746*(MIN(Inputs!$B$22+((C1765=TRUE)*(F1765-Calc!F22)),(Inputs!$B$23+0+(IF(ArtifactsInput!$M$15,CHOOSE(ArtifactsInput!$N$15+1,25,30,35,40,45,50)/100*(Inputs!$B$11-Inputs!$B$11),0))))/100+(Inputs!$B$23+0+(IF(ArtifactsInput!$M$15,CHOOSE(ArtifactsInput!$N$15+1,25,30,35,40,45,50)/100*(Inputs!$B$11-Inputs!$B$11),0)))/100)/2</f>
        <v/>
      </c>
      <c r="M1746">
        <f>L1746*(1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6">
        <f>L1746*(1-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1746*(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6">
        <f>(1-Summary!$B$11)*T1746+Summary!$B$11*V1746</f>
        <v/>
      </c>
      <c r="P1746">
        <f>IF(B1784=0,0,O1746/B1784)</f>
        <v/>
      </c>
      <c r="Q1746">
        <f>IFERROR(1/(IF(Inputs!$B$38="pvp",15,MAX(0.1,Skills!D3-IF(Skills!E3=TRUE,Inputs!$B$32,0)))*(1-IF(AND(ArtifactsInput!$M$27,Inputs!$B$4="Chapter Hunt"),CHOOSE(ArtifactsInput!$N$27+1,20,24,28,32,36,40),0)/100)),0)</f>
        <v/>
      </c>
      <c r="R1746">
        <f>IF(AND(Inputs!$B$38&lt;&gt;"pvp",Inputs!$B$43&gt;0),IF(MAX(0,Inputs!$B$43-B1781)&lt;=0,0,(INT(MAX(0,Inputs!$B$43-B1781)/(IF(Inputs!$B$38="pvp",15,MAX(0.1,Skills!D3-IF(Skills!E3=TRUE,Inputs!$B$32,0)))*(1-IF(AND(ArtifactsInput!$M$27,Inputs!$B$4="Chapter Hunt"),CHOOSE(ArtifactsInput!$N$27+1,20,24,28,32,36,40),0)/100)))+1)),0)</f>
        <v/>
      </c>
      <c r="S1746">
        <f>IFERROR(O1746/N1746,0)</f>
        <v/>
      </c>
      <c r="T1746">
        <f>IF(C1746,(H1746*N1746*IF(AND(Inputs!$B$38&lt;&gt;"pvp",Inputs!$B$43&gt;0),((Skills!G3*((R1746-1)*IF(Skills!H3&gt;0,Skills!I3/Skills!H3,1)+IF(Skills!H3&gt;0,MIN(Skills!I3,MAX(0,MAX(0,Inputs!$B$43-B1781)-((R1746-1)*(IF(Inputs!$B$38="pvp",15,MAX(0.1,Skills!D3-IF(Skills!E3=TRUE,Inputs!$B$32,0)))*(1-IF(AND(ArtifactsInput!$M$27,Inputs!$B$4="Chapter Hunt"),CHOOSE(ArtifactsInput!$N$27+1,20,24,28,32,36,40),0)/100)))))/Skills!H3,1)))/Inputs!$B$43),G1746*Q1746)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1746*(1-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1746*(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1746*(1-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1746*(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46">
        <f>INDEX(FactorTable!$B$2:$Y$301, MATCH(ROUND(MIN(300,MAX(1,U1745)),0), FactorTable!$A$2:$A$301,0), 22)</f>
        <v/>
      </c>
      <c r="V1746">
        <f>IF(C1746,(H1746*N1746*IF(AND(Inputs!$B$38&lt;&gt;"pvp",Inputs!$B$43&gt;0),((Skills!G3*((R1746-1)*IF(Skills!H3&gt;0,Skills!I3/Skills!H3,1)+IF(Skills!H3&gt;0,MIN(Skills!I3,MAX(0,MAX(0,Inputs!$B$43-B1781)-((R1746-1)*(IF(Inputs!$B$38="pvp",15,MAX(0.1,Skills!D3-IF(Skills!E3=TRUE,Inputs!$B$32,0)))*(1-IF(AND(ArtifactsInput!$M$27,Inputs!$B$4="Chapter Hunt"),CHOOSE(ArtifactsInput!$N$27+1,20,24,28,32,36,40),0)/100)))))/Skills!H3,1)))/Inputs!$B$43),G1746*Q1746))*IF(Inputs!$B$38="pvp",1,(1+(Inputs!$B$21+Skills!Q3+(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7">
      <c r="A1747">
        <f>Skills!A4</f>
        <v/>
      </c>
      <c r="B1747">
        <f>Skills!B4</f>
        <v/>
      </c>
      <c r="C1747">
        <f>Inputs!$B$3&gt;=40</f>
        <v/>
      </c>
      <c r="D1747">
        <f>IF(Skills!C4=1,60+Inputs!$B$25+Inputs!$B$29,IF(Skills!C4=2,90+Inputs!$B$26+Inputs!$B$29,IF(Skills!C4=3,120+Inputs!$B$27+Inputs!$B$29,MAX(0,(Inputs!$B$3-100)*3)+Inputs!$B$28+Inputs!$B$29)))</f>
        <v/>
      </c>
      <c r="E1747">
        <f>INDEX(FactorTable!$B$2:$Y$301, MATCH(ROUND(MIN(300,MAX(1,D1747)),0), FactorTable!$A$2:$A$301,0), Skills!M4+1)</f>
        <v/>
      </c>
      <c r="F1747">
        <f>IF(Skills!N4=TRUE,(Skills!L4/10)*(E1747/1000),Skills!L4/10)+Skills!O4</f>
        <v/>
      </c>
      <c r="G1747">
        <f>Skills!G4*IF(Skills!H4&gt;0,Skills!I4/Skills!H4,1)</f>
        <v/>
      </c>
      <c r="H1747">
        <f>1-(1-Skills!J4/100)^Skills!K4</f>
        <v/>
      </c>
      <c r="I1747" t="inlineStr">
        <is>
          <t>1</t>
        </is>
      </c>
      <c r="J1747">
        <f>((Inputs!$B$6*(1+Inputs!$B$7/100))+(((Inputs!$B$12*(1+Inputs!$B$13/100))-(Inputs!$B$12*(1+Inputs!$B$13/100)))+0.25*(Inputs!$B$14-Inputs!$B$14))*(1+Inputs!$B$7/100))*(F1747/100)</f>
        <v/>
      </c>
      <c r="K1747">
        <f>J1747*(1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1759=TRUE,F1759,0)/100)*(1+(IF(Skills!A4="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1747)</f>
        <v/>
      </c>
      <c r="L1747">
        <f>K1747*(MIN(Inputs!$B$22+((C1765=TRUE)*(F1765-Calc!F22)),(Inputs!$B$23+0+(IF(ArtifactsInput!$M$15,CHOOSE(ArtifactsInput!$N$15+1,25,30,35,40,45,50)/100*(Inputs!$B$11-Inputs!$B$11),0))))/100+(Inputs!$B$23+0+(IF(ArtifactsInput!$M$15,CHOOSE(ArtifactsInput!$N$15+1,25,30,35,40,45,50)/100*(Inputs!$B$11-Inputs!$B$11),0)))/100)/2</f>
        <v/>
      </c>
      <c r="M1747">
        <f>L1747*(1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7">
        <f>L1747*(1-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1747*(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7">
        <f>(1-Summary!$B$11)*T1747+Summary!$B$11*V1747</f>
        <v/>
      </c>
      <c r="P1747">
        <f>IF(B1784=0,0,O1747/B1784)</f>
        <v/>
      </c>
      <c r="Q1747">
        <f>IFERROR(1/(IF(Inputs!$B$38="pvp",15,MAX(0.1,Skills!D4-IF(Skills!E4=TRUE,Inputs!$B$32,0)))*(1-IF(AND(ArtifactsInput!$M$27,Inputs!$B$4="Chapter Hunt"),CHOOSE(ArtifactsInput!$N$27+1,20,24,28,32,36,40),0)/100)),0)</f>
        <v/>
      </c>
      <c r="R1747">
        <f>IF(AND(Inputs!$B$38&lt;&gt;"pvp",Inputs!$B$43&gt;0),IF(MAX(0,Inputs!$B$43-B1781)&lt;=0,0,(INT(MAX(0,Inputs!$B$43-B1781)/(IF(Inputs!$B$38="pvp",15,MAX(0.1,Skills!D4-IF(Skills!E4=TRUE,Inputs!$B$32,0)))*(1-IF(AND(ArtifactsInput!$M$27,Inputs!$B$4="Chapter Hunt"),CHOOSE(ArtifactsInput!$N$27+1,20,24,28,32,36,40),0)/100)))+1)),0)</f>
        <v/>
      </c>
      <c r="S1747">
        <f>IFERROR(O1747/N1747,0)</f>
        <v/>
      </c>
      <c r="T1747">
        <f>IF(C1747,(H1747*N1747*IF(AND(Inputs!$B$38&lt;&gt;"pvp",Inputs!$B$43&gt;0),((Skills!G4*((R1747-1)*IF(Skills!H4&gt;0,Skills!I4/Skills!H4,1)+IF(Skills!H4&gt;0,MIN(Skills!I4,MAX(0,MAX(0,Inputs!$B$43-B1781)-((R1747-1)*(IF(Inputs!$B$38="pvp",15,MAX(0.1,Skills!D4-IF(Skills!E4=TRUE,Inputs!$B$32,0)))*(1-IF(AND(ArtifactsInput!$M$27,Inputs!$B$4="Chapter Hunt"),CHOOSE(ArtifactsInput!$N$27+1,20,24,28,32,36,40),0)/100)))))/Skills!H4,1)))/Inputs!$B$43),G1747*Q1747)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1747*(1-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1747*(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1747*(1-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1747*(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47">
        <f>290*U1746/1000</f>
        <v/>
      </c>
      <c r="V1747">
        <f>IF(C1747,(H1747*N1747*IF(AND(Inputs!$B$38&lt;&gt;"pvp",Inputs!$B$43&gt;0),((Skills!G4*((R1747-1)*IF(Skills!H4&gt;0,Skills!I4/Skills!H4,1)+IF(Skills!H4&gt;0,MIN(Skills!I4,MAX(0,MAX(0,Inputs!$B$43-B1781)-((R1747-1)*(IF(Inputs!$B$38="pvp",15,MAX(0.1,Skills!D4-IF(Skills!E4=TRUE,Inputs!$B$32,0)))*(1-IF(AND(ArtifactsInput!$M$27,Inputs!$B$4="Chapter Hunt"),CHOOSE(ArtifactsInput!$N$27+1,20,24,28,32,36,40),0)/100)))))/Skills!H4,1)))/Inputs!$B$43),G1747*Q1747))*IF(Inputs!$B$38="pvp",1,(1+(Inputs!$B$21+Skills!Q4+(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8">
      <c r="A1748">
        <f>Skills!A5</f>
        <v/>
      </c>
      <c r="B1748">
        <f>Skills!B5</f>
        <v/>
      </c>
      <c r="C1748">
        <f>Inputs!$B$3&gt;=45</f>
        <v/>
      </c>
      <c r="D1748">
        <f>IF(Skills!C5=1,60+Inputs!$B$25+Inputs!$B$29,IF(Skills!C5=2,90+Inputs!$B$26+Inputs!$B$29,IF(Skills!C5=3,120+Inputs!$B$27+Inputs!$B$29,MAX(0,(Inputs!$B$3-100)*3)+Inputs!$B$28+Inputs!$B$29)))</f>
        <v/>
      </c>
      <c r="E1748">
        <f>INDEX(FactorTable!$B$2:$Y$301, MATCH(ROUND(MIN(300,MAX(1,D1748)),0), FactorTable!$A$2:$A$301,0), Skills!M5+1)</f>
        <v/>
      </c>
      <c r="F1748">
        <f>IF(Skills!N5=TRUE,(Skills!L5/10)*(E1748/1000),Skills!L5/10)+Skills!O5</f>
        <v/>
      </c>
      <c r="G1748">
        <f>Skills!G5*IF(Skills!H5&gt;0,Skills!I5/Skills!H5,1)</f>
        <v/>
      </c>
      <c r="H1748">
        <f>1-(1-Skills!J5/100)^Skills!K5</f>
        <v/>
      </c>
      <c r="I1748" t="inlineStr">
        <is>
          <t>1</t>
        </is>
      </c>
      <c r="J1748">
        <f>((Inputs!$B$6*(1+Inputs!$B$7/100))+(((Inputs!$B$12*(1+Inputs!$B$13/100))-(Inputs!$B$12*(1+Inputs!$B$13/100)))+0.25*(Inputs!$B$14-Inputs!$B$14))*(1+Inputs!$B$7/100))*(F1748/100)</f>
        <v/>
      </c>
      <c r="K1748">
        <f>J1748*(1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1759=TRUE,F1759,0)/100)*(1+(IF(Skills!A5="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1748)</f>
        <v/>
      </c>
      <c r="L1748">
        <f>K1748*(MIN(Inputs!$B$22+((C1765=TRUE)*(F1765-Calc!F22)),(Inputs!$B$23+0+(IF(ArtifactsInput!$M$15,CHOOSE(ArtifactsInput!$N$15+1,25,30,35,40,45,50)/100*(Inputs!$B$11-Inputs!$B$11),0))))/100+(Inputs!$B$23+0+(IF(ArtifactsInput!$M$15,CHOOSE(ArtifactsInput!$N$15+1,25,30,35,40,45,50)/100*(Inputs!$B$11-Inputs!$B$11),0)))/100)/2</f>
        <v/>
      </c>
      <c r="M1748">
        <f>L1748*(1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8">
        <f>L1748*(1-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1748*(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8">
        <f>(1-Summary!$B$11)*T1748+Summary!$B$11*V1748</f>
        <v/>
      </c>
      <c r="P1748">
        <f>IF(B1784=0,0,O1748/B1784)</f>
        <v/>
      </c>
      <c r="Q1748">
        <f>IFERROR(1/(IF(Inputs!$B$38="pvp",15,MAX(0.1,Skills!D5-IF(Skills!E5=TRUE,Inputs!$B$32,0)))*(1-IF(AND(ArtifactsInput!$M$27,Inputs!$B$4="Chapter Hunt"),CHOOSE(ArtifactsInput!$N$27+1,20,24,28,32,36,40),0)/100)),0)</f>
        <v/>
      </c>
      <c r="R1748">
        <f>IF(AND(Inputs!$B$38&lt;&gt;"pvp",Inputs!$B$43&gt;0),IF(MAX(0,Inputs!$B$43-B1781)&lt;=0,0,(INT(MAX(0,Inputs!$B$43-B1781)/(IF(Inputs!$B$38="pvp",15,MAX(0.1,Skills!D5-IF(Skills!E5=TRUE,Inputs!$B$32,0)))*(1-IF(AND(ArtifactsInput!$M$27,Inputs!$B$4="Chapter Hunt"),CHOOSE(ArtifactsInput!$N$27+1,20,24,28,32,36,40),0)/100)))+1)),0)</f>
        <v/>
      </c>
      <c r="S1748">
        <f>IFERROR(O1748/N1748,0)</f>
        <v/>
      </c>
      <c r="T1748">
        <f>IF(C1748,(H1748*N1748*IF(AND(Inputs!$B$38&lt;&gt;"pvp",Inputs!$B$43&gt;0),((Skills!G5*((R1748-1)*IF(Skills!H5&gt;0,Skills!I5/Skills!H5,1)+IF(Skills!H5&gt;0,MIN(Skills!I5,MAX(0,MAX(0,Inputs!$B$43-B1781)-((R1748-1)*(IF(Inputs!$B$38="pvp",15,MAX(0.1,Skills!D5-IF(Skills!E5=TRUE,Inputs!$B$32,0)))*(1-IF(AND(ArtifactsInput!$M$27,Inputs!$B$4="Chapter Hunt"),CHOOSE(ArtifactsInput!$N$27+1,20,24,28,32,36,40),0)/100)))))/Skills!H5,1)))/Inputs!$B$43),G1748*Q1748)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1748*(1-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1748*(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1748*(1-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1748*(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8">
        <f>IF(C1748,(H1748*N1748*IF(AND(Inputs!$B$38&lt;&gt;"pvp",Inputs!$B$43&gt;0),((Skills!G5*((R1748-1)*IF(Skills!H5&gt;0,Skills!I5/Skills!H5,1)+IF(Skills!H5&gt;0,MIN(Skills!I5,MAX(0,MAX(0,Inputs!$B$43-B1781)-((R1748-1)*(IF(Inputs!$B$38="pvp",15,MAX(0.1,Skills!D5-IF(Skills!E5=TRUE,Inputs!$B$32,0)))*(1-IF(AND(ArtifactsInput!$M$27,Inputs!$B$4="Chapter Hunt"),CHOOSE(ArtifactsInput!$N$27+1,20,24,28,32,36,40),0)/100)))))/Skills!H5,1)))/Inputs!$B$43),G1748*Q1748))*IF(Inputs!$B$38="pvp",1,(1+(Inputs!$B$21+Skills!Q5+(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9">
      <c r="A1749">
        <f>Skills!A6</f>
        <v/>
      </c>
      <c r="B1749">
        <f>Skills!B6</f>
        <v/>
      </c>
      <c r="C1749">
        <f>Inputs!$B$3&gt;=63</f>
        <v/>
      </c>
      <c r="D1749">
        <f>IF(Skills!C6=1,60+Inputs!$B$25+Inputs!$B$29,IF(Skills!C6=2,90+Inputs!$B$26+Inputs!$B$29,IF(Skills!C6=3,120+Inputs!$B$27+Inputs!$B$29,MAX(0,(Inputs!$B$3-100)*3)+Inputs!$B$28+Inputs!$B$29)))</f>
        <v/>
      </c>
      <c r="E1749">
        <f>INDEX(FactorTable!$B$2:$Y$301, MATCH(ROUND(MIN(300,MAX(1,D1749)),0), FactorTable!$A$2:$A$301,0), Skills!M6+1)</f>
        <v/>
      </c>
      <c r="F1749">
        <f>IF(Skills!N6=TRUE,(Skills!L6/10)*(E1749/1000),Skills!L6/10)+Skills!O6</f>
        <v/>
      </c>
      <c r="G1749">
        <f>Skills!G6*IF(Skills!H6&gt;0,Skills!I6/Skills!H6,1)</f>
        <v/>
      </c>
      <c r="H1749">
        <f>1-(1-Skills!J6/100)^Skills!K6</f>
        <v/>
      </c>
      <c r="I1749" t="inlineStr">
        <is>
          <t>1</t>
        </is>
      </c>
      <c r="J1749">
        <f>((Inputs!$B$6*(1+Inputs!$B$7/100))+(((Inputs!$B$12*(1+Inputs!$B$13/100))-(Inputs!$B$12*(1+Inputs!$B$13/100)))+0.25*(Inputs!$B$14-Inputs!$B$14))*(1+Inputs!$B$7/100))*(F1749/100)</f>
        <v/>
      </c>
      <c r="K1749">
        <f>J1749*(1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1758=TRUE,F1758,0)/100)*(1+(IF(Skills!A6="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1749)</f>
        <v/>
      </c>
      <c r="L1749">
        <f>K1749*(MIN(Inputs!$B$22+((C1765=TRUE)*(F1765-Calc!F22)),(Inputs!$B$23+0+(IF(ArtifactsInput!$M$15,CHOOSE(ArtifactsInput!$N$15+1,25,30,35,40,45,50)/100*(Inputs!$B$11-Inputs!$B$11),0))))/100+(Inputs!$B$23+0+(IF(ArtifactsInput!$M$15,CHOOSE(ArtifactsInput!$N$15+1,25,30,35,40,45,50)/100*(Inputs!$B$11-Inputs!$B$11),0)))/100)/2</f>
        <v/>
      </c>
      <c r="M1749">
        <f>L1749*(1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9">
        <f>L1749*(1-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1749*(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9">
        <f>(1-Summary!$B$11)*T1749+Summary!$B$11*V1749</f>
        <v/>
      </c>
      <c r="P1749">
        <f>IF(B1784=0,0,O1749/B1784)</f>
        <v/>
      </c>
      <c r="Q1749">
        <f>IFERROR(1/(IF(Inputs!$B$38="pvp",15,MAX(0.1,Skills!D6-IF(Skills!E6=TRUE,Inputs!$B$32,0)))*(1-IF(AND(ArtifactsInput!$M$27,Inputs!$B$4="Chapter Hunt"),CHOOSE(ArtifactsInput!$N$27+1,20,24,28,32,36,40),0)/100)),0)</f>
        <v/>
      </c>
      <c r="R1749">
        <f>IF(AND(Inputs!$B$38&lt;&gt;"pvp",Inputs!$B$43&gt;0),IF(MAX(0,Inputs!$B$43-B1781)&lt;=0,0,(INT(MAX(0,Inputs!$B$43-B1781)/(IF(Inputs!$B$38="pvp",15,MAX(0.1,Skills!D6-IF(Skills!E6=TRUE,Inputs!$B$32,0)))*(1-IF(AND(ArtifactsInput!$M$27,Inputs!$B$4="Chapter Hunt"),CHOOSE(ArtifactsInput!$N$27+1,20,24,28,32,36,40),0)/100)))+1)),0)</f>
        <v/>
      </c>
      <c r="S1749">
        <f>IFERROR(O1749/N1749,0)</f>
        <v/>
      </c>
      <c r="T1749">
        <f>IF(C1749,(H1749*N1749*IF(AND(Inputs!$B$38&lt;&gt;"pvp",Inputs!$B$43&gt;0),((Skills!G6*((R1749-1)*IF(Skills!H6&gt;0,Skills!I6/Skills!H6,1)+IF(Skills!H6&gt;0,MIN(Skills!I6,MAX(0,MAX(0,Inputs!$B$43-B1781)-((R1749-1)*(IF(Inputs!$B$38="pvp",15,MAX(0.1,Skills!D6-IF(Skills!E6=TRUE,Inputs!$B$32,0)))*(1-IF(AND(ArtifactsInput!$M$27,Inputs!$B$4="Chapter Hunt"),CHOOSE(ArtifactsInput!$N$27+1,20,24,28,32,36,40),0)/100)))))/Skills!H6,1)))/Inputs!$B$43),G1749*Q1749)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1749*(1-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1749*(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1749*(1-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1749*(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9">
        <f>IF(C1749,(H1749*N1749*IF(AND(Inputs!$B$38&lt;&gt;"pvp",Inputs!$B$43&gt;0),((Skills!G6*((R1749-1)*IF(Skills!H6&gt;0,Skills!I6/Skills!H6,1)+IF(Skills!H6&gt;0,MIN(Skills!I6,MAX(0,MAX(0,Inputs!$B$43-B1781)-((R1749-1)*(IF(Inputs!$B$38="pvp",15,MAX(0.1,Skills!D6-IF(Skills!E6=TRUE,Inputs!$B$32,0)))*(1-IF(AND(ArtifactsInput!$M$27,Inputs!$B$4="Chapter Hunt"),CHOOSE(ArtifactsInput!$N$27+1,20,24,28,32,36,40),0)/100)))))/Skills!H6,1)))/Inputs!$B$43),G1749*Q1749))*IF(Inputs!$B$38="pvp",1,(1+(Inputs!$B$21+Skills!Q6+(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0">
      <c r="A1750">
        <f>Skills!A7</f>
        <v/>
      </c>
      <c r="B1750">
        <f>Skills!B7</f>
        <v/>
      </c>
      <c r="C1750">
        <f>Inputs!$B$3&gt;=66</f>
        <v/>
      </c>
      <c r="D1750">
        <f>IF(Skills!C7=1,60+Inputs!$B$25+Inputs!$B$29,IF(Skills!C7=2,90+Inputs!$B$26+Inputs!$B$29,IF(Skills!C7=3,120+Inputs!$B$27+Inputs!$B$29,MAX(0,(Inputs!$B$3-100)*3)+Inputs!$B$28+Inputs!$B$29)))</f>
        <v/>
      </c>
      <c r="E1750">
        <f>INDEX(FactorTable!$B$2:$Y$301, MATCH(ROUND(MIN(300,MAX(1,D1750)),0), FactorTable!$A$2:$A$301,0), Skills!M7+1)</f>
        <v/>
      </c>
      <c r="F1750">
        <f>IF(Skills!N7=TRUE,(Skills!L7/10)*(E1750/1000),Skills!L7/10)+Skills!O7</f>
        <v/>
      </c>
      <c r="G1750">
        <f>Skills!G7*IF(Skills!H7&gt;0,Skills!I7/Skills!H7,1)</f>
        <v/>
      </c>
      <c r="H1750">
        <f>1-(1-Skills!J7/100)^Skills!K7</f>
        <v/>
      </c>
      <c r="I1750" t="inlineStr">
        <is>
          <t>1</t>
        </is>
      </c>
      <c r="J1750">
        <f>((Inputs!$B$6*(1+Inputs!$B$7/100))+(((Inputs!$B$12*(1+Inputs!$B$13/100))-(Inputs!$B$12*(1+Inputs!$B$13/100)))+0.25*(Inputs!$B$14-Inputs!$B$14))*(1+Inputs!$B$7/100))*(F1750/100)</f>
        <v/>
      </c>
      <c r="K1750">
        <f>J1750*(1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1758=TRUE,F1758,0)/100)*(1+(IF(Skills!A7="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1750)</f>
        <v/>
      </c>
      <c r="L1750">
        <f>K1750*(MIN(Inputs!$B$22+((C1765=TRUE)*(F1765-Calc!F22)),(Inputs!$B$23+0+(IF(ArtifactsInput!$M$15,CHOOSE(ArtifactsInput!$N$15+1,25,30,35,40,45,50)/100*(Inputs!$B$11-Inputs!$B$11),0))))/100+(Inputs!$B$23+0+(IF(ArtifactsInput!$M$15,CHOOSE(ArtifactsInput!$N$15+1,25,30,35,40,45,50)/100*(Inputs!$B$11-Inputs!$B$11),0)))/100)/2</f>
        <v/>
      </c>
      <c r="M1750">
        <f>L1750*(1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0">
        <f>L1750*(1-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1750*(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0">
        <f>(1-Summary!$B$11)*T1750+Summary!$B$11*V1750</f>
        <v/>
      </c>
      <c r="P1750">
        <f>IF(B1784=0,0,O1750/B1784)</f>
        <v/>
      </c>
      <c r="Q1750">
        <f>IFERROR(1/(IF(Inputs!$B$38="pvp",15,MAX(0.1,Skills!D7-IF(Skills!E7=TRUE,Inputs!$B$32,0)))*(1-IF(AND(ArtifactsInput!$M$27,Inputs!$B$4="Chapter Hunt"),CHOOSE(ArtifactsInput!$N$27+1,20,24,28,32,36,40),0)/100)),0)</f>
        <v/>
      </c>
      <c r="R1750">
        <f>IF(AND(Inputs!$B$38&lt;&gt;"pvp",Inputs!$B$43&gt;0),IF(MAX(0,Inputs!$B$43-B1781)&lt;=0,0,(INT(MAX(0,Inputs!$B$43-B1781)/(IF(Inputs!$B$38="pvp",15,MAX(0.1,Skills!D7-IF(Skills!E7=TRUE,Inputs!$B$32,0)))*(1-IF(AND(ArtifactsInput!$M$27,Inputs!$B$4="Chapter Hunt"),CHOOSE(ArtifactsInput!$N$27+1,20,24,28,32,36,40),0)/100)))+1)),0)</f>
        <v/>
      </c>
      <c r="S1750">
        <f>IFERROR(O1750/N1750,0)</f>
        <v/>
      </c>
      <c r="T1750">
        <f>IF(C1750,(H1750*N1750*IF(AND(Inputs!$B$38&lt;&gt;"pvp",Inputs!$B$43&gt;0),((Skills!G7*((R1750-1)*IF(Skills!H7&gt;0,Skills!I7/Skills!H7,1)+IF(Skills!H7&gt;0,MIN(Skills!I7,MAX(0,MAX(0,Inputs!$B$43-B1781)-((R1750-1)*(IF(Inputs!$B$38="pvp",15,MAX(0.1,Skills!D7-IF(Skills!E7=TRUE,Inputs!$B$32,0)))*(1-IF(AND(ArtifactsInput!$M$27,Inputs!$B$4="Chapter Hunt"),CHOOSE(ArtifactsInput!$N$27+1,20,24,28,32,36,40),0)/100)))))/Skills!H7,1)))/Inputs!$B$43),G1750*Q1750)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1750*(1-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1750*(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1750*(1-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1750*(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0">
        <f>IF(C1750,(H1750*N1750*IF(AND(Inputs!$B$38&lt;&gt;"pvp",Inputs!$B$43&gt;0),((Skills!G7*((R1750-1)*IF(Skills!H7&gt;0,Skills!I7/Skills!H7,1)+IF(Skills!H7&gt;0,MIN(Skills!I7,MAX(0,MAX(0,Inputs!$B$43-B1781)-((R1750-1)*(IF(Inputs!$B$38="pvp",15,MAX(0.1,Skills!D7-IF(Skills!E7=TRUE,Inputs!$B$32,0)))*(1-IF(AND(ArtifactsInput!$M$27,Inputs!$B$4="Chapter Hunt"),CHOOSE(ArtifactsInput!$N$27+1,20,24,28,32,36,40),0)/100)))))/Skills!H7,1)))/Inputs!$B$43),G1750*Q1750))*IF(Inputs!$B$38="pvp",1,(1+(Inputs!$B$21+Skills!Q7+(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1">
      <c r="A1751">
        <f>Skills!A8</f>
        <v/>
      </c>
      <c r="B1751">
        <f>Skills!B8</f>
        <v/>
      </c>
      <c r="C1751">
        <f>Inputs!$B$3&gt;=100</f>
        <v/>
      </c>
      <c r="D1751">
        <f>IF(Skills!C8=1,60+Inputs!$B$25+Inputs!$B$29,IF(Skills!C8=2,90+Inputs!$B$26+Inputs!$B$29,IF(Skills!C8=3,120+Inputs!$B$27+Inputs!$B$29,MAX(0,(Inputs!$B$3-100)*3)+Inputs!$B$28+Inputs!$B$29)))</f>
        <v/>
      </c>
      <c r="E1751">
        <f>INDEX(FactorTable!$B$2:$Y$301, MATCH(ROUND(MIN(300,MAX(1,D1751)),0), FactorTable!$A$2:$A$301,0), Skills!M8+1)</f>
        <v/>
      </c>
      <c r="F1751">
        <f>IF(Skills!N8=TRUE,(Skills!L8/10)*(E1751/1000),Skills!L8/10)+Skills!O8</f>
        <v/>
      </c>
      <c r="G1751">
        <f>Skills!G8*IF(Skills!H8&gt;0,Skills!I8/Skills!H8,1)</f>
        <v/>
      </c>
      <c r="H1751">
        <f>1-(1-Skills!J8/100)^Skills!K8</f>
        <v/>
      </c>
      <c r="I1751" t="inlineStr">
        <is>
          <t>1</t>
        </is>
      </c>
      <c r="J1751">
        <f>((Inputs!$B$6*(1+Inputs!$B$7/100))+(((Inputs!$B$12*(1+Inputs!$B$13/100))-(Inputs!$B$12*(1+Inputs!$B$13/100)))+0.25*(Inputs!$B$14-Inputs!$B$14))*(1+Inputs!$B$7/100))*(F1751/100)</f>
        <v/>
      </c>
      <c r="K1751">
        <f>J1751*(1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1751)</f>
        <v/>
      </c>
      <c r="L1751">
        <f>K1751*(MIN(Inputs!$B$22+((C1765=TRUE)*(F1765-Calc!F22)),(Inputs!$B$23+0+(IF(ArtifactsInput!$M$15,CHOOSE(ArtifactsInput!$N$15+1,25,30,35,40,45,50)/100*(Inputs!$B$11-Inputs!$B$11),0))))/100+(Inputs!$B$23+0+(IF(ArtifactsInput!$M$15,CHOOSE(ArtifactsInput!$N$15+1,25,30,35,40,45,50)/100*(Inputs!$B$11-Inputs!$B$11),0)))/100)/2</f>
        <v/>
      </c>
      <c r="M1751">
        <f>L1751*(1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1">
        <f>L1751*(1-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1">
        <f>(1-Summary!$B$11)*T1751+Summary!$B$11*V1751</f>
        <v/>
      </c>
      <c r="P1751">
        <f>IF(B1784=0,0,O1751/B1784)</f>
        <v/>
      </c>
      <c r="Q1751">
        <f>IFERROR(1/(IF(Inputs!$B$38="pvp",15,MAX(0.1,Skills!D8-IF(Skills!E8=TRUE,Inputs!$B$32,0)))*(1-IF(AND(ArtifactsInput!$M$27,Inputs!$B$4="Chapter Hunt"),CHOOSE(ArtifactsInput!$N$27+1,20,24,28,32,36,40),0)/100)),0)</f>
        <v/>
      </c>
      <c r="R1751">
        <f>IF(AND(Inputs!$B$38&lt;&gt;"pvp",Inputs!$B$43&gt;0),IF(MAX(0,Inputs!$B$43-B1781)&lt;=0,0,(INT(MAX(0,Inputs!$B$43-B1781)/(IF(Inputs!$B$38="pvp",15,MAX(0.1,Skills!D8-IF(Skills!E8=TRUE,Inputs!$B$32,0)))*(1-IF(AND(ArtifactsInput!$M$27,Inputs!$B$4="Chapter Hunt"),CHOOSE(ArtifactsInput!$N$27+1,20,24,28,32,36,40),0)/100)))+1)),0)</f>
        <v/>
      </c>
      <c r="S1751">
        <f>IFERROR(O1751/N1751,0)</f>
        <v/>
      </c>
      <c r="T1751">
        <f>IF(C1751,(H1751*N1751*IF(AND(Inputs!$B$38&lt;&gt;"pvp",Inputs!$B$43&gt;0),((Skills!G8*((R1751-1)*IF(Skills!H8&gt;0,Skills!I8/Skills!H8,1)+IF(Skills!H8&gt;0,MIN(Skills!I8,MAX(0,MAX(0,Inputs!$B$43-B1781)-((R1751-1)*(IF(Inputs!$B$38="pvp",15,MAX(0.1,Skills!D8-IF(Skills!E8=TRUE,Inputs!$B$32,0)))*(1-IF(AND(ArtifactsInput!$M$27,Inputs!$B$4="Chapter Hunt"),CHOOSE(ArtifactsInput!$N$27+1,20,24,28,32,36,40),0)/100)))))/Skills!H8,1)))/Inputs!$B$43),G1751*Q1751)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1751*(1-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1751*(1-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1">
        <f>IF(C1751,(H1751*N1751*IF(AND(Inputs!$B$38&lt;&gt;"pvp",Inputs!$B$43&gt;0),((Skills!G8*((R1751-1)*IF(Skills!H8&gt;0,Skills!I8/Skills!H8,1)+IF(Skills!H8&gt;0,MIN(Skills!I8,MAX(0,MAX(0,Inputs!$B$43-B1781)-((R1751-1)*(IF(Inputs!$B$38="pvp",15,MAX(0.1,Skills!D8-IF(Skills!E8=TRUE,Inputs!$B$32,0)))*(1-IF(AND(ArtifactsInput!$M$27,Inputs!$B$4="Chapter Hunt"),CHOOSE(ArtifactsInput!$N$27+1,20,24,28,32,36,40),0)/100)))))/Skills!H8,1)))/Inputs!$B$43),G1751*Q1751))*IF(Inputs!$B$38="pvp",1,(1+(Inputs!$B$21+Skills!Q8+(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2">
      <c r="A1752">
        <f>Skills!A9</f>
        <v/>
      </c>
      <c r="B1752">
        <f>Skills!B9</f>
        <v/>
      </c>
      <c r="C1752">
        <f>Inputs!$B$3&gt;=103</f>
        <v/>
      </c>
      <c r="D1752">
        <f>IF(Skills!C9=1,60+Inputs!$B$25+Inputs!$B$29,IF(Skills!C9=2,90+Inputs!$B$26+Inputs!$B$29,IF(Skills!C9=3,120+Inputs!$B$27+Inputs!$B$29,MAX(0,(Inputs!$B$3-100)*3)+Inputs!$B$28+Inputs!$B$29)))</f>
        <v/>
      </c>
      <c r="E1752">
        <f>INDEX(FactorTable!$B$2:$Y$301, MATCH(ROUND(MIN(300,MAX(1,D1752)),0), FactorTable!$A$2:$A$301,0), Skills!M9+1)</f>
        <v/>
      </c>
      <c r="F1752">
        <f>IF(Skills!N9=TRUE,(Skills!L9/10)*(E1752/1000),Skills!L9/10)+Skills!O9</f>
        <v/>
      </c>
      <c r="G1752">
        <f>Skills!G9*IF(Skills!H9&gt;0,Skills!I9/Skills!H9,1)</f>
        <v/>
      </c>
      <c r="H1752">
        <f>1-(1-Skills!J9/100)^Skills!K9</f>
        <v/>
      </c>
      <c r="I1752" t="inlineStr">
        <is>
          <t>1</t>
        </is>
      </c>
      <c r="J1752">
        <f>((Inputs!$B$6*(1+Inputs!$B$7/100))+(((Inputs!$B$12*(1+Inputs!$B$13/100))-(Inputs!$B$12*(1+Inputs!$B$13/100)))+0.25*(Inputs!$B$14-Inputs!$B$14))*(1+Inputs!$B$7/100))*(F1752/100)</f>
        <v/>
      </c>
      <c r="K1752">
        <f>J1752*(1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1752)</f>
        <v/>
      </c>
      <c r="L1752">
        <f>K1752*(MIN(Inputs!$B$22+((C1765=TRUE)*(F1765-Calc!F22)),(Inputs!$B$23+0+(IF(ArtifactsInput!$M$15,CHOOSE(ArtifactsInput!$N$15+1,25,30,35,40,45,50)/100*(Inputs!$B$11-Inputs!$B$11),0))))/100+(Inputs!$B$23+0+(IF(ArtifactsInput!$M$15,CHOOSE(ArtifactsInput!$N$15+1,25,30,35,40,45,50)/100*(Inputs!$B$11-Inputs!$B$11),0)))/100)/2</f>
        <v/>
      </c>
      <c r="M1752">
        <f>L1752*(1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2">
        <f>L1752*(1-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1752*(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2">
        <f>(1-Summary!$B$11)*T1752+Summary!$B$11*V1752</f>
        <v/>
      </c>
      <c r="P1752">
        <f>IF(B1784=0,0,O1752/B1784)</f>
        <v/>
      </c>
      <c r="Q1752">
        <f>IFERROR(1/(IF(Inputs!$B$38="pvp",15,MAX(0.1,Skills!D9-IF(Skills!E9=TRUE,Inputs!$B$32,0)))*(1-IF(AND(ArtifactsInput!$M$27,Inputs!$B$4="Chapter Hunt"),CHOOSE(ArtifactsInput!$N$27+1,20,24,28,32,36,40),0)/100)),0)</f>
        <v/>
      </c>
      <c r="R1752">
        <f>IF(AND(Inputs!$B$38&lt;&gt;"pvp",Inputs!$B$43&gt;0),IF(MAX(0,Inputs!$B$43-B1781)&lt;=0,0,(INT(MAX(0,Inputs!$B$43-B1781)/(IF(Inputs!$B$38="pvp",15,MAX(0.1,Skills!D9-IF(Skills!E9=TRUE,Inputs!$B$32,0)))*(1-IF(AND(ArtifactsInput!$M$27,Inputs!$B$4="Chapter Hunt"),CHOOSE(ArtifactsInput!$N$27+1,20,24,28,32,36,40),0)/100)))+1)),0)</f>
        <v/>
      </c>
      <c r="S1752">
        <f>IFERROR(O1752/N1752,0)</f>
        <v/>
      </c>
      <c r="T1752">
        <f>IF(C1752,(H1752*N1752*IF(AND(Inputs!$B$38&lt;&gt;"pvp",Inputs!$B$43&gt;0),((Skills!G9*((R1752-1)*IF(Skills!H9&gt;0,Skills!I9/Skills!H9,1)+IF(Skills!H9&gt;0,MIN(Skills!I9,MAX(0,MAX(0,Inputs!$B$43-B1781)-((R1752-1)*(IF(Inputs!$B$38="pvp",15,MAX(0.1,Skills!D9-IF(Skills!E9=TRUE,Inputs!$B$32,0)))*(1-IF(AND(ArtifactsInput!$M$27,Inputs!$B$4="Chapter Hunt"),CHOOSE(ArtifactsInput!$N$27+1,20,24,28,32,36,40),0)/100)))))/Skills!H9,1)))/Inputs!$B$43),G1752*Q1752)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1752*(1-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1752*(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1752*(1-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1752*(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2">
        <f>IF(C1752,(H1752*N1752*IF(AND(Inputs!$B$38&lt;&gt;"pvp",Inputs!$B$43&gt;0),((Skills!G9*((R1752-1)*IF(Skills!H9&gt;0,Skills!I9/Skills!H9,1)+IF(Skills!H9&gt;0,MIN(Skills!I9,MAX(0,MAX(0,Inputs!$B$43-B1781)-((R1752-1)*(IF(Inputs!$B$38="pvp",15,MAX(0.1,Skills!D9-IF(Skills!E9=TRUE,Inputs!$B$32,0)))*(1-IF(AND(ArtifactsInput!$M$27,Inputs!$B$4="Chapter Hunt"),CHOOSE(ArtifactsInput!$N$27+1,20,24,28,32,36,40),0)/100)))))/Skills!H9,1)))/Inputs!$B$43),G1752*Q1752))*IF(Inputs!$B$38="pvp",1,(1+(Inputs!$B$21+Skills!Q9+(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3">
      <c r="A1753">
        <f>Skills!A10</f>
        <v/>
      </c>
      <c r="B1753">
        <f>Skills!B10</f>
        <v/>
      </c>
      <c r="C1753">
        <f>Inputs!$B$3&gt;=113</f>
        <v/>
      </c>
      <c r="D1753">
        <f>IF(Skills!C10=1,60+Inputs!$B$25+Inputs!$B$29,IF(Skills!C10=2,90+Inputs!$B$26+Inputs!$B$29,IF(Skills!C10=3,120+Inputs!$B$27+Inputs!$B$29,MAX(0,(Inputs!$B$3-100)*3)+Inputs!$B$28+Inputs!$B$29)))</f>
        <v/>
      </c>
      <c r="E1753">
        <f>INDEX(FactorTable!$B$2:$Y$301, MATCH(ROUND(MIN(300,MAX(1,D1753)),0), FactorTable!$A$2:$A$301,0), Skills!M10+1)</f>
        <v/>
      </c>
      <c r="F1753">
        <f>IF(Skills!N10=TRUE,(Skills!L10/10)*(E1753/1000),Skills!L10/10)+Skills!O10</f>
        <v/>
      </c>
      <c r="G1753">
        <f>Skills!G10*IF(Skills!H10&gt;0,Skills!I10/Skills!H10,1)</f>
        <v/>
      </c>
      <c r="H1753">
        <f>1-(1-Skills!J10/100)^Skills!K10</f>
        <v/>
      </c>
      <c r="I1753" t="inlineStr">
        <is>
          <t>1</t>
        </is>
      </c>
      <c r="J1753">
        <f>((Inputs!$B$6*(1+Inputs!$B$7/100))+(((Inputs!$B$12*(1+Inputs!$B$13/100))-(Inputs!$B$12*(1+Inputs!$B$13/100)))+0.25*(Inputs!$B$14-Inputs!$B$14))*(1+Inputs!$B$7/100))*(F1753/100)</f>
        <v/>
      </c>
      <c r="K1753">
        <f>J1753*(1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1753)</f>
        <v/>
      </c>
      <c r="L1753">
        <f>K1753*(MIN(Inputs!$B$22+((C1765=TRUE)*(F1765-Calc!F22)),(Inputs!$B$23+0+(IF(ArtifactsInput!$M$15,CHOOSE(ArtifactsInput!$N$15+1,25,30,35,40,45,50)/100*(Inputs!$B$11-Inputs!$B$11),0))))/100+(Inputs!$B$23+0+(IF(ArtifactsInput!$M$15,CHOOSE(ArtifactsInput!$N$15+1,25,30,35,40,45,50)/100*(Inputs!$B$11-Inputs!$B$11),0)))/100)/2</f>
        <v/>
      </c>
      <c r="M1753">
        <f>L1753*(1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3">
        <f>L1753*(1-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1753*(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3">
        <f>(1-Summary!$B$11)*T1753+Summary!$B$11*V1753</f>
        <v/>
      </c>
      <c r="P1753">
        <f>IF(B1784=0,0,O1753/B1784)</f>
        <v/>
      </c>
      <c r="Q1753">
        <f>IFERROR(1/(IF(Inputs!$B$38="pvp",15,MAX(0.1,Skills!D10-IF(Skills!E10=TRUE,Inputs!$B$32,0)))*(1-IF(AND(ArtifactsInput!$M$27,Inputs!$B$4="Chapter Hunt"),CHOOSE(ArtifactsInput!$N$27+1,20,24,28,32,36,40),0)/100)),0)</f>
        <v/>
      </c>
      <c r="R1753">
        <f>IF(AND(Inputs!$B$38&lt;&gt;"pvp",Inputs!$B$43&gt;0),IF(MAX(0,Inputs!$B$43-B1781)&lt;=0,0,(INT(MAX(0,Inputs!$B$43-B1781)/(IF(Inputs!$B$38="pvp",15,MAX(0.1,Skills!D10-IF(Skills!E10=TRUE,Inputs!$B$32,0)))*(1-IF(AND(ArtifactsInput!$M$27,Inputs!$B$4="Chapter Hunt"),CHOOSE(ArtifactsInput!$N$27+1,20,24,28,32,36,40),0)/100)))+1)),0)</f>
        <v/>
      </c>
      <c r="S1753">
        <f>IFERROR(O1753/N1753,0)</f>
        <v/>
      </c>
      <c r="T1753">
        <f>IF(C1753,(H1753*N1753*IF(AND(Inputs!$B$38&lt;&gt;"pvp",Inputs!$B$43&gt;0),((Skills!G10*((R1753-1)*IF(Skills!H10&gt;0,Skills!I10/Skills!H10,1)+IF(Skills!H10&gt;0,MIN(Skills!I10,MAX(0,MAX(0,Inputs!$B$43-B1781)-((R1753-1)*(IF(Inputs!$B$38="pvp",15,MAX(0.1,Skills!D10-IF(Skills!E10=TRUE,Inputs!$B$32,0)))*(1-IF(AND(ArtifactsInput!$M$27,Inputs!$B$4="Chapter Hunt"),CHOOSE(ArtifactsInput!$N$27+1,20,24,28,32,36,40),0)/100)))))/Skills!H10,1)))/Inputs!$B$43),G1753*Q1753)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1753*(1-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1753*(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1753*(1-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1753*(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3">
        <f>IF(C1753,(H1753*N1753*IF(AND(Inputs!$B$38&lt;&gt;"pvp",Inputs!$B$43&gt;0),((Skills!G10*((R1753-1)*IF(Skills!H10&gt;0,Skills!I10/Skills!H10,1)+IF(Skills!H10&gt;0,MIN(Skills!I10,MAX(0,MAX(0,Inputs!$B$43-B1781)-((R1753-1)*(IF(Inputs!$B$38="pvp",15,MAX(0.1,Skills!D10-IF(Skills!E10=TRUE,Inputs!$B$32,0)))*(1-IF(AND(ArtifactsInput!$M$27,Inputs!$B$4="Chapter Hunt"),CHOOSE(ArtifactsInput!$N$27+1,20,24,28,32,36,40),0)/100)))))/Skills!H10,1)))/Inputs!$B$43),G1753*Q1753))*IF(Inputs!$B$38="pvp",1,(1+(Inputs!$B$21+Skills!Q10+(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4">
      <c r="A1754">
        <f>Skills!A11</f>
        <v/>
      </c>
      <c r="B1754">
        <f>Skills!B11</f>
        <v/>
      </c>
      <c r="C1754">
        <f>Inputs!$B$3&gt;=107</f>
        <v/>
      </c>
      <c r="D1754">
        <f>IF(Skills!C11=1,60+Inputs!$B$25+Inputs!$B$29,IF(Skills!C11=2,90+Inputs!$B$26+Inputs!$B$29,IF(Skills!C11=3,120+Inputs!$B$27+Inputs!$B$29,MAX(0,(Inputs!$B$3-100)*3)+Inputs!$B$28+Inputs!$B$29)))</f>
        <v/>
      </c>
      <c r="E1754">
        <f>INDEX(FactorTable!$B$2:$Y$301, MATCH(ROUND(MIN(300,MAX(1,D1754)),0), FactorTable!$A$2:$A$301,0), Skills!M11+1)</f>
        <v/>
      </c>
      <c r="F1754">
        <f>IF(Skills!N11=TRUE,(Skills!L11/10)*(E1754/1000),Skills!L11/10)+Skills!O11</f>
        <v/>
      </c>
      <c r="G1754">
        <f>Skills!G11*IF(Skills!H11&gt;0,Skills!I11/Skills!H11,1)</f>
        <v/>
      </c>
      <c r="H1754">
        <f>1-(1-Skills!J11/100)^Skills!K11</f>
        <v/>
      </c>
      <c r="I1754" t="inlineStr">
        <is>
          <t>1</t>
        </is>
      </c>
      <c r="J1754">
        <f>((Inputs!$B$6*(1+Inputs!$B$7/100))+(((Inputs!$B$12*(1+Inputs!$B$13/100))-(Inputs!$B$12*(1+Inputs!$B$13/100)))+0.25*(Inputs!$B$14-Inputs!$B$14))*(1+Inputs!$B$7/100))*(F1754/100)</f>
        <v/>
      </c>
      <c r="K1754">
        <f>J1754*(1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1754)</f>
        <v/>
      </c>
      <c r="L1754">
        <f>K1754*(MIN(Inputs!$B$22+((C1765=TRUE)*(F1765-Calc!F22)),(Inputs!$B$23+0+(IF(ArtifactsInput!$M$15,CHOOSE(ArtifactsInput!$N$15+1,25,30,35,40,45,50)/100*(Inputs!$B$11-Inputs!$B$11),0))))/100+(Inputs!$B$23+0+(IF(ArtifactsInput!$M$15,CHOOSE(ArtifactsInput!$N$15+1,25,30,35,40,45,50)/100*(Inputs!$B$11-Inputs!$B$11),0)))/100)/2</f>
        <v/>
      </c>
      <c r="M1754">
        <f>L1754*(1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4">
        <f>L1754*(1-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1754*(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4">
        <f>(1-Summary!$B$11)*T1754+Summary!$B$11*V1754</f>
        <v/>
      </c>
      <c r="P1754">
        <f>IF(B1784=0,0,O1754/B1784)</f>
        <v/>
      </c>
      <c r="Q1754">
        <f>IFERROR(1/(IF(Inputs!$B$38="pvp",15,MAX(0.1,Skills!D11-IF(Skills!E11=TRUE,Inputs!$B$32,0)))*(1-IF(AND(ArtifactsInput!$M$27,Inputs!$B$4="Chapter Hunt"),CHOOSE(ArtifactsInput!$N$27+1,20,24,28,32,36,40),0)/100)),0)</f>
        <v/>
      </c>
      <c r="R1754">
        <f>IF(AND(Inputs!$B$38&lt;&gt;"pvp",Inputs!$B$43&gt;0),IF(MAX(0,Inputs!$B$43-B1781)&lt;=0,0,(INT(MAX(0,Inputs!$B$43-B1781)/(IF(Inputs!$B$38="pvp",15,MAX(0.1,Skills!D11-IF(Skills!E11=TRUE,Inputs!$B$32,0)))*(1-IF(AND(ArtifactsInput!$M$27,Inputs!$B$4="Chapter Hunt"),CHOOSE(ArtifactsInput!$N$27+1,20,24,28,32,36,40),0)/100)))+1)),0)</f>
        <v/>
      </c>
      <c r="S1754">
        <f>IFERROR(O1754/N1754,0)</f>
        <v/>
      </c>
      <c r="T1754">
        <f>IF(C1754,(H1754*N1754*IF(AND(Inputs!$B$38&lt;&gt;"pvp",Inputs!$B$43&gt;0),((Skills!G11*((R1754-1)*IF(Skills!H11&gt;0,Skills!I11/Skills!H11,1)+IF(Skills!H11&gt;0,MIN(Skills!I11,MAX(0,MAX(0,Inputs!$B$43-B1781)-((R1754-1)*(IF(Inputs!$B$38="pvp",15,MAX(0.1,Skills!D11-IF(Skills!E11=TRUE,Inputs!$B$32,0)))*(1-IF(AND(ArtifactsInput!$M$27,Inputs!$B$4="Chapter Hunt"),CHOOSE(ArtifactsInput!$N$27+1,20,24,28,32,36,40),0)/100)))))/Skills!H11,1)))/Inputs!$B$43),G1754*Q1754)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1754*(1-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1754*(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1754*(1-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1754*(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4">
        <f>IF(C1754,(H1754*N1754*IF(AND(Inputs!$B$38&lt;&gt;"pvp",Inputs!$B$43&gt;0),((Skills!G11*((R1754-1)*IF(Skills!H11&gt;0,Skills!I11/Skills!H11,1)+IF(Skills!H11&gt;0,MIN(Skills!I11,MAX(0,MAX(0,Inputs!$B$43-B1781)-((R1754-1)*(IF(Inputs!$B$38="pvp",15,MAX(0.1,Skills!D11-IF(Skills!E11=TRUE,Inputs!$B$32,0)))*(1-IF(AND(ArtifactsInput!$M$27,Inputs!$B$4="Chapter Hunt"),CHOOSE(ArtifactsInput!$N$27+1,20,24,28,32,36,40),0)/100)))))/Skills!H11,1)))/Inputs!$B$43),G1754*Q1754))*IF(Inputs!$B$38="pvp",1,(1+(Inputs!$B$21+Skills!Q11+(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5">
      <c r="A1755">
        <f>Skills!A12</f>
        <v/>
      </c>
      <c r="B1755">
        <f>Skills!B12</f>
        <v/>
      </c>
      <c r="C1755">
        <f>Inputs!$B$3&gt;=110</f>
        <v/>
      </c>
      <c r="D1755">
        <f>IF(Skills!C12=1,60+Inputs!$B$25+Inputs!$B$29,IF(Skills!C12=2,90+Inputs!$B$26+Inputs!$B$29,IF(Skills!C12=3,120+Inputs!$B$27+Inputs!$B$29,MAX(0,(Inputs!$B$3-100)*3)+Inputs!$B$28+Inputs!$B$29)))</f>
        <v/>
      </c>
      <c r="E1755">
        <f>INDEX(FactorTable!$B$2:$Y$301, MATCH(ROUND(MIN(300,MAX(1,D1755)),0), FactorTable!$A$2:$A$301,0), Skills!M12+1)</f>
        <v/>
      </c>
      <c r="F1755">
        <f>IF(Skills!N12=TRUE,(Skills!L12/10)*(E1755/1000),Skills!L12/10)+Skills!O12</f>
        <v/>
      </c>
      <c r="G1755">
        <f>Skills!G12*IF(Skills!H12&gt;0,Skills!I12/Skills!H12,1)</f>
        <v/>
      </c>
      <c r="H1755">
        <f>1-(1-Skills!J12/100)^Skills!K12</f>
        <v/>
      </c>
      <c r="I1755" t="inlineStr">
        <is>
          <t>1</t>
        </is>
      </c>
      <c r="J1755">
        <f>((Inputs!$B$6*(1+Inputs!$B$7/100))+(((Inputs!$B$12*(1+Inputs!$B$13/100))-(Inputs!$B$12*(1+Inputs!$B$13/100)))+0.25*(Inputs!$B$14-Inputs!$B$14))*(1+Inputs!$B$7/100))*(F1755/100)</f>
        <v/>
      </c>
      <c r="K1755">
        <f>J1755*(1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1755)</f>
        <v/>
      </c>
      <c r="L1755">
        <f>K1755*(MIN(Inputs!$B$22+((C1765=TRUE)*(F1765-Calc!F22)),(Inputs!$B$23+0+(IF(ArtifactsInput!$M$15,CHOOSE(ArtifactsInput!$N$15+1,25,30,35,40,45,50)/100*(Inputs!$B$11-Inputs!$B$11),0))))/100+(Inputs!$B$23+0+(IF(ArtifactsInput!$M$15,CHOOSE(ArtifactsInput!$N$15+1,25,30,35,40,45,50)/100*(Inputs!$B$11-Inputs!$B$11),0)))/100)/2</f>
        <v/>
      </c>
      <c r="M1755">
        <f>L1755*(1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5">
        <f>L1755*(1-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1755*(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5">
        <f>(1-Summary!$B$11)*T1755+Summary!$B$11*V1755</f>
        <v/>
      </c>
      <c r="P1755">
        <f>IF(B1784=0,0,O1755/B1784)</f>
        <v/>
      </c>
      <c r="Q1755">
        <f>IFERROR(1/(IF(Inputs!$B$38="pvp",15,MAX(0.1,Skills!D12-IF(Skills!E12=TRUE,Inputs!$B$32,0)))*(1-IF(AND(ArtifactsInput!$M$27,Inputs!$B$4="Chapter Hunt"),CHOOSE(ArtifactsInput!$N$27+1,20,24,28,32,36,40),0)/100)),0)</f>
        <v/>
      </c>
      <c r="R1755">
        <f>IF(AND(Inputs!$B$38&lt;&gt;"pvp",Inputs!$B$43&gt;0),IF(MAX(0,Inputs!$B$43-B1781)&lt;=0,0,(INT(MAX(0,Inputs!$B$43-B1781)/(IF(Inputs!$B$38="pvp",15,MAX(0.1,Skills!D12-IF(Skills!E12=TRUE,Inputs!$B$32,0)))*(1-IF(AND(ArtifactsInput!$M$27,Inputs!$B$4="Chapter Hunt"),CHOOSE(ArtifactsInput!$N$27+1,20,24,28,32,36,40),0)/100)))+1)),0)</f>
        <v/>
      </c>
      <c r="S1755">
        <f>IFERROR(O1755/N1755,0)</f>
        <v/>
      </c>
      <c r="T1755">
        <f>IF(C1755,(H1755*N1755*IF(AND(Inputs!$B$38&lt;&gt;"pvp",Inputs!$B$43&gt;0),((Skills!G12*((R1755-1)*IF(Skills!H12&gt;0,Skills!I12/Skills!H12,1)+IF(Skills!H12&gt;0,MIN(Skills!I12,MAX(0,MAX(0,Inputs!$B$43-B1781)-((R1755-1)*(IF(Inputs!$B$38="pvp",15,MAX(0.1,Skills!D12-IF(Skills!E12=TRUE,Inputs!$B$32,0)))*(1-IF(AND(ArtifactsInput!$M$27,Inputs!$B$4="Chapter Hunt"),CHOOSE(ArtifactsInput!$N$27+1,20,24,28,32,36,40),0)/100)))))/Skills!H12,1)))/Inputs!$B$43),G1755*Q1755)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1755*(1-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1755*(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1755*(1-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1755*(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5">
        <f>IF(C1755,(H1755*N1755*IF(AND(Inputs!$B$38&lt;&gt;"pvp",Inputs!$B$43&gt;0),((Skills!G12*((R1755-1)*IF(Skills!H12&gt;0,Skills!I12/Skills!H12,1)+IF(Skills!H12&gt;0,MIN(Skills!I12,MAX(0,MAX(0,Inputs!$B$43-B1781)-((R1755-1)*(IF(Inputs!$B$38="pvp",15,MAX(0.1,Skills!D12-IF(Skills!E12=TRUE,Inputs!$B$32,0)))*(1-IF(AND(ArtifactsInput!$M$27,Inputs!$B$4="Chapter Hunt"),CHOOSE(ArtifactsInput!$N$27+1,20,24,28,32,36,40),0)/100)))))/Skills!H12,1)))/Inputs!$B$43),G1755*Q1755))*IF(Inputs!$B$38="pvp",1,(1+(Inputs!$B$21+Skills!Q12+(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6">
      <c r="A1756">
        <f>Skills!A13</f>
        <v/>
      </c>
      <c r="B1756">
        <f>Skills!B13</f>
        <v/>
      </c>
      <c r="C1756">
        <f>Inputs!$B$3&gt;=110</f>
        <v/>
      </c>
      <c r="D1756">
        <f>IF(Skills!C13=1,60+Inputs!$B$25+Inputs!$B$29,IF(Skills!C13=2,90+Inputs!$B$26+Inputs!$B$29,IF(Skills!C13=3,120+Inputs!$B$27+Inputs!$B$29,MAX(0,(Inputs!$B$3-100)*3)+Inputs!$B$28+Inputs!$B$29)))</f>
        <v/>
      </c>
      <c r="E1756">
        <f>INDEX(FactorTable!$B$2:$Y$301, MATCH(ROUND(MIN(300,MAX(1,D1756)),0), FactorTable!$A$2:$A$301,0), Skills!M13+1)</f>
        <v/>
      </c>
      <c r="F1756">
        <f>IF(Skills!N13=TRUE,(Skills!L13/10)*(E1756/1000),Skills!L13/10)+Skills!O13</f>
        <v/>
      </c>
      <c r="G1756">
        <f>Skills!G13*IF(Skills!H13&gt;0,Skills!I13/Skills!H13,1)</f>
        <v/>
      </c>
      <c r="H1756">
        <f>1-(1-Skills!J13/100)^Skills!K13</f>
        <v/>
      </c>
      <c r="I1756" t="inlineStr">
        <is>
          <t>1</t>
        </is>
      </c>
      <c r="J1756">
        <f>((Inputs!$B$6*(1+Inputs!$B$7/100))+(((Inputs!$B$12*(1+Inputs!$B$13/100))-(Inputs!$B$12*(1+Inputs!$B$13/100)))+0.25*(Inputs!$B$14-Inputs!$B$14))*(1+Inputs!$B$7/100))*(F1756/100)</f>
        <v/>
      </c>
      <c r="K1756">
        <f>J1756*(1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1756)</f>
        <v/>
      </c>
      <c r="L1756">
        <f>K1756*(MIN(Inputs!$B$22+((C1765=TRUE)*(F1765-Calc!F22)),(Inputs!$B$23+0+(IF(ArtifactsInput!$M$15,CHOOSE(ArtifactsInput!$N$15+1,25,30,35,40,45,50)/100*(Inputs!$B$11-Inputs!$B$11),0))))/100+(Inputs!$B$23+0+(IF(ArtifactsInput!$M$15,CHOOSE(ArtifactsInput!$N$15+1,25,30,35,40,45,50)/100*(Inputs!$B$11-Inputs!$B$11),0)))/100)/2</f>
        <v/>
      </c>
      <c r="M1756">
        <f>L1756*(1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6">
        <f>L1756*(1-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(1-Summary!$B$11)*T1756+Summary!$B$11*V1756</f>
        <v/>
      </c>
      <c r="P1756">
        <f>IF(B1784=0,0,O1756/B1784)</f>
        <v/>
      </c>
      <c r="Q1756">
        <f>IFERROR(1/(IF(Inputs!$B$38="pvp",15,MAX(0.1,Skills!D13-IF(Skills!E13=TRUE,Inputs!$B$32,0)))*(1-IF(AND(ArtifactsInput!$M$27,Inputs!$B$4="Chapter Hunt"),CHOOSE(ArtifactsInput!$N$27+1,20,24,28,32,36,40),0)/100)),0)</f>
        <v/>
      </c>
      <c r="R1756">
        <f>IF(AND(Inputs!$B$38&lt;&gt;"pvp",Inputs!$B$43&gt;0),IF(MAX(0,Inputs!$B$43-B1781)&lt;=0,0,(INT(MAX(0,Inputs!$B$43-B1781)/(IF(Inputs!$B$38="pvp",15,MAX(0.1,Skills!D13-IF(Skills!E13=TRUE,Inputs!$B$32,0)))*(1-IF(AND(ArtifactsInput!$M$27,Inputs!$B$4="Chapter Hunt"),CHOOSE(ArtifactsInput!$N$27+1,20,24,28,32,36,40),0)/100)))+1)),0)</f>
        <v/>
      </c>
      <c r="S1756">
        <f>IFERROR(O1756/N1756,0)</f>
        <v/>
      </c>
      <c r="T1756">
        <f>IF(C1756,(H1756*N1756*IF(AND(Inputs!$B$38&lt;&gt;"pvp",Inputs!$B$43&gt;0),((Skills!G13*((R1756-1)*IF(Skills!H13&gt;0,Skills!I13/Skills!H13,1)+IF(Skills!H13&gt;0,MIN(Skills!I13,MAX(0,MAX(0,Inputs!$B$43-B1781)-((R1756-1)*(IF(Inputs!$B$38="pvp",15,MAX(0.1,Skills!D13-IF(Skills!E13=TRUE,Inputs!$B$32,0)))*(1-IF(AND(ArtifactsInput!$M$27,Inputs!$B$4="Chapter Hunt"),CHOOSE(ArtifactsInput!$N$27+1,20,24,28,32,36,40),0)/100)))))/Skills!H13,1)))/Inputs!$B$43),G1756*Q1756)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1756*(1-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6">
        <f>IF(C1756,(H1756*N1756*IF(AND(Inputs!$B$38&lt;&gt;"pvp",Inputs!$B$43&gt;0),((Skills!G13*((R1756-1)*IF(Skills!H13&gt;0,Skills!I13/Skills!H13,1)+IF(Skills!H13&gt;0,MIN(Skills!I13,MAX(0,MAX(0,Inputs!$B$43-B1781)-((R1756-1)*(IF(Inputs!$B$38="pvp",15,MAX(0.1,Skills!D13-IF(Skills!E13=TRUE,Inputs!$B$32,0)))*(1-IF(AND(ArtifactsInput!$M$27,Inputs!$B$4="Chapter Hunt"),CHOOSE(ArtifactsInput!$N$27+1,20,24,28,32,36,40),0)/100)))))/Skills!H13,1)))/Inputs!$B$43),G1756*Q1756))*IF(Inputs!$B$38="pvp",1,(1+(Inputs!$B$21+Skills!Q13+(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Skills!A14</f>
        <v/>
      </c>
      <c r="B1757">
        <f>Skills!B14</f>
        <v/>
      </c>
      <c r="C1757">
        <f>Inputs!$B$3&gt;=125</f>
        <v/>
      </c>
      <c r="D1757">
        <f>IF(Skills!C14=1,60+Inputs!$B$25+Inputs!$B$29,IF(Skills!C14=2,90+Inputs!$B$26+Inputs!$B$29,IF(Skills!C14=3,120+Inputs!$B$27+Inputs!$B$29,MAX(0,(Inputs!$B$3-100)*3)+Inputs!$B$28+Inputs!$B$29)))</f>
        <v/>
      </c>
      <c r="E1757">
        <f>INDEX(FactorTable!$B$2:$Y$301, MATCH(ROUND(MIN(300,MAX(1,D1757)),0), FactorTable!$A$2:$A$301,0), Skills!M14+1)</f>
        <v/>
      </c>
      <c r="F1757">
        <f>IF(Skills!N14=TRUE,(Skills!L14/10)*(E1757/1000),Skills!L14/10)+Skills!O14</f>
        <v/>
      </c>
      <c r="G1757">
        <f>Skills!G14*IF(Skills!H14&gt;0,Skills!I14/Skills!H14,1)</f>
        <v/>
      </c>
      <c r="H1757">
        <f>1-(1-Skills!J14/100)^Skills!K14</f>
        <v/>
      </c>
      <c r="I1757" t="inlineStr">
        <is>
          <t>1</t>
        </is>
      </c>
      <c r="J1757">
        <f>((Inputs!$B$6*(1+Inputs!$B$7/100))+(((Inputs!$B$12*(1+Inputs!$B$13/100))-(Inputs!$B$12*(1+Inputs!$B$13/100)))+0.25*(Inputs!$B$14-Inputs!$B$14))*(1+Inputs!$B$7/100))*(F1757/100)</f>
        <v/>
      </c>
      <c r="K1757">
        <f>J1757*(1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1757)</f>
        <v/>
      </c>
      <c r="L1757">
        <f>K1757*(MIN(Inputs!$B$22+((C1765=TRUE)*(F1765-Calc!F22)),(Inputs!$B$23+0+(IF(ArtifactsInput!$M$15,CHOOSE(ArtifactsInput!$N$15+1,25,30,35,40,45,50)/100*(Inputs!$B$11-Inputs!$B$11),0))))/100+(Inputs!$B$23+0+(IF(ArtifactsInput!$M$15,CHOOSE(ArtifactsInput!$N$15+1,25,30,35,40,45,50)/100*(Inputs!$B$11-Inputs!$B$11),0)))/100)/2</f>
        <v/>
      </c>
      <c r="M1757">
        <f>L1757*(1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7">
        <f>L1757*(1-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(1-Summary!$B$11)*T1757+Summary!$B$11*V1757</f>
        <v/>
      </c>
      <c r="P1757">
        <f>IF(B1784=0,0,O1757/B1784)</f>
        <v/>
      </c>
      <c r="Q1757" t="n">
        <v>0</v>
      </c>
      <c r="R1757" t="n">
        <v>0</v>
      </c>
      <c r="S1757">
        <f>IFERROR(O1757/N1757,0)</f>
        <v/>
      </c>
      <c r="T1757">
        <f>IF(C1757,(H1757*N1757*(B1778+IF(AND(Inputs!$B$38&lt;&gt;"pvp",Inputs!$B$43&gt;0),((Skills!G8*((R1751-1)*IF(Skills!H8&gt;0,Skills!I8/Skills!H8,1)+IF(Skills!H8&gt;0,MIN(Skills!I8,MAX(0,MAX(0,Inputs!$B$43-B1781)-((R1751-1)*(IF(Inputs!$B$38="pvp",15,MAX(0.1,Skills!D8-IF(Skills!E8=TRUE,Inputs!$B$32,0)))*(1-IF(AND(ArtifactsInput!$M$27,Inputs!$B$4="Chapter Hunt"),CHOOSE(ArtifactsInput!$N$27+1,20,24,28,32,36,40),0)/100)))))/Skills!H8,1)))/Inputs!$B$43),G1751*Q1751)+IF(AND(Inputs!$B$38&lt;&gt;"pvp",Inputs!$B$43&gt;0),((Skills!G11*((R1754-1)*IF(Skills!H11&gt;0,Skills!I11/Skills!H11,1)+IF(Skills!H11&gt;0,MIN(Skills!I11,MAX(0,MAX(0,Inputs!$B$43-B1781)-((R1754-1)*(IF(Inputs!$B$38="pvp",15,MAX(0.1,Skills!D11-IF(Skills!E11=TRUE,Inputs!$B$32,0)))*(1-IF(AND(ArtifactsInput!$M$27,Inputs!$B$4="Chapter Hunt"),CHOOSE(ArtifactsInput!$N$27+1,20,24,28,32,36,40),0)/100)))))/Skills!H11,1)))/Inputs!$B$43),G1754*Q1754)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1757*(1-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7">
        <f>IF(C1757,(H1757*N1757*(B1778+IF(AND(Inputs!$B$38&lt;&gt;"pvp",Inputs!$B$43&gt;0),((Skills!G8*((R1751-1)*IF(Skills!H8&gt;0,Skills!I8/Skills!H8,1)+IF(Skills!H8&gt;0,MIN(Skills!I8,MAX(0,MAX(0,Inputs!$B$43-B1781)-((R1751-1)*(IF(Inputs!$B$38="pvp",15,MAX(0.1,Skills!D8-IF(Skills!E8=TRUE,Inputs!$B$32,0)))*(1-IF(AND(ArtifactsInput!$M$27,Inputs!$B$4="Chapter Hunt"),CHOOSE(ArtifactsInput!$N$27+1,20,24,28,32,36,40),0)/100)))))/Skills!H8,1)))/Inputs!$B$43),G1751*Q1751)+IF(AND(Inputs!$B$38&lt;&gt;"pvp",Inputs!$B$43&gt;0),((Skills!G11*((R1754-1)*IF(Skills!H11&gt;0,Skills!I11/Skills!H11,1)+IF(Skills!H11&gt;0,MIN(Skills!I11,MAX(0,MAX(0,Inputs!$B$43-B1781)-((R1754-1)*(IF(Inputs!$B$38="pvp",15,MAX(0.1,Skills!D11-IF(Skills!E11=TRUE,Inputs!$B$32,0)))*(1-IF(AND(ArtifactsInput!$M$27,Inputs!$B$4="Chapter Hunt"),CHOOSE(ArtifactsInput!$N$27+1,20,24,28,32,36,40),0)/100)))))/Skills!H11,1)))/Inputs!$B$43),G1754*Q1754)))*IF(Inputs!$B$38="pvp",1,(1+(Inputs!$B$21+Skills!Q14+(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Skills!A15</f>
        <v/>
      </c>
      <c r="B1758">
        <f>Skills!B15</f>
        <v/>
      </c>
      <c r="C1758">
        <f>Inputs!$B$3&gt;=100</f>
        <v/>
      </c>
      <c r="D1758">
        <f>IF(Skills!C15=1,60+Inputs!$B$25+Inputs!$B$29,IF(Skills!C15=2,90+Inputs!$B$26+Inputs!$B$29,IF(Skills!C15=3,120+Inputs!$B$27+Inputs!$B$29,MAX(0,(Inputs!$B$3-100)*3)+Inputs!$B$28+Inputs!$B$29)))</f>
        <v/>
      </c>
      <c r="E1758">
        <f>INDEX(FactorTable!$B$2:$Y$301, MATCH(ROUND(MIN(300,MAX(1,D1758)),0), FactorTable!$A$2:$A$301,0), Skills!M15+1)</f>
        <v/>
      </c>
      <c r="F1758">
        <f>IF(Skills!N15=TRUE,(Skills!L15/10)*(E1758/1000),Skills!L15/10)+Skills!O15</f>
        <v/>
      </c>
      <c r="G1758" t="inlineStr"/>
      <c r="H1758" t="inlineStr"/>
      <c r="I1758" t="inlineStr">
        <is>
          <t>1</t>
        </is>
      </c>
      <c r="J1758" t="inlineStr"/>
      <c r="K1758" t="inlineStr"/>
      <c r="L1758" t="inlineStr"/>
      <c r="M1758" t="inlineStr"/>
      <c r="N1758" t="inlineStr"/>
      <c r="O1758" t="inlineStr"/>
      <c r="P1758" t="inlineStr"/>
      <c r="Q1758" t="inlineStr"/>
      <c r="R1758" t="inlineStr"/>
      <c r="S1758" t="inlineStr"/>
    </row>
    <row r="1759">
      <c r="A1759">
        <f>Skills!A16</f>
        <v/>
      </c>
      <c r="B1759">
        <f>Skills!B16</f>
        <v/>
      </c>
      <c r="C1759">
        <f>Inputs!$B$3&gt;=120</f>
        <v/>
      </c>
      <c r="D1759">
        <f>IF(Skills!C16=1,60+Inputs!$B$25+Inputs!$B$29,IF(Skills!C16=2,90+Inputs!$B$26+Inputs!$B$29,IF(Skills!C16=3,120+Inputs!$B$27+Inputs!$B$29,MAX(0,(Inputs!$B$3-100)*3)+Inputs!$B$28+Inputs!$B$29)))</f>
        <v/>
      </c>
      <c r="E1759">
        <f>INDEX(FactorTable!$B$2:$Y$301, MATCH(ROUND(MIN(300,MAX(1,D1759)),0), FactorTable!$A$2:$A$301,0), Skills!M16+1)</f>
        <v/>
      </c>
      <c r="F1759">
        <f>IF(Skills!N16=TRUE,(Skills!L16/10)*(E1759/1000),Skills!L16/10)+Skills!O16</f>
        <v/>
      </c>
      <c r="G1759" t="inlineStr"/>
      <c r="H1759" t="inlineStr"/>
      <c r="I1759" t="inlineStr">
        <is>
          <t>1</t>
        </is>
      </c>
      <c r="J1759" t="inlineStr"/>
      <c r="K1759" t="inlineStr"/>
      <c r="L1759" t="inlineStr"/>
      <c r="M1759" t="inlineStr"/>
      <c r="N1759" t="inlineStr"/>
      <c r="O1759" t="inlineStr"/>
      <c r="P1759" t="inlineStr"/>
      <c r="Q1759" t="inlineStr"/>
      <c r="R1759" t="inlineStr"/>
      <c r="S1759" t="inlineStr"/>
    </row>
    <row r="1760">
      <c r="A1760">
        <f>Skills!A17</f>
        <v/>
      </c>
      <c r="B1760">
        <f>Skills!B17</f>
        <v/>
      </c>
      <c r="C1760">
        <f>Inputs!$B$3&gt;=66</f>
        <v/>
      </c>
      <c r="D1760">
        <f>IF(Skills!C17=1,60+Inputs!$B$25+Inputs!$B$29,IF(Skills!C17=2,90+Inputs!$B$26+Inputs!$B$29,IF(Skills!C17=3,120+Inputs!$B$27+Inputs!$B$29,MAX(0,(Inputs!$B$3-100)*3)+Inputs!$B$28+Inputs!$B$29)))</f>
        <v/>
      </c>
      <c r="E1760">
        <f>INDEX(FactorTable!$B$2:$Y$301, MATCH(ROUND(MIN(300,MAX(1,D1760)),0), FactorTable!$A$2:$A$301,0), Skills!M17+1)</f>
        <v/>
      </c>
      <c r="F1760">
        <f>IF(Skills!N17=TRUE,(Skills!L17/10)*(E1760/1000),Skills!L17/10)+Skills!O17</f>
        <v/>
      </c>
      <c r="G1760">
        <f>Skills!G17*IF(Skills!H17&gt;0,Skills!I17/Skills!H17,1)</f>
        <v/>
      </c>
      <c r="H1760">
        <f>1-(1-Skills!J17/100)^Skills!K17</f>
        <v/>
      </c>
      <c r="I1760" t="inlineStr">
        <is>
          <t>1</t>
        </is>
      </c>
      <c r="J1760" t="inlineStr"/>
      <c r="K1760" t="inlineStr"/>
      <c r="L1760" t="inlineStr"/>
      <c r="M1760" t="inlineStr"/>
      <c r="N1760" t="inlineStr"/>
      <c r="O1760">
        <f>(1-Summary!$B$11)*T1760+Summary!$B$11*V1760</f>
        <v/>
      </c>
      <c r="P1760">
        <f>IF(B1784=0,0,O1760/B1784)</f>
        <v/>
      </c>
      <c r="Q1760" t="n">
        <v>0</v>
      </c>
      <c r="R1760" t="n">
        <v>0</v>
      </c>
      <c r="S1760">
        <f>IFERROR(O1760/N1760,0)</f>
        <v/>
      </c>
      <c r="T1760" t="n">
        <v>0</v>
      </c>
      <c r="V1760" t="n">
        <v>0</v>
      </c>
    </row>
    <row r="1761">
      <c r="A1761">
        <f>Skills!A18</f>
        <v/>
      </c>
      <c r="B1761">
        <f>Skills!B18</f>
        <v/>
      </c>
      <c r="C1761">
        <f>Inputs!$B$3&gt;=115</f>
        <v/>
      </c>
      <c r="D1761">
        <f>IF(Skills!C18=1,60+Inputs!$B$25+Inputs!$B$29,IF(Skills!C18=2,90+Inputs!$B$26+Inputs!$B$29,IF(Skills!C18=3,120+Inputs!$B$27+Inputs!$B$29,MAX(0,(Inputs!$B$3-100)*3)+Inputs!$B$28+Inputs!$B$29)))</f>
        <v/>
      </c>
      <c r="E1761">
        <f>INDEX(FactorTable!$B$2:$Y$301, MATCH(ROUND(MIN(300,MAX(1,D1761)),0), FactorTable!$A$2:$A$301,0), Skills!M18+1)</f>
        <v/>
      </c>
      <c r="F1761">
        <f>IF(Skills!N18=TRUE,(Skills!L18/10)*(E1761/1000),Skills!L18/10)+Skills!O18</f>
        <v/>
      </c>
      <c r="G1761">
        <f>Skills!G18*IF(Skills!H18&gt;0,Skills!I18/Skills!H18,1)</f>
        <v/>
      </c>
      <c r="H1761">
        <f>1-(1-Skills!J18/100)^Skills!K18</f>
        <v/>
      </c>
      <c r="I1761" t="inlineStr">
        <is>
          <t>1</t>
        </is>
      </c>
      <c r="J1761" t="inlineStr"/>
      <c r="K1761" t="inlineStr"/>
      <c r="L1761" t="inlineStr"/>
      <c r="M1761" t="inlineStr"/>
      <c r="N1761" t="inlineStr"/>
      <c r="O1761">
        <f>(1-Summary!$B$11)*T1761+Summary!$B$11*V1761</f>
        <v/>
      </c>
      <c r="P1761">
        <f>IF(B1784=0,0,O1761/B1784)</f>
        <v/>
      </c>
      <c r="Q1761">
        <f>IFERROR(1/(IF(Inputs!$B$38="pvp",15,MAX(0.1,Skills!D18-IF(Skills!E18=TRUE,Inputs!$B$32,0)))*(1-IF(AND(ArtifactsInput!$M$27,Inputs!$B$4="Chapter Hunt"),CHOOSE(ArtifactsInput!$N$27+1,20,24,28,32,36,40),0)/100)),0)</f>
        <v/>
      </c>
      <c r="R1761">
        <f>IF(AND(Inputs!$B$38&lt;&gt;"pvp",Inputs!$B$43&gt;0),IF(Inputs!$B$43&lt;=0,0,(INT(Inputs!$B$43/(IF(Inputs!$B$38="pvp",15,MAX(0.1,Skills!D18-IF(Skills!E18=TRUE,Inputs!$B$32,0)))*(1-IF(AND(ArtifactsInput!$M$27,Inputs!$B$4="Chapter Hunt"),CHOOSE(ArtifactsInput!$N$27+1,20,24,28,32,36,40),0)/100)))+1)),0)</f>
        <v/>
      </c>
      <c r="S1761">
        <f>IFERROR(O1761/N1761,0)</f>
        <v/>
      </c>
      <c r="T1761" t="n">
        <v>0</v>
      </c>
      <c r="V1761" t="n">
        <v>0</v>
      </c>
    </row>
    <row r="1762">
      <c r="A1762">
        <f>Skills!A19</f>
        <v/>
      </c>
      <c r="B1762">
        <f>Skills!B19</f>
        <v/>
      </c>
      <c r="C1762">
        <f>Inputs!$B$3&gt;=15</f>
        <v/>
      </c>
      <c r="D1762">
        <f>IF(Skills!C19=1,60+Inputs!$B$25+Inputs!$B$29,IF(Skills!C19=2,90+Inputs!$B$26+Inputs!$B$29,IF(Skills!C19=3,120+Inputs!$B$27+Inputs!$B$29,MAX(0,(Inputs!$B$3-100)*3)+Inputs!$B$28+Inputs!$B$29)))</f>
        <v/>
      </c>
      <c r="E1762">
        <f>INDEX(FactorTable!$B$2:$Y$301, MATCH(ROUND(MIN(300,MAX(1,D1762)),0), FactorTable!$A$2:$A$301,0), Skills!M19+1)</f>
        <v/>
      </c>
      <c r="F1762">
        <f>IF(Skills!N19=TRUE,(Skills!L19/10)*(E1762/1000),Skills!L19/10)+Skills!O19</f>
        <v/>
      </c>
      <c r="G1762">
        <f>Skills!G19*IF(Skills!H19&gt;0,Skills!I19/Skills!H19,1)</f>
        <v/>
      </c>
      <c r="H1762">
        <f>1-(1-Skills!J19/100)^Skills!K19</f>
        <v/>
      </c>
      <c r="I1762" t="inlineStr">
        <is>
          <t>1</t>
        </is>
      </c>
      <c r="J1762" t="inlineStr"/>
      <c r="K1762" t="inlineStr"/>
      <c r="L1762" t="inlineStr"/>
      <c r="M1762" t="inlineStr"/>
      <c r="N1762" t="inlineStr"/>
      <c r="O1762">
        <f>(1-Summary!$B$11)*T1762+Summary!$B$11*V1762</f>
        <v/>
      </c>
      <c r="P1762">
        <f>IF(B1784=0,0,O1762/B1784)</f>
        <v/>
      </c>
      <c r="Q1762" t="n">
        <v>0</v>
      </c>
      <c r="R1762" t="n">
        <v>0</v>
      </c>
      <c r="S1762">
        <f>IFERROR(O1762/N1762,0)</f>
        <v/>
      </c>
      <c r="T1762" t="n">
        <v>0</v>
      </c>
      <c r="V1762" t="n">
        <v>0</v>
      </c>
    </row>
    <row r="1763">
      <c r="A1763">
        <f>Skills!A20</f>
        <v/>
      </c>
      <c r="B1763">
        <f>Skills!B20</f>
        <v/>
      </c>
      <c r="C1763">
        <f>Inputs!$B$3&gt;=10</f>
        <v/>
      </c>
      <c r="D1763">
        <f>IF(Skills!C20=1,60+Inputs!$B$25+Inputs!$B$29,IF(Skills!C20=2,90+Inputs!$B$26+Inputs!$B$29,IF(Skills!C20=3,120+Inputs!$B$27+Inputs!$B$29,MAX(0,(Inputs!$B$3-100)*3)+Inputs!$B$28+Inputs!$B$29)))</f>
        <v/>
      </c>
      <c r="E1763">
        <f>INDEX(FactorTable!$B$2:$Y$301, MATCH(ROUND(MIN(300,MAX(1,D1763)),0), FactorTable!$A$2:$A$301,0), Skills!M20+1)</f>
        <v/>
      </c>
      <c r="F1763">
        <f>IF(Skills!N20=TRUE,(Skills!L20/10)*(E1763/1000),Skills!L20/10)+Skills!O20</f>
        <v/>
      </c>
      <c r="G1763">
        <f>Skills!G20*IF(Skills!H20&gt;0,Skills!I20/Skills!H20,1)</f>
        <v/>
      </c>
      <c r="H1763">
        <f>1-(1-Skills!J20/100)^Skills!K20</f>
        <v/>
      </c>
      <c r="I1763" t="inlineStr">
        <is>
          <t>1</t>
        </is>
      </c>
      <c r="J1763" t="inlineStr"/>
      <c r="K1763" t="inlineStr"/>
      <c r="L1763" t="inlineStr"/>
      <c r="M1763" t="inlineStr"/>
      <c r="N1763" t="inlineStr"/>
      <c r="O1763">
        <f>(1-Summary!$B$11)*T1763+Summary!$B$11*V1763</f>
        <v/>
      </c>
      <c r="P1763">
        <f>IF(B1784=0,0,O1763/B1784)</f>
        <v/>
      </c>
      <c r="Q1763" t="n">
        <v>0</v>
      </c>
      <c r="R1763" t="n">
        <v>0</v>
      </c>
      <c r="S1763">
        <f>IFERROR(O1763/N1763,0)</f>
        <v/>
      </c>
      <c r="T1763" t="n">
        <v>0</v>
      </c>
      <c r="V1763" t="n">
        <v>0</v>
      </c>
    </row>
    <row r="1764">
      <c r="A1764">
        <f>Skills!A21</f>
        <v/>
      </c>
      <c r="B1764">
        <f>Skills!B21</f>
        <v/>
      </c>
      <c r="C1764">
        <f>Inputs!$B$3&gt;=33</f>
        <v/>
      </c>
      <c r="D1764">
        <f>IF(Skills!C21=1,60+Inputs!$B$25+Inputs!$B$29,IF(Skills!C21=2,90+Inputs!$B$26+Inputs!$B$29,IF(Skills!C21=3,120+Inputs!$B$27+Inputs!$B$29,MAX(0,(Inputs!$B$3-100)*3)+Inputs!$B$28+Inputs!$B$29)))</f>
        <v/>
      </c>
      <c r="E1764">
        <f>INDEX(FactorTable!$B$2:$Y$301, MATCH(ROUND(MIN(300,MAX(1,D1764)),0), FactorTable!$A$2:$A$301,0), Skills!M21+1)</f>
        <v/>
      </c>
      <c r="F1764">
        <f>IF(Skills!N21=TRUE,(Skills!L21/10)*(E1764/1000),Skills!L21/10)+Skills!O21</f>
        <v/>
      </c>
      <c r="G1764">
        <f>Skills!G21*IF(Skills!H21&gt;0,Skills!I21/Skills!H21,1)</f>
        <v/>
      </c>
      <c r="H1764">
        <f>1-(1-Skills!J21/100)^Skills!K21</f>
        <v/>
      </c>
      <c r="I1764" t="inlineStr">
        <is>
          <t>1</t>
        </is>
      </c>
      <c r="J1764" t="inlineStr"/>
      <c r="K1764" t="inlineStr"/>
      <c r="L1764" t="inlineStr"/>
      <c r="M1764" t="inlineStr"/>
      <c r="N1764" t="inlineStr"/>
      <c r="O1764">
        <f>(1-Summary!$B$11)*T1764+Summary!$B$11*V1764</f>
        <v/>
      </c>
      <c r="P1764">
        <f>IF(B1784=0,0,O1764/B1784)</f>
        <v/>
      </c>
      <c r="Q1764" t="n">
        <v>0</v>
      </c>
      <c r="R1764" t="n">
        <v>0</v>
      </c>
      <c r="S1764">
        <f>IFERROR(O1764/N1764,0)</f>
        <v/>
      </c>
      <c r="T1764" t="n">
        <v>0</v>
      </c>
      <c r="V1764" t="n">
        <v>0</v>
      </c>
    </row>
    <row r="1765">
      <c r="A1765">
        <f>Skills!A22</f>
        <v/>
      </c>
      <c r="B1765">
        <f>Skills!B22</f>
        <v/>
      </c>
      <c r="C1765">
        <f>Inputs!$B$3&gt;=43</f>
        <v/>
      </c>
      <c r="D1765">
        <f>IF(Skills!C22=1,60+Inputs!$B$25+Inputs!$B$29,IF(Skills!C22=2,90+Inputs!$B$26+Inputs!$B$29,IF(Skills!C22=3,120+Inputs!$B$27+Inputs!$B$29,MAX(0,(Inputs!$B$3-100)*3)+Inputs!$B$28+Inputs!$B$29)))</f>
        <v/>
      </c>
      <c r="E1765">
        <f>INDEX(FactorTable!$B$2:$Y$301, MATCH(ROUND(MIN(300,MAX(1,D1765)),0), FactorTable!$A$2:$A$301,0), Skills!M22+1)</f>
        <v/>
      </c>
      <c r="F1765">
        <f>IF(Skills!N22=TRUE,(Skills!L22/10)*(E1765/1000),Skills!L22/10)+Skills!O22</f>
        <v/>
      </c>
      <c r="G1765">
        <f>Skills!G22*IF(Skills!H22&gt;0,Skills!I22/Skills!H22,1)</f>
        <v/>
      </c>
      <c r="H1765">
        <f>1-(1-Skills!J22/100)^Skills!K22</f>
        <v/>
      </c>
      <c r="I1765" t="inlineStr">
        <is>
          <t>1</t>
        </is>
      </c>
      <c r="J1765" t="inlineStr"/>
      <c r="K1765" t="inlineStr"/>
      <c r="L1765" t="inlineStr"/>
      <c r="M1765" t="inlineStr"/>
      <c r="N1765" t="inlineStr"/>
      <c r="O1765">
        <f>(1-Summary!$B$11)*T1765+Summary!$B$11*V1765</f>
        <v/>
      </c>
      <c r="P1765">
        <f>IF(B1784=0,0,O1765/B1784)</f>
        <v/>
      </c>
      <c r="Q1765" t="n">
        <v>0</v>
      </c>
      <c r="R1765" t="n">
        <v>0</v>
      </c>
      <c r="S1765">
        <f>IFERROR(O1765/N1765,0)</f>
        <v/>
      </c>
      <c r="T1765" t="n">
        <v>0</v>
      </c>
      <c r="V1765" t="n">
        <v>0</v>
      </c>
    </row>
    <row r="1766">
      <c r="A1766">
        <f>Skills!A23</f>
        <v/>
      </c>
      <c r="B1766">
        <f>Skills!B23</f>
        <v/>
      </c>
      <c r="C1766">
        <f>Inputs!$B$3&gt;=38</f>
        <v/>
      </c>
      <c r="D1766">
        <f>IF(Skills!C23=1,60+Inputs!$B$25+Inputs!$B$29,IF(Skills!C23=2,90+Inputs!$B$26+Inputs!$B$29,IF(Skills!C23=3,120+Inputs!$B$27+Inputs!$B$29,MAX(0,(Inputs!$B$3-100)*3)+Inputs!$B$28+Inputs!$B$29)))</f>
        <v/>
      </c>
      <c r="E1766">
        <f>INDEX(FactorTable!$B$2:$Y$301, MATCH(ROUND(MIN(300,MAX(1,D1766)),0), FactorTable!$A$2:$A$301,0), Skills!M23+1)</f>
        <v/>
      </c>
      <c r="F1766">
        <f>IF(Skills!N23=TRUE,(Skills!L23/10)*(E1766/1000),Skills!L23/10)+Skills!O23</f>
        <v/>
      </c>
      <c r="G1766">
        <f>Skills!G23*IF(Skills!H23&gt;0,Skills!I23/Skills!H23,1)</f>
        <v/>
      </c>
      <c r="H1766">
        <f>1-(1-Skills!J23/100)^Skills!K23</f>
        <v/>
      </c>
      <c r="I1766" t="inlineStr">
        <is>
          <t>1</t>
        </is>
      </c>
      <c r="J1766" t="inlineStr"/>
      <c r="K1766" t="inlineStr"/>
      <c r="L1766" t="inlineStr"/>
      <c r="M1766" t="inlineStr"/>
      <c r="N1766" t="inlineStr"/>
      <c r="O1766">
        <f>(1-Summary!$B$11)*T1766+Summary!$B$11*V1766</f>
        <v/>
      </c>
      <c r="P1766">
        <f>IF(B1784=0,0,O1766/B1784)</f>
        <v/>
      </c>
      <c r="Q1766" t="n">
        <v>0</v>
      </c>
      <c r="R1766" t="n">
        <v>0</v>
      </c>
      <c r="S1766">
        <f>IFERROR(O1766/N1766,0)</f>
        <v/>
      </c>
      <c r="T1766" t="n">
        <v>0</v>
      </c>
      <c r="V1766" t="n">
        <v>0</v>
      </c>
    </row>
    <row r="1767">
      <c r="A1767">
        <f>Skills!A24</f>
        <v/>
      </c>
      <c r="B1767">
        <f>Skills!B24</f>
        <v/>
      </c>
      <c r="C1767">
        <f>Inputs!$B$3&gt;=40</f>
        <v/>
      </c>
      <c r="D1767">
        <f>IF(Skills!C24=1,60+Inputs!$B$25+Inputs!$B$29,IF(Skills!C24=2,90+Inputs!$B$26+Inputs!$B$29,IF(Skills!C24=3,120+Inputs!$B$27+Inputs!$B$29,MAX(0,(Inputs!$B$3-100)*3)+Inputs!$B$28+Inputs!$B$29)))</f>
        <v/>
      </c>
      <c r="E1767">
        <f>INDEX(FactorTable!$B$2:$Y$301, MATCH(ROUND(MIN(300,MAX(1,D1767)),0), FactorTable!$A$2:$A$301,0), Skills!M24+1)</f>
        <v/>
      </c>
      <c r="F1767">
        <f>IF(Skills!N24=TRUE,(Skills!L24/10)*(E1767/1000),Skills!L24/10)+Skills!O24</f>
        <v/>
      </c>
      <c r="G1767">
        <f>Skills!G24*IF(Skills!H24&gt;0,Skills!I24/Skills!H24,1)</f>
        <v/>
      </c>
      <c r="H1767">
        <f>1-(1-Skills!J24/100)^Skills!K24</f>
        <v/>
      </c>
      <c r="I1767" t="inlineStr">
        <is>
          <t>1</t>
        </is>
      </c>
      <c r="J1767" t="inlineStr"/>
      <c r="K1767" t="inlineStr"/>
      <c r="L1767" t="inlineStr"/>
      <c r="M1767" t="inlineStr"/>
      <c r="N1767" t="inlineStr"/>
      <c r="O1767">
        <f>(1-Summary!$B$11)*T1767+Summary!$B$11*V1767</f>
        <v/>
      </c>
      <c r="P1767">
        <f>IF(B1784=0,0,O1767/B1784)</f>
        <v/>
      </c>
      <c r="Q1767" t="n">
        <v>0</v>
      </c>
      <c r="R1767" t="n">
        <v>0</v>
      </c>
      <c r="S1767">
        <f>IFERROR(O1767/N1767,0)</f>
        <v/>
      </c>
      <c r="T1767" t="n">
        <v>0</v>
      </c>
      <c r="V1767" t="n">
        <v>0</v>
      </c>
    </row>
    <row r="1768">
      <c r="A1768">
        <f>Skills!A25</f>
        <v/>
      </c>
      <c r="B1768">
        <f>Skills!B25</f>
        <v/>
      </c>
      <c r="C1768">
        <f>Inputs!$B$3&gt;=72</f>
        <v/>
      </c>
      <c r="D1768">
        <f>IF(Skills!C25=1,60+Inputs!$B$25+Inputs!$B$29,IF(Skills!C25=2,90+Inputs!$B$26+Inputs!$B$29,IF(Skills!C25=3,120+Inputs!$B$27+Inputs!$B$29,MAX(0,(Inputs!$B$3-100)*3)+Inputs!$B$28+Inputs!$B$29)))</f>
        <v/>
      </c>
      <c r="E1768">
        <f>INDEX(FactorTable!$B$2:$Y$301, MATCH(ROUND(MIN(300,MAX(1,D1768)),0), FactorTable!$A$2:$A$301,0), Skills!M25+1)</f>
        <v/>
      </c>
      <c r="F1768">
        <f>IF(Skills!N25=TRUE,(Skills!L25/10)*(E1768/1000),Skills!L25/10)+Skills!O25</f>
        <v/>
      </c>
      <c r="G1768">
        <f>Skills!G25*IF(Skills!H25&gt;0,Skills!I25/Skills!H25,1)</f>
        <v/>
      </c>
      <c r="H1768">
        <f>1-(1-Skills!J25/100)^Skills!K25</f>
        <v/>
      </c>
      <c r="I1768" t="inlineStr">
        <is>
          <t>1</t>
        </is>
      </c>
      <c r="J1768" t="inlineStr"/>
      <c r="K1768" t="inlineStr"/>
      <c r="L1768" t="inlineStr"/>
      <c r="M1768" t="inlineStr"/>
      <c r="N1768" t="inlineStr"/>
      <c r="O1768">
        <f>(1-Summary!$B$11)*T1768+Summary!$B$11*V1768</f>
        <v/>
      </c>
      <c r="P1768">
        <f>IF(B1784=0,0,O1768/B1784)</f>
        <v/>
      </c>
      <c r="Q1768" t="n">
        <v>0</v>
      </c>
      <c r="R1768" t="n">
        <v>0</v>
      </c>
      <c r="S1768">
        <f>IFERROR(O1768/N1768,0)</f>
        <v/>
      </c>
      <c r="T1768" t="n">
        <v>0</v>
      </c>
      <c r="V1768" t="n">
        <v>0</v>
      </c>
    </row>
    <row r="1769">
      <c r="A1769">
        <f>Skills!A26</f>
        <v/>
      </c>
      <c r="B1769">
        <f>Skills!B26</f>
        <v/>
      </c>
      <c r="C1769">
        <f>Inputs!$B$3&gt;=75</f>
        <v/>
      </c>
      <c r="D1769">
        <f>IF(Skills!C26=1,60+Inputs!$B$25+Inputs!$B$29,IF(Skills!C26=2,90+Inputs!$B$26+Inputs!$B$29,IF(Skills!C26=3,120+Inputs!$B$27+Inputs!$B$29,MAX(0,(Inputs!$B$3-100)*3)+Inputs!$B$28+Inputs!$B$29)))</f>
        <v/>
      </c>
      <c r="E1769">
        <f>INDEX(FactorTable!$B$2:$Y$301, MATCH(ROUND(MIN(300,MAX(1,D1769)),0), FactorTable!$A$2:$A$301,0), Skills!M26+1)</f>
        <v/>
      </c>
      <c r="F1769">
        <f>IF(Skills!N26=TRUE,(Skills!L26/10)*(E1769/1000),Skills!L26/10)+Skills!O26</f>
        <v/>
      </c>
      <c r="G1769">
        <f>Skills!G26*IF(Skills!H26&gt;0,Skills!I26/Skills!H26,1)</f>
        <v/>
      </c>
      <c r="H1769">
        <f>1-(1-Skills!J26/100)^Skills!K26</f>
        <v/>
      </c>
      <c r="I1769" t="inlineStr">
        <is>
          <t>1</t>
        </is>
      </c>
      <c r="J1769" t="inlineStr"/>
      <c r="K1769" t="inlineStr"/>
      <c r="L1769" t="inlineStr"/>
      <c r="M1769" t="inlineStr"/>
      <c r="N1769" t="inlineStr"/>
      <c r="O1769">
        <f>(1-Summary!$B$11)*T1769+Summary!$B$11*V1769</f>
        <v/>
      </c>
      <c r="P1769">
        <f>IF(B1784=0,0,O1769/B1784)</f>
        <v/>
      </c>
      <c r="Q1769" t="n">
        <v>0</v>
      </c>
      <c r="R1769" t="n">
        <v>0</v>
      </c>
      <c r="S1769">
        <f>IFERROR(O1769/N1769,0)</f>
        <v/>
      </c>
      <c r="T1769" t="n">
        <v>0</v>
      </c>
      <c r="V1769" t="n">
        <v>0</v>
      </c>
    </row>
    <row r="1770">
      <c r="A1770">
        <f>Skills!A27</f>
        <v/>
      </c>
      <c r="B1770">
        <f>Skills!B27</f>
        <v/>
      </c>
      <c r="C1770">
        <f>Inputs!$B$3&gt;=117</f>
        <v/>
      </c>
      <c r="D1770">
        <f>IF(Skills!C27=1,60+Inputs!$B$25+Inputs!$B$29,IF(Skills!C27=2,90+Inputs!$B$26+Inputs!$B$29,IF(Skills!C27=3,120+Inputs!$B$27+Inputs!$B$29,MAX(0,(Inputs!$B$3-100)*3)+Inputs!$B$28+Inputs!$B$29)))</f>
        <v/>
      </c>
      <c r="E1770">
        <f>INDEX(FactorTable!$B$2:$Y$301, MATCH(ROUND(MIN(300,MAX(1,D1770)),0), FactorTable!$A$2:$A$301,0), Skills!M27+1)</f>
        <v/>
      </c>
      <c r="F1770">
        <f>IF(Skills!N27=TRUE,(Skills!L27/10)*(E1770/1000),Skills!L27/10)+Skills!O27</f>
        <v/>
      </c>
      <c r="G1770">
        <f>Skills!G27*IF(Skills!H27&gt;0,Skills!I27/Skills!H27,1)</f>
        <v/>
      </c>
      <c r="H1770">
        <f>1-(1-Skills!J27/100)^Skills!K27</f>
        <v/>
      </c>
      <c r="I1770" t="inlineStr">
        <is>
          <t>1</t>
        </is>
      </c>
      <c r="J1770" t="inlineStr"/>
      <c r="K1770" t="inlineStr"/>
      <c r="L1770" t="inlineStr"/>
      <c r="M1770" t="inlineStr"/>
      <c r="N1770" t="inlineStr"/>
      <c r="O1770">
        <f>(1-Summary!$B$11)*T1770+Summary!$B$11*V1770</f>
        <v/>
      </c>
      <c r="P1770">
        <f>IF(B1784=0,0,O1770/B1784)</f>
        <v/>
      </c>
      <c r="Q1770" t="n">
        <v>0</v>
      </c>
      <c r="R1770" t="n">
        <v>0</v>
      </c>
      <c r="S1770">
        <f>IFERROR(O1770/N1770,0)</f>
        <v/>
      </c>
      <c r="T1770" t="n">
        <v>0</v>
      </c>
      <c r="V1770" t="n">
        <v>0</v>
      </c>
    </row>
    <row r="1771">
      <c r="A1771">
        <f>Skills!A28</f>
        <v/>
      </c>
      <c r="B1771">
        <f>Skills!B28</f>
        <v/>
      </c>
      <c r="C1771">
        <f>TRUE</f>
        <v/>
      </c>
      <c r="D1771">
        <f>IF(Skills!C28=1,60+Inputs!$B$25+Inputs!$B$29,IF(Skills!C28=2,90+Inputs!$B$26+Inputs!$B$29,IF(Skills!C28=3,120+Inputs!$B$27+Inputs!$B$29,MAX(0,(Inputs!$B$3-100)*3)+Inputs!$B$28+Inputs!$B$29)))</f>
        <v/>
      </c>
      <c r="E1771">
        <f>INDEX(FactorTable!$B$2:$Y$301, MATCH(ROUND(MIN(300,MAX(1,D1771)),0), FactorTable!$A$2:$A$301,0), Skills!M28+1)</f>
        <v/>
      </c>
      <c r="F1771">
        <f>IF(Skills!N28=TRUE,(Skills!L28/10)*(E1771/1000),Skills!L28/10)+Skills!O28</f>
        <v/>
      </c>
      <c r="G1771">
        <f>Skills!G28*IF(Skills!H28&gt;0,Skills!I28/Skills!H28,1)</f>
        <v/>
      </c>
      <c r="H1771">
        <f>1-(1-Skills!J28/100)^Skills!K28</f>
        <v/>
      </c>
      <c r="I1771" t="inlineStr">
        <is>
          <t>1</t>
        </is>
      </c>
      <c r="J1771" t="inlineStr"/>
      <c r="K1771" t="inlineStr"/>
      <c r="L1771" t="inlineStr"/>
      <c r="M1771" t="inlineStr"/>
      <c r="N1771" t="inlineStr"/>
      <c r="O1771">
        <f>(1-Summary!$B$11)*T1771+Summary!$B$11*V1771</f>
        <v/>
      </c>
      <c r="P1771">
        <f>IF(B1784=0,0,O1771/B1784)</f>
        <v/>
      </c>
      <c r="Q1771">
        <f>IFERROR(1/(IF(Inputs!$B$38="pvp",15,MAX(0.1,Skills!D28-IF(Skills!E28=TRUE,Inputs!$B$32,0)))*(1-IF(AND(ArtifactsInput!$M$27,Inputs!$B$4="Chapter Hunt"),CHOOSE(ArtifactsInput!$N$27+1,20,24,28,32,36,40),0)/100)),0)</f>
        <v/>
      </c>
      <c r="R1771">
        <f>IF(AND(Inputs!$B$38&lt;&gt;"pvp",Inputs!$B$43&gt;0),IF(Inputs!$B$43&lt;=0,0,(INT(Inputs!$B$43/(IF(Inputs!$B$38="pvp",15,MAX(0.1,Skills!D28-IF(Skills!E28=TRUE,Inputs!$B$32,0)))*(1-IF(AND(ArtifactsInput!$M$27,Inputs!$B$4="Chapter Hunt"),CHOOSE(ArtifactsInput!$N$27+1,20,24,28,32,36,40),0)/100)))+1)),0)</f>
        <v/>
      </c>
      <c r="S1771">
        <f>IFERROR(O1771/N1771,0)</f>
        <v/>
      </c>
      <c r="T1771" t="n">
        <v>0</v>
      </c>
      <c r="V1771" t="n">
        <v>0</v>
      </c>
    </row>
    <row r="1773">
      <c r="A1773" t="inlineStr">
        <is>
          <t>Attack% Bucket Multiplier</t>
        </is>
      </c>
      <c r="B1773">
        <f>(1+(((C1760=TRUE)*F1760*5/7)+((C1767=TRUE)*(F1767-Calc!F24))+(IF(ArtifactsInput!$M$21,CHOOSE(ArtifactsInput!$N$21+1,25,30,35,40,45,50)*(IF(OR(Inputs!$B$4="Chapter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74">
      <c r="A1774" t="inlineStr">
        <is>
          <t>Global Crit Rate Bonus %</t>
        </is>
      </c>
      <c r="B1774" t="n">
        <v>0</v>
      </c>
    </row>
    <row r="1775">
      <c r="A1775" t="inlineStr">
        <is>
          <t>Attack Speed Buff Bonus % (Nimble Feet, duty-cycle averaged)</t>
        </is>
      </c>
      <c r="B1775">
        <f>((C1771=TRUE)*F1771*IF(AND(Inputs!$B$38&lt;&gt;"pvp",Inputs!$B$43&gt;0),(((R1771-1)*(Skills!T28*(1+Inputs!$B$34/100))+MIN((Skills!T28*(1+Inputs!$B$34/100)),MAX(0,Inputs!$B$43-((R1771-1)*Skills!D28))))/Inputs!$B$43),IF(Inputs!$B$38="pvp",MIN((Skills!T28*(1+Inputs!$B$34/100)),15)/15,(Skills!T28*(1+Inputs!$B$34/100))/Skills!D28)))</f>
        <v/>
      </c>
    </row>
    <row r="1776">
      <c r="A1776" t="inlineStr">
        <is>
          <t>Actions Per Second</t>
        </is>
      </c>
      <c r="B1776">
        <f>1+MIN(150,150*(1-(1-(Inputs!$B$11+((C1763=TRUE)*(F1763-Calc!F20))+((C1764=TRUE)*(F1764-Calc!F21)))/150)*(1-B1775/150)))/100</f>
        <v/>
      </c>
    </row>
    <row r="1777">
      <c r="A1777" t="inlineStr">
        <is>
          <t>Skill + Buff Cast Rate</t>
        </is>
      </c>
      <c r="B1777">
        <f>IF(AND(Inputs!$B$38&lt;&gt;"pvp",Inputs!$B$43&gt;0),SUMPRODUCT((Skills!E2:E28=TRUE)*(C1745:C1771=TRUE)*R1745:R1771*Skills!F2:F28)/Inputs!$B$43,SUMPRODUCT((Skills!E2:E28=TRUE)*(C1745:C1771=TRUE)*Q1745:Q1771*Skills!F2:F28))</f>
        <v/>
      </c>
    </row>
    <row r="1778">
      <c r="A1778" t="inlineStr">
        <is>
          <t>Eight-Legs Easton Casts Per Second</t>
        </is>
      </c>
      <c r="B1778">
        <f>MAX(0,B1776-B1777)</f>
        <v/>
      </c>
    </row>
    <row r="1779">
      <c r="A1779" t="inlineStr">
        <is>
          <t>Global Critical Damage Bonus % (unused)</t>
        </is>
      </c>
      <c r="B1779" t="n">
        <v>0</v>
      </c>
    </row>
    <row r="1780">
      <c r="A1780" t="inlineStr">
        <is>
          <t>Global Final Damage Bonus % (Jolly Roger + Ahoy Mateys - Final Damage proc)</t>
        </is>
      </c>
      <c r="B1780">
        <f>((C1761=TRUE)*F1761*IF(AND(Inputs!$B$38&lt;&gt;"pvp",Inputs!$B$43&gt;0),(((R1761-1)*(Skills!T18*(1+Inputs!$B$34/100))+MIN((Skills!T18*(1+Inputs!$B$34/100)),MAX(0,Inputs!$B$43-((R1761-1)*Skills!D18))))/Inputs!$B$43),IF(Inputs!$B$38="pvp",MIN((Skills!T18*(1+Inputs!$B$34/100)),15)/15,(Skills!T18*(1+Inputs!$B$34/100))/Skills!D18)))+IF(Inputs!$B$3&gt;=122,20*IF(Inputs!$B$38="pvp",MIN((20*(1+Inputs!$B$34/100)),15)/15,(20*(1+Inputs!$B$34/100))/Skills!D4),0)</f>
        <v/>
      </c>
    </row>
    <row r="1781">
      <c r="A1781" t="inlineStr">
        <is>
          <t>Buff-Casting Startup Delay (s, fixed-duration only)</t>
        </is>
      </c>
      <c r="B1781">
        <f>IF(AND(Inputs!$B$38&lt;&gt;"pvp",Inputs!$B$43&gt;0),SUMPRODUCT((Skills!T2:T28&gt;0)*(Skills!E2:E28=TRUE)*(C1745:C1771=TRUE))/B1776,0)</f>
        <v/>
      </c>
    </row>
    <row r="1782">
      <c r="A1782" t="inlineStr">
        <is>
          <t>Boss-Only Total DPS (this block's swept value)</t>
        </is>
      </c>
      <c r="B1782">
        <f>SUM(T1745:T1771)</f>
        <v/>
      </c>
    </row>
    <row r="1783">
      <c r="A1783" t="inlineStr">
        <is>
          <t>Normal-Only Total DPS (this block's swept value)</t>
        </is>
      </c>
      <c r="B1783">
        <f>SUM(V1745:V1771)</f>
        <v/>
      </c>
    </row>
    <row r="1784">
      <c r="A1784" s="6" t="inlineStr">
        <is>
          <t>TOTAL DPS</t>
        </is>
      </c>
      <c r="B1784" s="6">
        <f>SUM(O1745:O1771)</f>
        <v/>
      </c>
    </row>
    <row r="1787">
      <c r="A1787" s="6" t="inlineStr">
        <is>
          <t>Stat: Chalice (Equip)</t>
        </is>
      </c>
    </row>
    <row r="1788">
      <c r="A1788" s="5" t="inlineStr">
        <is>
          <t>Key</t>
        </is>
      </c>
      <c r="B1788" s="5" t="inlineStr">
        <is>
          <t>Name</t>
        </is>
      </c>
      <c r="C1788" s="5" t="inlineStr">
        <is>
          <t>Unlocked</t>
        </is>
      </c>
      <c r="D1788" s="5" t="inlineStr">
        <is>
          <t>InputLevel</t>
        </is>
      </c>
      <c r="E1788" s="5" t="inlineStr">
        <is>
          <t>Factor</t>
        </is>
      </c>
      <c r="F1788" s="5" t="inlineStr">
        <is>
          <t>CoefficientPercent</t>
        </is>
      </c>
      <c r="G1788" s="5" t="inlineStr">
        <is>
          <t>EffectiveHits</t>
        </is>
      </c>
      <c r="H1788" s="5" t="inlineStr">
        <is>
          <t>ProcProbability</t>
        </is>
      </c>
      <c r="I1788" s="5" t="inlineStr">
        <is>
          <t>MapleHeroMultiplier</t>
        </is>
      </c>
      <c r="J1788" s="5" t="inlineStr">
        <is>
          <t>BaseDamage</t>
        </is>
      </c>
      <c r="K1788" s="5" t="inlineStr">
        <is>
          <t>BaseHitDamage</t>
        </is>
      </c>
      <c r="L1788" s="5" t="inlineStr">
        <is>
          <t>NonCritAvg</t>
        </is>
      </c>
      <c r="M1788" s="5" t="inlineStr">
        <is>
          <t>CritAvg</t>
        </is>
      </c>
      <c r="N1788" s="5" t="inlineStr">
        <is>
          <t>ExpectedDamage(perHit)</t>
        </is>
      </c>
      <c r="O1788" s="5" t="inlineStr">
        <is>
          <t>DPS</t>
        </is>
      </c>
      <c r="P1788" s="5" t="inlineStr">
        <is>
          <t>% of Total</t>
        </is>
      </c>
      <c r="Q1788" s="5" t="inlineStr">
        <is>
          <t>InvCooldown</t>
        </is>
      </c>
      <c r="R1788" s="5" t="inlineStr">
        <is>
          <t>CastsInFight</t>
        </is>
      </c>
      <c r="S1788" s="5" t="inlineStr">
        <is>
          <t>HitRate(perSec)</t>
        </is>
      </c>
      <c r="U1788" t="inlineStr">
        <is>
          <t>helpers</t>
        </is>
      </c>
    </row>
    <row r="1789">
      <c r="A1789">
        <f>Skills!A2</f>
        <v/>
      </c>
      <c r="B1789">
        <f>Skills!B2</f>
        <v/>
      </c>
      <c r="C1789">
        <f>Inputs!$B$3&gt;=100</f>
        <v/>
      </c>
      <c r="D1789" t="inlineStr"/>
      <c r="E1789" t="inlineStr"/>
      <c r="F1789">
        <f>U1791+Skills!O2</f>
        <v/>
      </c>
      <c r="G1789">
        <f>Skills!G2*IF(Skills!H2&gt;0,Skills!I2/Skills!H2,1)</f>
        <v/>
      </c>
      <c r="H1789">
        <f>1-(1-Skills!J2/100)^Skills!K2</f>
        <v/>
      </c>
      <c r="I1789" t="inlineStr">
        <is>
          <t>1</t>
        </is>
      </c>
      <c r="J1789">
        <f>((Inputs!$B$6*(1+Inputs!$B$7/100))+(((Inputs!$B$12*(1+Inputs!$B$13/100))-(Inputs!$B$12*(1+Inputs!$B$13/100)))+0.25*(Inputs!$B$14-Inputs!$B$14))*(1+Inputs!$B$7/100))*(F1789/100)</f>
        <v/>
      </c>
      <c r="K1789">
        <f>J1789*(1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1789)</f>
        <v/>
      </c>
      <c r="L1789">
        <f>K1789*(MIN(Inputs!$B$22+((C1809=TRUE)*(F1809-Calc!F22)),(Inputs!$B$23+0+(IF(ArtifactsInput!$M$15,CHOOSE(ArtifactsInput!$N$15+1,25,30,35,40,45,50)/100*(Inputs!$B$11-Inputs!$B$11),0))))/100+(Inputs!$B$23+0+(IF(ArtifactsInput!$M$15,CHOOSE(ArtifactsInput!$N$15+1,25,30,35,40,45,50)/100*(Inputs!$B$11-Inputs!$B$11),0)))/100)/2</f>
        <v/>
      </c>
      <c r="M1789">
        <f>L1789*(1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9">
        <f>L1789*(1-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1789*(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9">
        <f>(1-Summary!$B$11)*T1789+Summary!$B$11*V1789</f>
        <v/>
      </c>
      <c r="P1789">
        <f>IF(B1828=0,0,O1789/B1828)</f>
        <v/>
      </c>
      <c r="Q1789" t="n">
        <v>0</v>
      </c>
      <c r="R1789" t="n">
        <v>0</v>
      </c>
      <c r="S1789">
        <f>IFERROR(O1789/N1789,0)</f>
        <v/>
      </c>
      <c r="T1789">
        <f>IF(C1789,(Skills!G2*N1789*B1822)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1789*(1-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1789*(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1789*(1-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1789*(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89">
        <f>MAX(0,(Inputs!$B$3-100)*3)+Inputs!$B$28+Inputs!$B$29</f>
        <v/>
      </c>
      <c r="V1789">
        <f>IF(C1789,(Skills!G2*N1789*B1822)*IF(Inputs!$B$38="pvp",1,(1+(Inputs!$B$21+Skills!Q2+(IF(ArtifactsInput!$M$33,CHOOSE(ArtifactsInput!$N$33+1,30,36,42,48,54,60),0))+(IF(AND(ArtifactsInput!$M$35,Inputs!$B$4&lt;&gt;"Chapter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0">
      <c r="A1790">
        <f>Skills!A3</f>
        <v/>
      </c>
      <c r="B1790">
        <f>Skills!B3</f>
        <v/>
      </c>
      <c r="C1790">
        <f>Inputs!$B$3&gt;=35</f>
        <v/>
      </c>
      <c r="D1790">
        <f>IF(Skills!C3=1,60+Inputs!$B$25+Inputs!$B$29,IF(Skills!C3=2,90+Inputs!$B$26+Inputs!$B$29,IF(Skills!C3=3,120+Inputs!$B$27+Inputs!$B$29,MAX(0,(Inputs!$B$3-100)*3)+Inputs!$B$28+Inputs!$B$29)))</f>
        <v/>
      </c>
      <c r="E1790">
        <f>INDEX(FactorTable!$B$2:$Y$301, MATCH(ROUND(MIN(300,MAX(1,D1790)),0), FactorTable!$A$2:$A$301,0), Skills!M3+1)</f>
        <v/>
      </c>
      <c r="F1790">
        <f>IF(Skills!N3=TRUE,(Skills!L3/10)*(E1790/1000),Skills!L3/10)+Skills!O3</f>
        <v/>
      </c>
      <c r="G1790">
        <f>Skills!G3*IF(Skills!H3&gt;0,Skills!I3/Skills!H3,1)</f>
        <v/>
      </c>
      <c r="H1790">
        <f>1-(1-Skills!J3/100)^Skills!K3</f>
        <v/>
      </c>
      <c r="I1790" t="inlineStr">
        <is>
          <t>1</t>
        </is>
      </c>
      <c r="J1790">
        <f>((Inputs!$B$6*(1+Inputs!$B$7/100))+(((Inputs!$B$12*(1+Inputs!$B$13/100))-(Inputs!$B$12*(1+Inputs!$B$13/100)))+0.25*(Inputs!$B$14-Inputs!$B$14))*(1+Inputs!$B$7/100))*(F1790/100)</f>
        <v/>
      </c>
      <c r="K1790">
        <f>J1790*(1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1802=TRUE,F1802,0)/100)*(1+(IF(Skills!A3="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1790)</f>
        <v/>
      </c>
      <c r="L1790">
        <f>K1790*(MIN(Inputs!$B$22+((C1809=TRUE)*(F1809-Calc!F22)),(Inputs!$B$23+0+(IF(ArtifactsInput!$M$15,CHOOSE(ArtifactsInput!$N$15+1,25,30,35,40,45,50)/100*(Inputs!$B$11-Inputs!$B$11),0))))/100+(Inputs!$B$23+0+(IF(ArtifactsInput!$M$15,CHOOSE(ArtifactsInput!$N$15+1,25,30,35,40,45,50)/100*(Inputs!$B$11-Inputs!$B$11),0)))/100)/2</f>
        <v/>
      </c>
      <c r="M1790">
        <f>L1790*(1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0">
        <f>L1790*(1-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1790*(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0">
        <f>(1-Summary!$B$11)*T1790+Summary!$B$11*V1790</f>
        <v/>
      </c>
      <c r="P1790">
        <f>IF(B1828=0,0,O1790/B1828)</f>
        <v/>
      </c>
      <c r="Q1790">
        <f>IFERROR(1/(IF(Inputs!$B$38="pvp",15,MAX(0.1,Skills!D3-IF(Skills!E3=TRUE,Inputs!$B$32,0)))*(1-IF(AND(ArtifactsInput!$M$27,Inputs!$B$4="Chapter Hunt"),CHOOSE(ArtifactsInput!$N$27+1,20,24,28,32,36,40),0)/100)),0)</f>
        <v/>
      </c>
      <c r="R1790">
        <f>IF(AND(Inputs!$B$38&lt;&gt;"pvp",Inputs!$B$43&gt;0),IF(MAX(0,Inputs!$B$43-B1825)&lt;=0,0,(INT(MAX(0,Inputs!$B$43-B1825)/(IF(Inputs!$B$38="pvp",15,MAX(0.1,Skills!D3-IF(Skills!E3=TRUE,Inputs!$B$32,0)))*(1-IF(AND(ArtifactsInput!$M$27,Inputs!$B$4="Chapter Hunt"),CHOOSE(ArtifactsInput!$N$27+1,20,24,28,32,36,40),0)/100)))+1)),0)</f>
        <v/>
      </c>
      <c r="S1790">
        <f>IFERROR(O1790/N1790,0)</f>
        <v/>
      </c>
      <c r="T1790">
        <f>IF(C1790,(H1790*N1790*IF(AND(Inputs!$B$38&lt;&gt;"pvp",Inputs!$B$43&gt;0),((Skills!G3*((R1790-1)*IF(Skills!H3&gt;0,Skills!I3/Skills!H3,1)+IF(Skills!H3&gt;0,MIN(Skills!I3,MAX(0,MAX(0,Inputs!$B$43-B1825)-((R1790-1)*(IF(Inputs!$B$38="pvp",15,MAX(0.1,Skills!D3-IF(Skills!E3=TRUE,Inputs!$B$32,0)))*(1-IF(AND(ArtifactsInput!$M$27,Inputs!$B$4="Chapter Hunt"),CHOOSE(ArtifactsInput!$N$27+1,20,24,28,32,36,40),0)/100)))))/Skills!H3,1)))/Inputs!$B$43),G1790*Q1790)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1790*(1-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1790*(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1790*(1-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1790*(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0">
        <f>INDEX(FactorTable!$B$2:$Y$301, MATCH(ROUND(MIN(300,MAX(1,U1789)),0), FactorTable!$A$2:$A$301,0), 22)</f>
        <v/>
      </c>
      <c r="V1790">
        <f>IF(C1790,(H1790*N1790*IF(AND(Inputs!$B$38&lt;&gt;"pvp",Inputs!$B$43&gt;0),((Skills!G3*((R1790-1)*IF(Skills!H3&gt;0,Skills!I3/Skills!H3,1)+IF(Skills!H3&gt;0,MIN(Skills!I3,MAX(0,MAX(0,Inputs!$B$43-B1825)-((R1790-1)*(IF(Inputs!$B$38="pvp",15,MAX(0.1,Skills!D3-IF(Skills!E3=TRUE,Inputs!$B$32,0)))*(1-IF(AND(ArtifactsInput!$M$27,Inputs!$B$4="Chapter Hunt"),CHOOSE(ArtifactsInput!$N$27+1,20,24,28,32,36,40),0)/100)))))/Skills!H3,1)))/Inputs!$B$43),G1790*Q1790))*IF(Inputs!$B$38="pvp",1,(1+(Inputs!$B$21+Skills!Q3+(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1">
      <c r="A1791">
        <f>Skills!A4</f>
        <v/>
      </c>
      <c r="B1791">
        <f>Skills!B4</f>
        <v/>
      </c>
      <c r="C1791">
        <f>Inputs!$B$3&gt;=40</f>
        <v/>
      </c>
      <c r="D1791">
        <f>IF(Skills!C4=1,60+Inputs!$B$25+Inputs!$B$29,IF(Skills!C4=2,90+Inputs!$B$26+Inputs!$B$29,IF(Skills!C4=3,120+Inputs!$B$27+Inputs!$B$29,MAX(0,(Inputs!$B$3-100)*3)+Inputs!$B$28+Inputs!$B$29)))</f>
        <v/>
      </c>
      <c r="E1791">
        <f>INDEX(FactorTable!$B$2:$Y$301, MATCH(ROUND(MIN(300,MAX(1,D1791)),0), FactorTable!$A$2:$A$301,0), Skills!M4+1)</f>
        <v/>
      </c>
      <c r="F1791">
        <f>IF(Skills!N4=TRUE,(Skills!L4/10)*(E1791/1000),Skills!L4/10)+Skills!O4</f>
        <v/>
      </c>
      <c r="G1791">
        <f>Skills!G4*IF(Skills!H4&gt;0,Skills!I4/Skills!H4,1)</f>
        <v/>
      </c>
      <c r="H1791">
        <f>1-(1-Skills!J4/100)^Skills!K4</f>
        <v/>
      </c>
      <c r="I1791" t="inlineStr">
        <is>
          <t>1</t>
        </is>
      </c>
      <c r="J1791">
        <f>((Inputs!$B$6*(1+Inputs!$B$7/100))+(((Inputs!$B$12*(1+Inputs!$B$13/100))-(Inputs!$B$12*(1+Inputs!$B$13/100)))+0.25*(Inputs!$B$14-Inputs!$B$14))*(1+Inputs!$B$7/100))*(F1791/100)</f>
        <v/>
      </c>
      <c r="K1791">
        <f>J1791*(1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1803=TRUE,F1803,0)/100)*(1+(IF(Skills!A4="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1791)</f>
        <v/>
      </c>
      <c r="L1791">
        <f>K1791*(MIN(Inputs!$B$22+((C1809=TRUE)*(F1809-Calc!F22)),(Inputs!$B$23+0+(IF(ArtifactsInput!$M$15,CHOOSE(ArtifactsInput!$N$15+1,25,30,35,40,45,50)/100*(Inputs!$B$11-Inputs!$B$11),0))))/100+(Inputs!$B$23+0+(IF(ArtifactsInput!$M$15,CHOOSE(ArtifactsInput!$N$15+1,25,30,35,40,45,50)/100*(Inputs!$B$11-Inputs!$B$11),0)))/100)/2</f>
        <v/>
      </c>
      <c r="M1791">
        <f>L1791*(1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1">
        <f>L1791*(1-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1">
        <f>(1-Summary!$B$11)*T1791+Summary!$B$11*V1791</f>
        <v/>
      </c>
      <c r="P1791">
        <f>IF(B1828=0,0,O1791/B1828)</f>
        <v/>
      </c>
      <c r="Q1791">
        <f>IFERROR(1/(IF(Inputs!$B$38="pvp",15,MAX(0.1,Skills!D4-IF(Skills!E4=TRUE,Inputs!$B$32,0)))*(1-IF(AND(ArtifactsInput!$M$27,Inputs!$B$4="Chapter Hunt"),CHOOSE(ArtifactsInput!$N$27+1,20,24,28,32,36,40),0)/100)),0)</f>
        <v/>
      </c>
      <c r="R1791">
        <f>IF(AND(Inputs!$B$38&lt;&gt;"pvp",Inputs!$B$43&gt;0),IF(MAX(0,Inputs!$B$43-B1825)&lt;=0,0,(INT(MAX(0,Inputs!$B$43-B1825)/(IF(Inputs!$B$38="pvp",15,MAX(0.1,Skills!D4-IF(Skills!E4=TRUE,Inputs!$B$32,0)))*(1-IF(AND(ArtifactsInput!$M$27,Inputs!$B$4="Chapter Hunt"),CHOOSE(ArtifactsInput!$N$27+1,20,24,28,32,36,40),0)/100)))+1)),0)</f>
        <v/>
      </c>
      <c r="S1791">
        <f>IFERROR(O1791/N1791,0)</f>
        <v/>
      </c>
      <c r="T1791">
        <f>IF(C1791,(H1791*N1791*IF(AND(Inputs!$B$38&lt;&gt;"pvp",Inputs!$B$43&gt;0),((Skills!G4*((R1791-1)*IF(Skills!H4&gt;0,Skills!I4/Skills!H4,1)+IF(Skills!H4&gt;0,MIN(Skills!I4,MAX(0,MAX(0,Inputs!$B$43-B1825)-((R1791-1)*(IF(Inputs!$B$38="pvp",15,MAX(0.1,Skills!D4-IF(Skills!E4=TRUE,Inputs!$B$32,0)))*(1-IF(AND(ArtifactsInput!$M$27,Inputs!$B$4="Chapter Hunt"),CHOOSE(ArtifactsInput!$N$27+1,20,24,28,32,36,40),0)/100)))))/Skills!H4,1)))/Inputs!$B$43),G1791*Q1791)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1791*(1-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1791*(1-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1">
        <f>290*U1790/1000</f>
        <v/>
      </c>
      <c r="V1791">
        <f>IF(C1791,(H1791*N1791*IF(AND(Inputs!$B$38&lt;&gt;"pvp",Inputs!$B$43&gt;0),((Skills!G4*((R1791-1)*IF(Skills!H4&gt;0,Skills!I4/Skills!H4,1)+IF(Skills!H4&gt;0,MIN(Skills!I4,MAX(0,MAX(0,Inputs!$B$43-B1825)-((R1791-1)*(IF(Inputs!$B$38="pvp",15,MAX(0.1,Skills!D4-IF(Skills!E4=TRUE,Inputs!$B$32,0)))*(1-IF(AND(ArtifactsInput!$M$27,Inputs!$B$4="Chapter Hunt"),CHOOSE(ArtifactsInput!$N$27+1,20,24,28,32,36,40),0)/100)))))/Skills!H4,1)))/Inputs!$B$43),G1791*Q1791))*IF(Inputs!$B$38="pvp",1,(1+(Inputs!$B$21+Skills!Q4+(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2">
      <c r="A1792">
        <f>Skills!A5</f>
        <v/>
      </c>
      <c r="B1792">
        <f>Skills!B5</f>
        <v/>
      </c>
      <c r="C1792">
        <f>Inputs!$B$3&gt;=45</f>
        <v/>
      </c>
      <c r="D1792">
        <f>IF(Skills!C5=1,60+Inputs!$B$25+Inputs!$B$29,IF(Skills!C5=2,90+Inputs!$B$26+Inputs!$B$29,IF(Skills!C5=3,120+Inputs!$B$27+Inputs!$B$29,MAX(0,(Inputs!$B$3-100)*3)+Inputs!$B$28+Inputs!$B$29)))</f>
        <v/>
      </c>
      <c r="E1792">
        <f>INDEX(FactorTable!$B$2:$Y$301, MATCH(ROUND(MIN(300,MAX(1,D1792)),0), FactorTable!$A$2:$A$301,0), Skills!M5+1)</f>
        <v/>
      </c>
      <c r="F1792">
        <f>IF(Skills!N5=TRUE,(Skills!L5/10)*(E1792/1000),Skills!L5/10)+Skills!O5</f>
        <v/>
      </c>
      <c r="G1792">
        <f>Skills!G5*IF(Skills!H5&gt;0,Skills!I5/Skills!H5,1)</f>
        <v/>
      </c>
      <c r="H1792">
        <f>1-(1-Skills!J5/100)^Skills!K5</f>
        <v/>
      </c>
      <c r="I1792" t="inlineStr">
        <is>
          <t>1</t>
        </is>
      </c>
      <c r="J1792">
        <f>((Inputs!$B$6*(1+Inputs!$B$7/100))+(((Inputs!$B$12*(1+Inputs!$B$13/100))-(Inputs!$B$12*(1+Inputs!$B$13/100)))+0.25*(Inputs!$B$14-Inputs!$B$14))*(1+Inputs!$B$7/100))*(F1792/100)</f>
        <v/>
      </c>
      <c r="K1792">
        <f>J1792*(1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1803=TRUE,F1803,0)/100)*(1+(IF(Skills!A5="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1792)</f>
        <v/>
      </c>
      <c r="L1792">
        <f>K1792*(MIN(Inputs!$B$22+((C1809=TRUE)*(F1809-Calc!F22)),(Inputs!$B$23+0+(IF(ArtifactsInput!$M$15,CHOOSE(ArtifactsInput!$N$15+1,25,30,35,40,45,50)/100*(Inputs!$B$11-Inputs!$B$11),0))))/100+(Inputs!$B$23+0+(IF(ArtifactsInput!$M$15,CHOOSE(ArtifactsInput!$N$15+1,25,30,35,40,45,50)/100*(Inputs!$B$11-Inputs!$B$11),0)))/100)/2</f>
        <v/>
      </c>
      <c r="M1792">
        <f>L1792*(1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2">
        <f>L1792*(1-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1792*(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2">
        <f>(1-Summary!$B$11)*T1792+Summary!$B$11*V1792</f>
        <v/>
      </c>
      <c r="P1792">
        <f>IF(B1828=0,0,O1792/B1828)</f>
        <v/>
      </c>
      <c r="Q1792">
        <f>IFERROR(1/(IF(Inputs!$B$38="pvp",15,MAX(0.1,Skills!D5-IF(Skills!E5=TRUE,Inputs!$B$32,0)))*(1-IF(AND(ArtifactsInput!$M$27,Inputs!$B$4="Chapter Hunt"),CHOOSE(ArtifactsInput!$N$27+1,20,24,28,32,36,40),0)/100)),0)</f>
        <v/>
      </c>
      <c r="R1792">
        <f>IF(AND(Inputs!$B$38&lt;&gt;"pvp",Inputs!$B$43&gt;0),IF(MAX(0,Inputs!$B$43-B1825)&lt;=0,0,(INT(MAX(0,Inputs!$B$43-B1825)/(IF(Inputs!$B$38="pvp",15,MAX(0.1,Skills!D5-IF(Skills!E5=TRUE,Inputs!$B$32,0)))*(1-IF(AND(ArtifactsInput!$M$27,Inputs!$B$4="Chapter Hunt"),CHOOSE(ArtifactsInput!$N$27+1,20,24,28,32,36,40),0)/100)))+1)),0)</f>
        <v/>
      </c>
      <c r="S1792">
        <f>IFERROR(O1792/N1792,0)</f>
        <v/>
      </c>
      <c r="T1792">
        <f>IF(C1792,(H1792*N1792*IF(AND(Inputs!$B$38&lt;&gt;"pvp",Inputs!$B$43&gt;0),((Skills!G5*((R1792-1)*IF(Skills!H5&gt;0,Skills!I5/Skills!H5,1)+IF(Skills!H5&gt;0,MIN(Skills!I5,MAX(0,MAX(0,Inputs!$B$43-B1825)-((R1792-1)*(IF(Inputs!$B$38="pvp",15,MAX(0.1,Skills!D5-IF(Skills!E5=TRUE,Inputs!$B$32,0)))*(1-IF(AND(ArtifactsInput!$M$27,Inputs!$B$4="Chapter Hunt"),CHOOSE(ArtifactsInput!$N$27+1,20,24,28,32,36,40),0)/100)))))/Skills!H5,1)))/Inputs!$B$43),G1792*Q1792)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1792*(1-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1792*(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1792*(1-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1792*(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2">
        <f>IF(C1792,(H1792*N1792*IF(AND(Inputs!$B$38&lt;&gt;"pvp",Inputs!$B$43&gt;0),((Skills!G5*((R1792-1)*IF(Skills!H5&gt;0,Skills!I5/Skills!H5,1)+IF(Skills!H5&gt;0,MIN(Skills!I5,MAX(0,MAX(0,Inputs!$B$43-B1825)-((R1792-1)*(IF(Inputs!$B$38="pvp",15,MAX(0.1,Skills!D5-IF(Skills!E5=TRUE,Inputs!$B$32,0)))*(1-IF(AND(ArtifactsInput!$M$27,Inputs!$B$4="Chapter Hunt"),CHOOSE(ArtifactsInput!$N$27+1,20,24,28,32,36,40),0)/100)))))/Skills!H5,1)))/Inputs!$B$43),G1792*Q1792))*IF(Inputs!$B$38="pvp",1,(1+(Inputs!$B$21+Skills!Q5+(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3">
      <c r="A1793">
        <f>Skills!A6</f>
        <v/>
      </c>
      <c r="B1793">
        <f>Skills!B6</f>
        <v/>
      </c>
      <c r="C1793">
        <f>Inputs!$B$3&gt;=63</f>
        <v/>
      </c>
      <c r="D1793">
        <f>IF(Skills!C6=1,60+Inputs!$B$25+Inputs!$B$29,IF(Skills!C6=2,90+Inputs!$B$26+Inputs!$B$29,IF(Skills!C6=3,120+Inputs!$B$27+Inputs!$B$29,MAX(0,(Inputs!$B$3-100)*3)+Inputs!$B$28+Inputs!$B$29)))</f>
        <v/>
      </c>
      <c r="E1793">
        <f>INDEX(FactorTable!$B$2:$Y$301, MATCH(ROUND(MIN(300,MAX(1,D1793)),0), FactorTable!$A$2:$A$301,0), Skills!M6+1)</f>
        <v/>
      </c>
      <c r="F1793">
        <f>IF(Skills!N6=TRUE,(Skills!L6/10)*(E1793/1000),Skills!L6/10)+Skills!O6</f>
        <v/>
      </c>
      <c r="G1793">
        <f>Skills!G6*IF(Skills!H6&gt;0,Skills!I6/Skills!H6,1)</f>
        <v/>
      </c>
      <c r="H1793">
        <f>1-(1-Skills!J6/100)^Skills!K6</f>
        <v/>
      </c>
      <c r="I1793" t="inlineStr">
        <is>
          <t>1</t>
        </is>
      </c>
      <c r="J1793">
        <f>((Inputs!$B$6*(1+Inputs!$B$7/100))+(((Inputs!$B$12*(1+Inputs!$B$13/100))-(Inputs!$B$12*(1+Inputs!$B$13/100)))+0.25*(Inputs!$B$14-Inputs!$B$14))*(1+Inputs!$B$7/100))*(F1793/100)</f>
        <v/>
      </c>
      <c r="K1793">
        <f>J1793*(1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1802=TRUE,F1802,0)/100)*(1+(IF(Skills!A6="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1793)</f>
        <v/>
      </c>
      <c r="L1793">
        <f>K1793*(MIN(Inputs!$B$22+((C1809=TRUE)*(F1809-Calc!F22)),(Inputs!$B$23+0+(IF(ArtifactsInput!$M$15,CHOOSE(ArtifactsInput!$N$15+1,25,30,35,40,45,50)/100*(Inputs!$B$11-Inputs!$B$11),0))))/100+(Inputs!$B$23+0+(IF(ArtifactsInput!$M$15,CHOOSE(ArtifactsInput!$N$15+1,25,30,35,40,45,50)/100*(Inputs!$B$11-Inputs!$B$11),0)))/100)/2</f>
        <v/>
      </c>
      <c r="M1793">
        <f>L1793*(1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3">
        <f>L1793*(1-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1793*(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3">
        <f>(1-Summary!$B$11)*T1793+Summary!$B$11*V1793</f>
        <v/>
      </c>
      <c r="P1793">
        <f>IF(B1828=0,0,O1793/B1828)</f>
        <v/>
      </c>
      <c r="Q1793">
        <f>IFERROR(1/(IF(Inputs!$B$38="pvp",15,MAX(0.1,Skills!D6-IF(Skills!E6=TRUE,Inputs!$B$32,0)))*(1-IF(AND(ArtifactsInput!$M$27,Inputs!$B$4="Chapter Hunt"),CHOOSE(ArtifactsInput!$N$27+1,20,24,28,32,36,40),0)/100)),0)</f>
        <v/>
      </c>
      <c r="R1793">
        <f>IF(AND(Inputs!$B$38&lt;&gt;"pvp",Inputs!$B$43&gt;0),IF(MAX(0,Inputs!$B$43-B1825)&lt;=0,0,(INT(MAX(0,Inputs!$B$43-B1825)/(IF(Inputs!$B$38="pvp",15,MAX(0.1,Skills!D6-IF(Skills!E6=TRUE,Inputs!$B$32,0)))*(1-IF(AND(ArtifactsInput!$M$27,Inputs!$B$4="Chapter Hunt"),CHOOSE(ArtifactsInput!$N$27+1,20,24,28,32,36,40),0)/100)))+1)),0)</f>
        <v/>
      </c>
      <c r="S1793">
        <f>IFERROR(O1793/N1793,0)</f>
        <v/>
      </c>
      <c r="T1793">
        <f>IF(C1793,(H1793*N1793*IF(AND(Inputs!$B$38&lt;&gt;"pvp",Inputs!$B$43&gt;0),((Skills!G6*((R1793-1)*IF(Skills!H6&gt;0,Skills!I6/Skills!H6,1)+IF(Skills!H6&gt;0,MIN(Skills!I6,MAX(0,MAX(0,Inputs!$B$43-B1825)-((R1793-1)*(IF(Inputs!$B$38="pvp",15,MAX(0.1,Skills!D6-IF(Skills!E6=TRUE,Inputs!$B$32,0)))*(1-IF(AND(ArtifactsInput!$M$27,Inputs!$B$4="Chapter Hunt"),CHOOSE(ArtifactsInput!$N$27+1,20,24,28,32,36,40),0)/100)))))/Skills!H6,1)))/Inputs!$B$43),G1793*Q1793)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1793*(1-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1793*(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1793*(1-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1793*(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3">
        <f>IF(C1793,(H1793*N1793*IF(AND(Inputs!$B$38&lt;&gt;"pvp",Inputs!$B$43&gt;0),((Skills!G6*((R1793-1)*IF(Skills!H6&gt;0,Skills!I6/Skills!H6,1)+IF(Skills!H6&gt;0,MIN(Skills!I6,MAX(0,MAX(0,Inputs!$B$43-B1825)-((R1793-1)*(IF(Inputs!$B$38="pvp",15,MAX(0.1,Skills!D6-IF(Skills!E6=TRUE,Inputs!$B$32,0)))*(1-IF(AND(ArtifactsInput!$M$27,Inputs!$B$4="Chapter Hunt"),CHOOSE(ArtifactsInput!$N$27+1,20,24,28,32,36,40),0)/100)))))/Skills!H6,1)))/Inputs!$B$43),G1793*Q1793))*IF(Inputs!$B$38="pvp",1,(1+(Inputs!$B$21+Skills!Q6+(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4">
      <c r="A1794">
        <f>Skills!A7</f>
        <v/>
      </c>
      <c r="B1794">
        <f>Skills!B7</f>
        <v/>
      </c>
      <c r="C1794">
        <f>Inputs!$B$3&gt;=66</f>
        <v/>
      </c>
      <c r="D1794">
        <f>IF(Skills!C7=1,60+Inputs!$B$25+Inputs!$B$29,IF(Skills!C7=2,90+Inputs!$B$26+Inputs!$B$29,IF(Skills!C7=3,120+Inputs!$B$27+Inputs!$B$29,MAX(0,(Inputs!$B$3-100)*3)+Inputs!$B$28+Inputs!$B$29)))</f>
        <v/>
      </c>
      <c r="E1794">
        <f>INDEX(FactorTable!$B$2:$Y$301, MATCH(ROUND(MIN(300,MAX(1,D1794)),0), FactorTable!$A$2:$A$301,0), Skills!M7+1)</f>
        <v/>
      </c>
      <c r="F1794">
        <f>IF(Skills!N7=TRUE,(Skills!L7/10)*(E1794/1000),Skills!L7/10)+Skills!O7</f>
        <v/>
      </c>
      <c r="G1794">
        <f>Skills!G7*IF(Skills!H7&gt;0,Skills!I7/Skills!H7,1)</f>
        <v/>
      </c>
      <c r="H1794">
        <f>1-(1-Skills!J7/100)^Skills!K7</f>
        <v/>
      </c>
      <c r="I1794" t="inlineStr">
        <is>
          <t>1</t>
        </is>
      </c>
      <c r="J1794">
        <f>((Inputs!$B$6*(1+Inputs!$B$7/100))+(((Inputs!$B$12*(1+Inputs!$B$13/100))-(Inputs!$B$12*(1+Inputs!$B$13/100)))+0.25*(Inputs!$B$14-Inputs!$B$14))*(1+Inputs!$B$7/100))*(F1794/100)</f>
        <v/>
      </c>
      <c r="K1794">
        <f>J1794*(1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1802=TRUE,F1802,0)/100)*(1+(IF(Skills!A7="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1794)</f>
        <v/>
      </c>
      <c r="L1794">
        <f>K1794*(MIN(Inputs!$B$22+((C1809=TRUE)*(F1809-Calc!F22)),(Inputs!$B$23+0+(IF(ArtifactsInput!$M$15,CHOOSE(ArtifactsInput!$N$15+1,25,30,35,40,45,50)/100*(Inputs!$B$11-Inputs!$B$11),0))))/100+(Inputs!$B$23+0+(IF(ArtifactsInput!$M$15,CHOOSE(ArtifactsInput!$N$15+1,25,30,35,40,45,50)/100*(Inputs!$B$11-Inputs!$B$11),0)))/100)/2</f>
        <v/>
      </c>
      <c r="M1794">
        <f>L1794*(1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4">
        <f>L1794*(1-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1794*(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4">
        <f>(1-Summary!$B$11)*T1794+Summary!$B$11*V1794</f>
        <v/>
      </c>
      <c r="P1794">
        <f>IF(B1828=0,0,O1794/B1828)</f>
        <v/>
      </c>
      <c r="Q1794">
        <f>IFERROR(1/(IF(Inputs!$B$38="pvp",15,MAX(0.1,Skills!D7-IF(Skills!E7=TRUE,Inputs!$B$32,0)))*(1-IF(AND(ArtifactsInput!$M$27,Inputs!$B$4="Chapter Hunt"),CHOOSE(ArtifactsInput!$N$27+1,20,24,28,32,36,40),0)/100)),0)</f>
        <v/>
      </c>
      <c r="R1794">
        <f>IF(AND(Inputs!$B$38&lt;&gt;"pvp",Inputs!$B$43&gt;0),IF(MAX(0,Inputs!$B$43-B1825)&lt;=0,0,(INT(MAX(0,Inputs!$B$43-B1825)/(IF(Inputs!$B$38="pvp",15,MAX(0.1,Skills!D7-IF(Skills!E7=TRUE,Inputs!$B$32,0)))*(1-IF(AND(ArtifactsInput!$M$27,Inputs!$B$4="Chapter Hunt"),CHOOSE(ArtifactsInput!$N$27+1,20,24,28,32,36,40),0)/100)))+1)),0)</f>
        <v/>
      </c>
      <c r="S1794">
        <f>IFERROR(O1794/N1794,0)</f>
        <v/>
      </c>
      <c r="T1794">
        <f>IF(C1794,(H1794*N1794*IF(AND(Inputs!$B$38&lt;&gt;"pvp",Inputs!$B$43&gt;0),((Skills!G7*((R1794-1)*IF(Skills!H7&gt;0,Skills!I7/Skills!H7,1)+IF(Skills!H7&gt;0,MIN(Skills!I7,MAX(0,MAX(0,Inputs!$B$43-B1825)-((R1794-1)*(IF(Inputs!$B$38="pvp",15,MAX(0.1,Skills!D7-IF(Skills!E7=TRUE,Inputs!$B$32,0)))*(1-IF(AND(ArtifactsInput!$M$27,Inputs!$B$4="Chapter Hunt"),CHOOSE(ArtifactsInput!$N$27+1,20,24,28,32,36,40),0)/100)))))/Skills!H7,1)))/Inputs!$B$43),G1794*Q1794)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1794*(1-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1794*(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1794*(1-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1794*(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4">
        <f>IF(C1794,(H1794*N1794*IF(AND(Inputs!$B$38&lt;&gt;"pvp",Inputs!$B$43&gt;0),((Skills!G7*((R1794-1)*IF(Skills!H7&gt;0,Skills!I7/Skills!H7,1)+IF(Skills!H7&gt;0,MIN(Skills!I7,MAX(0,MAX(0,Inputs!$B$43-B1825)-((R1794-1)*(IF(Inputs!$B$38="pvp",15,MAX(0.1,Skills!D7-IF(Skills!E7=TRUE,Inputs!$B$32,0)))*(1-IF(AND(ArtifactsInput!$M$27,Inputs!$B$4="Chapter Hunt"),CHOOSE(ArtifactsInput!$N$27+1,20,24,28,32,36,40),0)/100)))))/Skills!H7,1)))/Inputs!$B$43),G1794*Q1794))*IF(Inputs!$B$38="pvp",1,(1+(Inputs!$B$21+Skills!Q7+(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5">
      <c r="A1795">
        <f>Skills!A8</f>
        <v/>
      </c>
      <c r="B1795">
        <f>Skills!B8</f>
        <v/>
      </c>
      <c r="C1795">
        <f>Inputs!$B$3&gt;=100</f>
        <v/>
      </c>
      <c r="D1795">
        <f>IF(Skills!C8=1,60+Inputs!$B$25+Inputs!$B$29,IF(Skills!C8=2,90+Inputs!$B$26+Inputs!$B$29,IF(Skills!C8=3,120+Inputs!$B$27+Inputs!$B$29,MAX(0,(Inputs!$B$3-100)*3)+Inputs!$B$28+Inputs!$B$29)))</f>
        <v/>
      </c>
      <c r="E1795">
        <f>INDEX(FactorTable!$B$2:$Y$301, MATCH(ROUND(MIN(300,MAX(1,D1795)),0), FactorTable!$A$2:$A$301,0), Skills!M8+1)</f>
        <v/>
      </c>
      <c r="F1795">
        <f>IF(Skills!N8=TRUE,(Skills!L8/10)*(E1795/1000),Skills!L8/10)+Skills!O8</f>
        <v/>
      </c>
      <c r="G1795">
        <f>Skills!G8*IF(Skills!H8&gt;0,Skills!I8/Skills!H8,1)</f>
        <v/>
      </c>
      <c r="H1795">
        <f>1-(1-Skills!J8/100)^Skills!K8</f>
        <v/>
      </c>
      <c r="I1795" t="inlineStr">
        <is>
          <t>1</t>
        </is>
      </c>
      <c r="J1795">
        <f>((Inputs!$B$6*(1+Inputs!$B$7/100))+(((Inputs!$B$12*(1+Inputs!$B$13/100))-(Inputs!$B$12*(1+Inputs!$B$13/100)))+0.25*(Inputs!$B$14-Inputs!$B$14))*(1+Inputs!$B$7/100))*(F1795/100)</f>
        <v/>
      </c>
      <c r="K1795">
        <f>J1795*(1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1795)</f>
        <v/>
      </c>
      <c r="L1795">
        <f>K1795*(MIN(Inputs!$B$22+((C1809=TRUE)*(F1809-Calc!F22)),(Inputs!$B$23+0+(IF(ArtifactsInput!$M$15,CHOOSE(ArtifactsInput!$N$15+1,25,30,35,40,45,50)/100*(Inputs!$B$11-Inputs!$B$11),0))))/100+(Inputs!$B$23+0+(IF(ArtifactsInput!$M$15,CHOOSE(ArtifactsInput!$N$15+1,25,30,35,40,45,50)/100*(Inputs!$B$11-Inputs!$B$11),0)))/100)/2</f>
        <v/>
      </c>
      <c r="M1795">
        <f>L1795*(1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5">
        <f>L1795*(1-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1795*(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5">
        <f>(1-Summary!$B$11)*T1795+Summary!$B$11*V1795</f>
        <v/>
      </c>
      <c r="P1795">
        <f>IF(B1828=0,0,O1795/B1828)</f>
        <v/>
      </c>
      <c r="Q1795">
        <f>IFERROR(1/(IF(Inputs!$B$38="pvp",15,MAX(0.1,Skills!D8-IF(Skills!E8=TRUE,Inputs!$B$32,0)))*(1-IF(AND(ArtifactsInput!$M$27,Inputs!$B$4="Chapter Hunt"),CHOOSE(ArtifactsInput!$N$27+1,20,24,28,32,36,40),0)/100)),0)</f>
        <v/>
      </c>
      <c r="R1795">
        <f>IF(AND(Inputs!$B$38&lt;&gt;"pvp",Inputs!$B$43&gt;0),IF(MAX(0,Inputs!$B$43-B1825)&lt;=0,0,(INT(MAX(0,Inputs!$B$43-B1825)/(IF(Inputs!$B$38="pvp",15,MAX(0.1,Skills!D8-IF(Skills!E8=TRUE,Inputs!$B$32,0)))*(1-IF(AND(ArtifactsInput!$M$27,Inputs!$B$4="Chapter Hunt"),CHOOSE(ArtifactsInput!$N$27+1,20,24,28,32,36,40),0)/100)))+1)),0)</f>
        <v/>
      </c>
      <c r="S1795">
        <f>IFERROR(O1795/N1795,0)</f>
        <v/>
      </c>
      <c r="T1795">
        <f>IF(C1795,(H1795*N1795*IF(AND(Inputs!$B$38&lt;&gt;"pvp",Inputs!$B$43&gt;0),((Skills!G8*((R1795-1)*IF(Skills!H8&gt;0,Skills!I8/Skills!H8,1)+IF(Skills!H8&gt;0,MIN(Skills!I8,MAX(0,MAX(0,Inputs!$B$43-B1825)-((R1795-1)*(IF(Inputs!$B$38="pvp",15,MAX(0.1,Skills!D8-IF(Skills!E8=TRUE,Inputs!$B$32,0)))*(1-IF(AND(ArtifactsInput!$M$27,Inputs!$B$4="Chapter Hunt"),CHOOSE(ArtifactsInput!$N$27+1,20,24,28,32,36,40),0)/100)))))/Skills!H8,1)))/Inputs!$B$43),G1795*Q1795)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1795*(1-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1795*(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1795*(1-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1795*(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5">
        <f>IF(C1795,(H1795*N1795*IF(AND(Inputs!$B$38&lt;&gt;"pvp",Inputs!$B$43&gt;0),((Skills!G8*((R1795-1)*IF(Skills!H8&gt;0,Skills!I8/Skills!H8,1)+IF(Skills!H8&gt;0,MIN(Skills!I8,MAX(0,MAX(0,Inputs!$B$43-B1825)-((R1795-1)*(IF(Inputs!$B$38="pvp",15,MAX(0.1,Skills!D8-IF(Skills!E8=TRUE,Inputs!$B$32,0)))*(1-IF(AND(ArtifactsInput!$M$27,Inputs!$B$4="Chapter Hunt"),CHOOSE(ArtifactsInput!$N$27+1,20,24,28,32,36,40),0)/100)))))/Skills!H8,1)))/Inputs!$B$43),G1795*Q1795))*IF(Inputs!$B$38="pvp",1,(1+(Inputs!$B$21+Skills!Q8+(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6">
      <c r="A1796">
        <f>Skills!A9</f>
        <v/>
      </c>
      <c r="B1796">
        <f>Skills!B9</f>
        <v/>
      </c>
      <c r="C1796">
        <f>Inputs!$B$3&gt;=103</f>
        <v/>
      </c>
      <c r="D1796">
        <f>IF(Skills!C9=1,60+Inputs!$B$25+Inputs!$B$29,IF(Skills!C9=2,90+Inputs!$B$26+Inputs!$B$29,IF(Skills!C9=3,120+Inputs!$B$27+Inputs!$B$29,MAX(0,(Inputs!$B$3-100)*3)+Inputs!$B$28+Inputs!$B$29)))</f>
        <v/>
      </c>
      <c r="E1796">
        <f>INDEX(FactorTable!$B$2:$Y$301, MATCH(ROUND(MIN(300,MAX(1,D1796)),0), FactorTable!$A$2:$A$301,0), Skills!M9+1)</f>
        <v/>
      </c>
      <c r="F1796">
        <f>IF(Skills!N9=TRUE,(Skills!L9/10)*(E1796/1000),Skills!L9/10)+Skills!O9</f>
        <v/>
      </c>
      <c r="G1796">
        <f>Skills!G9*IF(Skills!H9&gt;0,Skills!I9/Skills!H9,1)</f>
        <v/>
      </c>
      <c r="H1796">
        <f>1-(1-Skills!J9/100)^Skills!K9</f>
        <v/>
      </c>
      <c r="I1796" t="inlineStr">
        <is>
          <t>1</t>
        </is>
      </c>
      <c r="J1796">
        <f>((Inputs!$B$6*(1+Inputs!$B$7/100))+(((Inputs!$B$12*(1+Inputs!$B$13/100))-(Inputs!$B$12*(1+Inputs!$B$13/100)))+0.25*(Inputs!$B$14-Inputs!$B$14))*(1+Inputs!$B$7/100))*(F1796/100)</f>
        <v/>
      </c>
      <c r="K1796">
        <f>J1796*(1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1796)</f>
        <v/>
      </c>
      <c r="L1796">
        <f>K1796*(MIN(Inputs!$B$22+((C1809=TRUE)*(F1809-Calc!F22)),(Inputs!$B$23+0+(IF(ArtifactsInput!$M$15,CHOOSE(ArtifactsInput!$N$15+1,25,30,35,40,45,50)/100*(Inputs!$B$11-Inputs!$B$11),0))))/100+(Inputs!$B$23+0+(IF(ArtifactsInput!$M$15,CHOOSE(ArtifactsInput!$N$15+1,25,30,35,40,45,50)/100*(Inputs!$B$11-Inputs!$B$11),0)))/100)/2</f>
        <v/>
      </c>
      <c r="M1796">
        <f>L1796*(1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6">
        <f>L1796*(1-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1796*(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6">
        <f>(1-Summary!$B$11)*T1796+Summary!$B$11*V1796</f>
        <v/>
      </c>
      <c r="P1796">
        <f>IF(B1828=0,0,O1796/B1828)</f>
        <v/>
      </c>
      <c r="Q1796">
        <f>IFERROR(1/(IF(Inputs!$B$38="pvp",15,MAX(0.1,Skills!D9-IF(Skills!E9=TRUE,Inputs!$B$32,0)))*(1-IF(AND(ArtifactsInput!$M$27,Inputs!$B$4="Chapter Hunt"),CHOOSE(ArtifactsInput!$N$27+1,20,24,28,32,36,40),0)/100)),0)</f>
        <v/>
      </c>
      <c r="R1796">
        <f>IF(AND(Inputs!$B$38&lt;&gt;"pvp",Inputs!$B$43&gt;0),IF(MAX(0,Inputs!$B$43-B1825)&lt;=0,0,(INT(MAX(0,Inputs!$B$43-B1825)/(IF(Inputs!$B$38="pvp",15,MAX(0.1,Skills!D9-IF(Skills!E9=TRUE,Inputs!$B$32,0)))*(1-IF(AND(ArtifactsInput!$M$27,Inputs!$B$4="Chapter Hunt"),CHOOSE(ArtifactsInput!$N$27+1,20,24,28,32,36,40),0)/100)))+1)),0)</f>
        <v/>
      </c>
      <c r="S1796">
        <f>IFERROR(O1796/N1796,0)</f>
        <v/>
      </c>
      <c r="T1796">
        <f>IF(C1796,(H1796*N1796*IF(AND(Inputs!$B$38&lt;&gt;"pvp",Inputs!$B$43&gt;0),((Skills!G9*((R1796-1)*IF(Skills!H9&gt;0,Skills!I9/Skills!H9,1)+IF(Skills!H9&gt;0,MIN(Skills!I9,MAX(0,MAX(0,Inputs!$B$43-B1825)-((R1796-1)*(IF(Inputs!$B$38="pvp",15,MAX(0.1,Skills!D9-IF(Skills!E9=TRUE,Inputs!$B$32,0)))*(1-IF(AND(ArtifactsInput!$M$27,Inputs!$B$4="Chapter Hunt"),CHOOSE(ArtifactsInput!$N$27+1,20,24,28,32,36,40),0)/100)))))/Skills!H9,1)))/Inputs!$B$43),G1796*Q1796)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1796*(1-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1796*(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1796*(1-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1796*(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6">
        <f>IF(C1796,(H1796*N1796*IF(AND(Inputs!$B$38&lt;&gt;"pvp",Inputs!$B$43&gt;0),((Skills!G9*((R1796-1)*IF(Skills!H9&gt;0,Skills!I9/Skills!H9,1)+IF(Skills!H9&gt;0,MIN(Skills!I9,MAX(0,MAX(0,Inputs!$B$43-B1825)-((R1796-1)*(IF(Inputs!$B$38="pvp",15,MAX(0.1,Skills!D9-IF(Skills!E9=TRUE,Inputs!$B$32,0)))*(1-IF(AND(ArtifactsInput!$M$27,Inputs!$B$4="Chapter Hunt"),CHOOSE(ArtifactsInput!$N$27+1,20,24,28,32,36,40),0)/100)))))/Skills!H9,1)))/Inputs!$B$43),G1796*Q1796))*IF(Inputs!$B$38="pvp",1,(1+(Inputs!$B$21+Skills!Q9+(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7">
      <c r="A1797">
        <f>Skills!A10</f>
        <v/>
      </c>
      <c r="B1797">
        <f>Skills!B10</f>
        <v/>
      </c>
      <c r="C1797">
        <f>Inputs!$B$3&gt;=113</f>
        <v/>
      </c>
      <c r="D1797">
        <f>IF(Skills!C10=1,60+Inputs!$B$25+Inputs!$B$29,IF(Skills!C10=2,90+Inputs!$B$26+Inputs!$B$29,IF(Skills!C10=3,120+Inputs!$B$27+Inputs!$B$29,MAX(0,(Inputs!$B$3-100)*3)+Inputs!$B$28+Inputs!$B$29)))</f>
        <v/>
      </c>
      <c r="E1797">
        <f>INDEX(FactorTable!$B$2:$Y$301, MATCH(ROUND(MIN(300,MAX(1,D1797)),0), FactorTable!$A$2:$A$301,0), Skills!M10+1)</f>
        <v/>
      </c>
      <c r="F1797">
        <f>IF(Skills!N10=TRUE,(Skills!L10/10)*(E1797/1000),Skills!L10/10)+Skills!O10</f>
        <v/>
      </c>
      <c r="G1797">
        <f>Skills!G10*IF(Skills!H10&gt;0,Skills!I10/Skills!H10,1)</f>
        <v/>
      </c>
      <c r="H1797">
        <f>1-(1-Skills!J10/100)^Skills!K10</f>
        <v/>
      </c>
      <c r="I1797" t="inlineStr">
        <is>
          <t>1</t>
        </is>
      </c>
      <c r="J1797">
        <f>((Inputs!$B$6*(1+Inputs!$B$7/100))+(((Inputs!$B$12*(1+Inputs!$B$13/100))-(Inputs!$B$12*(1+Inputs!$B$13/100)))+0.25*(Inputs!$B$14-Inputs!$B$14))*(1+Inputs!$B$7/100))*(F1797/100)</f>
        <v/>
      </c>
      <c r="K1797">
        <f>J1797*(1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1797)</f>
        <v/>
      </c>
      <c r="L1797">
        <f>K1797*(MIN(Inputs!$B$22+((C1809=TRUE)*(F1809-Calc!F22)),(Inputs!$B$23+0+(IF(ArtifactsInput!$M$15,CHOOSE(ArtifactsInput!$N$15+1,25,30,35,40,45,50)/100*(Inputs!$B$11-Inputs!$B$11),0))))/100+(Inputs!$B$23+0+(IF(ArtifactsInput!$M$15,CHOOSE(ArtifactsInput!$N$15+1,25,30,35,40,45,50)/100*(Inputs!$B$11-Inputs!$B$11),0)))/100)/2</f>
        <v/>
      </c>
      <c r="M1797">
        <f>L1797*(1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7">
        <f>L1797*(1-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1797*(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7">
        <f>(1-Summary!$B$11)*T1797+Summary!$B$11*V1797</f>
        <v/>
      </c>
      <c r="P1797">
        <f>IF(B1828=0,0,O1797/B1828)</f>
        <v/>
      </c>
      <c r="Q1797">
        <f>IFERROR(1/(IF(Inputs!$B$38="pvp",15,MAX(0.1,Skills!D10-IF(Skills!E10=TRUE,Inputs!$B$32,0)))*(1-IF(AND(ArtifactsInput!$M$27,Inputs!$B$4="Chapter Hunt"),CHOOSE(ArtifactsInput!$N$27+1,20,24,28,32,36,40),0)/100)),0)</f>
        <v/>
      </c>
      <c r="R1797">
        <f>IF(AND(Inputs!$B$38&lt;&gt;"pvp",Inputs!$B$43&gt;0),IF(MAX(0,Inputs!$B$43-B1825)&lt;=0,0,(INT(MAX(0,Inputs!$B$43-B1825)/(IF(Inputs!$B$38="pvp",15,MAX(0.1,Skills!D10-IF(Skills!E10=TRUE,Inputs!$B$32,0)))*(1-IF(AND(ArtifactsInput!$M$27,Inputs!$B$4="Chapter Hunt"),CHOOSE(ArtifactsInput!$N$27+1,20,24,28,32,36,40),0)/100)))+1)),0)</f>
        <v/>
      </c>
      <c r="S1797">
        <f>IFERROR(O1797/N1797,0)</f>
        <v/>
      </c>
      <c r="T1797">
        <f>IF(C1797,(H1797*N1797*IF(AND(Inputs!$B$38&lt;&gt;"pvp",Inputs!$B$43&gt;0),((Skills!G10*((R1797-1)*IF(Skills!H10&gt;0,Skills!I10/Skills!H10,1)+IF(Skills!H10&gt;0,MIN(Skills!I10,MAX(0,MAX(0,Inputs!$B$43-B1825)-((R1797-1)*(IF(Inputs!$B$38="pvp",15,MAX(0.1,Skills!D10-IF(Skills!E10=TRUE,Inputs!$B$32,0)))*(1-IF(AND(ArtifactsInput!$M$27,Inputs!$B$4="Chapter Hunt"),CHOOSE(ArtifactsInput!$N$27+1,20,24,28,32,36,40),0)/100)))))/Skills!H10,1)))/Inputs!$B$43),G1797*Q1797)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1797*(1-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1797*(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1797*(1-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1797*(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7">
        <f>IF(C1797,(H1797*N1797*IF(AND(Inputs!$B$38&lt;&gt;"pvp",Inputs!$B$43&gt;0),((Skills!G10*((R1797-1)*IF(Skills!H10&gt;0,Skills!I10/Skills!H10,1)+IF(Skills!H10&gt;0,MIN(Skills!I10,MAX(0,MAX(0,Inputs!$B$43-B1825)-((R1797-1)*(IF(Inputs!$B$38="pvp",15,MAX(0.1,Skills!D10-IF(Skills!E10=TRUE,Inputs!$B$32,0)))*(1-IF(AND(ArtifactsInput!$M$27,Inputs!$B$4="Chapter Hunt"),CHOOSE(ArtifactsInput!$N$27+1,20,24,28,32,36,40),0)/100)))))/Skills!H10,1)))/Inputs!$B$43),G1797*Q1797))*IF(Inputs!$B$38="pvp",1,(1+(Inputs!$B$21+Skills!Q10+(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8">
      <c r="A1798">
        <f>Skills!A11</f>
        <v/>
      </c>
      <c r="B1798">
        <f>Skills!B11</f>
        <v/>
      </c>
      <c r="C1798">
        <f>Inputs!$B$3&gt;=107</f>
        <v/>
      </c>
      <c r="D1798">
        <f>IF(Skills!C11=1,60+Inputs!$B$25+Inputs!$B$29,IF(Skills!C11=2,90+Inputs!$B$26+Inputs!$B$29,IF(Skills!C11=3,120+Inputs!$B$27+Inputs!$B$29,MAX(0,(Inputs!$B$3-100)*3)+Inputs!$B$28+Inputs!$B$29)))</f>
        <v/>
      </c>
      <c r="E1798">
        <f>INDEX(FactorTable!$B$2:$Y$301, MATCH(ROUND(MIN(300,MAX(1,D1798)),0), FactorTable!$A$2:$A$301,0), Skills!M11+1)</f>
        <v/>
      </c>
      <c r="F1798">
        <f>IF(Skills!N11=TRUE,(Skills!L11/10)*(E1798/1000),Skills!L11/10)+Skills!O11</f>
        <v/>
      </c>
      <c r="G1798">
        <f>Skills!G11*IF(Skills!H11&gt;0,Skills!I11/Skills!H11,1)</f>
        <v/>
      </c>
      <c r="H1798">
        <f>1-(1-Skills!J11/100)^Skills!K11</f>
        <v/>
      </c>
      <c r="I1798" t="inlineStr">
        <is>
          <t>1</t>
        </is>
      </c>
      <c r="J1798">
        <f>((Inputs!$B$6*(1+Inputs!$B$7/100))+(((Inputs!$B$12*(1+Inputs!$B$13/100))-(Inputs!$B$12*(1+Inputs!$B$13/100)))+0.25*(Inputs!$B$14-Inputs!$B$14))*(1+Inputs!$B$7/100))*(F1798/100)</f>
        <v/>
      </c>
      <c r="K1798">
        <f>J1798*(1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1798)</f>
        <v/>
      </c>
      <c r="L1798">
        <f>K1798*(MIN(Inputs!$B$22+((C1809=TRUE)*(F1809-Calc!F22)),(Inputs!$B$23+0+(IF(ArtifactsInput!$M$15,CHOOSE(ArtifactsInput!$N$15+1,25,30,35,40,45,50)/100*(Inputs!$B$11-Inputs!$B$11),0))))/100+(Inputs!$B$23+0+(IF(ArtifactsInput!$M$15,CHOOSE(ArtifactsInput!$N$15+1,25,30,35,40,45,50)/100*(Inputs!$B$11-Inputs!$B$11),0)))/100)/2</f>
        <v/>
      </c>
      <c r="M1798">
        <f>L1798*(1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8">
        <f>L1798*(1-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1798*(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8">
        <f>(1-Summary!$B$11)*T1798+Summary!$B$11*V1798</f>
        <v/>
      </c>
      <c r="P1798">
        <f>IF(B1828=0,0,O1798/B1828)</f>
        <v/>
      </c>
      <c r="Q1798">
        <f>IFERROR(1/(IF(Inputs!$B$38="pvp",15,MAX(0.1,Skills!D11-IF(Skills!E11=TRUE,Inputs!$B$32,0)))*(1-IF(AND(ArtifactsInput!$M$27,Inputs!$B$4="Chapter Hunt"),CHOOSE(ArtifactsInput!$N$27+1,20,24,28,32,36,40),0)/100)),0)</f>
        <v/>
      </c>
      <c r="R1798">
        <f>IF(AND(Inputs!$B$38&lt;&gt;"pvp",Inputs!$B$43&gt;0),IF(MAX(0,Inputs!$B$43-B1825)&lt;=0,0,(INT(MAX(0,Inputs!$B$43-B1825)/(IF(Inputs!$B$38="pvp",15,MAX(0.1,Skills!D11-IF(Skills!E11=TRUE,Inputs!$B$32,0)))*(1-IF(AND(ArtifactsInput!$M$27,Inputs!$B$4="Chapter Hunt"),CHOOSE(ArtifactsInput!$N$27+1,20,24,28,32,36,40),0)/100)))+1)),0)</f>
        <v/>
      </c>
      <c r="S1798">
        <f>IFERROR(O1798/N1798,0)</f>
        <v/>
      </c>
      <c r="T1798">
        <f>IF(C1798,(H1798*N1798*IF(AND(Inputs!$B$38&lt;&gt;"pvp",Inputs!$B$43&gt;0),((Skills!G11*((R1798-1)*IF(Skills!H11&gt;0,Skills!I11/Skills!H11,1)+IF(Skills!H11&gt;0,MIN(Skills!I11,MAX(0,MAX(0,Inputs!$B$43-B1825)-((R1798-1)*(IF(Inputs!$B$38="pvp",15,MAX(0.1,Skills!D11-IF(Skills!E11=TRUE,Inputs!$B$32,0)))*(1-IF(AND(ArtifactsInput!$M$27,Inputs!$B$4="Chapter Hunt"),CHOOSE(ArtifactsInput!$N$27+1,20,24,28,32,36,40),0)/100)))))/Skills!H11,1)))/Inputs!$B$43),G1798*Q1798)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1798*(1-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1798*(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1798*(1-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1798*(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8">
        <f>IF(C1798,(H1798*N1798*IF(AND(Inputs!$B$38&lt;&gt;"pvp",Inputs!$B$43&gt;0),((Skills!G11*((R1798-1)*IF(Skills!H11&gt;0,Skills!I11/Skills!H11,1)+IF(Skills!H11&gt;0,MIN(Skills!I11,MAX(0,MAX(0,Inputs!$B$43-B1825)-((R1798-1)*(IF(Inputs!$B$38="pvp",15,MAX(0.1,Skills!D11-IF(Skills!E11=TRUE,Inputs!$B$32,0)))*(1-IF(AND(ArtifactsInput!$M$27,Inputs!$B$4="Chapter Hunt"),CHOOSE(ArtifactsInput!$N$27+1,20,24,28,32,36,40),0)/100)))))/Skills!H11,1)))/Inputs!$B$43),G1798*Q1798))*IF(Inputs!$B$38="pvp",1,(1+(Inputs!$B$21+Skills!Q11+(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9">
      <c r="A1799">
        <f>Skills!A12</f>
        <v/>
      </c>
      <c r="B1799">
        <f>Skills!B12</f>
        <v/>
      </c>
      <c r="C1799">
        <f>Inputs!$B$3&gt;=110</f>
        <v/>
      </c>
      <c r="D1799">
        <f>IF(Skills!C12=1,60+Inputs!$B$25+Inputs!$B$29,IF(Skills!C12=2,90+Inputs!$B$26+Inputs!$B$29,IF(Skills!C12=3,120+Inputs!$B$27+Inputs!$B$29,MAX(0,(Inputs!$B$3-100)*3)+Inputs!$B$28+Inputs!$B$29)))</f>
        <v/>
      </c>
      <c r="E1799">
        <f>INDEX(FactorTable!$B$2:$Y$301, MATCH(ROUND(MIN(300,MAX(1,D1799)),0), FactorTable!$A$2:$A$301,0), Skills!M12+1)</f>
        <v/>
      </c>
      <c r="F1799">
        <f>IF(Skills!N12=TRUE,(Skills!L12/10)*(E1799/1000),Skills!L12/10)+Skills!O12</f>
        <v/>
      </c>
      <c r="G1799">
        <f>Skills!G12*IF(Skills!H12&gt;0,Skills!I12/Skills!H12,1)</f>
        <v/>
      </c>
      <c r="H1799">
        <f>1-(1-Skills!J12/100)^Skills!K12</f>
        <v/>
      </c>
      <c r="I1799" t="inlineStr">
        <is>
          <t>1</t>
        </is>
      </c>
      <c r="J1799">
        <f>((Inputs!$B$6*(1+Inputs!$B$7/100))+(((Inputs!$B$12*(1+Inputs!$B$13/100))-(Inputs!$B$12*(1+Inputs!$B$13/100)))+0.25*(Inputs!$B$14-Inputs!$B$14))*(1+Inputs!$B$7/100))*(F1799/100)</f>
        <v/>
      </c>
      <c r="K1799">
        <f>J1799*(1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1799)</f>
        <v/>
      </c>
      <c r="L1799">
        <f>K1799*(MIN(Inputs!$B$22+((C1809=TRUE)*(F1809-Calc!F22)),(Inputs!$B$23+0+(IF(ArtifactsInput!$M$15,CHOOSE(ArtifactsInput!$N$15+1,25,30,35,40,45,50)/100*(Inputs!$B$11-Inputs!$B$11),0))))/100+(Inputs!$B$23+0+(IF(ArtifactsInput!$M$15,CHOOSE(ArtifactsInput!$N$15+1,25,30,35,40,45,50)/100*(Inputs!$B$11-Inputs!$B$11),0)))/100)/2</f>
        <v/>
      </c>
      <c r="M1799">
        <f>L1799*(1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9">
        <f>L1799*(1-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1799*(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9">
        <f>(1-Summary!$B$11)*T1799+Summary!$B$11*V1799</f>
        <v/>
      </c>
      <c r="P1799">
        <f>IF(B1828=0,0,O1799/B1828)</f>
        <v/>
      </c>
      <c r="Q1799">
        <f>IFERROR(1/(IF(Inputs!$B$38="pvp",15,MAX(0.1,Skills!D12-IF(Skills!E12=TRUE,Inputs!$B$32,0)))*(1-IF(AND(ArtifactsInput!$M$27,Inputs!$B$4="Chapter Hunt"),CHOOSE(ArtifactsInput!$N$27+1,20,24,28,32,36,40),0)/100)),0)</f>
        <v/>
      </c>
      <c r="R1799">
        <f>IF(AND(Inputs!$B$38&lt;&gt;"pvp",Inputs!$B$43&gt;0),IF(MAX(0,Inputs!$B$43-B1825)&lt;=0,0,(INT(MAX(0,Inputs!$B$43-B1825)/(IF(Inputs!$B$38="pvp",15,MAX(0.1,Skills!D12-IF(Skills!E12=TRUE,Inputs!$B$32,0)))*(1-IF(AND(ArtifactsInput!$M$27,Inputs!$B$4="Chapter Hunt"),CHOOSE(ArtifactsInput!$N$27+1,20,24,28,32,36,40),0)/100)))+1)),0)</f>
        <v/>
      </c>
      <c r="S1799">
        <f>IFERROR(O1799/N1799,0)</f>
        <v/>
      </c>
      <c r="T1799">
        <f>IF(C1799,(H1799*N1799*IF(AND(Inputs!$B$38&lt;&gt;"pvp",Inputs!$B$43&gt;0),((Skills!G12*((R1799-1)*IF(Skills!H12&gt;0,Skills!I12/Skills!H12,1)+IF(Skills!H12&gt;0,MIN(Skills!I12,MAX(0,MAX(0,Inputs!$B$43-B1825)-((R1799-1)*(IF(Inputs!$B$38="pvp",15,MAX(0.1,Skills!D12-IF(Skills!E12=TRUE,Inputs!$B$32,0)))*(1-IF(AND(ArtifactsInput!$M$27,Inputs!$B$4="Chapter Hunt"),CHOOSE(ArtifactsInput!$N$27+1,20,24,28,32,36,40),0)/100)))))/Skills!H12,1)))/Inputs!$B$43),G1799*Q1799)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1799*(1-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1799*(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1799*(1-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1799*(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9">
        <f>IF(C1799,(H1799*N1799*IF(AND(Inputs!$B$38&lt;&gt;"pvp",Inputs!$B$43&gt;0),((Skills!G12*((R1799-1)*IF(Skills!H12&gt;0,Skills!I12/Skills!H12,1)+IF(Skills!H12&gt;0,MIN(Skills!I12,MAX(0,MAX(0,Inputs!$B$43-B1825)-((R1799-1)*(IF(Inputs!$B$38="pvp",15,MAX(0.1,Skills!D12-IF(Skills!E12=TRUE,Inputs!$B$32,0)))*(1-IF(AND(ArtifactsInput!$M$27,Inputs!$B$4="Chapter Hunt"),CHOOSE(ArtifactsInput!$N$27+1,20,24,28,32,36,40),0)/100)))))/Skills!H12,1)))/Inputs!$B$43),G1799*Q1799))*IF(Inputs!$B$38="pvp",1,(1+(Inputs!$B$21+Skills!Q12+(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0">
      <c r="A1800">
        <f>Skills!A13</f>
        <v/>
      </c>
      <c r="B1800">
        <f>Skills!B13</f>
        <v/>
      </c>
      <c r="C1800">
        <f>Inputs!$B$3&gt;=110</f>
        <v/>
      </c>
      <c r="D1800">
        <f>IF(Skills!C13=1,60+Inputs!$B$25+Inputs!$B$29,IF(Skills!C13=2,90+Inputs!$B$26+Inputs!$B$29,IF(Skills!C13=3,120+Inputs!$B$27+Inputs!$B$29,MAX(0,(Inputs!$B$3-100)*3)+Inputs!$B$28+Inputs!$B$29)))</f>
        <v/>
      </c>
      <c r="E1800">
        <f>INDEX(FactorTable!$B$2:$Y$301, MATCH(ROUND(MIN(300,MAX(1,D1800)),0), FactorTable!$A$2:$A$301,0), Skills!M13+1)</f>
        <v/>
      </c>
      <c r="F1800">
        <f>IF(Skills!N13=TRUE,(Skills!L13/10)*(E1800/1000),Skills!L13/10)+Skills!O13</f>
        <v/>
      </c>
      <c r="G1800">
        <f>Skills!G13*IF(Skills!H13&gt;0,Skills!I13/Skills!H13,1)</f>
        <v/>
      </c>
      <c r="H1800">
        <f>1-(1-Skills!J13/100)^Skills!K13</f>
        <v/>
      </c>
      <c r="I1800" t="inlineStr">
        <is>
          <t>1</t>
        </is>
      </c>
      <c r="J1800">
        <f>((Inputs!$B$6*(1+Inputs!$B$7/100))+(((Inputs!$B$12*(1+Inputs!$B$13/100))-(Inputs!$B$12*(1+Inputs!$B$13/100)))+0.25*(Inputs!$B$14-Inputs!$B$14))*(1+Inputs!$B$7/100))*(F1800/100)</f>
        <v/>
      </c>
      <c r="K1800">
        <f>J1800*(1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1800)</f>
        <v/>
      </c>
      <c r="L1800">
        <f>K1800*(MIN(Inputs!$B$22+((C1809=TRUE)*(F1809-Calc!F22)),(Inputs!$B$23+0+(IF(ArtifactsInput!$M$15,CHOOSE(ArtifactsInput!$N$15+1,25,30,35,40,45,50)/100*(Inputs!$B$11-Inputs!$B$11),0))))/100+(Inputs!$B$23+0+(IF(ArtifactsInput!$M$15,CHOOSE(ArtifactsInput!$N$15+1,25,30,35,40,45,50)/100*(Inputs!$B$11-Inputs!$B$11),0)))/100)/2</f>
        <v/>
      </c>
      <c r="M1800">
        <f>L1800*(1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0">
        <f>L1800*(1-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1800*(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0">
        <f>(1-Summary!$B$11)*T1800+Summary!$B$11*V1800</f>
        <v/>
      </c>
      <c r="P1800">
        <f>IF(B1828=0,0,O1800/B1828)</f>
        <v/>
      </c>
      <c r="Q1800">
        <f>IFERROR(1/(IF(Inputs!$B$38="pvp",15,MAX(0.1,Skills!D13-IF(Skills!E13=TRUE,Inputs!$B$32,0)))*(1-IF(AND(ArtifactsInput!$M$27,Inputs!$B$4="Chapter Hunt"),CHOOSE(ArtifactsInput!$N$27+1,20,24,28,32,36,40),0)/100)),0)</f>
        <v/>
      </c>
      <c r="R1800">
        <f>IF(AND(Inputs!$B$38&lt;&gt;"pvp",Inputs!$B$43&gt;0),IF(MAX(0,Inputs!$B$43-B1825)&lt;=0,0,(INT(MAX(0,Inputs!$B$43-B1825)/(IF(Inputs!$B$38="pvp",15,MAX(0.1,Skills!D13-IF(Skills!E13=TRUE,Inputs!$B$32,0)))*(1-IF(AND(ArtifactsInput!$M$27,Inputs!$B$4="Chapter Hunt"),CHOOSE(ArtifactsInput!$N$27+1,20,24,28,32,36,40),0)/100)))+1)),0)</f>
        <v/>
      </c>
      <c r="S1800">
        <f>IFERROR(O1800/N1800,0)</f>
        <v/>
      </c>
      <c r="T1800">
        <f>IF(C1800,(H1800*N1800*IF(AND(Inputs!$B$38&lt;&gt;"pvp",Inputs!$B$43&gt;0),((Skills!G13*((R1800-1)*IF(Skills!H13&gt;0,Skills!I13/Skills!H13,1)+IF(Skills!H13&gt;0,MIN(Skills!I13,MAX(0,MAX(0,Inputs!$B$43-B1825)-((R1800-1)*(IF(Inputs!$B$38="pvp",15,MAX(0.1,Skills!D13-IF(Skills!E13=TRUE,Inputs!$B$32,0)))*(1-IF(AND(ArtifactsInput!$M$27,Inputs!$B$4="Chapter Hunt"),CHOOSE(ArtifactsInput!$N$27+1,20,24,28,32,36,40),0)/100)))))/Skills!H13,1)))/Inputs!$B$43),G1800*Q1800)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1800*(1-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1800*(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1800*(1-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1800*(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0">
        <f>IF(C1800,(H1800*N1800*IF(AND(Inputs!$B$38&lt;&gt;"pvp",Inputs!$B$43&gt;0),((Skills!G13*((R1800-1)*IF(Skills!H13&gt;0,Skills!I13/Skills!H13,1)+IF(Skills!H13&gt;0,MIN(Skills!I13,MAX(0,MAX(0,Inputs!$B$43-B1825)-((R1800-1)*(IF(Inputs!$B$38="pvp",15,MAX(0.1,Skills!D13-IF(Skills!E13=TRUE,Inputs!$B$32,0)))*(1-IF(AND(ArtifactsInput!$M$27,Inputs!$B$4="Chapter Hunt"),CHOOSE(ArtifactsInput!$N$27+1,20,24,28,32,36,40),0)/100)))))/Skills!H13,1)))/Inputs!$B$43),G1800*Q1800))*IF(Inputs!$B$38="pvp",1,(1+(Inputs!$B$21+Skills!Q13+(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1">
      <c r="A1801">
        <f>Skills!A14</f>
        <v/>
      </c>
      <c r="B1801">
        <f>Skills!B14</f>
        <v/>
      </c>
      <c r="C1801">
        <f>Inputs!$B$3&gt;=125</f>
        <v/>
      </c>
      <c r="D1801">
        <f>IF(Skills!C14=1,60+Inputs!$B$25+Inputs!$B$29,IF(Skills!C14=2,90+Inputs!$B$26+Inputs!$B$29,IF(Skills!C14=3,120+Inputs!$B$27+Inputs!$B$29,MAX(0,(Inputs!$B$3-100)*3)+Inputs!$B$28+Inputs!$B$29)))</f>
        <v/>
      </c>
      <c r="E1801">
        <f>INDEX(FactorTable!$B$2:$Y$301, MATCH(ROUND(MIN(300,MAX(1,D1801)),0), FactorTable!$A$2:$A$301,0), Skills!M14+1)</f>
        <v/>
      </c>
      <c r="F1801">
        <f>IF(Skills!N14=TRUE,(Skills!L14/10)*(E1801/1000),Skills!L14/10)+Skills!O14</f>
        <v/>
      </c>
      <c r="G1801">
        <f>Skills!G14*IF(Skills!H14&gt;0,Skills!I14/Skills!H14,1)</f>
        <v/>
      </c>
      <c r="H1801">
        <f>1-(1-Skills!J14/100)^Skills!K14</f>
        <v/>
      </c>
      <c r="I1801" t="inlineStr">
        <is>
          <t>1</t>
        </is>
      </c>
      <c r="J1801">
        <f>((Inputs!$B$6*(1+Inputs!$B$7/100))+(((Inputs!$B$12*(1+Inputs!$B$13/100))-(Inputs!$B$12*(1+Inputs!$B$13/100)))+0.25*(Inputs!$B$14-Inputs!$B$14))*(1+Inputs!$B$7/100))*(F1801/100)</f>
        <v/>
      </c>
      <c r="K1801">
        <f>J1801*(1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1801)</f>
        <v/>
      </c>
      <c r="L1801">
        <f>K1801*(MIN(Inputs!$B$22+((C1809=TRUE)*(F1809-Calc!F22)),(Inputs!$B$23+0+(IF(ArtifactsInput!$M$15,CHOOSE(ArtifactsInput!$N$15+1,25,30,35,40,45,50)/100*(Inputs!$B$11-Inputs!$B$11),0))))/100+(Inputs!$B$23+0+(IF(ArtifactsInput!$M$15,CHOOSE(ArtifactsInput!$N$15+1,25,30,35,40,45,50)/100*(Inputs!$B$11-Inputs!$B$11),0)))/100)/2</f>
        <v/>
      </c>
      <c r="M1801">
        <f>L1801*(1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1">
        <f>L1801*(1-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1">
        <f>(1-Summary!$B$11)*T1801+Summary!$B$11*V1801</f>
        <v/>
      </c>
      <c r="P1801">
        <f>IF(B1828=0,0,O1801/B1828)</f>
        <v/>
      </c>
      <c r="Q1801" t="n">
        <v>0</v>
      </c>
      <c r="R1801" t="n">
        <v>0</v>
      </c>
      <c r="S1801">
        <f>IFERROR(O1801/N1801,0)</f>
        <v/>
      </c>
      <c r="T1801">
        <f>IF(C1801,(H1801*N1801*(B1822+IF(AND(Inputs!$B$38&lt;&gt;"pvp",Inputs!$B$43&gt;0),((Skills!G8*((R1795-1)*IF(Skills!H8&gt;0,Skills!I8/Skills!H8,1)+IF(Skills!H8&gt;0,MIN(Skills!I8,MAX(0,MAX(0,Inputs!$B$43-B1825)-((R1795-1)*(IF(Inputs!$B$38="pvp",15,MAX(0.1,Skills!D8-IF(Skills!E8=TRUE,Inputs!$B$32,0)))*(1-IF(AND(ArtifactsInput!$M$27,Inputs!$B$4="Chapter Hunt"),CHOOSE(ArtifactsInput!$N$27+1,20,24,28,32,36,40),0)/100)))))/Skills!H8,1)))/Inputs!$B$43),G1795*Q1795)+IF(AND(Inputs!$B$38&lt;&gt;"pvp",Inputs!$B$43&gt;0),((Skills!G11*((R1798-1)*IF(Skills!H11&gt;0,Skills!I11/Skills!H11,1)+IF(Skills!H11&gt;0,MIN(Skills!I11,MAX(0,MAX(0,Inputs!$B$43-B1825)-((R1798-1)*(IF(Inputs!$B$38="pvp",15,MAX(0.1,Skills!D11-IF(Skills!E11=TRUE,Inputs!$B$32,0)))*(1-IF(AND(ArtifactsInput!$M$27,Inputs!$B$4="Chapter Hunt"),CHOOSE(ArtifactsInput!$N$27+1,20,24,28,32,36,40),0)/100)))))/Skills!H11,1)))/Inputs!$B$43),G1798*Q1798)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1801*(1-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1801*(1-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1">
        <f>IF(C1801,(H1801*N1801*(B1822+IF(AND(Inputs!$B$38&lt;&gt;"pvp",Inputs!$B$43&gt;0),((Skills!G8*((R1795-1)*IF(Skills!H8&gt;0,Skills!I8/Skills!H8,1)+IF(Skills!H8&gt;0,MIN(Skills!I8,MAX(0,MAX(0,Inputs!$B$43-B1825)-((R1795-1)*(IF(Inputs!$B$38="pvp",15,MAX(0.1,Skills!D8-IF(Skills!E8=TRUE,Inputs!$B$32,0)))*(1-IF(AND(ArtifactsInput!$M$27,Inputs!$B$4="Chapter Hunt"),CHOOSE(ArtifactsInput!$N$27+1,20,24,28,32,36,40),0)/100)))))/Skills!H8,1)))/Inputs!$B$43),G1795*Q1795)+IF(AND(Inputs!$B$38&lt;&gt;"pvp",Inputs!$B$43&gt;0),((Skills!G11*((R1798-1)*IF(Skills!H11&gt;0,Skills!I11/Skills!H11,1)+IF(Skills!H11&gt;0,MIN(Skills!I11,MAX(0,MAX(0,Inputs!$B$43-B1825)-((R1798-1)*(IF(Inputs!$B$38="pvp",15,MAX(0.1,Skills!D11-IF(Skills!E11=TRUE,Inputs!$B$32,0)))*(1-IF(AND(ArtifactsInput!$M$27,Inputs!$B$4="Chapter Hunt"),CHOOSE(ArtifactsInput!$N$27+1,20,24,28,32,36,40),0)/100)))))/Skills!H11,1)))/Inputs!$B$43),G1798*Q1798)))*IF(Inputs!$B$38="pvp",1,(1+(Inputs!$B$21+Skills!Q14+(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2">
      <c r="A1802">
        <f>Skills!A15</f>
        <v/>
      </c>
      <c r="B1802">
        <f>Skills!B15</f>
        <v/>
      </c>
      <c r="C1802">
        <f>Inputs!$B$3&gt;=100</f>
        <v/>
      </c>
      <c r="D1802">
        <f>IF(Skills!C15=1,60+Inputs!$B$25+Inputs!$B$29,IF(Skills!C15=2,90+Inputs!$B$26+Inputs!$B$29,IF(Skills!C15=3,120+Inputs!$B$27+Inputs!$B$29,MAX(0,(Inputs!$B$3-100)*3)+Inputs!$B$28+Inputs!$B$29)))</f>
        <v/>
      </c>
      <c r="E1802">
        <f>INDEX(FactorTable!$B$2:$Y$301, MATCH(ROUND(MIN(300,MAX(1,D1802)),0), FactorTable!$A$2:$A$301,0), Skills!M15+1)</f>
        <v/>
      </c>
      <c r="F1802">
        <f>IF(Skills!N15=TRUE,(Skills!L15/10)*(E1802/1000),Skills!L15/10)+Skills!O15</f>
        <v/>
      </c>
      <c r="G1802" t="inlineStr"/>
      <c r="H1802" t="inlineStr"/>
      <c r="I1802" t="inlineStr">
        <is>
          <t>1</t>
        </is>
      </c>
      <c r="J1802" t="inlineStr"/>
      <c r="K1802" t="inlineStr"/>
      <c r="L1802" t="inlineStr"/>
      <c r="M1802" t="inlineStr"/>
      <c r="N1802" t="inlineStr"/>
      <c r="O1802" t="inlineStr"/>
      <c r="P1802" t="inlineStr"/>
      <c r="Q1802" t="inlineStr"/>
      <c r="R1802" t="inlineStr"/>
      <c r="S1802" t="inlineStr"/>
    </row>
    <row r="1803">
      <c r="A1803">
        <f>Skills!A16</f>
        <v/>
      </c>
      <c r="B1803">
        <f>Skills!B16</f>
        <v/>
      </c>
      <c r="C1803">
        <f>Inputs!$B$3&gt;=120</f>
        <v/>
      </c>
      <c r="D1803">
        <f>IF(Skills!C16=1,60+Inputs!$B$25+Inputs!$B$29,IF(Skills!C16=2,90+Inputs!$B$26+Inputs!$B$29,IF(Skills!C16=3,120+Inputs!$B$27+Inputs!$B$29,MAX(0,(Inputs!$B$3-100)*3)+Inputs!$B$28+Inputs!$B$29)))</f>
        <v/>
      </c>
      <c r="E1803">
        <f>INDEX(FactorTable!$B$2:$Y$301, MATCH(ROUND(MIN(300,MAX(1,D1803)),0), FactorTable!$A$2:$A$301,0), Skills!M16+1)</f>
        <v/>
      </c>
      <c r="F1803">
        <f>IF(Skills!N16=TRUE,(Skills!L16/10)*(E1803/1000),Skills!L16/10)+Skills!O16</f>
        <v/>
      </c>
      <c r="G1803" t="inlineStr"/>
      <c r="H1803" t="inlineStr"/>
      <c r="I1803" t="inlineStr">
        <is>
          <t>1</t>
        </is>
      </c>
      <c r="J1803" t="inlineStr"/>
      <c r="K1803" t="inlineStr"/>
      <c r="L1803" t="inlineStr"/>
      <c r="M1803" t="inlineStr"/>
      <c r="N1803" t="inlineStr"/>
      <c r="O1803" t="inlineStr"/>
      <c r="P1803" t="inlineStr"/>
      <c r="Q1803" t="inlineStr"/>
      <c r="R1803" t="inlineStr"/>
      <c r="S1803" t="inlineStr"/>
    </row>
    <row r="1804">
      <c r="A1804">
        <f>Skills!A17</f>
        <v/>
      </c>
      <c r="B1804">
        <f>Skills!B17</f>
        <v/>
      </c>
      <c r="C1804">
        <f>Inputs!$B$3&gt;=66</f>
        <v/>
      </c>
      <c r="D1804">
        <f>IF(Skills!C17=1,60+Inputs!$B$25+Inputs!$B$29,IF(Skills!C17=2,90+Inputs!$B$26+Inputs!$B$29,IF(Skills!C17=3,120+Inputs!$B$27+Inputs!$B$29,MAX(0,(Inputs!$B$3-100)*3)+Inputs!$B$28+Inputs!$B$29)))</f>
        <v/>
      </c>
      <c r="E1804">
        <f>INDEX(FactorTable!$B$2:$Y$301, MATCH(ROUND(MIN(300,MAX(1,D1804)),0), FactorTable!$A$2:$A$301,0), Skills!M17+1)</f>
        <v/>
      </c>
      <c r="F1804">
        <f>IF(Skills!N17=TRUE,(Skills!L17/10)*(E1804/1000),Skills!L17/10)+Skills!O17</f>
        <v/>
      </c>
      <c r="G1804">
        <f>Skills!G17*IF(Skills!H17&gt;0,Skills!I17/Skills!H17,1)</f>
        <v/>
      </c>
      <c r="H1804">
        <f>1-(1-Skills!J17/100)^Skills!K17</f>
        <v/>
      </c>
      <c r="I1804" t="inlineStr">
        <is>
          <t>1</t>
        </is>
      </c>
      <c r="J1804" t="inlineStr"/>
      <c r="K1804" t="inlineStr"/>
      <c r="L1804" t="inlineStr"/>
      <c r="M1804" t="inlineStr"/>
      <c r="N1804" t="inlineStr"/>
      <c r="O1804">
        <f>(1-Summary!$B$11)*T1804+Summary!$B$11*V1804</f>
        <v/>
      </c>
      <c r="P1804">
        <f>IF(B1828=0,0,O1804/B1828)</f>
        <v/>
      </c>
      <c r="Q1804" t="n">
        <v>0</v>
      </c>
      <c r="R1804" t="n">
        <v>0</v>
      </c>
      <c r="S1804">
        <f>IFERROR(O1804/N1804,0)</f>
        <v/>
      </c>
      <c r="T1804" t="n">
        <v>0</v>
      </c>
      <c r="V1804" t="n">
        <v>0</v>
      </c>
    </row>
    <row r="1805">
      <c r="A1805">
        <f>Skills!A18</f>
        <v/>
      </c>
      <c r="B1805">
        <f>Skills!B18</f>
        <v/>
      </c>
      <c r="C1805">
        <f>Inputs!$B$3&gt;=115</f>
        <v/>
      </c>
      <c r="D1805">
        <f>IF(Skills!C18=1,60+Inputs!$B$25+Inputs!$B$29,IF(Skills!C18=2,90+Inputs!$B$26+Inputs!$B$29,IF(Skills!C18=3,120+Inputs!$B$27+Inputs!$B$29,MAX(0,(Inputs!$B$3-100)*3)+Inputs!$B$28+Inputs!$B$29)))</f>
        <v/>
      </c>
      <c r="E1805">
        <f>INDEX(FactorTable!$B$2:$Y$301, MATCH(ROUND(MIN(300,MAX(1,D1805)),0), FactorTable!$A$2:$A$301,0), Skills!M18+1)</f>
        <v/>
      </c>
      <c r="F1805">
        <f>IF(Skills!N18=TRUE,(Skills!L18/10)*(E1805/1000),Skills!L18/10)+Skills!O18</f>
        <v/>
      </c>
      <c r="G1805">
        <f>Skills!G18*IF(Skills!H18&gt;0,Skills!I18/Skills!H18,1)</f>
        <v/>
      </c>
      <c r="H1805">
        <f>1-(1-Skills!J18/100)^Skills!K18</f>
        <v/>
      </c>
      <c r="I1805" t="inlineStr">
        <is>
          <t>1</t>
        </is>
      </c>
      <c r="J1805" t="inlineStr"/>
      <c r="K1805" t="inlineStr"/>
      <c r="L1805" t="inlineStr"/>
      <c r="M1805" t="inlineStr"/>
      <c r="N1805" t="inlineStr"/>
      <c r="O1805">
        <f>(1-Summary!$B$11)*T1805+Summary!$B$11*V1805</f>
        <v/>
      </c>
      <c r="P1805">
        <f>IF(B1828=0,0,O1805/B1828)</f>
        <v/>
      </c>
      <c r="Q1805">
        <f>IFERROR(1/(IF(Inputs!$B$38="pvp",15,MAX(0.1,Skills!D18-IF(Skills!E18=TRUE,Inputs!$B$32,0)))*(1-IF(AND(ArtifactsInput!$M$27,Inputs!$B$4="Chapter Hunt"),CHOOSE(ArtifactsInput!$N$27+1,20,24,28,32,36,40),0)/100)),0)</f>
        <v/>
      </c>
      <c r="R1805">
        <f>IF(AND(Inputs!$B$38&lt;&gt;"pvp",Inputs!$B$43&gt;0),IF(Inputs!$B$43&lt;=0,0,(INT(Inputs!$B$43/(IF(Inputs!$B$38="pvp",15,MAX(0.1,Skills!D18-IF(Skills!E18=TRUE,Inputs!$B$32,0)))*(1-IF(AND(ArtifactsInput!$M$27,Inputs!$B$4="Chapter Hunt"),CHOOSE(ArtifactsInput!$N$27+1,20,24,28,32,36,40),0)/100)))+1)),0)</f>
        <v/>
      </c>
      <c r="S1805">
        <f>IFERROR(O1805/N1805,0)</f>
        <v/>
      </c>
      <c r="T1805" t="n">
        <v>0</v>
      </c>
      <c r="V1805" t="n">
        <v>0</v>
      </c>
    </row>
    <row r="1806">
      <c r="A1806">
        <f>Skills!A19</f>
        <v/>
      </c>
      <c r="B1806">
        <f>Skills!B19</f>
        <v/>
      </c>
      <c r="C1806">
        <f>Inputs!$B$3&gt;=15</f>
        <v/>
      </c>
      <c r="D1806">
        <f>IF(Skills!C19=1,60+Inputs!$B$25+Inputs!$B$29,IF(Skills!C19=2,90+Inputs!$B$26+Inputs!$B$29,IF(Skills!C19=3,120+Inputs!$B$27+Inputs!$B$29,MAX(0,(Inputs!$B$3-100)*3)+Inputs!$B$28+Inputs!$B$29)))</f>
        <v/>
      </c>
      <c r="E1806">
        <f>INDEX(FactorTable!$B$2:$Y$301, MATCH(ROUND(MIN(300,MAX(1,D1806)),0), FactorTable!$A$2:$A$301,0), Skills!M19+1)</f>
        <v/>
      </c>
      <c r="F1806">
        <f>IF(Skills!N19=TRUE,(Skills!L19/10)*(E1806/1000),Skills!L19/10)+Skills!O19</f>
        <v/>
      </c>
      <c r="G1806">
        <f>Skills!G19*IF(Skills!H19&gt;0,Skills!I19/Skills!H19,1)</f>
        <v/>
      </c>
      <c r="H1806">
        <f>1-(1-Skills!J19/100)^Skills!K19</f>
        <v/>
      </c>
      <c r="I1806" t="inlineStr">
        <is>
          <t>1</t>
        </is>
      </c>
      <c r="J1806" t="inlineStr"/>
      <c r="K1806" t="inlineStr"/>
      <c r="L1806" t="inlineStr"/>
      <c r="M1806" t="inlineStr"/>
      <c r="N1806" t="inlineStr"/>
      <c r="O1806">
        <f>(1-Summary!$B$11)*T1806+Summary!$B$11*V1806</f>
        <v/>
      </c>
      <c r="P1806">
        <f>IF(B1828=0,0,O1806/B1828)</f>
        <v/>
      </c>
      <c r="Q1806" t="n">
        <v>0</v>
      </c>
      <c r="R1806" t="n">
        <v>0</v>
      </c>
      <c r="S1806">
        <f>IFERROR(O1806/N1806,0)</f>
        <v/>
      </c>
      <c r="T1806" t="n">
        <v>0</v>
      </c>
      <c r="V1806" t="n">
        <v>0</v>
      </c>
    </row>
    <row r="1807">
      <c r="A1807">
        <f>Skills!A20</f>
        <v/>
      </c>
      <c r="B1807">
        <f>Skills!B20</f>
        <v/>
      </c>
      <c r="C1807">
        <f>Inputs!$B$3&gt;=10</f>
        <v/>
      </c>
      <c r="D1807">
        <f>IF(Skills!C20=1,60+Inputs!$B$25+Inputs!$B$29,IF(Skills!C20=2,90+Inputs!$B$26+Inputs!$B$29,IF(Skills!C20=3,120+Inputs!$B$27+Inputs!$B$29,MAX(0,(Inputs!$B$3-100)*3)+Inputs!$B$28+Inputs!$B$29)))</f>
        <v/>
      </c>
      <c r="E1807">
        <f>INDEX(FactorTable!$B$2:$Y$301, MATCH(ROUND(MIN(300,MAX(1,D1807)),0), FactorTable!$A$2:$A$301,0), Skills!M20+1)</f>
        <v/>
      </c>
      <c r="F1807">
        <f>IF(Skills!N20=TRUE,(Skills!L20/10)*(E1807/1000),Skills!L20/10)+Skills!O20</f>
        <v/>
      </c>
      <c r="G1807">
        <f>Skills!G20*IF(Skills!H20&gt;0,Skills!I20/Skills!H20,1)</f>
        <v/>
      </c>
      <c r="H1807">
        <f>1-(1-Skills!J20/100)^Skills!K20</f>
        <v/>
      </c>
      <c r="I1807" t="inlineStr">
        <is>
          <t>1</t>
        </is>
      </c>
      <c r="J1807" t="inlineStr"/>
      <c r="K1807" t="inlineStr"/>
      <c r="L1807" t="inlineStr"/>
      <c r="M1807" t="inlineStr"/>
      <c r="N1807" t="inlineStr"/>
      <c r="O1807">
        <f>(1-Summary!$B$11)*T1807+Summary!$B$11*V1807</f>
        <v/>
      </c>
      <c r="P1807">
        <f>IF(B1828=0,0,O1807/B1828)</f>
        <v/>
      </c>
      <c r="Q1807" t="n">
        <v>0</v>
      </c>
      <c r="R1807" t="n">
        <v>0</v>
      </c>
      <c r="S1807">
        <f>IFERROR(O1807/N1807,0)</f>
        <v/>
      </c>
      <c r="T1807" t="n">
        <v>0</v>
      </c>
      <c r="V1807" t="n">
        <v>0</v>
      </c>
    </row>
    <row r="1808">
      <c r="A1808">
        <f>Skills!A21</f>
        <v/>
      </c>
      <c r="B1808">
        <f>Skills!B21</f>
        <v/>
      </c>
      <c r="C1808">
        <f>Inputs!$B$3&gt;=33</f>
        <v/>
      </c>
      <c r="D1808">
        <f>IF(Skills!C21=1,60+Inputs!$B$25+Inputs!$B$29,IF(Skills!C21=2,90+Inputs!$B$26+Inputs!$B$29,IF(Skills!C21=3,120+Inputs!$B$27+Inputs!$B$29,MAX(0,(Inputs!$B$3-100)*3)+Inputs!$B$28+Inputs!$B$29)))</f>
        <v/>
      </c>
      <c r="E1808">
        <f>INDEX(FactorTable!$B$2:$Y$301, MATCH(ROUND(MIN(300,MAX(1,D1808)),0), FactorTable!$A$2:$A$301,0), Skills!M21+1)</f>
        <v/>
      </c>
      <c r="F1808">
        <f>IF(Skills!N21=TRUE,(Skills!L21/10)*(E1808/1000),Skills!L21/10)+Skills!O21</f>
        <v/>
      </c>
      <c r="G1808">
        <f>Skills!G21*IF(Skills!H21&gt;0,Skills!I21/Skills!H21,1)</f>
        <v/>
      </c>
      <c r="H1808">
        <f>1-(1-Skills!J21/100)^Skills!K21</f>
        <v/>
      </c>
      <c r="I1808" t="inlineStr">
        <is>
          <t>1</t>
        </is>
      </c>
      <c r="J1808" t="inlineStr"/>
      <c r="K1808" t="inlineStr"/>
      <c r="L1808" t="inlineStr"/>
      <c r="M1808" t="inlineStr"/>
      <c r="N1808" t="inlineStr"/>
      <c r="O1808">
        <f>(1-Summary!$B$11)*T1808+Summary!$B$11*V1808</f>
        <v/>
      </c>
      <c r="P1808">
        <f>IF(B1828=0,0,O1808/B1828)</f>
        <v/>
      </c>
      <c r="Q1808" t="n">
        <v>0</v>
      </c>
      <c r="R1808" t="n">
        <v>0</v>
      </c>
      <c r="S1808">
        <f>IFERROR(O1808/N1808,0)</f>
        <v/>
      </c>
      <c r="T1808" t="n">
        <v>0</v>
      </c>
      <c r="V1808" t="n">
        <v>0</v>
      </c>
    </row>
    <row r="1809">
      <c r="A1809">
        <f>Skills!A22</f>
        <v/>
      </c>
      <c r="B1809">
        <f>Skills!B22</f>
        <v/>
      </c>
      <c r="C1809">
        <f>Inputs!$B$3&gt;=43</f>
        <v/>
      </c>
      <c r="D1809">
        <f>IF(Skills!C22=1,60+Inputs!$B$25+Inputs!$B$29,IF(Skills!C22=2,90+Inputs!$B$26+Inputs!$B$29,IF(Skills!C22=3,120+Inputs!$B$27+Inputs!$B$29,MAX(0,(Inputs!$B$3-100)*3)+Inputs!$B$28+Inputs!$B$29)))</f>
        <v/>
      </c>
      <c r="E1809">
        <f>INDEX(FactorTable!$B$2:$Y$301, MATCH(ROUND(MIN(300,MAX(1,D1809)),0), FactorTable!$A$2:$A$301,0), Skills!M22+1)</f>
        <v/>
      </c>
      <c r="F1809">
        <f>IF(Skills!N22=TRUE,(Skills!L22/10)*(E1809/1000),Skills!L22/10)+Skills!O22</f>
        <v/>
      </c>
      <c r="G1809">
        <f>Skills!G22*IF(Skills!H22&gt;0,Skills!I22/Skills!H22,1)</f>
        <v/>
      </c>
      <c r="H1809">
        <f>1-(1-Skills!J22/100)^Skills!K22</f>
        <v/>
      </c>
      <c r="I1809" t="inlineStr">
        <is>
          <t>1</t>
        </is>
      </c>
      <c r="J1809" t="inlineStr"/>
      <c r="K1809" t="inlineStr"/>
      <c r="L1809" t="inlineStr"/>
      <c r="M1809" t="inlineStr"/>
      <c r="N1809" t="inlineStr"/>
      <c r="O1809">
        <f>(1-Summary!$B$11)*T1809+Summary!$B$11*V1809</f>
        <v/>
      </c>
      <c r="P1809">
        <f>IF(B1828=0,0,O1809/B1828)</f>
        <v/>
      </c>
      <c r="Q1809" t="n">
        <v>0</v>
      </c>
      <c r="R1809" t="n">
        <v>0</v>
      </c>
      <c r="S1809">
        <f>IFERROR(O1809/N1809,0)</f>
        <v/>
      </c>
      <c r="T1809" t="n">
        <v>0</v>
      </c>
      <c r="V1809" t="n">
        <v>0</v>
      </c>
    </row>
    <row r="1810">
      <c r="A1810">
        <f>Skills!A23</f>
        <v/>
      </c>
      <c r="B1810">
        <f>Skills!B23</f>
        <v/>
      </c>
      <c r="C1810">
        <f>Inputs!$B$3&gt;=38</f>
        <v/>
      </c>
      <c r="D1810">
        <f>IF(Skills!C23=1,60+Inputs!$B$25+Inputs!$B$29,IF(Skills!C23=2,90+Inputs!$B$26+Inputs!$B$29,IF(Skills!C23=3,120+Inputs!$B$27+Inputs!$B$29,MAX(0,(Inputs!$B$3-100)*3)+Inputs!$B$28+Inputs!$B$29)))</f>
        <v/>
      </c>
      <c r="E1810">
        <f>INDEX(FactorTable!$B$2:$Y$301, MATCH(ROUND(MIN(300,MAX(1,D1810)),0), FactorTable!$A$2:$A$301,0), Skills!M23+1)</f>
        <v/>
      </c>
      <c r="F1810">
        <f>IF(Skills!N23=TRUE,(Skills!L23/10)*(E1810/1000),Skills!L23/10)+Skills!O23</f>
        <v/>
      </c>
      <c r="G1810">
        <f>Skills!G23*IF(Skills!H23&gt;0,Skills!I23/Skills!H23,1)</f>
        <v/>
      </c>
      <c r="H1810">
        <f>1-(1-Skills!J23/100)^Skills!K23</f>
        <v/>
      </c>
      <c r="I1810" t="inlineStr">
        <is>
          <t>1</t>
        </is>
      </c>
      <c r="J1810" t="inlineStr"/>
      <c r="K1810" t="inlineStr"/>
      <c r="L1810" t="inlineStr"/>
      <c r="M1810" t="inlineStr"/>
      <c r="N1810" t="inlineStr"/>
      <c r="O1810">
        <f>(1-Summary!$B$11)*T1810+Summary!$B$11*V1810</f>
        <v/>
      </c>
      <c r="P1810">
        <f>IF(B1828=0,0,O1810/B1828)</f>
        <v/>
      </c>
      <c r="Q1810" t="n">
        <v>0</v>
      </c>
      <c r="R1810" t="n">
        <v>0</v>
      </c>
      <c r="S1810">
        <f>IFERROR(O1810/N1810,0)</f>
        <v/>
      </c>
      <c r="T1810" t="n">
        <v>0</v>
      </c>
      <c r="V1810" t="n">
        <v>0</v>
      </c>
    </row>
    <row r="1811">
      <c r="A1811">
        <f>Skills!A24</f>
        <v/>
      </c>
      <c r="B1811">
        <f>Skills!B24</f>
        <v/>
      </c>
      <c r="C1811">
        <f>Inputs!$B$3&gt;=40</f>
        <v/>
      </c>
      <c r="D1811">
        <f>IF(Skills!C24=1,60+Inputs!$B$25+Inputs!$B$29,IF(Skills!C24=2,90+Inputs!$B$26+Inputs!$B$29,IF(Skills!C24=3,120+Inputs!$B$27+Inputs!$B$29,MAX(0,(Inputs!$B$3-100)*3)+Inputs!$B$28+Inputs!$B$29)))</f>
        <v/>
      </c>
      <c r="E1811">
        <f>INDEX(FactorTable!$B$2:$Y$301, MATCH(ROUND(MIN(300,MAX(1,D1811)),0), FactorTable!$A$2:$A$301,0), Skills!M24+1)</f>
        <v/>
      </c>
      <c r="F1811">
        <f>IF(Skills!N24=TRUE,(Skills!L24/10)*(E1811/1000),Skills!L24/10)+Skills!O24</f>
        <v/>
      </c>
      <c r="G1811">
        <f>Skills!G24*IF(Skills!H24&gt;0,Skills!I24/Skills!H24,1)</f>
        <v/>
      </c>
      <c r="H1811">
        <f>1-(1-Skills!J24/100)^Skills!K24</f>
        <v/>
      </c>
      <c r="I1811" t="inlineStr">
        <is>
          <t>1</t>
        </is>
      </c>
      <c r="J1811" t="inlineStr"/>
      <c r="K1811" t="inlineStr"/>
      <c r="L1811" t="inlineStr"/>
      <c r="M1811" t="inlineStr"/>
      <c r="N1811" t="inlineStr"/>
      <c r="O1811">
        <f>(1-Summary!$B$11)*T1811+Summary!$B$11*V1811</f>
        <v/>
      </c>
      <c r="P1811">
        <f>IF(B1828=0,0,O1811/B1828)</f>
        <v/>
      </c>
      <c r="Q1811" t="n">
        <v>0</v>
      </c>
      <c r="R1811" t="n">
        <v>0</v>
      </c>
      <c r="S1811">
        <f>IFERROR(O1811/N1811,0)</f>
        <v/>
      </c>
      <c r="T1811" t="n">
        <v>0</v>
      </c>
      <c r="V1811" t="n">
        <v>0</v>
      </c>
    </row>
    <row r="1812">
      <c r="A1812">
        <f>Skills!A25</f>
        <v/>
      </c>
      <c r="B1812">
        <f>Skills!B25</f>
        <v/>
      </c>
      <c r="C1812">
        <f>Inputs!$B$3&gt;=72</f>
        <v/>
      </c>
      <c r="D1812">
        <f>IF(Skills!C25=1,60+Inputs!$B$25+Inputs!$B$29,IF(Skills!C25=2,90+Inputs!$B$26+Inputs!$B$29,IF(Skills!C25=3,120+Inputs!$B$27+Inputs!$B$29,MAX(0,(Inputs!$B$3-100)*3)+Inputs!$B$28+Inputs!$B$29)))</f>
        <v/>
      </c>
      <c r="E1812">
        <f>INDEX(FactorTable!$B$2:$Y$301, MATCH(ROUND(MIN(300,MAX(1,D1812)),0), FactorTable!$A$2:$A$301,0), Skills!M25+1)</f>
        <v/>
      </c>
      <c r="F1812">
        <f>IF(Skills!N25=TRUE,(Skills!L25/10)*(E1812/1000),Skills!L25/10)+Skills!O25</f>
        <v/>
      </c>
      <c r="G1812">
        <f>Skills!G25*IF(Skills!H25&gt;0,Skills!I25/Skills!H25,1)</f>
        <v/>
      </c>
      <c r="H1812">
        <f>1-(1-Skills!J25/100)^Skills!K25</f>
        <v/>
      </c>
      <c r="I1812" t="inlineStr">
        <is>
          <t>1</t>
        </is>
      </c>
      <c r="J1812" t="inlineStr"/>
      <c r="K1812" t="inlineStr"/>
      <c r="L1812" t="inlineStr"/>
      <c r="M1812" t="inlineStr"/>
      <c r="N1812" t="inlineStr"/>
      <c r="O1812">
        <f>(1-Summary!$B$11)*T1812+Summary!$B$11*V1812</f>
        <v/>
      </c>
      <c r="P1812">
        <f>IF(B1828=0,0,O1812/B1828)</f>
        <v/>
      </c>
      <c r="Q1812" t="n">
        <v>0</v>
      </c>
      <c r="R1812" t="n">
        <v>0</v>
      </c>
      <c r="S1812">
        <f>IFERROR(O1812/N1812,0)</f>
        <v/>
      </c>
      <c r="T1812" t="n">
        <v>0</v>
      </c>
      <c r="V1812" t="n">
        <v>0</v>
      </c>
    </row>
    <row r="1813">
      <c r="A1813">
        <f>Skills!A26</f>
        <v/>
      </c>
      <c r="B1813">
        <f>Skills!B26</f>
        <v/>
      </c>
      <c r="C1813">
        <f>Inputs!$B$3&gt;=75</f>
        <v/>
      </c>
      <c r="D1813">
        <f>IF(Skills!C26=1,60+Inputs!$B$25+Inputs!$B$29,IF(Skills!C26=2,90+Inputs!$B$26+Inputs!$B$29,IF(Skills!C26=3,120+Inputs!$B$27+Inputs!$B$29,MAX(0,(Inputs!$B$3-100)*3)+Inputs!$B$28+Inputs!$B$29)))</f>
        <v/>
      </c>
      <c r="E1813">
        <f>INDEX(FactorTable!$B$2:$Y$301, MATCH(ROUND(MIN(300,MAX(1,D1813)),0), FactorTable!$A$2:$A$301,0), Skills!M26+1)</f>
        <v/>
      </c>
      <c r="F1813">
        <f>IF(Skills!N26=TRUE,(Skills!L26/10)*(E1813/1000),Skills!L26/10)+Skills!O26</f>
        <v/>
      </c>
      <c r="G1813">
        <f>Skills!G26*IF(Skills!H26&gt;0,Skills!I26/Skills!H26,1)</f>
        <v/>
      </c>
      <c r="H1813">
        <f>1-(1-Skills!J26/100)^Skills!K26</f>
        <v/>
      </c>
      <c r="I1813" t="inlineStr">
        <is>
          <t>1</t>
        </is>
      </c>
      <c r="J1813" t="inlineStr"/>
      <c r="K1813" t="inlineStr"/>
      <c r="L1813" t="inlineStr"/>
      <c r="M1813" t="inlineStr"/>
      <c r="N1813" t="inlineStr"/>
      <c r="O1813">
        <f>(1-Summary!$B$11)*T1813+Summary!$B$11*V1813</f>
        <v/>
      </c>
      <c r="P1813">
        <f>IF(B1828=0,0,O1813/B1828)</f>
        <v/>
      </c>
      <c r="Q1813" t="n">
        <v>0</v>
      </c>
      <c r="R1813" t="n">
        <v>0</v>
      </c>
      <c r="S1813">
        <f>IFERROR(O1813/N1813,0)</f>
        <v/>
      </c>
      <c r="T1813" t="n">
        <v>0</v>
      </c>
      <c r="V1813" t="n">
        <v>0</v>
      </c>
    </row>
    <row r="1814">
      <c r="A1814">
        <f>Skills!A27</f>
        <v/>
      </c>
      <c r="B1814">
        <f>Skills!B27</f>
        <v/>
      </c>
      <c r="C1814">
        <f>Inputs!$B$3&gt;=117</f>
        <v/>
      </c>
      <c r="D1814">
        <f>IF(Skills!C27=1,60+Inputs!$B$25+Inputs!$B$29,IF(Skills!C27=2,90+Inputs!$B$26+Inputs!$B$29,IF(Skills!C27=3,120+Inputs!$B$27+Inputs!$B$29,MAX(0,(Inputs!$B$3-100)*3)+Inputs!$B$28+Inputs!$B$29)))</f>
        <v/>
      </c>
      <c r="E1814">
        <f>INDEX(FactorTable!$B$2:$Y$301, MATCH(ROUND(MIN(300,MAX(1,D1814)),0), FactorTable!$A$2:$A$301,0), Skills!M27+1)</f>
        <v/>
      </c>
      <c r="F1814">
        <f>IF(Skills!N27=TRUE,(Skills!L27/10)*(E1814/1000),Skills!L27/10)+Skills!O27</f>
        <v/>
      </c>
      <c r="G1814">
        <f>Skills!G27*IF(Skills!H27&gt;0,Skills!I27/Skills!H27,1)</f>
        <v/>
      </c>
      <c r="H1814">
        <f>1-(1-Skills!J27/100)^Skills!K27</f>
        <v/>
      </c>
      <c r="I1814" t="inlineStr">
        <is>
          <t>1</t>
        </is>
      </c>
      <c r="J1814" t="inlineStr"/>
      <c r="K1814" t="inlineStr"/>
      <c r="L1814" t="inlineStr"/>
      <c r="M1814" t="inlineStr"/>
      <c r="N1814" t="inlineStr"/>
      <c r="O1814">
        <f>(1-Summary!$B$11)*T1814+Summary!$B$11*V1814</f>
        <v/>
      </c>
      <c r="P1814">
        <f>IF(B1828=0,0,O1814/B1828)</f>
        <v/>
      </c>
      <c r="Q1814" t="n">
        <v>0</v>
      </c>
      <c r="R1814" t="n">
        <v>0</v>
      </c>
      <c r="S1814">
        <f>IFERROR(O1814/N1814,0)</f>
        <v/>
      </c>
      <c r="T1814" t="n">
        <v>0</v>
      </c>
      <c r="V1814" t="n">
        <v>0</v>
      </c>
    </row>
    <row r="1815">
      <c r="A1815">
        <f>Skills!A28</f>
        <v/>
      </c>
      <c r="B1815">
        <f>Skills!B28</f>
        <v/>
      </c>
      <c r="C1815">
        <f>TRUE</f>
        <v/>
      </c>
      <c r="D1815">
        <f>IF(Skills!C28=1,60+Inputs!$B$25+Inputs!$B$29,IF(Skills!C28=2,90+Inputs!$B$26+Inputs!$B$29,IF(Skills!C28=3,120+Inputs!$B$27+Inputs!$B$29,MAX(0,(Inputs!$B$3-100)*3)+Inputs!$B$28+Inputs!$B$29)))</f>
        <v/>
      </c>
      <c r="E1815">
        <f>INDEX(FactorTable!$B$2:$Y$301, MATCH(ROUND(MIN(300,MAX(1,D1815)),0), FactorTable!$A$2:$A$301,0), Skills!M28+1)</f>
        <v/>
      </c>
      <c r="F1815">
        <f>IF(Skills!N28=TRUE,(Skills!L28/10)*(E1815/1000),Skills!L28/10)+Skills!O28</f>
        <v/>
      </c>
      <c r="G1815">
        <f>Skills!G28*IF(Skills!H28&gt;0,Skills!I28/Skills!H28,1)</f>
        <v/>
      </c>
      <c r="H1815">
        <f>1-(1-Skills!J28/100)^Skills!K28</f>
        <v/>
      </c>
      <c r="I1815" t="inlineStr">
        <is>
          <t>1</t>
        </is>
      </c>
      <c r="J1815" t="inlineStr"/>
      <c r="K1815" t="inlineStr"/>
      <c r="L1815" t="inlineStr"/>
      <c r="M1815" t="inlineStr"/>
      <c r="N1815" t="inlineStr"/>
      <c r="O1815">
        <f>(1-Summary!$B$11)*T1815+Summary!$B$11*V1815</f>
        <v/>
      </c>
      <c r="P1815">
        <f>IF(B1828=0,0,O1815/B1828)</f>
        <v/>
      </c>
      <c r="Q1815">
        <f>IFERROR(1/(IF(Inputs!$B$38="pvp",15,MAX(0.1,Skills!D28-IF(Skills!E28=TRUE,Inputs!$B$32,0)))*(1-IF(AND(ArtifactsInput!$M$27,Inputs!$B$4="Chapter Hunt"),CHOOSE(ArtifactsInput!$N$27+1,20,24,28,32,36,40),0)/100)),0)</f>
        <v/>
      </c>
      <c r="R1815">
        <f>IF(AND(Inputs!$B$38&lt;&gt;"pvp",Inputs!$B$43&gt;0),IF(Inputs!$B$43&lt;=0,0,(INT(Inputs!$B$43/(IF(Inputs!$B$38="pvp",15,MAX(0.1,Skills!D28-IF(Skills!E28=TRUE,Inputs!$B$32,0)))*(1-IF(AND(ArtifactsInput!$M$27,Inputs!$B$4="Chapter Hunt"),CHOOSE(ArtifactsInput!$N$27+1,20,24,28,32,36,40),0)/100)))+1)),0)</f>
        <v/>
      </c>
      <c r="S1815">
        <f>IFERROR(O1815/N1815,0)</f>
        <v/>
      </c>
      <c r="T1815" t="n">
        <v>0</v>
      </c>
      <c r="V1815" t="n">
        <v>0</v>
      </c>
    </row>
    <row r="1817">
      <c r="A1817" t="inlineStr">
        <is>
          <t>Attack% Bucket Multiplier</t>
        </is>
      </c>
      <c r="B1817">
        <f>(1+(((C1804=TRUE)*F1804*5/7)+((C1811=TRUE)*(F1811-Calc!F24))+(IF(ArtifactsInput!$M$21,CHOOSE(ArtifactsInput!$N$21+1,25,30,35,40,45,50)*(IF(OR(Inputs!$B$4="Chapter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18">
      <c r="A1818" t="inlineStr">
        <is>
          <t>Global Crit Rate Bonus %</t>
        </is>
      </c>
      <c r="B1818" t="n">
        <v>0</v>
      </c>
    </row>
    <row r="1819">
      <c r="A1819" t="inlineStr">
        <is>
          <t>Attack Speed Buff Bonus % (Nimble Feet, duty-cycle averaged)</t>
        </is>
      </c>
      <c r="B1819">
        <f>((C1815=TRUE)*F1815*IF(AND(Inputs!$B$38&lt;&gt;"pvp",Inputs!$B$43&gt;0),(((R1815-1)*(Skills!T28*(1+Inputs!$B$34/100))+MIN((Skills!T28*(1+Inputs!$B$34/100)),MAX(0,Inputs!$B$43-((R1815-1)*Skills!D28))))/Inputs!$B$43),IF(Inputs!$B$38="pvp",MIN((Skills!T28*(1+Inputs!$B$34/100)),15)/15,(Skills!T28*(1+Inputs!$B$34/100))/Skills!D28)))</f>
        <v/>
      </c>
    </row>
    <row r="1820">
      <c r="A1820" t="inlineStr">
        <is>
          <t>Actions Per Second</t>
        </is>
      </c>
      <c r="B1820">
        <f>1+MIN(150,150*(1-(1-(Inputs!$B$11+((C1807=TRUE)*(F1807-Calc!F20))+((C1808=TRUE)*(F1808-Calc!F21)))/150)*(1-B1819/150)))/100</f>
        <v/>
      </c>
    </row>
    <row r="1821">
      <c r="A1821" t="inlineStr">
        <is>
          <t>Skill + Buff Cast Rate</t>
        </is>
      </c>
      <c r="B1821">
        <f>IF(AND(Inputs!$B$38&lt;&gt;"pvp",Inputs!$B$43&gt;0),SUMPRODUCT((Skills!E2:E28=TRUE)*(C1789:C1815=TRUE)*R1789:R1815*Skills!F2:F28)/Inputs!$B$43,SUMPRODUCT((Skills!E2:E28=TRUE)*(C1789:C1815=TRUE)*Q1789:Q1815*Skills!F2:F28))</f>
        <v/>
      </c>
    </row>
    <row r="1822">
      <c r="A1822" t="inlineStr">
        <is>
          <t>Eight-Legs Easton Casts Per Second</t>
        </is>
      </c>
      <c r="B1822">
        <f>MAX(0,B1820-B1821)</f>
        <v/>
      </c>
    </row>
    <row r="1823">
      <c r="A1823" t="inlineStr">
        <is>
          <t>Global Critical Damage Bonus % (unused)</t>
        </is>
      </c>
      <c r="B1823" t="n">
        <v>0</v>
      </c>
    </row>
    <row r="1824">
      <c r="A1824" t="inlineStr">
        <is>
          <t>Global Final Damage Bonus % (Jolly Roger + Ahoy Mateys - Final Damage proc)</t>
        </is>
      </c>
      <c r="B1824">
        <f>((C1805=TRUE)*F1805*IF(AND(Inputs!$B$38&lt;&gt;"pvp",Inputs!$B$43&gt;0),(((R1805-1)*(Skills!T18*(1+Inputs!$B$34/100))+MIN((Skills!T18*(1+Inputs!$B$34/100)),MAX(0,Inputs!$B$43-((R1805-1)*Skills!D18))))/Inputs!$B$43),IF(Inputs!$B$38="pvp",MIN((Skills!T18*(1+Inputs!$B$34/100)),15)/15,(Skills!T18*(1+Inputs!$B$34/100))/Skills!D18)))+IF(Inputs!$B$3&gt;=122,20*IF(Inputs!$B$38="pvp",MIN((20*(1+Inputs!$B$34/100)),15)/15,(20*(1+Inputs!$B$34/100))/Skills!D4),0)</f>
        <v/>
      </c>
    </row>
    <row r="1825">
      <c r="A1825" t="inlineStr">
        <is>
          <t>Buff-Casting Startup Delay (s, fixed-duration only)</t>
        </is>
      </c>
      <c r="B1825">
        <f>IF(AND(Inputs!$B$38&lt;&gt;"pvp",Inputs!$B$43&gt;0),SUMPRODUCT((Skills!T2:T28&gt;0)*(Skills!E2:E28=TRUE)*(C1789:C1815=TRUE))/B1820,0)</f>
        <v/>
      </c>
    </row>
    <row r="1826">
      <c r="A1826" t="inlineStr">
        <is>
          <t>Boss-Only Total DPS (this block's swept value)</t>
        </is>
      </c>
      <c r="B1826">
        <f>SUM(T1789:T1815)</f>
        <v/>
      </c>
    </row>
    <row r="1827">
      <c r="A1827" t="inlineStr">
        <is>
          <t>Normal-Only Total DPS (this block's swept value)</t>
        </is>
      </c>
      <c r="B1827">
        <f>SUM(V1789:V1815)</f>
        <v/>
      </c>
    </row>
    <row r="1828">
      <c r="A1828" s="6" t="inlineStr">
        <is>
          <t>TOTAL DPS</t>
        </is>
      </c>
      <c r="B1828" s="6">
        <f>SUM(O1789:O1815)</f>
        <v/>
      </c>
    </row>
    <row r="1831">
      <c r="A1831" s="6" t="inlineStr">
        <is>
          <t>Stat: Old Music Box (Equip)</t>
        </is>
      </c>
    </row>
    <row r="1832">
      <c r="A1832" s="5" t="inlineStr">
        <is>
          <t>Key</t>
        </is>
      </c>
      <c r="B1832" s="5" t="inlineStr">
        <is>
          <t>Name</t>
        </is>
      </c>
      <c r="C1832" s="5" t="inlineStr">
        <is>
          <t>Unlocked</t>
        </is>
      </c>
      <c r="D1832" s="5" t="inlineStr">
        <is>
          <t>InputLevel</t>
        </is>
      </c>
      <c r="E1832" s="5" t="inlineStr">
        <is>
          <t>Factor</t>
        </is>
      </c>
      <c r="F1832" s="5" t="inlineStr">
        <is>
          <t>CoefficientPercent</t>
        </is>
      </c>
      <c r="G1832" s="5" t="inlineStr">
        <is>
          <t>EffectiveHits</t>
        </is>
      </c>
      <c r="H1832" s="5" t="inlineStr">
        <is>
          <t>ProcProbability</t>
        </is>
      </c>
      <c r="I1832" s="5" t="inlineStr">
        <is>
          <t>MapleHeroMultiplier</t>
        </is>
      </c>
      <c r="J1832" s="5" t="inlineStr">
        <is>
          <t>BaseDamage</t>
        </is>
      </c>
      <c r="K1832" s="5" t="inlineStr">
        <is>
          <t>BaseHitDamage</t>
        </is>
      </c>
      <c r="L1832" s="5" t="inlineStr">
        <is>
          <t>NonCritAvg</t>
        </is>
      </c>
      <c r="M1832" s="5" t="inlineStr">
        <is>
          <t>CritAvg</t>
        </is>
      </c>
      <c r="N1832" s="5" t="inlineStr">
        <is>
          <t>ExpectedDamage(perHit)</t>
        </is>
      </c>
      <c r="O1832" s="5" t="inlineStr">
        <is>
          <t>DPS</t>
        </is>
      </c>
      <c r="P1832" s="5" t="inlineStr">
        <is>
          <t>% of Total</t>
        </is>
      </c>
      <c r="Q1832" s="5" t="inlineStr">
        <is>
          <t>InvCooldown</t>
        </is>
      </c>
      <c r="R1832" s="5" t="inlineStr">
        <is>
          <t>CastsInFight</t>
        </is>
      </c>
      <c r="S1832" s="5" t="inlineStr">
        <is>
          <t>HitRate(perSec)</t>
        </is>
      </c>
      <c r="U1832" t="inlineStr">
        <is>
          <t>helpers</t>
        </is>
      </c>
    </row>
    <row r="1833">
      <c r="A1833">
        <f>Skills!A2</f>
        <v/>
      </c>
      <c r="B1833">
        <f>Skills!B2</f>
        <v/>
      </c>
      <c r="C1833">
        <f>Inputs!$B$3&gt;=100</f>
        <v/>
      </c>
      <c r="D1833" t="inlineStr"/>
      <c r="E1833" t="inlineStr"/>
      <c r="F1833">
        <f>U1835+Skills!O2</f>
        <v/>
      </c>
      <c r="G1833">
        <f>Skills!G2*IF(Skills!H2&gt;0,Skills!I2/Skills!H2,1)</f>
        <v/>
      </c>
      <c r="H1833">
        <f>1-(1-Skills!J2/100)^Skills!K2</f>
        <v/>
      </c>
      <c r="I1833" t="inlineStr">
        <is>
          <t>1</t>
        </is>
      </c>
      <c r="J1833">
        <f>((Inputs!$B$6*(1+Inputs!$B$7/100))+(((Inputs!$B$12*(1+Inputs!$B$13/100))-(Inputs!$B$12*(1+Inputs!$B$13/100)))+0.25*(Inputs!$B$14-Inputs!$B$14))*(1+Inputs!$B$7/100))*(F1833/100)</f>
        <v/>
      </c>
      <c r="K1833">
        <f>J1833*(1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1833)</f>
        <v/>
      </c>
      <c r="L1833">
        <f>K1833*(MIN(Inputs!$B$22+((C1853=TRUE)*(F1853-Calc!F22)),(Inputs!$B$23+0+(IF(ArtifactsInput!$M$15,CHOOSE(ArtifactsInput!$N$15+1,25,30,35,40,45,50)/100*(Inputs!$B$11-Inputs!$B$11),0))))/100+(Inputs!$B$23+0+(IF(ArtifactsInput!$M$15,CHOOSE(ArtifactsInput!$N$15+1,25,30,35,40,45,50)/100*(Inputs!$B$11-Inputs!$B$11),0)))/100)/2</f>
        <v/>
      </c>
      <c r="M1833">
        <f>L1833*(1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3">
        <f>L1833*(1-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1833*(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3">
        <f>(1-Summary!$B$11)*T1833+Summary!$B$11*V1833</f>
        <v/>
      </c>
      <c r="P1833">
        <f>IF(B1872=0,0,O1833/B1872)</f>
        <v/>
      </c>
      <c r="Q1833" t="n">
        <v>0</v>
      </c>
      <c r="R1833" t="n">
        <v>0</v>
      </c>
      <c r="S1833">
        <f>IFERROR(O1833/N1833,0)</f>
        <v/>
      </c>
      <c r="T1833">
        <f>IF(C1833,(Skills!G2*N1833*B1866)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1833*(1-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1833*(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1833*(1-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1833*(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3">
        <f>MAX(0,(Inputs!$B$3-100)*3)+Inputs!$B$28+Inputs!$B$29</f>
        <v/>
      </c>
      <c r="V1833">
        <f>IF(C1833,(Skills!G2*N1833*B1866)*IF(Inputs!$B$38="pvp",1,(1+(Inputs!$B$21+Skills!Q2+(IF(ArtifactsInput!$M$33,CHOOSE(ArtifactsInput!$N$33+1,30,36,42,48,54,60),0))+(IF(AND(ArtifactsInput!$M$35,Inputs!$B$4&lt;&gt;"Chapter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4">
      <c r="A1834">
        <f>Skills!A3</f>
        <v/>
      </c>
      <c r="B1834">
        <f>Skills!B3</f>
        <v/>
      </c>
      <c r="C1834">
        <f>Inputs!$B$3&gt;=35</f>
        <v/>
      </c>
      <c r="D1834">
        <f>IF(Skills!C3=1,60+Inputs!$B$25+Inputs!$B$29,IF(Skills!C3=2,90+Inputs!$B$26+Inputs!$B$29,IF(Skills!C3=3,120+Inputs!$B$27+Inputs!$B$29,MAX(0,(Inputs!$B$3-100)*3)+Inputs!$B$28+Inputs!$B$29)))</f>
        <v/>
      </c>
      <c r="E1834">
        <f>INDEX(FactorTable!$B$2:$Y$301, MATCH(ROUND(MIN(300,MAX(1,D1834)),0), FactorTable!$A$2:$A$301,0), Skills!M3+1)</f>
        <v/>
      </c>
      <c r="F1834">
        <f>IF(Skills!N3=TRUE,(Skills!L3/10)*(E1834/1000),Skills!L3/10)+Skills!O3</f>
        <v/>
      </c>
      <c r="G1834">
        <f>Skills!G3*IF(Skills!H3&gt;0,Skills!I3/Skills!H3,1)</f>
        <v/>
      </c>
      <c r="H1834">
        <f>1-(1-Skills!J3/100)^Skills!K3</f>
        <v/>
      </c>
      <c r="I1834" t="inlineStr">
        <is>
          <t>1</t>
        </is>
      </c>
      <c r="J1834">
        <f>((Inputs!$B$6*(1+Inputs!$B$7/100))+(((Inputs!$B$12*(1+Inputs!$B$13/100))-(Inputs!$B$12*(1+Inputs!$B$13/100)))+0.25*(Inputs!$B$14-Inputs!$B$14))*(1+Inputs!$B$7/100))*(F1834/100)</f>
        <v/>
      </c>
      <c r="K1834">
        <f>J1834*(1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1846=TRUE,F1846,0)/100)*(1+(IF(Skills!A3="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1834)</f>
        <v/>
      </c>
      <c r="L1834">
        <f>K1834*(MIN(Inputs!$B$22+((C1853=TRUE)*(F1853-Calc!F22)),(Inputs!$B$23+0+(IF(ArtifactsInput!$M$15,CHOOSE(ArtifactsInput!$N$15+1,25,30,35,40,45,50)/100*(Inputs!$B$11-Inputs!$B$11),0))))/100+(Inputs!$B$23+0+(IF(ArtifactsInput!$M$15,CHOOSE(ArtifactsInput!$N$15+1,25,30,35,40,45,50)/100*(Inputs!$B$11-Inputs!$B$11),0)))/100)/2</f>
        <v/>
      </c>
      <c r="M1834">
        <f>L1834*(1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4">
        <f>L1834*(1-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1834*(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4">
        <f>(1-Summary!$B$11)*T1834+Summary!$B$11*V1834</f>
        <v/>
      </c>
      <c r="P1834">
        <f>IF(B1872=0,0,O1834/B1872)</f>
        <v/>
      </c>
      <c r="Q1834">
        <f>IFERROR(1/(IF(Inputs!$B$38="pvp",15,MAX(0.1,Skills!D3-IF(Skills!E3=TRUE,Inputs!$B$32,0)))*(1-IF(AND(ArtifactsInput!$M$27,Inputs!$B$4="Chapter Hunt"),CHOOSE(ArtifactsInput!$N$27+1,20,24,28,32,36,40),0)/100)),0)</f>
        <v/>
      </c>
      <c r="R1834">
        <f>IF(AND(Inputs!$B$38&lt;&gt;"pvp",Inputs!$B$43&gt;0),IF(MAX(0,Inputs!$B$43-B1869)&lt;=0,0,(INT(MAX(0,Inputs!$B$43-B1869)/(IF(Inputs!$B$38="pvp",15,MAX(0.1,Skills!D3-IF(Skills!E3=TRUE,Inputs!$B$32,0)))*(1-IF(AND(ArtifactsInput!$M$27,Inputs!$B$4="Chapter Hunt"),CHOOSE(ArtifactsInput!$N$27+1,20,24,28,32,36,40),0)/100)))+1)),0)</f>
        <v/>
      </c>
      <c r="S1834">
        <f>IFERROR(O1834/N1834,0)</f>
        <v/>
      </c>
      <c r="T1834">
        <f>IF(C1834,(H1834*N1834*IF(AND(Inputs!$B$38&lt;&gt;"pvp",Inputs!$B$43&gt;0),((Skills!G3*((R1834-1)*IF(Skills!H3&gt;0,Skills!I3/Skills!H3,1)+IF(Skills!H3&gt;0,MIN(Skills!I3,MAX(0,MAX(0,Inputs!$B$43-B1869)-((R1834-1)*(IF(Inputs!$B$38="pvp",15,MAX(0.1,Skills!D3-IF(Skills!E3=TRUE,Inputs!$B$32,0)))*(1-IF(AND(ArtifactsInput!$M$27,Inputs!$B$4="Chapter Hunt"),CHOOSE(ArtifactsInput!$N$27+1,20,24,28,32,36,40),0)/100)))))/Skills!H3,1)))/Inputs!$B$43),G1834*Q1834)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1834*(1-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1834*(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1834*(1-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1834*(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4">
        <f>INDEX(FactorTable!$B$2:$Y$301, MATCH(ROUND(MIN(300,MAX(1,U1833)),0), FactorTable!$A$2:$A$301,0), 22)</f>
        <v/>
      </c>
      <c r="V1834">
        <f>IF(C1834,(H1834*N1834*IF(AND(Inputs!$B$38&lt;&gt;"pvp",Inputs!$B$43&gt;0),((Skills!G3*((R1834-1)*IF(Skills!H3&gt;0,Skills!I3/Skills!H3,1)+IF(Skills!H3&gt;0,MIN(Skills!I3,MAX(0,MAX(0,Inputs!$B$43-B1869)-((R1834-1)*(IF(Inputs!$B$38="pvp",15,MAX(0.1,Skills!D3-IF(Skills!E3=TRUE,Inputs!$B$32,0)))*(1-IF(AND(ArtifactsInput!$M$27,Inputs!$B$4="Chapter Hunt"),CHOOSE(ArtifactsInput!$N$27+1,20,24,28,32,36,40),0)/100)))))/Skills!H3,1)))/Inputs!$B$43),G1834*Q1834))*IF(Inputs!$B$38="pvp",1,(1+(Inputs!$B$21+Skills!Q3+(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5">
      <c r="A1835">
        <f>Skills!A4</f>
        <v/>
      </c>
      <c r="B1835">
        <f>Skills!B4</f>
        <v/>
      </c>
      <c r="C1835">
        <f>Inputs!$B$3&gt;=40</f>
        <v/>
      </c>
      <c r="D1835">
        <f>IF(Skills!C4=1,60+Inputs!$B$25+Inputs!$B$29,IF(Skills!C4=2,90+Inputs!$B$26+Inputs!$B$29,IF(Skills!C4=3,120+Inputs!$B$27+Inputs!$B$29,MAX(0,(Inputs!$B$3-100)*3)+Inputs!$B$28+Inputs!$B$29)))</f>
        <v/>
      </c>
      <c r="E1835">
        <f>INDEX(FactorTable!$B$2:$Y$301, MATCH(ROUND(MIN(300,MAX(1,D1835)),0), FactorTable!$A$2:$A$301,0), Skills!M4+1)</f>
        <v/>
      </c>
      <c r="F1835">
        <f>IF(Skills!N4=TRUE,(Skills!L4/10)*(E1835/1000),Skills!L4/10)+Skills!O4</f>
        <v/>
      </c>
      <c r="G1835">
        <f>Skills!G4*IF(Skills!H4&gt;0,Skills!I4/Skills!H4,1)</f>
        <v/>
      </c>
      <c r="H1835">
        <f>1-(1-Skills!J4/100)^Skills!K4</f>
        <v/>
      </c>
      <c r="I1835" t="inlineStr">
        <is>
          <t>1</t>
        </is>
      </c>
      <c r="J1835">
        <f>((Inputs!$B$6*(1+Inputs!$B$7/100))+(((Inputs!$B$12*(1+Inputs!$B$13/100))-(Inputs!$B$12*(1+Inputs!$B$13/100)))+0.25*(Inputs!$B$14-Inputs!$B$14))*(1+Inputs!$B$7/100))*(F1835/100)</f>
        <v/>
      </c>
      <c r="K1835">
        <f>J1835*(1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1847=TRUE,F1847,0)/100)*(1+(IF(Skills!A4="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1835)</f>
        <v/>
      </c>
      <c r="L1835">
        <f>K1835*(MIN(Inputs!$B$22+((C1853=TRUE)*(F1853-Calc!F22)),(Inputs!$B$23+0+(IF(ArtifactsInput!$M$15,CHOOSE(ArtifactsInput!$N$15+1,25,30,35,40,45,50)/100*(Inputs!$B$11-Inputs!$B$11),0))))/100+(Inputs!$B$23+0+(IF(ArtifactsInput!$M$15,CHOOSE(ArtifactsInput!$N$15+1,25,30,35,40,45,50)/100*(Inputs!$B$11-Inputs!$B$11),0)))/100)/2</f>
        <v/>
      </c>
      <c r="M1835">
        <f>L1835*(1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5">
        <f>L1835*(1-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1835*(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5">
        <f>(1-Summary!$B$11)*T1835+Summary!$B$11*V1835</f>
        <v/>
      </c>
      <c r="P1835">
        <f>IF(B1872=0,0,O1835/B1872)</f>
        <v/>
      </c>
      <c r="Q1835">
        <f>IFERROR(1/(IF(Inputs!$B$38="pvp",15,MAX(0.1,Skills!D4-IF(Skills!E4=TRUE,Inputs!$B$32,0)))*(1-IF(AND(ArtifactsInput!$M$27,Inputs!$B$4="Chapter Hunt"),CHOOSE(ArtifactsInput!$N$27+1,20,24,28,32,36,40),0)/100)),0)</f>
        <v/>
      </c>
      <c r="R1835">
        <f>IF(AND(Inputs!$B$38&lt;&gt;"pvp",Inputs!$B$43&gt;0),IF(MAX(0,Inputs!$B$43-B1869)&lt;=0,0,(INT(MAX(0,Inputs!$B$43-B1869)/(IF(Inputs!$B$38="pvp",15,MAX(0.1,Skills!D4-IF(Skills!E4=TRUE,Inputs!$B$32,0)))*(1-IF(AND(ArtifactsInput!$M$27,Inputs!$B$4="Chapter Hunt"),CHOOSE(ArtifactsInput!$N$27+1,20,24,28,32,36,40),0)/100)))+1)),0)</f>
        <v/>
      </c>
      <c r="S1835">
        <f>IFERROR(O1835/N1835,0)</f>
        <v/>
      </c>
      <c r="T1835">
        <f>IF(C1835,(H1835*N1835*IF(AND(Inputs!$B$38&lt;&gt;"pvp",Inputs!$B$43&gt;0),((Skills!G4*((R1835-1)*IF(Skills!H4&gt;0,Skills!I4/Skills!H4,1)+IF(Skills!H4&gt;0,MIN(Skills!I4,MAX(0,MAX(0,Inputs!$B$43-B1869)-((R1835-1)*(IF(Inputs!$B$38="pvp",15,MAX(0.1,Skills!D4-IF(Skills!E4=TRUE,Inputs!$B$32,0)))*(1-IF(AND(ArtifactsInput!$M$27,Inputs!$B$4="Chapter Hunt"),CHOOSE(ArtifactsInput!$N$27+1,20,24,28,32,36,40),0)/100)))))/Skills!H4,1)))/Inputs!$B$43),G1835*Q1835)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1835*(1-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1835*(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1835*(1-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1835*(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5">
        <f>290*U1834/1000</f>
        <v/>
      </c>
      <c r="V1835">
        <f>IF(C1835,(H1835*N1835*IF(AND(Inputs!$B$38&lt;&gt;"pvp",Inputs!$B$43&gt;0),((Skills!G4*((R1835-1)*IF(Skills!H4&gt;0,Skills!I4/Skills!H4,1)+IF(Skills!H4&gt;0,MIN(Skills!I4,MAX(0,MAX(0,Inputs!$B$43-B1869)-((R1835-1)*(IF(Inputs!$B$38="pvp",15,MAX(0.1,Skills!D4-IF(Skills!E4=TRUE,Inputs!$B$32,0)))*(1-IF(AND(ArtifactsInput!$M$27,Inputs!$B$4="Chapter Hunt"),CHOOSE(ArtifactsInput!$N$27+1,20,24,28,32,36,40),0)/100)))))/Skills!H4,1)))/Inputs!$B$43),G1835*Q1835))*IF(Inputs!$B$38="pvp",1,(1+(Inputs!$B$21+Skills!Q4+(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6">
      <c r="A1836">
        <f>Skills!A5</f>
        <v/>
      </c>
      <c r="B1836">
        <f>Skills!B5</f>
        <v/>
      </c>
      <c r="C1836">
        <f>Inputs!$B$3&gt;=45</f>
        <v/>
      </c>
      <c r="D1836">
        <f>IF(Skills!C5=1,60+Inputs!$B$25+Inputs!$B$29,IF(Skills!C5=2,90+Inputs!$B$26+Inputs!$B$29,IF(Skills!C5=3,120+Inputs!$B$27+Inputs!$B$29,MAX(0,(Inputs!$B$3-100)*3)+Inputs!$B$28+Inputs!$B$29)))</f>
        <v/>
      </c>
      <c r="E1836">
        <f>INDEX(FactorTable!$B$2:$Y$301, MATCH(ROUND(MIN(300,MAX(1,D1836)),0), FactorTable!$A$2:$A$301,0), Skills!M5+1)</f>
        <v/>
      </c>
      <c r="F1836">
        <f>IF(Skills!N5=TRUE,(Skills!L5/10)*(E1836/1000),Skills!L5/10)+Skills!O5</f>
        <v/>
      </c>
      <c r="G1836">
        <f>Skills!G5*IF(Skills!H5&gt;0,Skills!I5/Skills!H5,1)</f>
        <v/>
      </c>
      <c r="H1836">
        <f>1-(1-Skills!J5/100)^Skills!K5</f>
        <v/>
      </c>
      <c r="I1836" t="inlineStr">
        <is>
          <t>1</t>
        </is>
      </c>
      <c r="J1836">
        <f>((Inputs!$B$6*(1+Inputs!$B$7/100))+(((Inputs!$B$12*(1+Inputs!$B$13/100))-(Inputs!$B$12*(1+Inputs!$B$13/100)))+0.25*(Inputs!$B$14-Inputs!$B$14))*(1+Inputs!$B$7/100))*(F1836/100)</f>
        <v/>
      </c>
      <c r="K1836">
        <f>J1836*(1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1847=TRUE,F1847,0)/100)*(1+(IF(Skills!A5="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1836)</f>
        <v/>
      </c>
      <c r="L1836">
        <f>K1836*(MIN(Inputs!$B$22+((C1853=TRUE)*(F1853-Calc!F22)),(Inputs!$B$23+0+(IF(ArtifactsInput!$M$15,CHOOSE(ArtifactsInput!$N$15+1,25,30,35,40,45,50)/100*(Inputs!$B$11-Inputs!$B$11),0))))/100+(Inputs!$B$23+0+(IF(ArtifactsInput!$M$15,CHOOSE(ArtifactsInput!$N$15+1,25,30,35,40,45,50)/100*(Inputs!$B$11-Inputs!$B$11),0)))/100)/2</f>
        <v/>
      </c>
      <c r="M1836">
        <f>L1836*(1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6">
        <f>L1836*(1-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1836*(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6">
        <f>(1-Summary!$B$11)*T1836+Summary!$B$11*V1836</f>
        <v/>
      </c>
      <c r="P1836">
        <f>IF(B1872=0,0,O1836/B1872)</f>
        <v/>
      </c>
      <c r="Q1836">
        <f>IFERROR(1/(IF(Inputs!$B$38="pvp",15,MAX(0.1,Skills!D5-IF(Skills!E5=TRUE,Inputs!$B$32,0)))*(1-IF(AND(ArtifactsInput!$M$27,Inputs!$B$4="Chapter Hunt"),CHOOSE(ArtifactsInput!$N$27+1,20,24,28,32,36,40),0)/100)),0)</f>
        <v/>
      </c>
      <c r="R1836">
        <f>IF(AND(Inputs!$B$38&lt;&gt;"pvp",Inputs!$B$43&gt;0),IF(MAX(0,Inputs!$B$43-B1869)&lt;=0,0,(INT(MAX(0,Inputs!$B$43-B1869)/(IF(Inputs!$B$38="pvp",15,MAX(0.1,Skills!D5-IF(Skills!E5=TRUE,Inputs!$B$32,0)))*(1-IF(AND(ArtifactsInput!$M$27,Inputs!$B$4="Chapter Hunt"),CHOOSE(ArtifactsInput!$N$27+1,20,24,28,32,36,40),0)/100)))+1)),0)</f>
        <v/>
      </c>
      <c r="S1836">
        <f>IFERROR(O1836/N1836,0)</f>
        <v/>
      </c>
      <c r="T1836">
        <f>IF(C1836,(H1836*N1836*IF(AND(Inputs!$B$38&lt;&gt;"pvp",Inputs!$B$43&gt;0),((Skills!G5*((R1836-1)*IF(Skills!H5&gt;0,Skills!I5/Skills!H5,1)+IF(Skills!H5&gt;0,MIN(Skills!I5,MAX(0,MAX(0,Inputs!$B$43-B1869)-((R1836-1)*(IF(Inputs!$B$38="pvp",15,MAX(0.1,Skills!D5-IF(Skills!E5=TRUE,Inputs!$B$32,0)))*(1-IF(AND(ArtifactsInput!$M$27,Inputs!$B$4="Chapter Hunt"),CHOOSE(ArtifactsInput!$N$27+1,20,24,28,32,36,40),0)/100)))))/Skills!H5,1)))/Inputs!$B$43),G1836*Q1836)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1836*(1-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1836*(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1836*(1-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1836*(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6">
        <f>IF(C1836,(H1836*N1836*IF(AND(Inputs!$B$38&lt;&gt;"pvp",Inputs!$B$43&gt;0),((Skills!G5*((R1836-1)*IF(Skills!H5&gt;0,Skills!I5/Skills!H5,1)+IF(Skills!H5&gt;0,MIN(Skills!I5,MAX(0,MAX(0,Inputs!$B$43-B1869)-((R1836-1)*(IF(Inputs!$B$38="pvp",15,MAX(0.1,Skills!D5-IF(Skills!E5=TRUE,Inputs!$B$32,0)))*(1-IF(AND(ArtifactsInput!$M$27,Inputs!$B$4="Chapter Hunt"),CHOOSE(ArtifactsInput!$N$27+1,20,24,28,32,36,40),0)/100)))))/Skills!H5,1)))/Inputs!$B$43),G1836*Q1836))*IF(Inputs!$B$38="pvp",1,(1+(Inputs!$B$21+Skills!Q5+(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7">
      <c r="A1837">
        <f>Skills!A6</f>
        <v/>
      </c>
      <c r="B1837">
        <f>Skills!B6</f>
        <v/>
      </c>
      <c r="C1837">
        <f>Inputs!$B$3&gt;=63</f>
        <v/>
      </c>
      <c r="D1837">
        <f>IF(Skills!C6=1,60+Inputs!$B$25+Inputs!$B$29,IF(Skills!C6=2,90+Inputs!$B$26+Inputs!$B$29,IF(Skills!C6=3,120+Inputs!$B$27+Inputs!$B$29,MAX(0,(Inputs!$B$3-100)*3)+Inputs!$B$28+Inputs!$B$29)))</f>
        <v/>
      </c>
      <c r="E1837">
        <f>INDEX(FactorTable!$B$2:$Y$301, MATCH(ROUND(MIN(300,MAX(1,D1837)),0), FactorTable!$A$2:$A$301,0), Skills!M6+1)</f>
        <v/>
      </c>
      <c r="F1837">
        <f>IF(Skills!N6=TRUE,(Skills!L6/10)*(E1837/1000),Skills!L6/10)+Skills!O6</f>
        <v/>
      </c>
      <c r="G1837">
        <f>Skills!G6*IF(Skills!H6&gt;0,Skills!I6/Skills!H6,1)</f>
        <v/>
      </c>
      <c r="H1837">
        <f>1-(1-Skills!J6/100)^Skills!K6</f>
        <v/>
      </c>
      <c r="I1837" t="inlineStr">
        <is>
          <t>1</t>
        </is>
      </c>
      <c r="J1837">
        <f>((Inputs!$B$6*(1+Inputs!$B$7/100))+(((Inputs!$B$12*(1+Inputs!$B$13/100))-(Inputs!$B$12*(1+Inputs!$B$13/100)))+0.25*(Inputs!$B$14-Inputs!$B$14))*(1+Inputs!$B$7/100))*(F1837/100)</f>
        <v/>
      </c>
      <c r="K1837">
        <f>J1837*(1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1846=TRUE,F1846,0)/100)*(1+(IF(Skills!A6="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1837)</f>
        <v/>
      </c>
      <c r="L1837">
        <f>K1837*(MIN(Inputs!$B$22+((C1853=TRUE)*(F1853-Calc!F22)),(Inputs!$B$23+0+(IF(ArtifactsInput!$M$15,CHOOSE(ArtifactsInput!$N$15+1,25,30,35,40,45,50)/100*(Inputs!$B$11-Inputs!$B$11),0))))/100+(Inputs!$B$23+0+(IF(ArtifactsInput!$M$15,CHOOSE(ArtifactsInput!$N$15+1,25,30,35,40,45,50)/100*(Inputs!$B$11-Inputs!$B$11),0)))/100)/2</f>
        <v/>
      </c>
      <c r="M1837">
        <f>L1837*(1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(1-Summary!$B$11)*T1837+Summary!$B$11*V1837</f>
        <v/>
      </c>
      <c r="P1837">
        <f>IF(B1872=0,0,O1837/B1872)</f>
        <v/>
      </c>
      <c r="Q1837">
        <f>IFERROR(1/(IF(Inputs!$B$38="pvp",15,MAX(0.1,Skills!D6-IF(Skills!E6=TRUE,Inputs!$B$32,0)))*(1-IF(AND(ArtifactsInput!$M$27,Inputs!$B$4="Chapter Hunt"),CHOOSE(ArtifactsInput!$N$27+1,20,24,28,32,36,40),0)/100)),0)</f>
        <v/>
      </c>
      <c r="R1837">
        <f>IF(AND(Inputs!$B$38&lt;&gt;"pvp",Inputs!$B$43&gt;0),IF(MAX(0,Inputs!$B$43-B1869)&lt;=0,0,(INT(MAX(0,Inputs!$B$43-B1869)/(IF(Inputs!$B$38="pvp",15,MAX(0.1,Skills!D6-IF(Skills!E6=TRUE,Inputs!$B$32,0)))*(1-IF(AND(ArtifactsInput!$M$27,Inputs!$B$4="Chapter Hunt"),CHOOSE(ArtifactsInput!$N$27+1,20,24,28,32,36,40),0)/100)))+1)),0)</f>
        <v/>
      </c>
      <c r="S1837">
        <f>IFERROR(O1837/N1837,0)</f>
        <v/>
      </c>
      <c r="T1837">
        <f>IF(C1837,(H1837*N1837*IF(AND(Inputs!$B$38&lt;&gt;"pvp",Inputs!$B$43&gt;0),((Skills!G6*((R1837-1)*IF(Skills!H6&gt;0,Skills!I6/Skills!H6,1)+IF(Skills!H6&gt;0,MIN(Skills!I6,MAX(0,MAX(0,Inputs!$B$43-B1869)-((R1837-1)*(IF(Inputs!$B$38="pvp",15,MAX(0.1,Skills!D6-IF(Skills!E6=TRUE,Inputs!$B$32,0)))*(1-IF(AND(ArtifactsInput!$M$27,Inputs!$B$4="Chapter Hunt"),CHOOSE(ArtifactsInput!$N$27+1,20,24,28,32,36,40),0)/100)))))/Skills!H6,1)))/Inputs!$B$43),G1837*Q1837)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1837*(1-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7">
        <f>IF(C1837,(H1837*N1837*IF(AND(Inputs!$B$38&lt;&gt;"pvp",Inputs!$B$43&gt;0),((Skills!G6*((R1837-1)*IF(Skills!H6&gt;0,Skills!I6/Skills!H6,1)+IF(Skills!H6&gt;0,MIN(Skills!I6,MAX(0,MAX(0,Inputs!$B$43-B1869)-((R1837-1)*(IF(Inputs!$B$38="pvp",15,MAX(0.1,Skills!D6-IF(Skills!E6=TRUE,Inputs!$B$32,0)))*(1-IF(AND(ArtifactsInput!$M$27,Inputs!$B$4="Chapter Hunt"),CHOOSE(ArtifactsInput!$N$27+1,20,24,28,32,36,40),0)/100)))))/Skills!H6,1)))/Inputs!$B$43),G1837*Q1837))*IF(Inputs!$B$38="pvp",1,(1+(Inputs!$B$21+Skills!Q6+(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Skills!A7</f>
        <v/>
      </c>
      <c r="B1838">
        <f>Skills!B7</f>
        <v/>
      </c>
      <c r="C1838">
        <f>Inputs!$B$3&gt;=66</f>
        <v/>
      </c>
      <c r="D1838">
        <f>IF(Skills!C7=1,60+Inputs!$B$25+Inputs!$B$29,IF(Skills!C7=2,90+Inputs!$B$26+Inputs!$B$29,IF(Skills!C7=3,120+Inputs!$B$27+Inputs!$B$29,MAX(0,(Inputs!$B$3-100)*3)+Inputs!$B$28+Inputs!$B$29)))</f>
        <v/>
      </c>
      <c r="E1838">
        <f>INDEX(FactorTable!$B$2:$Y$301, MATCH(ROUND(MIN(300,MAX(1,D1838)),0), FactorTable!$A$2:$A$301,0), Skills!M7+1)</f>
        <v/>
      </c>
      <c r="F1838">
        <f>IF(Skills!N7=TRUE,(Skills!L7/10)*(E1838/1000),Skills!L7/10)+Skills!O7</f>
        <v/>
      </c>
      <c r="G1838">
        <f>Skills!G7*IF(Skills!H7&gt;0,Skills!I7/Skills!H7,1)</f>
        <v/>
      </c>
      <c r="H1838">
        <f>1-(1-Skills!J7/100)^Skills!K7</f>
        <v/>
      </c>
      <c r="I1838" t="inlineStr">
        <is>
          <t>1</t>
        </is>
      </c>
      <c r="J1838">
        <f>((Inputs!$B$6*(1+Inputs!$B$7/100))+(((Inputs!$B$12*(1+Inputs!$B$13/100))-(Inputs!$B$12*(1+Inputs!$B$13/100)))+0.25*(Inputs!$B$14-Inputs!$B$14))*(1+Inputs!$B$7/100))*(F1838/100)</f>
        <v/>
      </c>
      <c r="K1838">
        <f>J1838*(1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1846=TRUE,F1846,0)/100)*(1+(IF(Skills!A7="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1838)</f>
        <v/>
      </c>
      <c r="L1838">
        <f>K1838*(MIN(Inputs!$B$22+((C1853=TRUE)*(F1853-Calc!F22)),(Inputs!$B$23+0+(IF(ArtifactsInput!$M$15,CHOOSE(ArtifactsInput!$N$15+1,25,30,35,40,45,50)/100*(Inputs!$B$11-Inputs!$B$11),0))))/100+(Inputs!$B$23+0+(IF(ArtifactsInput!$M$15,CHOOSE(ArtifactsInput!$N$15+1,25,30,35,40,45,50)/100*(Inputs!$B$11-Inputs!$B$11),0)))/100)/2</f>
        <v/>
      </c>
      <c r="M1838">
        <f>L1838*(1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8">
        <f>L1838*(1-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1838*(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8">
        <f>(1-Summary!$B$11)*T1838+Summary!$B$11*V1838</f>
        <v/>
      </c>
      <c r="P1838">
        <f>IF(B1872=0,0,O1838/B1872)</f>
        <v/>
      </c>
      <c r="Q1838">
        <f>IFERROR(1/(IF(Inputs!$B$38="pvp",15,MAX(0.1,Skills!D7-IF(Skills!E7=TRUE,Inputs!$B$32,0)))*(1-IF(AND(ArtifactsInput!$M$27,Inputs!$B$4="Chapter Hunt"),CHOOSE(ArtifactsInput!$N$27+1,20,24,28,32,36,40),0)/100)),0)</f>
        <v/>
      </c>
      <c r="R1838">
        <f>IF(AND(Inputs!$B$38&lt;&gt;"pvp",Inputs!$B$43&gt;0),IF(MAX(0,Inputs!$B$43-B1869)&lt;=0,0,(INT(MAX(0,Inputs!$B$43-B1869)/(IF(Inputs!$B$38="pvp",15,MAX(0.1,Skills!D7-IF(Skills!E7=TRUE,Inputs!$B$32,0)))*(1-IF(AND(ArtifactsInput!$M$27,Inputs!$B$4="Chapter Hunt"),CHOOSE(ArtifactsInput!$N$27+1,20,24,28,32,36,40),0)/100)))+1)),0)</f>
        <v/>
      </c>
      <c r="S1838">
        <f>IFERROR(O1838/N1838,0)</f>
        <v/>
      </c>
      <c r="T1838">
        <f>IF(C1838,(H1838*N1838*IF(AND(Inputs!$B$38&lt;&gt;"pvp",Inputs!$B$43&gt;0),((Skills!G7*((R1838-1)*IF(Skills!H7&gt;0,Skills!I7/Skills!H7,1)+IF(Skills!H7&gt;0,MIN(Skills!I7,MAX(0,MAX(0,Inputs!$B$43-B1869)-((R1838-1)*(IF(Inputs!$B$38="pvp",15,MAX(0.1,Skills!D7-IF(Skills!E7=TRUE,Inputs!$B$32,0)))*(1-IF(AND(ArtifactsInput!$M$27,Inputs!$B$4="Chapter Hunt"),CHOOSE(ArtifactsInput!$N$27+1,20,24,28,32,36,40),0)/100)))))/Skills!H7,1)))/Inputs!$B$43),G1838*Q1838)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1838*(1-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1838*(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1838*(1-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1838*(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8">
        <f>IF(C1838,(H1838*N1838*IF(AND(Inputs!$B$38&lt;&gt;"pvp",Inputs!$B$43&gt;0),((Skills!G7*((R1838-1)*IF(Skills!H7&gt;0,Skills!I7/Skills!H7,1)+IF(Skills!H7&gt;0,MIN(Skills!I7,MAX(0,MAX(0,Inputs!$B$43-B1869)-((R1838-1)*(IF(Inputs!$B$38="pvp",15,MAX(0.1,Skills!D7-IF(Skills!E7=TRUE,Inputs!$B$32,0)))*(1-IF(AND(ArtifactsInput!$M$27,Inputs!$B$4="Chapter Hunt"),CHOOSE(ArtifactsInput!$N$27+1,20,24,28,32,36,40),0)/100)))))/Skills!H7,1)))/Inputs!$B$43),G1838*Q1838))*IF(Inputs!$B$38="pvp",1,(1+(Inputs!$B$21+Skills!Q7+(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9">
      <c r="A1839">
        <f>Skills!A8</f>
        <v/>
      </c>
      <c r="B1839">
        <f>Skills!B8</f>
        <v/>
      </c>
      <c r="C1839">
        <f>Inputs!$B$3&gt;=100</f>
        <v/>
      </c>
      <c r="D1839">
        <f>IF(Skills!C8=1,60+Inputs!$B$25+Inputs!$B$29,IF(Skills!C8=2,90+Inputs!$B$26+Inputs!$B$29,IF(Skills!C8=3,120+Inputs!$B$27+Inputs!$B$29,MAX(0,(Inputs!$B$3-100)*3)+Inputs!$B$28+Inputs!$B$29)))</f>
        <v/>
      </c>
      <c r="E1839">
        <f>INDEX(FactorTable!$B$2:$Y$301, MATCH(ROUND(MIN(300,MAX(1,D1839)),0), FactorTable!$A$2:$A$301,0), Skills!M8+1)</f>
        <v/>
      </c>
      <c r="F1839">
        <f>IF(Skills!N8=TRUE,(Skills!L8/10)*(E1839/1000),Skills!L8/10)+Skills!O8</f>
        <v/>
      </c>
      <c r="G1839">
        <f>Skills!G8*IF(Skills!H8&gt;0,Skills!I8/Skills!H8,1)</f>
        <v/>
      </c>
      <c r="H1839">
        <f>1-(1-Skills!J8/100)^Skills!K8</f>
        <v/>
      </c>
      <c r="I1839" t="inlineStr">
        <is>
          <t>1</t>
        </is>
      </c>
      <c r="J1839">
        <f>((Inputs!$B$6*(1+Inputs!$B$7/100))+(((Inputs!$B$12*(1+Inputs!$B$13/100))-(Inputs!$B$12*(1+Inputs!$B$13/100)))+0.25*(Inputs!$B$14-Inputs!$B$14))*(1+Inputs!$B$7/100))*(F1839/100)</f>
        <v/>
      </c>
      <c r="K1839">
        <f>J1839*(1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1839)</f>
        <v/>
      </c>
      <c r="L1839">
        <f>K1839*(MIN(Inputs!$B$22+((C1853=TRUE)*(F1853-Calc!F22)),(Inputs!$B$23+0+(IF(ArtifactsInput!$M$15,CHOOSE(ArtifactsInput!$N$15+1,25,30,35,40,45,50)/100*(Inputs!$B$11-Inputs!$B$11),0))))/100+(Inputs!$B$23+0+(IF(ArtifactsInput!$M$15,CHOOSE(ArtifactsInput!$N$15+1,25,30,35,40,45,50)/100*(Inputs!$B$11-Inputs!$B$11),0)))/100)/2</f>
        <v/>
      </c>
      <c r="M1839">
        <f>L1839*(1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9">
        <f>L1839*(1-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1839*(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9">
        <f>(1-Summary!$B$11)*T1839+Summary!$B$11*V1839</f>
        <v/>
      </c>
      <c r="P1839">
        <f>IF(B1872=0,0,O1839/B1872)</f>
        <v/>
      </c>
      <c r="Q1839">
        <f>IFERROR(1/(IF(Inputs!$B$38="pvp",15,MAX(0.1,Skills!D8-IF(Skills!E8=TRUE,Inputs!$B$32,0)))*(1-IF(AND(ArtifactsInput!$M$27,Inputs!$B$4="Chapter Hunt"),CHOOSE(ArtifactsInput!$N$27+1,20,24,28,32,36,40),0)/100)),0)</f>
        <v/>
      </c>
      <c r="R1839">
        <f>IF(AND(Inputs!$B$38&lt;&gt;"pvp",Inputs!$B$43&gt;0),IF(MAX(0,Inputs!$B$43-B1869)&lt;=0,0,(INT(MAX(0,Inputs!$B$43-B1869)/(IF(Inputs!$B$38="pvp",15,MAX(0.1,Skills!D8-IF(Skills!E8=TRUE,Inputs!$B$32,0)))*(1-IF(AND(ArtifactsInput!$M$27,Inputs!$B$4="Chapter Hunt"),CHOOSE(ArtifactsInput!$N$27+1,20,24,28,32,36,40),0)/100)))+1)),0)</f>
        <v/>
      </c>
      <c r="S1839">
        <f>IFERROR(O1839/N1839,0)</f>
        <v/>
      </c>
      <c r="T1839">
        <f>IF(C1839,(H1839*N1839*IF(AND(Inputs!$B$38&lt;&gt;"pvp",Inputs!$B$43&gt;0),((Skills!G8*((R1839-1)*IF(Skills!H8&gt;0,Skills!I8/Skills!H8,1)+IF(Skills!H8&gt;0,MIN(Skills!I8,MAX(0,MAX(0,Inputs!$B$43-B1869)-((R1839-1)*(IF(Inputs!$B$38="pvp",15,MAX(0.1,Skills!D8-IF(Skills!E8=TRUE,Inputs!$B$32,0)))*(1-IF(AND(ArtifactsInput!$M$27,Inputs!$B$4="Chapter Hunt"),CHOOSE(ArtifactsInput!$N$27+1,20,24,28,32,36,40),0)/100)))))/Skills!H8,1)))/Inputs!$B$43),G1839*Q1839)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1839*(1-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1839*(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1839*(1-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1839*(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9">
        <f>IF(C1839,(H1839*N1839*IF(AND(Inputs!$B$38&lt;&gt;"pvp",Inputs!$B$43&gt;0),((Skills!G8*((R1839-1)*IF(Skills!H8&gt;0,Skills!I8/Skills!H8,1)+IF(Skills!H8&gt;0,MIN(Skills!I8,MAX(0,MAX(0,Inputs!$B$43-B1869)-((R1839-1)*(IF(Inputs!$B$38="pvp",15,MAX(0.1,Skills!D8-IF(Skills!E8=TRUE,Inputs!$B$32,0)))*(1-IF(AND(ArtifactsInput!$M$27,Inputs!$B$4="Chapter Hunt"),CHOOSE(ArtifactsInput!$N$27+1,20,24,28,32,36,40),0)/100)))))/Skills!H8,1)))/Inputs!$B$43),G1839*Q1839))*IF(Inputs!$B$38="pvp",1,(1+(Inputs!$B$21+Skills!Q8+(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0">
      <c r="A1840">
        <f>Skills!A9</f>
        <v/>
      </c>
      <c r="B1840">
        <f>Skills!B9</f>
        <v/>
      </c>
      <c r="C1840">
        <f>Inputs!$B$3&gt;=103</f>
        <v/>
      </c>
      <c r="D1840">
        <f>IF(Skills!C9=1,60+Inputs!$B$25+Inputs!$B$29,IF(Skills!C9=2,90+Inputs!$B$26+Inputs!$B$29,IF(Skills!C9=3,120+Inputs!$B$27+Inputs!$B$29,MAX(0,(Inputs!$B$3-100)*3)+Inputs!$B$28+Inputs!$B$29)))</f>
        <v/>
      </c>
      <c r="E1840">
        <f>INDEX(FactorTable!$B$2:$Y$301, MATCH(ROUND(MIN(300,MAX(1,D1840)),0), FactorTable!$A$2:$A$301,0), Skills!M9+1)</f>
        <v/>
      </c>
      <c r="F1840">
        <f>IF(Skills!N9=TRUE,(Skills!L9/10)*(E1840/1000),Skills!L9/10)+Skills!O9</f>
        <v/>
      </c>
      <c r="G1840">
        <f>Skills!G9*IF(Skills!H9&gt;0,Skills!I9/Skills!H9,1)</f>
        <v/>
      </c>
      <c r="H1840">
        <f>1-(1-Skills!J9/100)^Skills!K9</f>
        <v/>
      </c>
      <c r="I1840" t="inlineStr">
        <is>
          <t>1</t>
        </is>
      </c>
      <c r="J1840">
        <f>((Inputs!$B$6*(1+Inputs!$B$7/100))+(((Inputs!$B$12*(1+Inputs!$B$13/100))-(Inputs!$B$12*(1+Inputs!$B$13/100)))+0.25*(Inputs!$B$14-Inputs!$B$14))*(1+Inputs!$B$7/100))*(F1840/100)</f>
        <v/>
      </c>
      <c r="K1840">
        <f>J1840*(1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1840)</f>
        <v/>
      </c>
      <c r="L1840">
        <f>K1840*(MIN(Inputs!$B$22+((C1853=TRUE)*(F1853-Calc!F22)),(Inputs!$B$23+0+(IF(ArtifactsInput!$M$15,CHOOSE(ArtifactsInput!$N$15+1,25,30,35,40,45,50)/100*(Inputs!$B$11-Inputs!$B$11),0))))/100+(Inputs!$B$23+0+(IF(ArtifactsInput!$M$15,CHOOSE(ArtifactsInput!$N$15+1,25,30,35,40,45,50)/100*(Inputs!$B$11-Inputs!$B$11),0)))/100)/2</f>
        <v/>
      </c>
      <c r="M1840">
        <f>L1840*(1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0">
        <f>L1840*(1-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1840*(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0">
        <f>(1-Summary!$B$11)*T1840+Summary!$B$11*V1840</f>
        <v/>
      </c>
      <c r="P1840">
        <f>IF(B1872=0,0,O1840/B1872)</f>
        <v/>
      </c>
      <c r="Q1840">
        <f>IFERROR(1/(IF(Inputs!$B$38="pvp",15,MAX(0.1,Skills!D9-IF(Skills!E9=TRUE,Inputs!$B$32,0)))*(1-IF(AND(ArtifactsInput!$M$27,Inputs!$B$4="Chapter Hunt"),CHOOSE(ArtifactsInput!$N$27+1,20,24,28,32,36,40),0)/100)),0)</f>
        <v/>
      </c>
      <c r="R1840">
        <f>IF(AND(Inputs!$B$38&lt;&gt;"pvp",Inputs!$B$43&gt;0),IF(MAX(0,Inputs!$B$43-B1869)&lt;=0,0,(INT(MAX(0,Inputs!$B$43-B1869)/(IF(Inputs!$B$38="pvp",15,MAX(0.1,Skills!D9-IF(Skills!E9=TRUE,Inputs!$B$32,0)))*(1-IF(AND(ArtifactsInput!$M$27,Inputs!$B$4="Chapter Hunt"),CHOOSE(ArtifactsInput!$N$27+1,20,24,28,32,36,40),0)/100)))+1)),0)</f>
        <v/>
      </c>
      <c r="S1840">
        <f>IFERROR(O1840/N1840,0)</f>
        <v/>
      </c>
      <c r="T1840">
        <f>IF(C1840,(H1840*N1840*IF(AND(Inputs!$B$38&lt;&gt;"pvp",Inputs!$B$43&gt;0),((Skills!G9*((R1840-1)*IF(Skills!H9&gt;0,Skills!I9/Skills!H9,1)+IF(Skills!H9&gt;0,MIN(Skills!I9,MAX(0,MAX(0,Inputs!$B$43-B1869)-((R1840-1)*(IF(Inputs!$B$38="pvp",15,MAX(0.1,Skills!D9-IF(Skills!E9=TRUE,Inputs!$B$32,0)))*(1-IF(AND(ArtifactsInput!$M$27,Inputs!$B$4="Chapter Hunt"),CHOOSE(ArtifactsInput!$N$27+1,20,24,28,32,36,40),0)/100)))))/Skills!H9,1)))/Inputs!$B$43),G1840*Q1840)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1840*(1-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1840*(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1840*(1-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1840*(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0">
        <f>IF(C1840,(H1840*N1840*IF(AND(Inputs!$B$38&lt;&gt;"pvp",Inputs!$B$43&gt;0),((Skills!G9*((R1840-1)*IF(Skills!H9&gt;0,Skills!I9/Skills!H9,1)+IF(Skills!H9&gt;0,MIN(Skills!I9,MAX(0,MAX(0,Inputs!$B$43-B1869)-((R1840-1)*(IF(Inputs!$B$38="pvp",15,MAX(0.1,Skills!D9-IF(Skills!E9=TRUE,Inputs!$B$32,0)))*(1-IF(AND(ArtifactsInput!$M$27,Inputs!$B$4="Chapter Hunt"),CHOOSE(ArtifactsInput!$N$27+1,20,24,28,32,36,40),0)/100)))))/Skills!H9,1)))/Inputs!$B$43),G1840*Q1840))*IF(Inputs!$B$38="pvp",1,(1+(Inputs!$B$21+Skills!Q9+(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1">
      <c r="A1841">
        <f>Skills!A10</f>
        <v/>
      </c>
      <c r="B1841">
        <f>Skills!B10</f>
        <v/>
      </c>
      <c r="C1841">
        <f>Inputs!$B$3&gt;=113</f>
        <v/>
      </c>
      <c r="D1841">
        <f>IF(Skills!C10=1,60+Inputs!$B$25+Inputs!$B$29,IF(Skills!C10=2,90+Inputs!$B$26+Inputs!$B$29,IF(Skills!C10=3,120+Inputs!$B$27+Inputs!$B$29,MAX(0,(Inputs!$B$3-100)*3)+Inputs!$B$28+Inputs!$B$29)))</f>
        <v/>
      </c>
      <c r="E1841">
        <f>INDEX(FactorTable!$B$2:$Y$301, MATCH(ROUND(MIN(300,MAX(1,D1841)),0), FactorTable!$A$2:$A$301,0), Skills!M10+1)</f>
        <v/>
      </c>
      <c r="F1841">
        <f>IF(Skills!N10=TRUE,(Skills!L10/10)*(E1841/1000),Skills!L10/10)+Skills!O10</f>
        <v/>
      </c>
      <c r="G1841">
        <f>Skills!G10*IF(Skills!H10&gt;0,Skills!I10/Skills!H10,1)</f>
        <v/>
      </c>
      <c r="H1841">
        <f>1-(1-Skills!J10/100)^Skills!K10</f>
        <v/>
      </c>
      <c r="I1841" t="inlineStr">
        <is>
          <t>1</t>
        </is>
      </c>
      <c r="J1841">
        <f>((Inputs!$B$6*(1+Inputs!$B$7/100))+(((Inputs!$B$12*(1+Inputs!$B$13/100))-(Inputs!$B$12*(1+Inputs!$B$13/100)))+0.25*(Inputs!$B$14-Inputs!$B$14))*(1+Inputs!$B$7/100))*(F1841/100)</f>
        <v/>
      </c>
      <c r="K1841">
        <f>J1841*(1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1841)</f>
        <v/>
      </c>
      <c r="L1841">
        <f>K1841*(MIN(Inputs!$B$22+((C1853=TRUE)*(F1853-Calc!F22)),(Inputs!$B$23+0+(IF(ArtifactsInput!$M$15,CHOOSE(ArtifactsInput!$N$15+1,25,30,35,40,45,50)/100*(Inputs!$B$11-Inputs!$B$11),0))))/100+(Inputs!$B$23+0+(IF(ArtifactsInput!$M$15,CHOOSE(ArtifactsInput!$N$15+1,25,30,35,40,45,50)/100*(Inputs!$B$11-Inputs!$B$11),0)))/100)/2</f>
        <v/>
      </c>
      <c r="M1841">
        <f>L1841*(1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1">
        <f>L1841*(1-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1">
        <f>(1-Summary!$B$11)*T1841+Summary!$B$11*V1841</f>
        <v/>
      </c>
      <c r="P1841">
        <f>IF(B1872=0,0,O1841/B1872)</f>
        <v/>
      </c>
      <c r="Q1841">
        <f>IFERROR(1/(IF(Inputs!$B$38="pvp",15,MAX(0.1,Skills!D10-IF(Skills!E10=TRUE,Inputs!$B$32,0)))*(1-IF(AND(ArtifactsInput!$M$27,Inputs!$B$4="Chapter Hunt"),CHOOSE(ArtifactsInput!$N$27+1,20,24,28,32,36,40),0)/100)),0)</f>
        <v/>
      </c>
      <c r="R1841">
        <f>IF(AND(Inputs!$B$38&lt;&gt;"pvp",Inputs!$B$43&gt;0),IF(MAX(0,Inputs!$B$43-B1869)&lt;=0,0,(INT(MAX(0,Inputs!$B$43-B1869)/(IF(Inputs!$B$38="pvp",15,MAX(0.1,Skills!D10-IF(Skills!E10=TRUE,Inputs!$B$32,0)))*(1-IF(AND(ArtifactsInput!$M$27,Inputs!$B$4="Chapter Hunt"),CHOOSE(ArtifactsInput!$N$27+1,20,24,28,32,36,40),0)/100)))+1)),0)</f>
        <v/>
      </c>
      <c r="S1841">
        <f>IFERROR(O1841/N1841,0)</f>
        <v/>
      </c>
      <c r="T1841">
        <f>IF(C1841,(H1841*N1841*IF(AND(Inputs!$B$38&lt;&gt;"pvp",Inputs!$B$43&gt;0),((Skills!G10*((R1841-1)*IF(Skills!H10&gt;0,Skills!I10/Skills!H10,1)+IF(Skills!H10&gt;0,MIN(Skills!I10,MAX(0,MAX(0,Inputs!$B$43-B1869)-((R1841-1)*(IF(Inputs!$B$38="pvp",15,MAX(0.1,Skills!D10-IF(Skills!E10=TRUE,Inputs!$B$32,0)))*(1-IF(AND(ArtifactsInput!$M$27,Inputs!$B$4="Chapter Hunt"),CHOOSE(ArtifactsInput!$N$27+1,20,24,28,32,36,40),0)/100)))))/Skills!H10,1)))/Inputs!$B$43),G1841*Q1841)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1841*(1-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1841*(1-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1">
        <f>IF(C1841,(H1841*N1841*IF(AND(Inputs!$B$38&lt;&gt;"pvp",Inputs!$B$43&gt;0),((Skills!G10*((R1841-1)*IF(Skills!H10&gt;0,Skills!I10/Skills!H10,1)+IF(Skills!H10&gt;0,MIN(Skills!I10,MAX(0,MAX(0,Inputs!$B$43-B1869)-((R1841-1)*(IF(Inputs!$B$38="pvp",15,MAX(0.1,Skills!D10-IF(Skills!E10=TRUE,Inputs!$B$32,0)))*(1-IF(AND(ArtifactsInput!$M$27,Inputs!$B$4="Chapter Hunt"),CHOOSE(ArtifactsInput!$N$27+1,20,24,28,32,36,40),0)/100)))))/Skills!H10,1)))/Inputs!$B$43),G1841*Q1841))*IF(Inputs!$B$38="pvp",1,(1+(Inputs!$B$21+Skills!Q10+(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2">
      <c r="A1842">
        <f>Skills!A11</f>
        <v/>
      </c>
      <c r="B1842">
        <f>Skills!B11</f>
        <v/>
      </c>
      <c r="C1842">
        <f>Inputs!$B$3&gt;=107</f>
        <v/>
      </c>
      <c r="D1842">
        <f>IF(Skills!C11=1,60+Inputs!$B$25+Inputs!$B$29,IF(Skills!C11=2,90+Inputs!$B$26+Inputs!$B$29,IF(Skills!C11=3,120+Inputs!$B$27+Inputs!$B$29,MAX(0,(Inputs!$B$3-100)*3)+Inputs!$B$28+Inputs!$B$29)))</f>
        <v/>
      </c>
      <c r="E1842">
        <f>INDEX(FactorTable!$B$2:$Y$301, MATCH(ROUND(MIN(300,MAX(1,D1842)),0), FactorTable!$A$2:$A$301,0), Skills!M11+1)</f>
        <v/>
      </c>
      <c r="F1842">
        <f>IF(Skills!N11=TRUE,(Skills!L11/10)*(E1842/1000),Skills!L11/10)+Skills!O11</f>
        <v/>
      </c>
      <c r="G1842">
        <f>Skills!G11*IF(Skills!H11&gt;0,Skills!I11/Skills!H11,1)</f>
        <v/>
      </c>
      <c r="H1842">
        <f>1-(1-Skills!J11/100)^Skills!K11</f>
        <v/>
      </c>
      <c r="I1842" t="inlineStr">
        <is>
          <t>1</t>
        </is>
      </c>
      <c r="J1842">
        <f>((Inputs!$B$6*(1+Inputs!$B$7/100))+(((Inputs!$B$12*(1+Inputs!$B$13/100))-(Inputs!$B$12*(1+Inputs!$B$13/100)))+0.25*(Inputs!$B$14-Inputs!$B$14))*(1+Inputs!$B$7/100))*(F1842/100)</f>
        <v/>
      </c>
      <c r="K1842">
        <f>J1842*(1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1842)</f>
        <v/>
      </c>
      <c r="L1842">
        <f>K1842*(MIN(Inputs!$B$22+((C1853=TRUE)*(F1853-Calc!F22)),(Inputs!$B$23+0+(IF(ArtifactsInput!$M$15,CHOOSE(ArtifactsInput!$N$15+1,25,30,35,40,45,50)/100*(Inputs!$B$11-Inputs!$B$11),0))))/100+(Inputs!$B$23+0+(IF(ArtifactsInput!$M$15,CHOOSE(ArtifactsInput!$N$15+1,25,30,35,40,45,50)/100*(Inputs!$B$11-Inputs!$B$11),0)))/100)/2</f>
        <v/>
      </c>
      <c r="M1842">
        <f>L1842*(1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2">
        <f>L1842*(1-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1842*(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2">
        <f>(1-Summary!$B$11)*T1842+Summary!$B$11*V1842</f>
        <v/>
      </c>
      <c r="P1842">
        <f>IF(B1872=0,0,O1842/B1872)</f>
        <v/>
      </c>
      <c r="Q1842">
        <f>IFERROR(1/(IF(Inputs!$B$38="pvp",15,MAX(0.1,Skills!D11-IF(Skills!E11=TRUE,Inputs!$B$32,0)))*(1-IF(AND(ArtifactsInput!$M$27,Inputs!$B$4="Chapter Hunt"),CHOOSE(ArtifactsInput!$N$27+1,20,24,28,32,36,40),0)/100)),0)</f>
        <v/>
      </c>
      <c r="R1842">
        <f>IF(AND(Inputs!$B$38&lt;&gt;"pvp",Inputs!$B$43&gt;0),IF(MAX(0,Inputs!$B$43-B1869)&lt;=0,0,(INT(MAX(0,Inputs!$B$43-B1869)/(IF(Inputs!$B$38="pvp",15,MAX(0.1,Skills!D11-IF(Skills!E11=TRUE,Inputs!$B$32,0)))*(1-IF(AND(ArtifactsInput!$M$27,Inputs!$B$4="Chapter Hunt"),CHOOSE(ArtifactsInput!$N$27+1,20,24,28,32,36,40),0)/100)))+1)),0)</f>
        <v/>
      </c>
      <c r="S1842">
        <f>IFERROR(O1842/N1842,0)</f>
        <v/>
      </c>
      <c r="T1842">
        <f>IF(C1842,(H1842*N1842*IF(AND(Inputs!$B$38&lt;&gt;"pvp",Inputs!$B$43&gt;0),((Skills!G11*((R1842-1)*IF(Skills!H11&gt;0,Skills!I11/Skills!H11,1)+IF(Skills!H11&gt;0,MIN(Skills!I11,MAX(0,MAX(0,Inputs!$B$43-B1869)-((R1842-1)*(IF(Inputs!$B$38="pvp",15,MAX(0.1,Skills!D11-IF(Skills!E11=TRUE,Inputs!$B$32,0)))*(1-IF(AND(ArtifactsInput!$M$27,Inputs!$B$4="Chapter Hunt"),CHOOSE(ArtifactsInput!$N$27+1,20,24,28,32,36,40),0)/100)))))/Skills!H11,1)))/Inputs!$B$43),G1842*Q1842)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1842*(1-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1842*(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1842*(1-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1842*(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2">
        <f>IF(C1842,(H1842*N1842*IF(AND(Inputs!$B$38&lt;&gt;"pvp",Inputs!$B$43&gt;0),((Skills!G11*((R1842-1)*IF(Skills!H11&gt;0,Skills!I11/Skills!H11,1)+IF(Skills!H11&gt;0,MIN(Skills!I11,MAX(0,MAX(0,Inputs!$B$43-B1869)-((R1842-1)*(IF(Inputs!$B$38="pvp",15,MAX(0.1,Skills!D11-IF(Skills!E11=TRUE,Inputs!$B$32,0)))*(1-IF(AND(ArtifactsInput!$M$27,Inputs!$B$4="Chapter Hunt"),CHOOSE(ArtifactsInput!$N$27+1,20,24,28,32,36,40),0)/100)))))/Skills!H11,1)))/Inputs!$B$43),G1842*Q1842))*IF(Inputs!$B$38="pvp",1,(1+(Inputs!$B$21+Skills!Q11+(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3">
      <c r="A1843">
        <f>Skills!A12</f>
        <v/>
      </c>
      <c r="B1843">
        <f>Skills!B12</f>
        <v/>
      </c>
      <c r="C1843">
        <f>Inputs!$B$3&gt;=110</f>
        <v/>
      </c>
      <c r="D1843">
        <f>IF(Skills!C12=1,60+Inputs!$B$25+Inputs!$B$29,IF(Skills!C12=2,90+Inputs!$B$26+Inputs!$B$29,IF(Skills!C12=3,120+Inputs!$B$27+Inputs!$B$29,MAX(0,(Inputs!$B$3-100)*3)+Inputs!$B$28+Inputs!$B$29)))</f>
        <v/>
      </c>
      <c r="E1843">
        <f>INDEX(FactorTable!$B$2:$Y$301, MATCH(ROUND(MIN(300,MAX(1,D1843)),0), FactorTable!$A$2:$A$301,0), Skills!M12+1)</f>
        <v/>
      </c>
      <c r="F1843">
        <f>IF(Skills!N12=TRUE,(Skills!L12/10)*(E1843/1000),Skills!L12/10)+Skills!O12</f>
        <v/>
      </c>
      <c r="G1843">
        <f>Skills!G12*IF(Skills!H12&gt;0,Skills!I12/Skills!H12,1)</f>
        <v/>
      </c>
      <c r="H1843">
        <f>1-(1-Skills!J12/100)^Skills!K12</f>
        <v/>
      </c>
      <c r="I1843" t="inlineStr">
        <is>
          <t>1</t>
        </is>
      </c>
      <c r="J1843">
        <f>((Inputs!$B$6*(1+Inputs!$B$7/100))+(((Inputs!$B$12*(1+Inputs!$B$13/100))-(Inputs!$B$12*(1+Inputs!$B$13/100)))+0.25*(Inputs!$B$14-Inputs!$B$14))*(1+Inputs!$B$7/100))*(F1843/100)</f>
        <v/>
      </c>
      <c r="K1843">
        <f>J1843*(1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1843)</f>
        <v/>
      </c>
      <c r="L1843">
        <f>K1843*(MIN(Inputs!$B$22+((C1853=TRUE)*(F1853-Calc!F22)),(Inputs!$B$23+0+(IF(ArtifactsInput!$M$15,CHOOSE(ArtifactsInput!$N$15+1,25,30,35,40,45,50)/100*(Inputs!$B$11-Inputs!$B$11),0))))/100+(Inputs!$B$23+0+(IF(ArtifactsInput!$M$15,CHOOSE(ArtifactsInput!$N$15+1,25,30,35,40,45,50)/100*(Inputs!$B$11-Inputs!$B$11),0)))/100)/2</f>
        <v/>
      </c>
      <c r="M1843">
        <f>L1843*(1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3">
        <f>L1843*(1-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1843*(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3">
        <f>(1-Summary!$B$11)*T1843+Summary!$B$11*V1843</f>
        <v/>
      </c>
      <c r="P1843">
        <f>IF(B1872=0,0,O1843/B1872)</f>
        <v/>
      </c>
      <c r="Q1843">
        <f>IFERROR(1/(IF(Inputs!$B$38="pvp",15,MAX(0.1,Skills!D12-IF(Skills!E12=TRUE,Inputs!$B$32,0)))*(1-IF(AND(ArtifactsInput!$M$27,Inputs!$B$4="Chapter Hunt"),CHOOSE(ArtifactsInput!$N$27+1,20,24,28,32,36,40),0)/100)),0)</f>
        <v/>
      </c>
      <c r="R1843">
        <f>IF(AND(Inputs!$B$38&lt;&gt;"pvp",Inputs!$B$43&gt;0),IF(MAX(0,Inputs!$B$43-B1869)&lt;=0,0,(INT(MAX(0,Inputs!$B$43-B1869)/(IF(Inputs!$B$38="pvp",15,MAX(0.1,Skills!D12-IF(Skills!E12=TRUE,Inputs!$B$32,0)))*(1-IF(AND(ArtifactsInput!$M$27,Inputs!$B$4="Chapter Hunt"),CHOOSE(ArtifactsInput!$N$27+1,20,24,28,32,36,40),0)/100)))+1)),0)</f>
        <v/>
      </c>
      <c r="S1843">
        <f>IFERROR(O1843/N1843,0)</f>
        <v/>
      </c>
      <c r="T1843">
        <f>IF(C1843,(H1843*N1843*IF(AND(Inputs!$B$38&lt;&gt;"pvp",Inputs!$B$43&gt;0),((Skills!G12*((R1843-1)*IF(Skills!H12&gt;0,Skills!I12/Skills!H12,1)+IF(Skills!H12&gt;0,MIN(Skills!I12,MAX(0,MAX(0,Inputs!$B$43-B1869)-((R1843-1)*(IF(Inputs!$B$38="pvp",15,MAX(0.1,Skills!D12-IF(Skills!E12=TRUE,Inputs!$B$32,0)))*(1-IF(AND(ArtifactsInput!$M$27,Inputs!$B$4="Chapter Hunt"),CHOOSE(ArtifactsInput!$N$27+1,20,24,28,32,36,40),0)/100)))))/Skills!H12,1)))/Inputs!$B$43),G1843*Q1843)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1843*(1-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1843*(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1843*(1-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1843*(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3">
        <f>IF(C1843,(H1843*N1843*IF(AND(Inputs!$B$38&lt;&gt;"pvp",Inputs!$B$43&gt;0),((Skills!G12*((R1843-1)*IF(Skills!H12&gt;0,Skills!I12/Skills!H12,1)+IF(Skills!H12&gt;0,MIN(Skills!I12,MAX(0,MAX(0,Inputs!$B$43-B1869)-((R1843-1)*(IF(Inputs!$B$38="pvp",15,MAX(0.1,Skills!D12-IF(Skills!E12=TRUE,Inputs!$B$32,0)))*(1-IF(AND(ArtifactsInput!$M$27,Inputs!$B$4="Chapter Hunt"),CHOOSE(ArtifactsInput!$N$27+1,20,24,28,32,36,40),0)/100)))))/Skills!H12,1)))/Inputs!$B$43),G1843*Q1843))*IF(Inputs!$B$38="pvp",1,(1+(Inputs!$B$21+Skills!Q12+(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4">
      <c r="A1844">
        <f>Skills!A13</f>
        <v/>
      </c>
      <c r="B1844">
        <f>Skills!B13</f>
        <v/>
      </c>
      <c r="C1844">
        <f>Inputs!$B$3&gt;=110</f>
        <v/>
      </c>
      <c r="D1844">
        <f>IF(Skills!C13=1,60+Inputs!$B$25+Inputs!$B$29,IF(Skills!C13=2,90+Inputs!$B$26+Inputs!$B$29,IF(Skills!C13=3,120+Inputs!$B$27+Inputs!$B$29,MAX(0,(Inputs!$B$3-100)*3)+Inputs!$B$28+Inputs!$B$29)))</f>
        <v/>
      </c>
      <c r="E1844">
        <f>INDEX(FactorTable!$B$2:$Y$301, MATCH(ROUND(MIN(300,MAX(1,D1844)),0), FactorTable!$A$2:$A$301,0), Skills!M13+1)</f>
        <v/>
      </c>
      <c r="F1844">
        <f>IF(Skills!N13=TRUE,(Skills!L13/10)*(E1844/1000),Skills!L13/10)+Skills!O13</f>
        <v/>
      </c>
      <c r="G1844">
        <f>Skills!G13*IF(Skills!H13&gt;0,Skills!I13/Skills!H13,1)</f>
        <v/>
      </c>
      <c r="H1844">
        <f>1-(1-Skills!J13/100)^Skills!K13</f>
        <v/>
      </c>
      <c r="I1844" t="inlineStr">
        <is>
          <t>1</t>
        </is>
      </c>
      <c r="J1844">
        <f>((Inputs!$B$6*(1+Inputs!$B$7/100))+(((Inputs!$B$12*(1+Inputs!$B$13/100))-(Inputs!$B$12*(1+Inputs!$B$13/100)))+0.25*(Inputs!$B$14-Inputs!$B$14))*(1+Inputs!$B$7/100))*(F1844/100)</f>
        <v/>
      </c>
      <c r="K1844">
        <f>J1844*(1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1844)</f>
        <v/>
      </c>
      <c r="L1844">
        <f>K1844*(MIN(Inputs!$B$22+((C1853=TRUE)*(F1853-Calc!F22)),(Inputs!$B$23+0+(IF(ArtifactsInput!$M$15,CHOOSE(ArtifactsInput!$N$15+1,25,30,35,40,45,50)/100*(Inputs!$B$11-Inputs!$B$11),0))))/100+(Inputs!$B$23+0+(IF(ArtifactsInput!$M$15,CHOOSE(ArtifactsInput!$N$15+1,25,30,35,40,45,50)/100*(Inputs!$B$11-Inputs!$B$11),0)))/100)/2</f>
        <v/>
      </c>
      <c r="M1844">
        <f>L1844*(1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4">
        <f>L1844*(1-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1844*(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4">
        <f>(1-Summary!$B$11)*T1844+Summary!$B$11*V1844</f>
        <v/>
      </c>
      <c r="P1844">
        <f>IF(B1872=0,0,O1844/B1872)</f>
        <v/>
      </c>
      <c r="Q1844">
        <f>IFERROR(1/(IF(Inputs!$B$38="pvp",15,MAX(0.1,Skills!D13-IF(Skills!E13=TRUE,Inputs!$B$32,0)))*(1-IF(AND(ArtifactsInput!$M$27,Inputs!$B$4="Chapter Hunt"),CHOOSE(ArtifactsInput!$N$27+1,20,24,28,32,36,40),0)/100)),0)</f>
        <v/>
      </c>
      <c r="R1844">
        <f>IF(AND(Inputs!$B$38&lt;&gt;"pvp",Inputs!$B$43&gt;0),IF(MAX(0,Inputs!$B$43-B1869)&lt;=0,0,(INT(MAX(0,Inputs!$B$43-B1869)/(IF(Inputs!$B$38="pvp",15,MAX(0.1,Skills!D13-IF(Skills!E13=TRUE,Inputs!$B$32,0)))*(1-IF(AND(ArtifactsInput!$M$27,Inputs!$B$4="Chapter Hunt"),CHOOSE(ArtifactsInput!$N$27+1,20,24,28,32,36,40),0)/100)))+1)),0)</f>
        <v/>
      </c>
      <c r="S1844">
        <f>IFERROR(O1844/N1844,0)</f>
        <v/>
      </c>
      <c r="T1844">
        <f>IF(C1844,(H1844*N1844*IF(AND(Inputs!$B$38&lt;&gt;"pvp",Inputs!$B$43&gt;0),((Skills!G13*((R1844-1)*IF(Skills!H13&gt;0,Skills!I13/Skills!H13,1)+IF(Skills!H13&gt;0,MIN(Skills!I13,MAX(0,MAX(0,Inputs!$B$43-B1869)-((R1844-1)*(IF(Inputs!$B$38="pvp",15,MAX(0.1,Skills!D13-IF(Skills!E13=TRUE,Inputs!$B$32,0)))*(1-IF(AND(ArtifactsInput!$M$27,Inputs!$B$4="Chapter Hunt"),CHOOSE(ArtifactsInput!$N$27+1,20,24,28,32,36,40),0)/100)))))/Skills!H13,1)))/Inputs!$B$43),G1844*Q1844)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1844*(1-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1844*(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1844*(1-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1844*(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4">
        <f>IF(C1844,(H1844*N1844*IF(AND(Inputs!$B$38&lt;&gt;"pvp",Inputs!$B$43&gt;0),((Skills!G13*((R1844-1)*IF(Skills!H13&gt;0,Skills!I13/Skills!H13,1)+IF(Skills!H13&gt;0,MIN(Skills!I13,MAX(0,MAX(0,Inputs!$B$43-B1869)-((R1844-1)*(IF(Inputs!$B$38="pvp",15,MAX(0.1,Skills!D13-IF(Skills!E13=TRUE,Inputs!$B$32,0)))*(1-IF(AND(ArtifactsInput!$M$27,Inputs!$B$4="Chapter Hunt"),CHOOSE(ArtifactsInput!$N$27+1,20,24,28,32,36,40),0)/100)))))/Skills!H13,1)))/Inputs!$B$43),G1844*Q1844))*IF(Inputs!$B$38="pvp",1,(1+(Inputs!$B$21+Skills!Q13+(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5">
      <c r="A1845">
        <f>Skills!A14</f>
        <v/>
      </c>
      <c r="B1845">
        <f>Skills!B14</f>
        <v/>
      </c>
      <c r="C1845">
        <f>Inputs!$B$3&gt;=125</f>
        <v/>
      </c>
      <c r="D1845">
        <f>IF(Skills!C14=1,60+Inputs!$B$25+Inputs!$B$29,IF(Skills!C14=2,90+Inputs!$B$26+Inputs!$B$29,IF(Skills!C14=3,120+Inputs!$B$27+Inputs!$B$29,MAX(0,(Inputs!$B$3-100)*3)+Inputs!$B$28+Inputs!$B$29)))</f>
        <v/>
      </c>
      <c r="E1845">
        <f>INDEX(FactorTable!$B$2:$Y$301, MATCH(ROUND(MIN(300,MAX(1,D1845)),0), FactorTable!$A$2:$A$301,0), Skills!M14+1)</f>
        <v/>
      </c>
      <c r="F1845">
        <f>IF(Skills!N14=TRUE,(Skills!L14/10)*(E1845/1000),Skills!L14/10)+Skills!O14</f>
        <v/>
      </c>
      <c r="G1845">
        <f>Skills!G14*IF(Skills!H14&gt;0,Skills!I14/Skills!H14,1)</f>
        <v/>
      </c>
      <c r="H1845">
        <f>1-(1-Skills!J14/100)^Skills!K14</f>
        <v/>
      </c>
      <c r="I1845" t="inlineStr">
        <is>
          <t>1</t>
        </is>
      </c>
      <c r="J1845">
        <f>((Inputs!$B$6*(1+Inputs!$B$7/100))+(((Inputs!$B$12*(1+Inputs!$B$13/100))-(Inputs!$B$12*(1+Inputs!$B$13/100)))+0.25*(Inputs!$B$14-Inputs!$B$14))*(1+Inputs!$B$7/100))*(F1845/100)</f>
        <v/>
      </c>
      <c r="K1845">
        <f>J1845*(1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1845)</f>
        <v/>
      </c>
      <c r="L1845">
        <f>K1845*(MIN(Inputs!$B$22+((C1853=TRUE)*(F1853-Calc!F22)),(Inputs!$B$23+0+(IF(ArtifactsInput!$M$15,CHOOSE(ArtifactsInput!$N$15+1,25,30,35,40,45,50)/100*(Inputs!$B$11-Inputs!$B$11),0))))/100+(Inputs!$B$23+0+(IF(ArtifactsInput!$M$15,CHOOSE(ArtifactsInput!$N$15+1,25,30,35,40,45,50)/100*(Inputs!$B$11-Inputs!$B$11),0)))/100)/2</f>
        <v/>
      </c>
      <c r="M1845">
        <f>L1845*(1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5">
        <f>L1845*(1-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1845*(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5">
        <f>(1-Summary!$B$11)*T1845+Summary!$B$11*V1845</f>
        <v/>
      </c>
      <c r="P1845">
        <f>IF(B1872=0,0,O1845/B1872)</f>
        <v/>
      </c>
      <c r="Q1845" t="n">
        <v>0</v>
      </c>
      <c r="R1845" t="n">
        <v>0</v>
      </c>
      <c r="S1845">
        <f>IFERROR(O1845/N1845,0)</f>
        <v/>
      </c>
      <c r="T1845">
        <f>IF(C1845,(H1845*N1845*(B1866+IF(AND(Inputs!$B$38&lt;&gt;"pvp",Inputs!$B$43&gt;0),((Skills!G8*((R1839-1)*IF(Skills!H8&gt;0,Skills!I8/Skills!H8,1)+IF(Skills!H8&gt;0,MIN(Skills!I8,MAX(0,MAX(0,Inputs!$B$43-B1869)-((R1839-1)*(IF(Inputs!$B$38="pvp",15,MAX(0.1,Skills!D8-IF(Skills!E8=TRUE,Inputs!$B$32,0)))*(1-IF(AND(ArtifactsInput!$M$27,Inputs!$B$4="Chapter Hunt"),CHOOSE(ArtifactsInput!$N$27+1,20,24,28,32,36,40),0)/100)))))/Skills!H8,1)))/Inputs!$B$43),G1839*Q1839)+IF(AND(Inputs!$B$38&lt;&gt;"pvp",Inputs!$B$43&gt;0),((Skills!G11*((R1842-1)*IF(Skills!H11&gt;0,Skills!I11/Skills!H11,1)+IF(Skills!H11&gt;0,MIN(Skills!I11,MAX(0,MAX(0,Inputs!$B$43-B1869)-((R1842-1)*(IF(Inputs!$B$38="pvp",15,MAX(0.1,Skills!D11-IF(Skills!E11=TRUE,Inputs!$B$32,0)))*(1-IF(AND(ArtifactsInput!$M$27,Inputs!$B$4="Chapter Hunt"),CHOOSE(ArtifactsInput!$N$27+1,20,24,28,32,36,40),0)/100)))))/Skills!H11,1)))/Inputs!$B$43),G1842*Q1842)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1845*(1-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1845*(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1845*(1-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1845*(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5">
        <f>IF(C1845,(H1845*N1845*(B1866+IF(AND(Inputs!$B$38&lt;&gt;"pvp",Inputs!$B$43&gt;0),((Skills!G8*((R1839-1)*IF(Skills!H8&gt;0,Skills!I8/Skills!H8,1)+IF(Skills!H8&gt;0,MIN(Skills!I8,MAX(0,MAX(0,Inputs!$B$43-B1869)-((R1839-1)*(IF(Inputs!$B$38="pvp",15,MAX(0.1,Skills!D8-IF(Skills!E8=TRUE,Inputs!$B$32,0)))*(1-IF(AND(ArtifactsInput!$M$27,Inputs!$B$4="Chapter Hunt"),CHOOSE(ArtifactsInput!$N$27+1,20,24,28,32,36,40),0)/100)))))/Skills!H8,1)))/Inputs!$B$43),G1839*Q1839)+IF(AND(Inputs!$B$38&lt;&gt;"pvp",Inputs!$B$43&gt;0),((Skills!G11*((R1842-1)*IF(Skills!H11&gt;0,Skills!I11/Skills!H11,1)+IF(Skills!H11&gt;0,MIN(Skills!I11,MAX(0,MAX(0,Inputs!$B$43-B1869)-((R1842-1)*(IF(Inputs!$B$38="pvp",15,MAX(0.1,Skills!D11-IF(Skills!E11=TRUE,Inputs!$B$32,0)))*(1-IF(AND(ArtifactsInput!$M$27,Inputs!$B$4="Chapter Hunt"),CHOOSE(ArtifactsInput!$N$27+1,20,24,28,32,36,40),0)/100)))))/Skills!H11,1)))/Inputs!$B$43),G1842*Q1842)))*IF(Inputs!$B$38="pvp",1,(1+(Inputs!$B$21+Skills!Q14+(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6">
      <c r="A1846">
        <f>Skills!A15</f>
        <v/>
      </c>
      <c r="B1846">
        <f>Skills!B15</f>
        <v/>
      </c>
      <c r="C1846">
        <f>Inputs!$B$3&gt;=100</f>
        <v/>
      </c>
      <c r="D1846">
        <f>IF(Skills!C15=1,60+Inputs!$B$25+Inputs!$B$29,IF(Skills!C15=2,90+Inputs!$B$26+Inputs!$B$29,IF(Skills!C15=3,120+Inputs!$B$27+Inputs!$B$29,MAX(0,(Inputs!$B$3-100)*3)+Inputs!$B$28+Inputs!$B$29)))</f>
        <v/>
      </c>
      <c r="E1846">
        <f>INDEX(FactorTable!$B$2:$Y$301, MATCH(ROUND(MIN(300,MAX(1,D1846)),0), FactorTable!$A$2:$A$301,0), Skills!M15+1)</f>
        <v/>
      </c>
      <c r="F1846">
        <f>IF(Skills!N15=TRUE,(Skills!L15/10)*(E1846/1000),Skills!L15/10)+Skills!O15</f>
        <v/>
      </c>
      <c r="G1846" t="inlineStr"/>
      <c r="H1846" t="inlineStr"/>
      <c r="I1846" t="inlineStr">
        <is>
          <t>1</t>
        </is>
      </c>
      <c r="J1846" t="inlineStr"/>
      <c r="K1846" t="inlineStr"/>
      <c r="L1846" t="inlineStr"/>
      <c r="M1846" t="inlineStr"/>
      <c r="N1846" t="inlineStr"/>
      <c r="O1846" t="inlineStr"/>
      <c r="P1846" t="inlineStr"/>
      <c r="Q1846" t="inlineStr"/>
      <c r="R1846" t="inlineStr"/>
      <c r="S1846" t="inlineStr"/>
    </row>
    <row r="1847">
      <c r="A1847">
        <f>Skills!A16</f>
        <v/>
      </c>
      <c r="B1847">
        <f>Skills!B16</f>
        <v/>
      </c>
      <c r="C1847">
        <f>Inputs!$B$3&gt;=120</f>
        <v/>
      </c>
      <c r="D1847">
        <f>IF(Skills!C16=1,60+Inputs!$B$25+Inputs!$B$29,IF(Skills!C16=2,90+Inputs!$B$26+Inputs!$B$29,IF(Skills!C16=3,120+Inputs!$B$27+Inputs!$B$29,MAX(0,(Inputs!$B$3-100)*3)+Inputs!$B$28+Inputs!$B$29)))</f>
        <v/>
      </c>
      <c r="E1847">
        <f>INDEX(FactorTable!$B$2:$Y$301, MATCH(ROUND(MIN(300,MAX(1,D1847)),0), FactorTable!$A$2:$A$301,0), Skills!M16+1)</f>
        <v/>
      </c>
      <c r="F1847">
        <f>IF(Skills!N16=TRUE,(Skills!L16/10)*(E1847/1000),Skills!L16/10)+Skills!O16</f>
        <v/>
      </c>
      <c r="G1847" t="inlineStr"/>
      <c r="H1847" t="inlineStr"/>
      <c r="I1847" t="inlineStr">
        <is>
          <t>1</t>
        </is>
      </c>
      <c r="J1847" t="inlineStr"/>
      <c r="K1847" t="inlineStr"/>
      <c r="L1847" t="inlineStr"/>
      <c r="M1847" t="inlineStr"/>
      <c r="N1847" t="inlineStr"/>
      <c r="O1847" t="inlineStr"/>
      <c r="P1847" t="inlineStr"/>
      <c r="Q1847" t="inlineStr"/>
      <c r="R1847" t="inlineStr"/>
      <c r="S1847" t="inlineStr"/>
    </row>
    <row r="1848">
      <c r="A1848">
        <f>Skills!A17</f>
        <v/>
      </c>
      <c r="B1848">
        <f>Skills!B17</f>
        <v/>
      </c>
      <c r="C1848">
        <f>Inputs!$B$3&gt;=66</f>
        <v/>
      </c>
      <c r="D1848">
        <f>IF(Skills!C17=1,60+Inputs!$B$25+Inputs!$B$29,IF(Skills!C17=2,90+Inputs!$B$26+Inputs!$B$29,IF(Skills!C17=3,120+Inputs!$B$27+Inputs!$B$29,MAX(0,(Inputs!$B$3-100)*3)+Inputs!$B$28+Inputs!$B$29)))</f>
        <v/>
      </c>
      <c r="E1848">
        <f>INDEX(FactorTable!$B$2:$Y$301, MATCH(ROUND(MIN(300,MAX(1,D1848)),0), FactorTable!$A$2:$A$301,0), Skills!M17+1)</f>
        <v/>
      </c>
      <c r="F1848">
        <f>IF(Skills!N17=TRUE,(Skills!L17/10)*(E1848/1000),Skills!L17/10)+Skills!O17</f>
        <v/>
      </c>
      <c r="G1848">
        <f>Skills!G17*IF(Skills!H17&gt;0,Skills!I17/Skills!H17,1)</f>
        <v/>
      </c>
      <c r="H1848">
        <f>1-(1-Skills!J17/100)^Skills!K17</f>
        <v/>
      </c>
      <c r="I1848" t="inlineStr">
        <is>
          <t>1</t>
        </is>
      </c>
      <c r="J1848" t="inlineStr"/>
      <c r="K1848" t="inlineStr"/>
      <c r="L1848" t="inlineStr"/>
      <c r="M1848" t="inlineStr"/>
      <c r="N1848" t="inlineStr"/>
      <c r="O1848">
        <f>(1-Summary!$B$11)*T1848+Summary!$B$11*V1848</f>
        <v/>
      </c>
      <c r="P1848">
        <f>IF(B1872=0,0,O1848/B1872)</f>
        <v/>
      </c>
      <c r="Q1848" t="n">
        <v>0</v>
      </c>
      <c r="R1848" t="n">
        <v>0</v>
      </c>
      <c r="S1848">
        <f>IFERROR(O1848/N1848,0)</f>
        <v/>
      </c>
      <c r="T1848" t="n">
        <v>0</v>
      </c>
      <c r="V1848" t="n">
        <v>0</v>
      </c>
    </row>
    <row r="1849">
      <c r="A1849">
        <f>Skills!A18</f>
        <v/>
      </c>
      <c r="B1849">
        <f>Skills!B18</f>
        <v/>
      </c>
      <c r="C1849">
        <f>Inputs!$B$3&gt;=115</f>
        <v/>
      </c>
      <c r="D1849">
        <f>IF(Skills!C18=1,60+Inputs!$B$25+Inputs!$B$29,IF(Skills!C18=2,90+Inputs!$B$26+Inputs!$B$29,IF(Skills!C18=3,120+Inputs!$B$27+Inputs!$B$29,MAX(0,(Inputs!$B$3-100)*3)+Inputs!$B$28+Inputs!$B$29)))</f>
        <v/>
      </c>
      <c r="E1849">
        <f>INDEX(FactorTable!$B$2:$Y$301, MATCH(ROUND(MIN(300,MAX(1,D1849)),0), FactorTable!$A$2:$A$301,0), Skills!M18+1)</f>
        <v/>
      </c>
      <c r="F1849">
        <f>IF(Skills!N18=TRUE,(Skills!L18/10)*(E1849/1000),Skills!L18/10)+Skills!O18</f>
        <v/>
      </c>
      <c r="G1849">
        <f>Skills!G18*IF(Skills!H18&gt;0,Skills!I18/Skills!H18,1)</f>
        <v/>
      </c>
      <c r="H1849">
        <f>1-(1-Skills!J18/100)^Skills!K18</f>
        <v/>
      </c>
      <c r="I1849" t="inlineStr">
        <is>
          <t>1</t>
        </is>
      </c>
      <c r="J1849" t="inlineStr"/>
      <c r="K1849" t="inlineStr"/>
      <c r="L1849" t="inlineStr"/>
      <c r="M1849" t="inlineStr"/>
      <c r="N1849" t="inlineStr"/>
      <c r="O1849">
        <f>(1-Summary!$B$11)*T1849+Summary!$B$11*V1849</f>
        <v/>
      </c>
      <c r="P1849">
        <f>IF(B1872=0,0,O1849/B1872)</f>
        <v/>
      </c>
      <c r="Q1849">
        <f>IFERROR(1/(IF(Inputs!$B$38="pvp",15,MAX(0.1,Skills!D18-IF(Skills!E18=TRUE,Inputs!$B$32,0)))*(1-IF(AND(ArtifactsInput!$M$27,Inputs!$B$4="Chapter Hunt"),CHOOSE(ArtifactsInput!$N$27+1,20,24,28,32,36,40),0)/100)),0)</f>
        <v/>
      </c>
      <c r="R1849">
        <f>IF(AND(Inputs!$B$38&lt;&gt;"pvp",Inputs!$B$43&gt;0),IF(Inputs!$B$43&lt;=0,0,(INT(Inputs!$B$43/(IF(Inputs!$B$38="pvp",15,MAX(0.1,Skills!D18-IF(Skills!E18=TRUE,Inputs!$B$32,0)))*(1-IF(AND(ArtifactsInput!$M$27,Inputs!$B$4="Chapter Hunt"),CHOOSE(ArtifactsInput!$N$27+1,20,24,28,32,36,40),0)/100)))+1)),0)</f>
        <v/>
      </c>
      <c r="S1849">
        <f>IFERROR(O1849/N1849,0)</f>
        <v/>
      </c>
      <c r="T1849" t="n">
        <v>0</v>
      </c>
      <c r="V1849" t="n">
        <v>0</v>
      </c>
    </row>
    <row r="1850">
      <c r="A1850">
        <f>Skills!A19</f>
        <v/>
      </c>
      <c r="B1850">
        <f>Skills!B19</f>
        <v/>
      </c>
      <c r="C1850">
        <f>Inputs!$B$3&gt;=15</f>
        <v/>
      </c>
      <c r="D1850">
        <f>IF(Skills!C19=1,60+Inputs!$B$25+Inputs!$B$29,IF(Skills!C19=2,90+Inputs!$B$26+Inputs!$B$29,IF(Skills!C19=3,120+Inputs!$B$27+Inputs!$B$29,MAX(0,(Inputs!$B$3-100)*3)+Inputs!$B$28+Inputs!$B$29)))</f>
        <v/>
      </c>
      <c r="E1850">
        <f>INDEX(FactorTable!$B$2:$Y$301, MATCH(ROUND(MIN(300,MAX(1,D1850)),0), FactorTable!$A$2:$A$301,0), Skills!M19+1)</f>
        <v/>
      </c>
      <c r="F1850">
        <f>IF(Skills!N19=TRUE,(Skills!L19/10)*(E1850/1000),Skills!L19/10)+Skills!O19</f>
        <v/>
      </c>
      <c r="G1850">
        <f>Skills!G19*IF(Skills!H19&gt;0,Skills!I19/Skills!H19,1)</f>
        <v/>
      </c>
      <c r="H1850">
        <f>1-(1-Skills!J19/100)^Skills!K19</f>
        <v/>
      </c>
      <c r="I1850" t="inlineStr">
        <is>
          <t>1</t>
        </is>
      </c>
      <c r="J1850" t="inlineStr"/>
      <c r="K1850" t="inlineStr"/>
      <c r="L1850" t="inlineStr"/>
      <c r="M1850" t="inlineStr"/>
      <c r="N1850" t="inlineStr"/>
      <c r="O1850">
        <f>(1-Summary!$B$11)*T1850+Summary!$B$11*V1850</f>
        <v/>
      </c>
      <c r="P1850">
        <f>IF(B1872=0,0,O1850/B1872)</f>
        <v/>
      </c>
      <c r="Q1850" t="n">
        <v>0</v>
      </c>
      <c r="R1850" t="n">
        <v>0</v>
      </c>
      <c r="S1850">
        <f>IFERROR(O1850/N1850,0)</f>
        <v/>
      </c>
      <c r="T1850" t="n">
        <v>0</v>
      </c>
      <c r="V1850" t="n">
        <v>0</v>
      </c>
    </row>
    <row r="1851">
      <c r="A1851">
        <f>Skills!A20</f>
        <v/>
      </c>
      <c r="B1851">
        <f>Skills!B20</f>
        <v/>
      </c>
      <c r="C1851">
        <f>Inputs!$B$3&gt;=10</f>
        <v/>
      </c>
      <c r="D1851">
        <f>IF(Skills!C20=1,60+Inputs!$B$25+Inputs!$B$29,IF(Skills!C20=2,90+Inputs!$B$26+Inputs!$B$29,IF(Skills!C20=3,120+Inputs!$B$27+Inputs!$B$29,MAX(0,(Inputs!$B$3-100)*3)+Inputs!$B$28+Inputs!$B$29)))</f>
        <v/>
      </c>
      <c r="E1851">
        <f>INDEX(FactorTable!$B$2:$Y$301, MATCH(ROUND(MIN(300,MAX(1,D1851)),0), FactorTable!$A$2:$A$301,0), Skills!M20+1)</f>
        <v/>
      </c>
      <c r="F1851">
        <f>IF(Skills!N20=TRUE,(Skills!L20/10)*(E1851/1000),Skills!L20/10)+Skills!O20</f>
        <v/>
      </c>
      <c r="G1851">
        <f>Skills!G20*IF(Skills!H20&gt;0,Skills!I20/Skills!H20,1)</f>
        <v/>
      </c>
      <c r="H1851">
        <f>1-(1-Skills!J20/100)^Skills!K20</f>
        <v/>
      </c>
      <c r="I1851" t="inlineStr">
        <is>
          <t>1</t>
        </is>
      </c>
      <c r="J1851" t="inlineStr"/>
      <c r="K1851" t="inlineStr"/>
      <c r="L1851" t="inlineStr"/>
      <c r="M1851" t="inlineStr"/>
      <c r="N1851" t="inlineStr"/>
      <c r="O1851">
        <f>(1-Summary!$B$11)*T1851+Summary!$B$11*V1851</f>
        <v/>
      </c>
      <c r="P1851">
        <f>IF(B1872=0,0,O1851/B1872)</f>
        <v/>
      </c>
      <c r="Q1851" t="n">
        <v>0</v>
      </c>
      <c r="R1851" t="n">
        <v>0</v>
      </c>
      <c r="S1851">
        <f>IFERROR(O1851/N1851,0)</f>
        <v/>
      </c>
      <c r="T1851" t="n">
        <v>0</v>
      </c>
      <c r="V1851" t="n">
        <v>0</v>
      </c>
    </row>
    <row r="1852">
      <c r="A1852">
        <f>Skills!A21</f>
        <v/>
      </c>
      <c r="B1852">
        <f>Skills!B21</f>
        <v/>
      </c>
      <c r="C1852">
        <f>Inputs!$B$3&gt;=33</f>
        <v/>
      </c>
      <c r="D1852">
        <f>IF(Skills!C21=1,60+Inputs!$B$25+Inputs!$B$29,IF(Skills!C21=2,90+Inputs!$B$26+Inputs!$B$29,IF(Skills!C21=3,120+Inputs!$B$27+Inputs!$B$29,MAX(0,(Inputs!$B$3-100)*3)+Inputs!$B$28+Inputs!$B$29)))</f>
        <v/>
      </c>
      <c r="E1852">
        <f>INDEX(FactorTable!$B$2:$Y$301, MATCH(ROUND(MIN(300,MAX(1,D1852)),0), FactorTable!$A$2:$A$301,0), Skills!M21+1)</f>
        <v/>
      </c>
      <c r="F1852">
        <f>IF(Skills!N21=TRUE,(Skills!L21/10)*(E1852/1000),Skills!L21/10)+Skills!O21</f>
        <v/>
      </c>
      <c r="G1852">
        <f>Skills!G21*IF(Skills!H21&gt;0,Skills!I21/Skills!H21,1)</f>
        <v/>
      </c>
      <c r="H1852">
        <f>1-(1-Skills!J21/100)^Skills!K21</f>
        <v/>
      </c>
      <c r="I1852" t="inlineStr">
        <is>
          <t>1</t>
        </is>
      </c>
      <c r="J1852" t="inlineStr"/>
      <c r="K1852" t="inlineStr"/>
      <c r="L1852" t="inlineStr"/>
      <c r="M1852" t="inlineStr"/>
      <c r="N1852" t="inlineStr"/>
      <c r="O1852">
        <f>(1-Summary!$B$11)*T1852+Summary!$B$11*V1852</f>
        <v/>
      </c>
      <c r="P1852">
        <f>IF(B1872=0,0,O1852/B1872)</f>
        <v/>
      </c>
      <c r="Q1852" t="n">
        <v>0</v>
      </c>
      <c r="R1852" t="n">
        <v>0</v>
      </c>
      <c r="S1852">
        <f>IFERROR(O1852/N1852,0)</f>
        <v/>
      </c>
      <c r="T1852" t="n">
        <v>0</v>
      </c>
      <c r="V1852" t="n">
        <v>0</v>
      </c>
    </row>
    <row r="1853">
      <c r="A1853">
        <f>Skills!A22</f>
        <v/>
      </c>
      <c r="B1853">
        <f>Skills!B22</f>
        <v/>
      </c>
      <c r="C1853">
        <f>Inputs!$B$3&gt;=43</f>
        <v/>
      </c>
      <c r="D1853">
        <f>IF(Skills!C22=1,60+Inputs!$B$25+Inputs!$B$29,IF(Skills!C22=2,90+Inputs!$B$26+Inputs!$B$29,IF(Skills!C22=3,120+Inputs!$B$27+Inputs!$B$29,MAX(0,(Inputs!$B$3-100)*3)+Inputs!$B$28+Inputs!$B$29)))</f>
        <v/>
      </c>
      <c r="E1853">
        <f>INDEX(FactorTable!$B$2:$Y$301, MATCH(ROUND(MIN(300,MAX(1,D1853)),0), FactorTable!$A$2:$A$301,0), Skills!M22+1)</f>
        <v/>
      </c>
      <c r="F1853">
        <f>IF(Skills!N22=TRUE,(Skills!L22/10)*(E1853/1000),Skills!L22/10)+Skills!O22</f>
        <v/>
      </c>
      <c r="G1853">
        <f>Skills!G22*IF(Skills!H22&gt;0,Skills!I22/Skills!H22,1)</f>
        <v/>
      </c>
      <c r="H1853">
        <f>1-(1-Skills!J22/100)^Skills!K22</f>
        <v/>
      </c>
      <c r="I1853" t="inlineStr">
        <is>
          <t>1</t>
        </is>
      </c>
      <c r="J1853" t="inlineStr"/>
      <c r="K1853" t="inlineStr"/>
      <c r="L1853" t="inlineStr"/>
      <c r="M1853" t="inlineStr"/>
      <c r="N1853" t="inlineStr"/>
      <c r="O1853">
        <f>(1-Summary!$B$11)*T1853+Summary!$B$11*V1853</f>
        <v/>
      </c>
      <c r="P1853">
        <f>IF(B1872=0,0,O1853/B1872)</f>
        <v/>
      </c>
      <c r="Q1853" t="n">
        <v>0</v>
      </c>
      <c r="R1853" t="n">
        <v>0</v>
      </c>
      <c r="S1853">
        <f>IFERROR(O1853/N1853,0)</f>
        <v/>
      </c>
      <c r="T1853" t="n">
        <v>0</v>
      </c>
      <c r="V1853" t="n">
        <v>0</v>
      </c>
    </row>
    <row r="1854">
      <c r="A1854">
        <f>Skills!A23</f>
        <v/>
      </c>
      <c r="B1854">
        <f>Skills!B23</f>
        <v/>
      </c>
      <c r="C1854">
        <f>Inputs!$B$3&gt;=38</f>
        <v/>
      </c>
      <c r="D1854">
        <f>IF(Skills!C23=1,60+Inputs!$B$25+Inputs!$B$29,IF(Skills!C23=2,90+Inputs!$B$26+Inputs!$B$29,IF(Skills!C23=3,120+Inputs!$B$27+Inputs!$B$29,MAX(0,(Inputs!$B$3-100)*3)+Inputs!$B$28+Inputs!$B$29)))</f>
        <v/>
      </c>
      <c r="E1854">
        <f>INDEX(FactorTable!$B$2:$Y$301, MATCH(ROUND(MIN(300,MAX(1,D1854)),0), FactorTable!$A$2:$A$301,0), Skills!M23+1)</f>
        <v/>
      </c>
      <c r="F1854">
        <f>IF(Skills!N23=TRUE,(Skills!L23/10)*(E1854/1000),Skills!L23/10)+Skills!O23</f>
        <v/>
      </c>
      <c r="G1854">
        <f>Skills!G23*IF(Skills!H23&gt;0,Skills!I23/Skills!H23,1)</f>
        <v/>
      </c>
      <c r="H1854">
        <f>1-(1-Skills!J23/100)^Skills!K23</f>
        <v/>
      </c>
      <c r="I1854" t="inlineStr">
        <is>
          <t>1</t>
        </is>
      </c>
      <c r="J1854" t="inlineStr"/>
      <c r="K1854" t="inlineStr"/>
      <c r="L1854" t="inlineStr"/>
      <c r="M1854" t="inlineStr"/>
      <c r="N1854" t="inlineStr"/>
      <c r="O1854">
        <f>(1-Summary!$B$11)*T1854+Summary!$B$11*V1854</f>
        <v/>
      </c>
      <c r="P1854">
        <f>IF(B1872=0,0,O1854/B1872)</f>
        <v/>
      </c>
      <c r="Q1854" t="n">
        <v>0</v>
      </c>
      <c r="R1854" t="n">
        <v>0</v>
      </c>
      <c r="S1854">
        <f>IFERROR(O1854/N1854,0)</f>
        <v/>
      </c>
      <c r="T1854" t="n">
        <v>0</v>
      </c>
      <c r="V1854" t="n">
        <v>0</v>
      </c>
    </row>
    <row r="1855">
      <c r="A1855">
        <f>Skills!A24</f>
        <v/>
      </c>
      <c r="B1855">
        <f>Skills!B24</f>
        <v/>
      </c>
      <c r="C1855">
        <f>Inputs!$B$3&gt;=40</f>
        <v/>
      </c>
      <c r="D1855">
        <f>IF(Skills!C24=1,60+Inputs!$B$25+Inputs!$B$29,IF(Skills!C24=2,90+Inputs!$B$26+Inputs!$B$29,IF(Skills!C24=3,120+Inputs!$B$27+Inputs!$B$29,MAX(0,(Inputs!$B$3-100)*3)+Inputs!$B$28+Inputs!$B$29)))</f>
        <v/>
      </c>
      <c r="E1855">
        <f>INDEX(FactorTable!$B$2:$Y$301, MATCH(ROUND(MIN(300,MAX(1,D1855)),0), FactorTable!$A$2:$A$301,0), Skills!M24+1)</f>
        <v/>
      </c>
      <c r="F1855">
        <f>IF(Skills!N24=TRUE,(Skills!L24/10)*(E1855/1000),Skills!L24/10)+Skills!O24</f>
        <v/>
      </c>
      <c r="G1855">
        <f>Skills!G24*IF(Skills!H24&gt;0,Skills!I24/Skills!H24,1)</f>
        <v/>
      </c>
      <c r="H1855">
        <f>1-(1-Skills!J24/100)^Skills!K24</f>
        <v/>
      </c>
      <c r="I1855" t="inlineStr">
        <is>
          <t>1</t>
        </is>
      </c>
      <c r="J1855" t="inlineStr"/>
      <c r="K1855" t="inlineStr"/>
      <c r="L1855" t="inlineStr"/>
      <c r="M1855" t="inlineStr"/>
      <c r="N1855" t="inlineStr"/>
      <c r="O1855">
        <f>(1-Summary!$B$11)*T1855+Summary!$B$11*V1855</f>
        <v/>
      </c>
      <c r="P1855">
        <f>IF(B1872=0,0,O1855/B1872)</f>
        <v/>
      </c>
      <c r="Q1855" t="n">
        <v>0</v>
      </c>
      <c r="R1855" t="n">
        <v>0</v>
      </c>
      <c r="S1855">
        <f>IFERROR(O1855/N1855,0)</f>
        <v/>
      </c>
      <c r="T1855" t="n">
        <v>0</v>
      </c>
      <c r="V1855" t="n">
        <v>0</v>
      </c>
    </row>
    <row r="1856">
      <c r="A1856">
        <f>Skills!A25</f>
        <v/>
      </c>
      <c r="B1856">
        <f>Skills!B25</f>
        <v/>
      </c>
      <c r="C1856">
        <f>Inputs!$B$3&gt;=72</f>
        <v/>
      </c>
      <c r="D1856">
        <f>IF(Skills!C25=1,60+Inputs!$B$25+Inputs!$B$29,IF(Skills!C25=2,90+Inputs!$B$26+Inputs!$B$29,IF(Skills!C25=3,120+Inputs!$B$27+Inputs!$B$29,MAX(0,(Inputs!$B$3-100)*3)+Inputs!$B$28+Inputs!$B$29)))</f>
        <v/>
      </c>
      <c r="E1856">
        <f>INDEX(FactorTable!$B$2:$Y$301, MATCH(ROUND(MIN(300,MAX(1,D1856)),0), FactorTable!$A$2:$A$301,0), Skills!M25+1)</f>
        <v/>
      </c>
      <c r="F1856">
        <f>IF(Skills!N25=TRUE,(Skills!L25/10)*(E1856/1000),Skills!L25/10)+Skills!O25</f>
        <v/>
      </c>
      <c r="G1856">
        <f>Skills!G25*IF(Skills!H25&gt;0,Skills!I25/Skills!H25,1)</f>
        <v/>
      </c>
      <c r="H1856">
        <f>1-(1-Skills!J25/100)^Skills!K25</f>
        <v/>
      </c>
      <c r="I1856" t="inlineStr">
        <is>
          <t>1</t>
        </is>
      </c>
      <c r="J1856" t="inlineStr"/>
      <c r="K1856" t="inlineStr"/>
      <c r="L1856" t="inlineStr"/>
      <c r="M1856" t="inlineStr"/>
      <c r="N1856" t="inlineStr"/>
      <c r="O1856">
        <f>(1-Summary!$B$11)*T1856+Summary!$B$11*V1856</f>
        <v/>
      </c>
      <c r="P1856">
        <f>IF(B1872=0,0,O1856/B1872)</f>
        <v/>
      </c>
      <c r="Q1856" t="n">
        <v>0</v>
      </c>
      <c r="R1856" t="n">
        <v>0</v>
      </c>
      <c r="S1856">
        <f>IFERROR(O1856/N1856,0)</f>
        <v/>
      </c>
      <c r="T1856" t="n">
        <v>0</v>
      </c>
      <c r="V1856" t="n">
        <v>0</v>
      </c>
    </row>
    <row r="1857">
      <c r="A1857">
        <f>Skills!A26</f>
        <v/>
      </c>
      <c r="B1857">
        <f>Skills!B26</f>
        <v/>
      </c>
      <c r="C1857">
        <f>Inputs!$B$3&gt;=75</f>
        <v/>
      </c>
      <c r="D1857">
        <f>IF(Skills!C26=1,60+Inputs!$B$25+Inputs!$B$29,IF(Skills!C26=2,90+Inputs!$B$26+Inputs!$B$29,IF(Skills!C26=3,120+Inputs!$B$27+Inputs!$B$29,MAX(0,(Inputs!$B$3-100)*3)+Inputs!$B$28+Inputs!$B$29)))</f>
        <v/>
      </c>
      <c r="E1857">
        <f>INDEX(FactorTable!$B$2:$Y$301, MATCH(ROUND(MIN(300,MAX(1,D1857)),0), FactorTable!$A$2:$A$301,0), Skills!M26+1)</f>
        <v/>
      </c>
      <c r="F1857">
        <f>IF(Skills!N26=TRUE,(Skills!L26/10)*(E1857/1000),Skills!L26/10)+Skills!O26</f>
        <v/>
      </c>
      <c r="G1857">
        <f>Skills!G26*IF(Skills!H26&gt;0,Skills!I26/Skills!H26,1)</f>
        <v/>
      </c>
      <c r="H1857">
        <f>1-(1-Skills!J26/100)^Skills!K26</f>
        <v/>
      </c>
      <c r="I1857" t="inlineStr">
        <is>
          <t>1</t>
        </is>
      </c>
      <c r="J1857" t="inlineStr"/>
      <c r="K1857" t="inlineStr"/>
      <c r="L1857" t="inlineStr"/>
      <c r="M1857" t="inlineStr"/>
      <c r="N1857" t="inlineStr"/>
      <c r="O1857">
        <f>(1-Summary!$B$11)*T1857+Summary!$B$11*V1857</f>
        <v/>
      </c>
      <c r="P1857">
        <f>IF(B1872=0,0,O1857/B1872)</f>
        <v/>
      </c>
      <c r="Q1857" t="n">
        <v>0</v>
      </c>
      <c r="R1857" t="n">
        <v>0</v>
      </c>
      <c r="S1857">
        <f>IFERROR(O1857/N1857,0)</f>
        <v/>
      </c>
      <c r="T1857" t="n">
        <v>0</v>
      </c>
      <c r="V1857" t="n">
        <v>0</v>
      </c>
    </row>
    <row r="1858">
      <c r="A1858">
        <f>Skills!A27</f>
        <v/>
      </c>
      <c r="B1858">
        <f>Skills!B27</f>
        <v/>
      </c>
      <c r="C1858">
        <f>Inputs!$B$3&gt;=117</f>
        <v/>
      </c>
      <c r="D1858">
        <f>IF(Skills!C27=1,60+Inputs!$B$25+Inputs!$B$29,IF(Skills!C27=2,90+Inputs!$B$26+Inputs!$B$29,IF(Skills!C27=3,120+Inputs!$B$27+Inputs!$B$29,MAX(0,(Inputs!$B$3-100)*3)+Inputs!$B$28+Inputs!$B$29)))</f>
        <v/>
      </c>
      <c r="E1858">
        <f>INDEX(FactorTable!$B$2:$Y$301, MATCH(ROUND(MIN(300,MAX(1,D1858)),0), FactorTable!$A$2:$A$301,0), Skills!M27+1)</f>
        <v/>
      </c>
      <c r="F1858">
        <f>IF(Skills!N27=TRUE,(Skills!L27/10)*(E1858/1000),Skills!L27/10)+Skills!O27</f>
        <v/>
      </c>
      <c r="G1858">
        <f>Skills!G27*IF(Skills!H27&gt;0,Skills!I27/Skills!H27,1)</f>
        <v/>
      </c>
      <c r="H1858">
        <f>1-(1-Skills!J27/100)^Skills!K27</f>
        <v/>
      </c>
      <c r="I1858" t="inlineStr">
        <is>
          <t>1</t>
        </is>
      </c>
      <c r="J1858" t="inlineStr"/>
      <c r="K1858" t="inlineStr"/>
      <c r="L1858" t="inlineStr"/>
      <c r="M1858" t="inlineStr"/>
      <c r="N1858" t="inlineStr"/>
      <c r="O1858">
        <f>(1-Summary!$B$11)*T1858+Summary!$B$11*V1858</f>
        <v/>
      </c>
      <c r="P1858">
        <f>IF(B1872=0,0,O1858/B1872)</f>
        <v/>
      </c>
      <c r="Q1858" t="n">
        <v>0</v>
      </c>
      <c r="R1858" t="n">
        <v>0</v>
      </c>
      <c r="S1858">
        <f>IFERROR(O1858/N1858,0)</f>
        <v/>
      </c>
      <c r="T1858" t="n">
        <v>0</v>
      </c>
      <c r="V1858" t="n">
        <v>0</v>
      </c>
    </row>
    <row r="1859">
      <c r="A1859">
        <f>Skills!A28</f>
        <v/>
      </c>
      <c r="B1859">
        <f>Skills!B28</f>
        <v/>
      </c>
      <c r="C1859">
        <f>TRUE</f>
        <v/>
      </c>
      <c r="D1859">
        <f>IF(Skills!C28=1,60+Inputs!$B$25+Inputs!$B$29,IF(Skills!C28=2,90+Inputs!$B$26+Inputs!$B$29,IF(Skills!C28=3,120+Inputs!$B$27+Inputs!$B$29,MAX(0,(Inputs!$B$3-100)*3)+Inputs!$B$28+Inputs!$B$29)))</f>
        <v/>
      </c>
      <c r="E1859">
        <f>INDEX(FactorTable!$B$2:$Y$301, MATCH(ROUND(MIN(300,MAX(1,D1859)),0), FactorTable!$A$2:$A$301,0), Skills!M28+1)</f>
        <v/>
      </c>
      <c r="F1859">
        <f>IF(Skills!N28=TRUE,(Skills!L28/10)*(E1859/1000),Skills!L28/10)+Skills!O28</f>
        <v/>
      </c>
      <c r="G1859">
        <f>Skills!G28*IF(Skills!H28&gt;0,Skills!I28/Skills!H28,1)</f>
        <v/>
      </c>
      <c r="H1859">
        <f>1-(1-Skills!J28/100)^Skills!K28</f>
        <v/>
      </c>
      <c r="I1859" t="inlineStr">
        <is>
          <t>1</t>
        </is>
      </c>
      <c r="J1859" t="inlineStr"/>
      <c r="K1859" t="inlineStr"/>
      <c r="L1859" t="inlineStr"/>
      <c r="M1859" t="inlineStr"/>
      <c r="N1859" t="inlineStr"/>
      <c r="O1859">
        <f>(1-Summary!$B$11)*T1859+Summary!$B$11*V1859</f>
        <v/>
      </c>
      <c r="P1859">
        <f>IF(B1872=0,0,O1859/B1872)</f>
        <v/>
      </c>
      <c r="Q1859">
        <f>IFERROR(1/(IF(Inputs!$B$38="pvp",15,MAX(0.1,Skills!D28-IF(Skills!E28=TRUE,Inputs!$B$32,0)))*(1-IF(AND(ArtifactsInput!$M$27,Inputs!$B$4="Chapter Hunt"),CHOOSE(ArtifactsInput!$N$27+1,20,24,28,32,36,40),0)/100)),0)</f>
        <v/>
      </c>
      <c r="R1859">
        <f>IF(AND(Inputs!$B$38&lt;&gt;"pvp",Inputs!$B$43&gt;0),IF(Inputs!$B$43&lt;=0,0,(INT(Inputs!$B$43/(IF(Inputs!$B$38="pvp",15,MAX(0.1,Skills!D28-IF(Skills!E28=TRUE,Inputs!$B$32,0)))*(1-IF(AND(ArtifactsInput!$M$27,Inputs!$B$4="Chapter Hunt"),CHOOSE(ArtifactsInput!$N$27+1,20,24,28,32,36,40),0)/100)))+1)),0)</f>
        <v/>
      </c>
      <c r="S1859">
        <f>IFERROR(O1859/N1859,0)</f>
        <v/>
      </c>
      <c r="T1859" t="n">
        <v>0</v>
      </c>
      <c r="V1859" t="n">
        <v>0</v>
      </c>
    </row>
    <row r="1861">
      <c r="A1861" t="inlineStr">
        <is>
          <t>Attack% Bucket Multiplier</t>
        </is>
      </c>
      <c r="B1861">
        <f>(1+(((C1848=TRUE)*F1848*5/7)+((C1855=TRUE)*(F1855-Calc!F24))+(IF(IF(ArtifactsInput!$M$21,FALSE,TRUE),CHOOSE(ArtifactsInput!$N$21+1,25,30,35,40,45,50)*(IF(OR(Inputs!$B$4="Chapter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62">
      <c r="A1862" t="inlineStr">
        <is>
          <t>Global Crit Rate Bonus %</t>
        </is>
      </c>
      <c r="B1862" t="n">
        <v>0</v>
      </c>
    </row>
    <row r="1863">
      <c r="A1863" t="inlineStr">
        <is>
          <t>Attack Speed Buff Bonus % (Nimble Feet, duty-cycle averaged)</t>
        </is>
      </c>
      <c r="B1863">
        <f>((C1859=TRUE)*F1859*IF(AND(Inputs!$B$38&lt;&gt;"pvp",Inputs!$B$43&gt;0),(((R1859-1)*(Skills!T28*(1+Inputs!$B$34/100))+MIN((Skills!T28*(1+Inputs!$B$34/100)),MAX(0,Inputs!$B$43-((R1859-1)*Skills!D28))))/Inputs!$B$43),IF(Inputs!$B$38="pvp",MIN((Skills!T28*(1+Inputs!$B$34/100)),15)/15,(Skills!T28*(1+Inputs!$B$34/100))/Skills!D28)))</f>
        <v/>
      </c>
    </row>
    <row r="1864">
      <c r="A1864" t="inlineStr">
        <is>
          <t>Actions Per Second</t>
        </is>
      </c>
      <c r="B1864">
        <f>1+MIN(150,150*(1-(1-(Inputs!$B$11+((C1851=TRUE)*(F1851-Calc!F20))+((C1852=TRUE)*(F1852-Calc!F21)))/150)*(1-B1863/150)))/100</f>
        <v/>
      </c>
    </row>
    <row r="1865">
      <c r="A1865" t="inlineStr">
        <is>
          <t>Skill + Buff Cast Rate</t>
        </is>
      </c>
      <c r="B1865">
        <f>IF(AND(Inputs!$B$38&lt;&gt;"pvp",Inputs!$B$43&gt;0),SUMPRODUCT((Skills!E2:E28=TRUE)*(C1833:C1859=TRUE)*R1833:R1859*Skills!F2:F28)/Inputs!$B$43,SUMPRODUCT((Skills!E2:E28=TRUE)*(C1833:C1859=TRUE)*Q1833:Q1859*Skills!F2:F28))</f>
        <v/>
      </c>
    </row>
    <row r="1866">
      <c r="A1866" t="inlineStr">
        <is>
          <t>Eight-Legs Easton Casts Per Second</t>
        </is>
      </c>
      <c r="B1866">
        <f>MAX(0,B1864-B1865)</f>
        <v/>
      </c>
    </row>
    <row r="1867">
      <c r="A1867" t="inlineStr">
        <is>
          <t>Global Critical Damage Bonus % (unused)</t>
        </is>
      </c>
      <c r="B1867" t="n">
        <v>0</v>
      </c>
    </row>
    <row r="1868">
      <c r="A1868" t="inlineStr">
        <is>
          <t>Global Final Damage Bonus % (Jolly Roger + Ahoy Mateys - Final Damage proc)</t>
        </is>
      </c>
      <c r="B1868">
        <f>((C1849=TRUE)*F1849*IF(AND(Inputs!$B$38&lt;&gt;"pvp",Inputs!$B$43&gt;0),(((R1849-1)*(Skills!T18*(1+Inputs!$B$34/100))+MIN((Skills!T18*(1+Inputs!$B$34/100)),MAX(0,Inputs!$B$43-((R1849-1)*Skills!D18))))/Inputs!$B$43),IF(Inputs!$B$38="pvp",MIN((Skills!T18*(1+Inputs!$B$34/100)),15)/15,(Skills!T18*(1+Inputs!$B$34/100))/Skills!D18)))+IF(Inputs!$B$3&gt;=122,20*IF(Inputs!$B$38="pvp",MIN((20*(1+Inputs!$B$34/100)),15)/15,(20*(1+Inputs!$B$34/100))/Skills!D4),0)</f>
        <v/>
      </c>
    </row>
    <row r="1869">
      <c r="A1869" t="inlineStr">
        <is>
          <t>Buff-Casting Startup Delay (s, fixed-duration only)</t>
        </is>
      </c>
      <c r="B1869">
        <f>IF(AND(Inputs!$B$38&lt;&gt;"pvp",Inputs!$B$43&gt;0),SUMPRODUCT((Skills!T2:T28&gt;0)*(Skills!E2:E28=TRUE)*(C1833:C1859=TRUE))/B1864,0)</f>
        <v/>
      </c>
    </row>
    <row r="1870">
      <c r="A1870" t="inlineStr">
        <is>
          <t>Boss-Only Total DPS (this block's swept value)</t>
        </is>
      </c>
      <c r="B1870">
        <f>SUM(T1833:T1859)</f>
        <v/>
      </c>
    </row>
    <row r="1871">
      <c r="A1871" t="inlineStr">
        <is>
          <t>Normal-Only Total DPS (this block's swept value)</t>
        </is>
      </c>
      <c r="B1871">
        <f>SUM(V1833:V1859)</f>
        <v/>
      </c>
    </row>
    <row r="1872">
      <c r="A1872" s="6" t="inlineStr">
        <is>
          <t>TOTAL DPS</t>
        </is>
      </c>
      <c r="B1872" s="6">
        <f>SUM(O1833:O1859)</f>
        <v/>
      </c>
    </row>
    <row r="1875">
      <c r="A1875" s="6" t="inlineStr">
        <is>
          <t>Stat: Silver Pendant (Equip)</t>
        </is>
      </c>
    </row>
    <row r="1876">
      <c r="A1876" s="5" t="inlineStr">
        <is>
          <t>Key</t>
        </is>
      </c>
      <c r="B1876" s="5" t="inlineStr">
        <is>
          <t>Name</t>
        </is>
      </c>
      <c r="C1876" s="5" t="inlineStr">
        <is>
          <t>Unlocked</t>
        </is>
      </c>
      <c r="D1876" s="5" t="inlineStr">
        <is>
          <t>InputLevel</t>
        </is>
      </c>
      <c r="E1876" s="5" t="inlineStr">
        <is>
          <t>Factor</t>
        </is>
      </c>
      <c r="F1876" s="5" t="inlineStr">
        <is>
          <t>CoefficientPercent</t>
        </is>
      </c>
      <c r="G1876" s="5" t="inlineStr">
        <is>
          <t>EffectiveHits</t>
        </is>
      </c>
      <c r="H1876" s="5" t="inlineStr">
        <is>
          <t>ProcProbability</t>
        </is>
      </c>
      <c r="I1876" s="5" t="inlineStr">
        <is>
          <t>MapleHeroMultiplier</t>
        </is>
      </c>
      <c r="J1876" s="5" t="inlineStr">
        <is>
          <t>BaseDamage</t>
        </is>
      </c>
      <c r="K1876" s="5" t="inlineStr">
        <is>
          <t>BaseHitDamage</t>
        </is>
      </c>
      <c r="L1876" s="5" t="inlineStr">
        <is>
          <t>NonCritAvg</t>
        </is>
      </c>
      <c r="M1876" s="5" t="inlineStr">
        <is>
          <t>CritAvg</t>
        </is>
      </c>
      <c r="N1876" s="5" t="inlineStr">
        <is>
          <t>ExpectedDamage(perHit)</t>
        </is>
      </c>
      <c r="O1876" s="5" t="inlineStr">
        <is>
          <t>DPS</t>
        </is>
      </c>
      <c r="P1876" s="5" t="inlineStr">
        <is>
          <t>% of Total</t>
        </is>
      </c>
      <c r="Q1876" s="5" t="inlineStr">
        <is>
          <t>InvCooldown</t>
        </is>
      </c>
      <c r="R1876" s="5" t="inlineStr">
        <is>
          <t>CastsInFight</t>
        </is>
      </c>
      <c r="S1876" s="5" t="inlineStr">
        <is>
          <t>HitRate(perSec)</t>
        </is>
      </c>
      <c r="U1876" t="inlineStr">
        <is>
          <t>helpers</t>
        </is>
      </c>
    </row>
    <row r="1877">
      <c r="A1877">
        <f>Skills!A2</f>
        <v/>
      </c>
      <c r="B1877">
        <f>Skills!B2</f>
        <v/>
      </c>
      <c r="C1877">
        <f>Inputs!$B$3&gt;=100</f>
        <v/>
      </c>
      <c r="D1877" t="inlineStr"/>
      <c r="E1877" t="inlineStr"/>
      <c r="F1877">
        <f>U1879+Skills!O2</f>
        <v/>
      </c>
      <c r="G1877">
        <f>Skills!G2*IF(Skills!H2&gt;0,Skills!I2/Skills!H2,1)</f>
        <v/>
      </c>
      <c r="H1877">
        <f>1-(1-Skills!J2/100)^Skills!K2</f>
        <v/>
      </c>
      <c r="I1877" t="inlineStr">
        <is>
          <t>1</t>
        </is>
      </c>
      <c r="J1877">
        <f>((Inputs!$B$6*(1+Inputs!$B$7/100))+(((Inputs!$B$12*(1+Inputs!$B$13/100))-(Inputs!$B$12*(1+Inputs!$B$13/100)))+0.25*(Inputs!$B$14-Inputs!$B$14))*(1+Inputs!$B$7/100))*(F1877/100)</f>
        <v/>
      </c>
      <c r="K1877">
        <f>J1877*(1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1877)</f>
        <v/>
      </c>
      <c r="L1877">
        <f>K1877*(MIN(Inputs!$B$22+((C1897=TRUE)*(F1897-Calc!F22)),(Inputs!$B$23+0+(IF(ArtifactsInput!$M$15,CHOOSE(ArtifactsInput!$N$15+1,25,30,35,40,45,50)/100*(Inputs!$B$11-Inputs!$B$11),0))))/100+(Inputs!$B$23+0+(IF(ArtifactsInput!$M$15,CHOOSE(ArtifactsInput!$N$15+1,25,30,35,40,45,50)/100*(Inputs!$B$11-Inputs!$B$11),0)))/100)/2</f>
        <v/>
      </c>
      <c r="M1877">
        <f>L1877*(1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7">
        <f>L1877*(1-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1877*(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7">
        <f>(1-Summary!$B$11)*T1877+Summary!$B$11*V1877</f>
        <v/>
      </c>
      <c r="P1877">
        <f>IF(B1916=0,0,O1877/B1916)</f>
        <v/>
      </c>
      <c r="Q1877" t="n">
        <v>0</v>
      </c>
      <c r="R1877" t="n">
        <v>0</v>
      </c>
      <c r="S1877">
        <f>IFERROR(O1877/N1877,0)</f>
        <v/>
      </c>
      <c r="T1877">
        <f>IF(C1877,(Skills!G2*N1877*B1910)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1877*(1-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1877*(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1877*(1-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1877*(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7">
        <f>MAX(0,(Inputs!$B$3-100)*3)+Inputs!$B$28+Inputs!$B$29</f>
        <v/>
      </c>
      <c r="V1877">
        <f>IF(C1877,(Skills!G2*N1877*B1910)*IF(Inputs!$B$38="pvp",1,(1+(Inputs!$B$21+Skills!Q2+(IF(ArtifactsInput!$M$33,CHOOSE(ArtifactsInput!$N$33+1,30,36,42,48,54,60),0))+(IF(AND(ArtifactsInput!$M$35,Inputs!$B$4&lt;&gt;"Chapter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8">
      <c r="A1878">
        <f>Skills!A3</f>
        <v/>
      </c>
      <c r="B1878">
        <f>Skills!B3</f>
        <v/>
      </c>
      <c r="C1878">
        <f>Inputs!$B$3&gt;=35</f>
        <v/>
      </c>
      <c r="D1878">
        <f>IF(Skills!C3=1,60+Inputs!$B$25+Inputs!$B$29,IF(Skills!C3=2,90+Inputs!$B$26+Inputs!$B$29,IF(Skills!C3=3,120+Inputs!$B$27+Inputs!$B$29,MAX(0,(Inputs!$B$3-100)*3)+Inputs!$B$28+Inputs!$B$29)))</f>
        <v/>
      </c>
      <c r="E1878">
        <f>INDEX(FactorTable!$B$2:$Y$301, MATCH(ROUND(MIN(300,MAX(1,D1878)),0), FactorTable!$A$2:$A$301,0), Skills!M3+1)</f>
        <v/>
      </c>
      <c r="F1878">
        <f>IF(Skills!N3=TRUE,(Skills!L3/10)*(E1878/1000),Skills!L3/10)+Skills!O3</f>
        <v/>
      </c>
      <c r="G1878">
        <f>Skills!G3*IF(Skills!H3&gt;0,Skills!I3/Skills!H3,1)</f>
        <v/>
      </c>
      <c r="H1878">
        <f>1-(1-Skills!J3/100)^Skills!K3</f>
        <v/>
      </c>
      <c r="I1878" t="inlineStr">
        <is>
          <t>1</t>
        </is>
      </c>
      <c r="J1878">
        <f>((Inputs!$B$6*(1+Inputs!$B$7/100))+(((Inputs!$B$12*(1+Inputs!$B$13/100))-(Inputs!$B$12*(1+Inputs!$B$13/100)))+0.25*(Inputs!$B$14-Inputs!$B$14))*(1+Inputs!$B$7/100))*(F1878/100)</f>
        <v/>
      </c>
      <c r="K1878">
        <f>J1878*(1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1890=TRUE,F1890,0)/100)*(1+(IF(Skills!A3="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1878)</f>
        <v/>
      </c>
      <c r="L1878">
        <f>K1878*(MIN(Inputs!$B$22+((C1897=TRUE)*(F1897-Calc!F22)),(Inputs!$B$23+0+(IF(ArtifactsInput!$M$15,CHOOSE(ArtifactsInput!$N$15+1,25,30,35,40,45,50)/100*(Inputs!$B$11-Inputs!$B$11),0))))/100+(Inputs!$B$23+0+(IF(ArtifactsInput!$M$15,CHOOSE(ArtifactsInput!$N$15+1,25,30,35,40,45,50)/100*(Inputs!$B$11-Inputs!$B$11),0)))/100)/2</f>
        <v/>
      </c>
      <c r="M1878">
        <f>L1878*(1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8">
        <f>L1878*(1-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1878*(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8">
        <f>(1-Summary!$B$11)*T1878+Summary!$B$11*V1878</f>
        <v/>
      </c>
      <c r="P1878">
        <f>IF(B1916=0,0,O1878/B1916)</f>
        <v/>
      </c>
      <c r="Q1878">
        <f>IFERROR(1/(IF(Inputs!$B$38="pvp",15,MAX(0.1,Skills!D3-IF(Skills!E3=TRUE,Inputs!$B$32,0)))*(1-IF(AND(ArtifactsInput!$M$27,Inputs!$B$4="Chapter Hunt"),CHOOSE(ArtifactsInput!$N$27+1,20,24,28,32,36,40),0)/100)),0)</f>
        <v/>
      </c>
      <c r="R1878">
        <f>IF(AND(Inputs!$B$38&lt;&gt;"pvp",Inputs!$B$43&gt;0),IF(MAX(0,Inputs!$B$43-B1913)&lt;=0,0,(INT(MAX(0,Inputs!$B$43-B1913)/(IF(Inputs!$B$38="pvp",15,MAX(0.1,Skills!D3-IF(Skills!E3=TRUE,Inputs!$B$32,0)))*(1-IF(AND(ArtifactsInput!$M$27,Inputs!$B$4="Chapter Hunt"),CHOOSE(ArtifactsInput!$N$27+1,20,24,28,32,36,40),0)/100)))+1)),0)</f>
        <v/>
      </c>
      <c r="S1878">
        <f>IFERROR(O1878/N1878,0)</f>
        <v/>
      </c>
      <c r="T1878">
        <f>IF(C1878,(H1878*N1878*IF(AND(Inputs!$B$38&lt;&gt;"pvp",Inputs!$B$43&gt;0),((Skills!G3*((R1878-1)*IF(Skills!H3&gt;0,Skills!I3/Skills!H3,1)+IF(Skills!H3&gt;0,MIN(Skills!I3,MAX(0,MAX(0,Inputs!$B$43-B1913)-((R1878-1)*(IF(Inputs!$B$38="pvp",15,MAX(0.1,Skills!D3-IF(Skills!E3=TRUE,Inputs!$B$32,0)))*(1-IF(AND(ArtifactsInput!$M$27,Inputs!$B$4="Chapter Hunt"),CHOOSE(ArtifactsInput!$N$27+1,20,24,28,32,36,40),0)/100)))))/Skills!H3,1)))/Inputs!$B$43),G1878*Q1878)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1878*(1-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1878*(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1878*(1-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1878*(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8">
        <f>INDEX(FactorTable!$B$2:$Y$301, MATCH(ROUND(MIN(300,MAX(1,U1877)),0), FactorTable!$A$2:$A$301,0), 22)</f>
        <v/>
      </c>
      <c r="V1878">
        <f>IF(C1878,(H1878*N1878*IF(AND(Inputs!$B$38&lt;&gt;"pvp",Inputs!$B$43&gt;0),((Skills!G3*((R1878-1)*IF(Skills!H3&gt;0,Skills!I3/Skills!H3,1)+IF(Skills!H3&gt;0,MIN(Skills!I3,MAX(0,MAX(0,Inputs!$B$43-B1913)-((R1878-1)*(IF(Inputs!$B$38="pvp",15,MAX(0.1,Skills!D3-IF(Skills!E3=TRUE,Inputs!$B$32,0)))*(1-IF(AND(ArtifactsInput!$M$27,Inputs!$B$4="Chapter Hunt"),CHOOSE(ArtifactsInput!$N$27+1,20,24,28,32,36,40),0)/100)))))/Skills!H3,1)))/Inputs!$B$43),G1878*Q1878))*IF(Inputs!$B$38="pvp",1,(1+(Inputs!$B$21+Skills!Q3+(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9">
      <c r="A1879">
        <f>Skills!A4</f>
        <v/>
      </c>
      <c r="B1879">
        <f>Skills!B4</f>
        <v/>
      </c>
      <c r="C1879">
        <f>Inputs!$B$3&gt;=40</f>
        <v/>
      </c>
      <c r="D1879">
        <f>IF(Skills!C4=1,60+Inputs!$B$25+Inputs!$B$29,IF(Skills!C4=2,90+Inputs!$B$26+Inputs!$B$29,IF(Skills!C4=3,120+Inputs!$B$27+Inputs!$B$29,MAX(0,(Inputs!$B$3-100)*3)+Inputs!$B$28+Inputs!$B$29)))</f>
        <v/>
      </c>
      <c r="E1879">
        <f>INDEX(FactorTable!$B$2:$Y$301, MATCH(ROUND(MIN(300,MAX(1,D1879)),0), FactorTable!$A$2:$A$301,0), Skills!M4+1)</f>
        <v/>
      </c>
      <c r="F1879">
        <f>IF(Skills!N4=TRUE,(Skills!L4/10)*(E1879/1000),Skills!L4/10)+Skills!O4</f>
        <v/>
      </c>
      <c r="G1879">
        <f>Skills!G4*IF(Skills!H4&gt;0,Skills!I4/Skills!H4,1)</f>
        <v/>
      </c>
      <c r="H1879">
        <f>1-(1-Skills!J4/100)^Skills!K4</f>
        <v/>
      </c>
      <c r="I1879" t="inlineStr">
        <is>
          <t>1</t>
        </is>
      </c>
      <c r="J1879">
        <f>((Inputs!$B$6*(1+Inputs!$B$7/100))+(((Inputs!$B$12*(1+Inputs!$B$13/100))-(Inputs!$B$12*(1+Inputs!$B$13/100)))+0.25*(Inputs!$B$14-Inputs!$B$14))*(1+Inputs!$B$7/100))*(F1879/100)</f>
        <v/>
      </c>
      <c r="K1879">
        <f>J1879*(1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1891=TRUE,F1891,0)/100)*(1+(IF(Skills!A4="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1879)</f>
        <v/>
      </c>
      <c r="L1879">
        <f>K1879*(MIN(Inputs!$B$22+((C1897=TRUE)*(F1897-Calc!F22)),(Inputs!$B$23+0+(IF(ArtifactsInput!$M$15,CHOOSE(ArtifactsInput!$N$15+1,25,30,35,40,45,50)/100*(Inputs!$B$11-Inputs!$B$11),0))))/100+(Inputs!$B$23+0+(IF(ArtifactsInput!$M$15,CHOOSE(ArtifactsInput!$N$15+1,25,30,35,40,45,50)/100*(Inputs!$B$11-Inputs!$B$11),0)))/100)/2</f>
        <v/>
      </c>
      <c r="M1879">
        <f>L1879*(1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9">
        <f>L1879*(1-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1879*(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9">
        <f>(1-Summary!$B$11)*T1879+Summary!$B$11*V1879</f>
        <v/>
      </c>
      <c r="P1879">
        <f>IF(B1916=0,0,O1879/B1916)</f>
        <v/>
      </c>
      <c r="Q1879">
        <f>IFERROR(1/(IF(Inputs!$B$38="pvp",15,MAX(0.1,Skills!D4-IF(Skills!E4=TRUE,Inputs!$B$32,0)))*(1-IF(AND(ArtifactsInput!$M$27,Inputs!$B$4="Chapter Hunt"),CHOOSE(ArtifactsInput!$N$27+1,20,24,28,32,36,40),0)/100)),0)</f>
        <v/>
      </c>
      <c r="R1879">
        <f>IF(AND(Inputs!$B$38&lt;&gt;"pvp",Inputs!$B$43&gt;0),IF(MAX(0,Inputs!$B$43-B1913)&lt;=0,0,(INT(MAX(0,Inputs!$B$43-B1913)/(IF(Inputs!$B$38="pvp",15,MAX(0.1,Skills!D4-IF(Skills!E4=TRUE,Inputs!$B$32,0)))*(1-IF(AND(ArtifactsInput!$M$27,Inputs!$B$4="Chapter Hunt"),CHOOSE(ArtifactsInput!$N$27+1,20,24,28,32,36,40),0)/100)))+1)),0)</f>
        <v/>
      </c>
      <c r="S1879">
        <f>IFERROR(O1879/N1879,0)</f>
        <v/>
      </c>
      <c r="T1879">
        <f>IF(C1879,(H1879*N1879*IF(AND(Inputs!$B$38&lt;&gt;"pvp",Inputs!$B$43&gt;0),((Skills!G4*((R1879-1)*IF(Skills!H4&gt;0,Skills!I4/Skills!H4,1)+IF(Skills!H4&gt;0,MIN(Skills!I4,MAX(0,MAX(0,Inputs!$B$43-B1913)-((R1879-1)*(IF(Inputs!$B$38="pvp",15,MAX(0.1,Skills!D4-IF(Skills!E4=TRUE,Inputs!$B$32,0)))*(1-IF(AND(ArtifactsInput!$M$27,Inputs!$B$4="Chapter Hunt"),CHOOSE(ArtifactsInput!$N$27+1,20,24,28,32,36,40),0)/100)))))/Skills!H4,1)))/Inputs!$B$43),G1879*Q1879)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1879*(1-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1879*(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1879*(1-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1879*(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9">
        <f>290*U1878/1000</f>
        <v/>
      </c>
      <c r="V1879">
        <f>IF(C1879,(H1879*N1879*IF(AND(Inputs!$B$38&lt;&gt;"pvp",Inputs!$B$43&gt;0),((Skills!G4*((R1879-1)*IF(Skills!H4&gt;0,Skills!I4/Skills!H4,1)+IF(Skills!H4&gt;0,MIN(Skills!I4,MAX(0,MAX(0,Inputs!$B$43-B1913)-((R1879-1)*(IF(Inputs!$B$38="pvp",15,MAX(0.1,Skills!D4-IF(Skills!E4=TRUE,Inputs!$B$32,0)))*(1-IF(AND(ArtifactsInput!$M$27,Inputs!$B$4="Chapter Hunt"),CHOOSE(ArtifactsInput!$N$27+1,20,24,28,32,36,40),0)/100)))))/Skills!H4,1)))/Inputs!$B$43),G1879*Q1879))*IF(Inputs!$B$38="pvp",1,(1+(Inputs!$B$21+Skills!Q4+(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0">
      <c r="A1880">
        <f>Skills!A5</f>
        <v/>
      </c>
      <c r="B1880">
        <f>Skills!B5</f>
        <v/>
      </c>
      <c r="C1880">
        <f>Inputs!$B$3&gt;=45</f>
        <v/>
      </c>
      <c r="D1880">
        <f>IF(Skills!C5=1,60+Inputs!$B$25+Inputs!$B$29,IF(Skills!C5=2,90+Inputs!$B$26+Inputs!$B$29,IF(Skills!C5=3,120+Inputs!$B$27+Inputs!$B$29,MAX(0,(Inputs!$B$3-100)*3)+Inputs!$B$28+Inputs!$B$29)))</f>
        <v/>
      </c>
      <c r="E1880">
        <f>INDEX(FactorTable!$B$2:$Y$301, MATCH(ROUND(MIN(300,MAX(1,D1880)),0), FactorTable!$A$2:$A$301,0), Skills!M5+1)</f>
        <v/>
      </c>
      <c r="F1880">
        <f>IF(Skills!N5=TRUE,(Skills!L5/10)*(E1880/1000),Skills!L5/10)+Skills!O5</f>
        <v/>
      </c>
      <c r="G1880">
        <f>Skills!G5*IF(Skills!H5&gt;0,Skills!I5/Skills!H5,1)</f>
        <v/>
      </c>
      <c r="H1880">
        <f>1-(1-Skills!J5/100)^Skills!K5</f>
        <v/>
      </c>
      <c r="I1880" t="inlineStr">
        <is>
          <t>1</t>
        </is>
      </c>
      <c r="J1880">
        <f>((Inputs!$B$6*(1+Inputs!$B$7/100))+(((Inputs!$B$12*(1+Inputs!$B$13/100))-(Inputs!$B$12*(1+Inputs!$B$13/100)))+0.25*(Inputs!$B$14-Inputs!$B$14))*(1+Inputs!$B$7/100))*(F1880/100)</f>
        <v/>
      </c>
      <c r="K1880">
        <f>J1880*(1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1891=TRUE,F1891,0)/100)*(1+(IF(Skills!A5="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1880)</f>
        <v/>
      </c>
      <c r="L1880">
        <f>K1880*(MIN(Inputs!$B$22+((C1897=TRUE)*(F1897-Calc!F22)),(Inputs!$B$23+0+(IF(ArtifactsInput!$M$15,CHOOSE(ArtifactsInput!$N$15+1,25,30,35,40,45,50)/100*(Inputs!$B$11-Inputs!$B$11),0))))/100+(Inputs!$B$23+0+(IF(ArtifactsInput!$M$15,CHOOSE(ArtifactsInput!$N$15+1,25,30,35,40,45,50)/100*(Inputs!$B$11-Inputs!$B$11),0)))/100)/2</f>
        <v/>
      </c>
      <c r="M1880">
        <f>L1880*(1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0">
        <f>L1880*(1-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1880*(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0">
        <f>(1-Summary!$B$11)*T1880+Summary!$B$11*V1880</f>
        <v/>
      </c>
      <c r="P1880">
        <f>IF(B1916=0,0,O1880/B1916)</f>
        <v/>
      </c>
      <c r="Q1880">
        <f>IFERROR(1/(IF(Inputs!$B$38="pvp",15,MAX(0.1,Skills!D5-IF(Skills!E5=TRUE,Inputs!$B$32,0)))*(1-IF(AND(ArtifactsInput!$M$27,Inputs!$B$4="Chapter Hunt"),CHOOSE(ArtifactsInput!$N$27+1,20,24,28,32,36,40),0)/100)),0)</f>
        <v/>
      </c>
      <c r="R1880">
        <f>IF(AND(Inputs!$B$38&lt;&gt;"pvp",Inputs!$B$43&gt;0),IF(MAX(0,Inputs!$B$43-B1913)&lt;=0,0,(INT(MAX(0,Inputs!$B$43-B1913)/(IF(Inputs!$B$38="pvp",15,MAX(0.1,Skills!D5-IF(Skills!E5=TRUE,Inputs!$B$32,0)))*(1-IF(AND(ArtifactsInput!$M$27,Inputs!$B$4="Chapter Hunt"),CHOOSE(ArtifactsInput!$N$27+1,20,24,28,32,36,40),0)/100)))+1)),0)</f>
        <v/>
      </c>
      <c r="S1880">
        <f>IFERROR(O1880/N1880,0)</f>
        <v/>
      </c>
      <c r="T1880">
        <f>IF(C1880,(H1880*N1880*IF(AND(Inputs!$B$38&lt;&gt;"pvp",Inputs!$B$43&gt;0),((Skills!G5*((R1880-1)*IF(Skills!H5&gt;0,Skills!I5/Skills!H5,1)+IF(Skills!H5&gt;0,MIN(Skills!I5,MAX(0,MAX(0,Inputs!$B$43-B1913)-((R1880-1)*(IF(Inputs!$B$38="pvp",15,MAX(0.1,Skills!D5-IF(Skills!E5=TRUE,Inputs!$B$32,0)))*(1-IF(AND(ArtifactsInput!$M$27,Inputs!$B$4="Chapter Hunt"),CHOOSE(ArtifactsInput!$N$27+1,20,24,28,32,36,40),0)/100)))))/Skills!H5,1)))/Inputs!$B$43),G1880*Q1880)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1880*(1-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1880*(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1880*(1-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1880*(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0">
        <f>IF(C1880,(H1880*N1880*IF(AND(Inputs!$B$38&lt;&gt;"pvp",Inputs!$B$43&gt;0),((Skills!G5*((R1880-1)*IF(Skills!H5&gt;0,Skills!I5/Skills!H5,1)+IF(Skills!H5&gt;0,MIN(Skills!I5,MAX(0,MAX(0,Inputs!$B$43-B1913)-((R1880-1)*(IF(Inputs!$B$38="pvp",15,MAX(0.1,Skills!D5-IF(Skills!E5=TRUE,Inputs!$B$32,0)))*(1-IF(AND(ArtifactsInput!$M$27,Inputs!$B$4="Chapter Hunt"),CHOOSE(ArtifactsInput!$N$27+1,20,24,28,32,36,40),0)/100)))))/Skills!H5,1)))/Inputs!$B$43),G1880*Q1880))*IF(Inputs!$B$38="pvp",1,(1+(Inputs!$B$21+Skills!Q5+(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1">
      <c r="A1881">
        <f>Skills!A6</f>
        <v/>
      </c>
      <c r="B1881">
        <f>Skills!B6</f>
        <v/>
      </c>
      <c r="C1881">
        <f>Inputs!$B$3&gt;=63</f>
        <v/>
      </c>
      <c r="D1881">
        <f>IF(Skills!C6=1,60+Inputs!$B$25+Inputs!$B$29,IF(Skills!C6=2,90+Inputs!$B$26+Inputs!$B$29,IF(Skills!C6=3,120+Inputs!$B$27+Inputs!$B$29,MAX(0,(Inputs!$B$3-100)*3)+Inputs!$B$28+Inputs!$B$29)))</f>
        <v/>
      </c>
      <c r="E1881">
        <f>INDEX(FactorTable!$B$2:$Y$301, MATCH(ROUND(MIN(300,MAX(1,D1881)),0), FactorTable!$A$2:$A$301,0), Skills!M6+1)</f>
        <v/>
      </c>
      <c r="F1881">
        <f>IF(Skills!N6=TRUE,(Skills!L6/10)*(E1881/1000),Skills!L6/10)+Skills!O6</f>
        <v/>
      </c>
      <c r="G1881">
        <f>Skills!G6*IF(Skills!H6&gt;0,Skills!I6/Skills!H6,1)</f>
        <v/>
      </c>
      <c r="H1881">
        <f>1-(1-Skills!J6/100)^Skills!K6</f>
        <v/>
      </c>
      <c r="I1881" t="inlineStr">
        <is>
          <t>1</t>
        </is>
      </c>
      <c r="J1881">
        <f>((Inputs!$B$6*(1+Inputs!$B$7/100))+(((Inputs!$B$12*(1+Inputs!$B$13/100))-(Inputs!$B$12*(1+Inputs!$B$13/100)))+0.25*(Inputs!$B$14-Inputs!$B$14))*(1+Inputs!$B$7/100))*(F1881/100)</f>
        <v/>
      </c>
      <c r="K1881">
        <f>J1881*(1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1890=TRUE,F1890,0)/100)*(1+(IF(Skills!A6="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1881)</f>
        <v/>
      </c>
      <c r="L1881">
        <f>K1881*(MIN(Inputs!$B$22+((C1897=TRUE)*(F1897-Calc!F22)),(Inputs!$B$23+0+(IF(ArtifactsInput!$M$15,CHOOSE(ArtifactsInput!$N$15+1,25,30,35,40,45,50)/100*(Inputs!$B$11-Inputs!$B$11),0))))/100+(Inputs!$B$23+0+(IF(ArtifactsInput!$M$15,CHOOSE(ArtifactsInput!$N$15+1,25,30,35,40,45,50)/100*(Inputs!$B$11-Inputs!$B$11),0)))/100)/2</f>
        <v/>
      </c>
      <c r="M1881">
        <f>L1881*(1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1">
        <f>L1881*(1-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1">
        <f>(1-Summary!$B$11)*T1881+Summary!$B$11*V1881</f>
        <v/>
      </c>
      <c r="P1881">
        <f>IF(B1916=0,0,O1881/B1916)</f>
        <v/>
      </c>
      <c r="Q1881">
        <f>IFERROR(1/(IF(Inputs!$B$38="pvp",15,MAX(0.1,Skills!D6-IF(Skills!E6=TRUE,Inputs!$B$32,0)))*(1-IF(AND(ArtifactsInput!$M$27,Inputs!$B$4="Chapter Hunt"),CHOOSE(ArtifactsInput!$N$27+1,20,24,28,32,36,40),0)/100)),0)</f>
        <v/>
      </c>
      <c r="R1881">
        <f>IF(AND(Inputs!$B$38&lt;&gt;"pvp",Inputs!$B$43&gt;0),IF(MAX(0,Inputs!$B$43-B1913)&lt;=0,0,(INT(MAX(0,Inputs!$B$43-B1913)/(IF(Inputs!$B$38="pvp",15,MAX(0.1,Skills!D6-IF(Skills!E6=TRUE,Inputs!$B$32,0)))*(1-IF(AND(ArtifactsInput!$M$27,Inputs!$B$4="Chapter Hunt"),CHOOSE(ArtifactsInput!$N$27+1,20,24,28,32,36,40),0)/100)))+1)),0)</f>
        <v/>
      </c>
      <c r="S1881">
        <f>IFERROR(O1881/N1881,0)</f>
        <v/>
      </c>
      <c r="T1881">
        <f>IF(C1881,(H1881*N1881*IF(AND(Inputs!$B$38&lt;&gt;"pvp",Inputs!$B$43&gt;0),((Skills!G6*((R1881-1)*IF(Skills!H6&gt;0,Skills!I6/Skills!H6,1)+IF(Skills!H6&gt;0,MIN(Skills!I6,MAX(0,MAX(0,Inputs!$B$43-B1913)-((R1881-1)*(IF(Inputs!$B$38="pvp",15,MAX(0.1,Skills!D6-IF(Skills!E6=TRUE,Inputs!$B$32,0)))*(1-IF(AND(ArtifactsInput!$M$27,Inputs!$B$4="Chapter Hunt"),CHOOSE(ArtifactsInput!$N$27+1,20,24,28,32,36,40),0)/100)))))/Skills!H6,1)))/Inputs!$B$43),G1881*Q1881)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1881*(1-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1881*(1-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1">
        <f>IF(C1881,(H1881*N1881*IF(AND(Inputs!$B$38&lt;&gt;"pvp",Inputs!$B$43&gt;0),((Skills!G6*((R1881-1)*IF(Skills!H6&gt;0,Skills!I6/Skills!H6,1)+IF(Skills!H6&gt;0,MIN(Skills!I6,MAX(0,MAX(0,Inputs!$B$43-B1913)-((R1881-1)*(IF(Inputs!$B$38="pvp",15,MAX(0.1,Skills!D6-IF(Skills!E6=TRUE,Inputs!$B$32,0)))*(1-IF(AND(ArtifactsInput!$M$27,Inputs!$B$4="Chapter Hunt"),CHOOSE(ArtifactsInput!$N$27+1,20,24,28,32,36,40),0)/100)))))/Skills!H6,1)))/Inputs!$B$43),G1881*Q1881))*IF(Inputs!$B$38="pvp",1,(1+(Inputs!$B$21+Skills!Q6+(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2">
      <c r="A1882">
        <f>Skills!A7</f>
        <v/>
      </c>
      <c r="B1882">
        <f>Skills!B7</f>
        <v/>
      </c>
      <c r="C1882">
        <f>Inputs!$B$3&gt;=66</f>
        <v/>
      </c>
      <c r="D1882">
        <f>IF(Skills!C7=1,60+Inputs!$B$25+Inputs!$B$29,IF(Skills!C7=2,90+Inputs!$B$26+Inputs!$B$29,IF(Skills!C7=3,120+Inputs!$B$27+Inputs!$B$29,MAX(0,(Inputs!$B$3-100)*3)+Inputs!$B$28+Inputs!$B$29)))</f>
        <v/>
      </c>
      <c r="E1882">
        <f>INDEX(FactorTable!$B$2:$Y$301, MATCH(ROUND(MIN(300,MAX(1,D1882)),0), FactorTable!$A$2:$A$301,0), Skills!M7+1)</f>
        <v/>
      </c>
      <c r="F1882">
        <f>IF(Skills!N7=TRUE,(Skills!L7/10)*(E1882/1000),Skills!L7/10)+Skills!O7</f>
        <v/>
      </c>
      <c r="G1882">
        <f>Skills!G7*IF(Skills!H7&gt;0,Skills!I7/Skills!H7,1)</f>
        <v/>
      </c>
      <c r="H1882">
        <f>1-(1-Skills!J7/100)^Skills!K7</f>
        <v/>
      </c>
      <c r="I1882" t="inlineStr">
        <is>
          <t>1</t>
        </is>
      </c>
      <c r="J1882">
        <f>((Inputs!$B$6*(1+Inputs!$B$7/100))+(((Inputs!$B$12*(1+Inputs!$B$13/100))-(Inputs!$B$12*(1+Inputs!$B$13/100)))+0.25*(Inputs!$B$14-Inputs!$B$14))*(1+Inputs!$B$7/100))*(F1882/100)</f>
        <v/>
      </c>
      <c r="K1882">
        <f>J1882*(1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1890=TRUE,F1890,0)/100)*(1+(IF(Skills!A7="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1882)</f>
        <v/>
      </c>
      <c r="L1882">
        <f>K1882*(MIN(Inputs!$B$22+((C1897=TRUE)*(F1897-Calc!F22)),(Inputs!$B$23+0+(IF(ArtifactsInput!$M$15,CHOOSE(ArtifactsInput!$N$15+1,25,30,35,40,45,50)/100*(Inputs!$B$11-Inputs!$B$11),0))))/100+(Inputs!$B$23+0+(IF(ArtifactsInput!$M$15,CHOOSE(ArtifactsInput!$N$15+1,25,30,35,40,45,50)/100*(Inputs!$B$11-Inputs!$B$11),0)))/100)/2</f>
        <v/>
      </c>
      <c r="M1882">
        <f>L1882*(1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2">
        <f>L1882*(1-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(1-Summary!$B$11)*T1882+Summary!$B$11*V1882</f>
        <v/>
      </c>
      <c r="P1882">
        <f>IF(B1916=0,0,O1882/B1916)</f>
        <v/>
      </c>
      <c r="Q1882">
        <f>IFERROR(1/(IF(Inputs!$B$38="pvp",15,MAX(0.1,Skills!D7-IF(Skills!E7=TRUE,Inputs!$B$32,0)))*(1-IF(AND(ArtifactsInput!$M$27,Inputs!$B$4="Chapter Hunt"),CHOOSE(ArtifactsInput!$N$27+1,20,24,28,32,36,40),0)/100)),0)</f>
        <v/>
      </c>
      <c r="R1882">
        <f>IF(AND(Inputs!$B$38&lt;&gt;"pvp",Inputs!$B$43&gt;0),IF(MAX(0,Inputs!$B$43-B1913)&lt;=0,0,(INT(MAX(0,Inputs!$B$43-B1913)/(IF(Inputs!$B$38="pvp",15,MAX(0.1,Skills!D7-IF(Skills!E7=TRUE,Inputs!$B$32,0)))*(1-IF(AND(ArtifactsInput!$M$27,Inputs!$B$4="Chapter Hunt"),CHOOSE(ArtifactsInput!$N$27+1,20,24,28,32,36,40),0)/100)))+1)),0)</f>
        <v/>
      </c>
      <c r="S1882">
        <f>IFERROR(O1882/N1882,0)</f>
        <v/>
      </c>
      <c r="T1882">
        <f>IF(C1882,(H1882*N1882*IF(AND(Inputs!$B$38&lt;&gt;"pvp",Inputs!$B$43&gt;0),((Skills!G7*((R1882-1)*IF(Skills!H7&gt;0,Skills!I7/Skills!H7,1)+IF(Skills!H7&gt;0,MIN(Skills!I7,MAX(0,MAX(0,Inputs!$B$43-B1913)-((R1882-1)*(IF(Inputs!$B$38="pvp",15,MAX(0.1,Skills!D7-IF(Skills!E7=TRUE,Inputs!$B$32,0)))*(1-IF(AND(ArtifactsInput!$M$27,Inputs!$B$4="Chapter Hunt"),CHOOSE(ArtifactsInput!$N$27+1,20,24,28,32,36,40),0)/100)))))/Skills!H7,1)))/Inputs!$B$43),G1882*Q1882)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1882*(1-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2">
        <f>IF(C1882,(H1882*N1882*IF(AND(Inputs!$B$38&lt;&gt;"pvp",Inputs!$B$43&gt;0),((Skills!G7*((R1882-1)*IF(Skills!H7&gt;0,Skills!I7/Skills!H7,1)+IF(Skills!H7&gt;0,MIN(Skills!I7,MAX(0,MAX(0,Inputs!$B$43-B1913)-((R1882-1)*(IF(Inputs!$B$38="pvp",15,MAX(0.1,Skills!D7-IF(Skills!E7=TRUE,Inputs!$B$32,0)))*(1-IF(AND(ArtifactsInput!$M$27,Inputs!$B$4="Chapter Hunt"),CHOOSE(ArtifactsInput!$N$27+1,20,24,28,32,36,40),0)/100)))))/Skills!H7,1)))/Inputs!$B$43),G1882*Q1882))*IF(Inputs!$B$38="pvp",1,(1+(Inputs!$B$21+Skills!Q7+(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Skills!A8</f>
        <v/>
      </c>
      <c r="B1883">
        <f>Skills!B8</f>
        <v/>
      </c>
      <c r="C1883">
        <f>Inputs!$B$3&gt;=100</f>
        <v/>
      </c>
      <c r="D1883">
        <f>IF(Skills!C8=1,60+Inputs!$B$25+Inputs!$B$29,IF(Skills!C8=2,90+Inputs!$B$26+Inputs!$B$29,IF(Skills!C8=3,120+Inputs!$B$27+Inputs!$B$29,MAX(0,(Inputs!$B$3-100)*3)+Inputs!$B$28+Inputs!$B$29)))</f>
        <v/>
      </c>
      <c r="E1883">
        <f>INDEX(FactorTable!$B$2:$Y$301, MATCH(ROUND(MIN(300,MAX(1,D1883)),0), FactorTable!$A$2:$A$301,0), Skills!M8+1)</f>
        <v/>
      </c>
      <c r="F1883">
        <f>IF(Skills!N8=TRUE,(Skills!L8/10)*(E1883/1000),Skills!L8/10)+Skills!O8</f>
        <v/>
      </c>
      <c r="G1883">
        <f>Skills!G8*IF(Skills!H8&gt;0,Skills!I8/Skills!H8,1)</f>
        <v/>
      </c>
      <c r="H1883">
        <f>1-(1-Skills!J8/100)^Skills!K8</f>
        <v/>
      </c>
      <c r="I1883" t="inlineStr">
        <is>
          <t>1</t>
        </is>
      </c>
      <c r="J1883">
        <f>((Inputs!$B$6*(1+Inputs!$B$7/100))+(((Inputs!$B$12*(1+Inputs!$B$13/100))-(Inputs!$B$12*(1+Inputs!$B$13/100)))+0.25*(Inputs!$B$14-Inputs!$B$14))*(1+Inputs!$B$7/100))*(F1883/100)</f>
        <v/>
      </c>
      <c r="K1883">
        <f>J1883*(1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1883)</f>
        <v/>
      </c>
      <c r="L1883">
        <f>K1883*(MIN(Inputs!$B$22+((C1897=TRUE)*(F1897-Calc!F22)),(Inputs!$B$23+0+(IF(ArtifactsInput!$M$15,CHOOSE(ArtifactsInput!$N$15+1,25,30,35,40,45,50)/100*(Inputs!$B$11-Inputs!$B$11),0))))/100+(Inputs!$B$23+0+(IF(ArtifactsInput!$M$15,CHOOSE(ArtifactsInput!$N$15+1,25,30,35,40,45,50)/100*(Inputs!$B$11-Inputs!$B$11),0)))/100)/2</f>
        <v/>
      </c>
      <c r="M1883">
        <f>L1883*(1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3">
        <f>L1883*(1-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1883*(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3">
        <f>(1-Summary!$B$11)*T1883+Summary!$B$11*V1883</f>
        <v/>
      </c>
      <c r="P1883">
        <f>IF(B1916=0,0,O1883/B1916)</f>
        <v/>
      </c>
      <c r="Q1883">
        <f>IFERROR(1/(IF(Inputs!$B$38="pvp",15,MAX(0.1,Skills!D8-IF(Skills!E8=TRUE,Inputs!$B$32,0)))*(1-IF(AND(ArtifactsInput!$M$27,Inputs!$B$4="Chapter Hunt"),CHOOSE(ArtifactsInput!$N$27+1,20,24,28,32,36,40),0)/100)),0)</f>
        <v/>
      </c>
      <c r="R1883">
        <f>IF(AND(Inputs!$B$38&lt;&gt;"pvp",Inputs!$B$43&gt;0),IF(MAX(0,Inputs!$B$43-B1913)&lt;=0,0,(INT(MAX(0,Inputs!$B$43-B1913)/(IF(Inputs!$B$38="pvp",15,MAX(0.1,Skills!D8-IF(Skills!E8=TRUE,Inputs!$B$32,0)))*(1-IF(AND(ArtifactsInput!$M$27,Inputs!$B$4="Chapter Hunt"),CHOOSE(ArtifactsInput!$N$27+1,20,24,28,32,36,40),0)/100)))+1)),0)</f>
        <v/>
      </c>
      <c r="S1883">
        <f>IFERROR(O1883/N1883,0)</f>
        <v/>
      </c>
      <c r="T1883">
        <f>IF(C1883,(H1883*N1883*IF(AND(Inputs!$B$38&lt;&gt;"pvp",Inputs!$B$43&gt;0),((Skills!G8*((R1883-1)*IF(Skills!H8&gt;0,Skills!I8/Skills!H8,1)+IF(Skills!H8&gt;0,MIN(Skills!I8,MAX(0,MAX(0,Inputs!$B$43-B1913)-((R1883-1)*(IF(Inputs!$B$38="pvp",15,MAX(0.1,Skills!D8-IF(Skills!E8=TRUE,Inputs!$B$32,0)))*(1-IF(AND(ArtifactsInput!$M$27,Inputs!$B$4="Chapter Hunt"),CHOOSE(ArtifactsInput!$N$27+1,20,24,28,32,36,40),0)/100)))))/Skills!H8,1)))/Inputs!$B$43),G1883*Q1883)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1883*(1-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1883*(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1883*(1-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1883*(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3">
        <f>IF(C1883,(H1883*N1883*IF(AND(Inputs!$B$38&lt;&gt;"pvp",Inputs!$B$43&gt;0),((Skills!G8*((R1883-1)*IF(Skills!H8&gt;0,Skills!I8/Skills!H8,1)+IF(Skills!H8&gt;0,MIN(Skills!I8,MAX(0,MAX(0,Inputs!$B$43-B1913)-((R1883-1)*(IF(Inputs!$B$38="pvp",15,MAX(0.1,Skills!D8-IF(Skills!E8=TRUE,Inputs!$B$32,0)))*(1-IF(AND(ArtifactsInput!$M$27,Inputs!$B$4="Chapter Hunt"),CHOOSE(ArtifactsInput!$N$27+1,20,24,28,32,36,40),0)/100)))))/Skills!H8,1)))/Inputs!$B$43),G1883*Q1883))*IF(Inputs!$B$38="pvp",1,(1+(Inputs!$B$21+Skills!Q8+(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4">
      <c r="A1884">
        <f>Skills!A9</f>
        <v/>
      </c>
      <c r="B1884">
        <f>Skills!B9</f>
        <v/>
      </c>
      <c r="C1884">
        <f>Inputs!$B$3&gt;=103</f>
        <v/>
      </c>
      <c r="D1884">
        <f>IF(Skills!C9=1,60+Inputs!$B$25+Inputs!$B$29,IF(Skills!C9=2,90+Inputs!$B$26+Inputs!$B$29,IF(Skills!C9=3,120+Inputs!$B$27+Inputs!$B$29,MAX(0,(Inputs!$B$3-100)*3)+Inputs!$B$28+Inputs!$B$29)))</f>
        <v/>
      </c>
      <c r="E1884">
        <f>INDEX(FactorTable!$B$2:$Y$301, MATCH(ROUND(MIN(300,MAX(1,D1884)),0), FactorTable!$A$2:$A$301,0), Skills!M9+1)</f>
        <v/>
      </c>
      <c r="F1884">
        <f>IF(Skills!N9=TRUE,(Skills!L9/10)*(E1884/1000),Skills!L9/10)+Skills!O9</f>
        <v/>
      </c>
      <c r="G1884">
        <f>Skills!G9*IF(Skills!H9&gt;0,Skills!I9/Skills!H9,1)</f>
        <v/>
      </c>
      <c r="H1884">
        <f>1-(1-Skills!J9/100)^Skills!K9</f>
        <v/>
      </c>
      <c r="I1884" t="inlineStr">
        <is>
          <t>1</t>
        </is>
      </c>
      <c r="J1884">
        <f>((Inputs!$B$6*(1+Inputs!$B$7/100))+(((Inputs!$B$12*(1+Inputs!$B$13/100))-(Inputs!$B$12*(1+Inputs!$B$13/100)))+0.25*(Inputs!$B$14-Inputs!$B$14))*(1+Inputs!$B$7/100))*(F1884/100)</f>
        <v/>
      </c>
      <c r="K1884">
        <f>J1884*(1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1884)</f>
        <v/>
      </c>
      <c r="L1884">
        <f>K1884*(MIN(Inputs!$B$22+((C1897=TRUE)*(F1897-Calc!F22)),(Inputs!$B$23+0+(IF(ArtifactsInput!$M$15,CHOOSE(ArtifactsInput!$N$15+1,25,30,35,40,45,50)/100*(Inputs!$B$11-Inputs!$B$11),0))))/100+(Inputs!$B$23+0+(IF(ArtifactsInput!$M$15,CHOOSE(ArtifactsInput!$N$15+1,25,30,35,40,45,50)/100*(Inputs!$B$11-Inputs!$B$11),0)))/100)/2</f>
        <v/>
      </c>
      <c r="M1884">
        <f>L1884*(1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4">
        <f>L1884*(1-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1884*(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4">
        <f>(1-Summary!$B$11)*T1884+Summary!$B$11*V1884</f>
        <v/>
      </c>
      <c r="P1884">
        <f>IF(B1916=0,0,O1884/B1916)</f>
        <v/>
      </c>
      <c r="Q1884">
        <f>IFERROR(1/(IF(Inputs!$B$38="pvp",15,MAX(0.1,Skills!D9-IF(Skills!E9=TRUE,Inputs!$B$32,0)))*(1-IF(AND(ArtifactsInput!$M$27,Inputs!$B$4="Chapter Hunt"),CHOOSE(ArtifactsInput!$N$27+1,20,24,28,32,36,40),0)/100)),0)</f>
        <v/>
      </c>
      <c r="R1884">
        <f>IF(AND(Inputs!$B$38&lt;&gt;"pvp",Inputs!$B$43&gt;0),IF(MAX(0,Inputs!$B$43-B1913)&lt;=0,0,(INT(MAX(0,Inputs!$B$43-B1913)/(IF(Inputs!$B$38="pvp",15,MAX(0.1,Skills!D9-IF(Skills!E9=TRUE,Inputs!$B$32,0)))*(1-IF(AND(ArtifactsInput!$M$27,Inputs!$B$4="Chapter Hunt"),CHOOSE(ArtifactsInput!$N$27+1,20,24,28,32,36,40),0)/100)))+1)),0)</f>
        <v/>
      </c>
      <c r="S1884">
        <f>IFERROR(O1884/N1884,0)</f>
        <v/>
      </c>
      <c r="T1884">
        <f>IF(C1884,(H1884*N1884*IF(AND(Inputs!$B$38&lt;&gt;"pvp",Inputs!$B$43&gt;0),((Skills!G9*((R1884-1)*IF(Skills!H9&gt;0,Skills!I9/Skills!H9,1)+IF(Skills!H9&gt;0,MIN(Skills!I9,MAX(0,MAX(0,Inputs!$B$43-B1913)-((R1884-1)*(IF(Inputs!$B$38="pvp",15,MAX(0.1,Skills!D9-IF(Skills!E9=TRUE,Inputs!$B$32,0)))*(1-IF(AND(ArtifactsInput!$M$27,Inputs!$B$4="Chapter Hunt"),CHOOSE(ArtifactsInput!$N$27+1,20,24,28,32,36,40),0)/100)))))/Skills!H9,1)))/Inputs!$B$43),G1884*Q1884)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1884*(1-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1884*(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1884*(1-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1884*(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4">
        <f>IF(C1884,(H1884*N1884*IF(AND(Inputs!$B$38&lt;&gt;"pvp",Inputs!$B$43&gt;0),((Skills!G9*((R1884-1)*IF(Skills!H9&gt;0,Skills!I9/Skills!H9,1)+IF(Skills!H9&gt;0,MIN(Skills!I9,MAX(0,MAX(0,Inputs!$B$43-B1913)-((R1884-1)*(IF(Inputs!$B$38="pvp",15,MAX(0.1,Skills!D9-IF(Skills!E9=TRUE,Inputs!$B$32,0)))*(1-IF(AND(ArtifactsInput!$M$27,Inputs!$B$4="Chapter Hunt"),CHOOSE(ArtifactsInput!$N$27+1,20,24,28,32,36,40),0)/100)))))/Skills!H9,1)))/Inputs!$B$43),G1884*Q1884))*IF(Inputs!$B$38="pvp",1,(1+(Inputs!$B$21+Skills!Q9+(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5">
      <c r="A1885">
        <f>Skills!A10</f>
        <v/>
      </c>
      <c r="B1885">
        <f>Skills!B10</f>
        <v/>
      </c>
      <c r="C1885">
        <f>Inputs!$B$3&gt;=113</f>
        <v/>
      </c>
      <c r="D1885">
        <f>IF(Skills!C10=1,60+Inputs!$B$25+Inputs!$B$29,IF(Skills!C10=2,90+Inputs!$B$26+Inputs!$B$29,IF(Skills!C10=3,120+Inputs!$B$27+Inputs!$B$29,MAX(0,(Inputs!$B$3-100)*3)+Inputs!$B$28+Inputs!$B$29)))</f>
        <v/>
      </c>
      <c r="E1885">
        <f>INDEX(FactorTable!$B$2:$Y$301, MATCH(ROUND(MIN(300,MAX(1,D1885)),0), FactorTable!$A$2:$A$301,0), Skills!M10+1)</f>
        <v/>
      </c>
      <c r="F1885">
        <f>IF(Skills!N10=TRUE,(Skills!L10/10)*(E1885/1000),Skills!L10/10)+Skills!O10</f>
        <v/>
      </c>
      <c r="G1885">
        <f>Skills!G10*IF(Skills!H10&gt;0,Skills!I10/Skills!H10,1)</f>
        <v/>
      </c>
      <c r="H1885">
        <f>1-(1-Skills!J10/100)^Skills!K10</f>
        <v/>
      </c>
      <c r="I1885" t="inlineStr">
        <is>
          <t>1</t>
        </is>
      </c>
      <c r="J1885">
        <f>((Inputs!$B$6*(1+Inputs!$B$7/100))+(((Inputs!$B$12*(1+Inputs!$B$13/100))-(Inputs!$B$12*(1+Inputs!$B$13/100)))+0.25*(Inputs!$B$14-Inputs!$B$14))*(1+Inputs!$B$7/100))*(F1885/100)</f>
        <v/>
      </c>
      <c r="K1885">
        <f>J1885*(1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1885)</f>
        <v/>
      </c>
      <c r="L1885">
        <f>K1885*(MIN(Inputs!$B$22+((C1897=TRUE)*(F1897-Calc!F22)),(Inputs!$B$23+0+(IF(ArtifactsInput!$M$15,CHOOSE(ArtifactsInput!$N$15+1,25,30,35,40,45,50)/100*(Inputs!$B$11-Inputs!$B$11),0))))/100+(Inputs!$B$23+0+(IF(ArtifactsInput!$M$15,CHOOSE(ArtifactsInput!$N$15+1,25,30,35,40,45,50)/100*(Inputs!$B$11-Inputs!$B$11),0)))/100)/2</f>
        <v/>
      </c>
      <c r="M1885">
        <f>L1885*(1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5">
        <f>L1885*(1-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1885*(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5">
        <f>(1-Summary!$B$11)*T1885+Summary!$B$11*V1885</f>
        <v/>
      </c>
      <c r="P1885">
        <f>IF(B1916=0,0,O1885/B1916)</f>
        <v/>
      </c>
      <c r="Q1885">
        <f>IFERROR(1/(IF(Inputs!$B$38="pvp",15,MAX(0.1,Skills!D10-IF(Skills!E10=TRUE,Inputs!$B$32,0)))*(1-IF(AND(ArtifactsInput!$M$27,Inputs!$B$4="Chapter Hunt"),CHOOSE(ArtifactsInput!$N$27+1,20,24,28,32,36,40),0)/100)),0)</f>
        <v/>
      </c>
      <c r="R1885">
        <f>IF(AND(Inputs!$B$38&lt;&gt;"pvp",Inputs!$B$43&gt;0),IF(MAX(0,Inputs!$B$43-B1913)&lt;=0,0,(INT(MAX(0,Inputs!$B$43-B1913)/(IF(Inputs!$B$38="pvp",15,MAX(0.1,Skills!D10-IF(Skills!E10=TRUE,Inputs!$B$32,0)))*(1-IF(AND(ArtifactsInput!$M$27,Inputs!$B$4="Chapter Hunt"),CHOOSE(ArtifactsInput!$N$27+1,20,24,28,32,36,40),0)/100)))+1)),0)</f>
        <v/>
      </c>
      <c r="S1885">
        <f>IFERROR(O1885/N1885,0)</f>
        <v/>
      </c>
      <c r="T1885">
        <f>IF(C1885,(H1885*N1885*IF(AND(Inputs!$B$38&lt;&gt;"pvp",Inputs!$B$43&gt;0),((Skills!G10*((R1885-1)*IF(Skills!H10&gt;0,Skills!I10/Skills!H10,1)+IF(Skills!H10&gt;0,MIN(Skills!I10,MAX(0,MAX(0,Inputs!$B$43-B1913)-((R1885-1)*(IF(Inputs!$B$38="pvp",15,MAX(0.1,Skills!D10-IF(Skills!E10=TRUE,Inputs!$B$32,0)))*(1-IF(AND(ArtifactsInput!$M$27,Inputs!$B$4="Chapter Hunt"),CHOOSE(ArtifactsInput!$N$27+1,20,24,28,32,36,40),0)/100)))))/Skills!H10,1)))/Inputs!$B$43),G1885*Q1885)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1885*(1-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1885*(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1885*(1-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1885*(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5">
        <f>IF(C1885,(H1885*N1885*IF(AND(Inputs!$B$38&lt;&gt;"pvp",Inputs!$B$43&gt;0),((Skills!G10*((R1885-1)*IF(Skills!H10&gt;0,Skills!I10/Skills!H10,1)+IF(Skills!H10&gt;0,MIN(Skills!I10,MAX(0,MAX(0,Inputs!$B$43-B1913)-((R1885-1)*(IF(Inputs!$B$38="pvp",15,MAX(0.1,Skills!D10-IF(Skills!E10=TRUE,Inputs!$B$32,0)))*(1-IF(AND(ArtifactsInput!$M$27,Inputs!$B$4="Chapter Hunt"),CHOOSE(ArtifactsInput!$N$27+1,20,24,28,32,36,40),0)/100)))))/Skills!H10,1)))/Inputs!$B$43),G1885*Q1885))*IF(Inputs!$B$38="pvp",1,(1+(Inputs!$B$21+Skills!Q10+(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6">
      <c r="A1886">
        <f>Skills!A11</f>
        <v/>
      </c>
      <c r="B1886">
        <f>Skills!B11</f>
        <v/>
      </c>
      <c r="C1886">
        <f>Inputs!$B$3&gt;=107</f>
        <v/>
      </c>
      <c r="D1886">
        <f>IF(Skills!C11=1,60+Inputs!$B$25+Inputs!$B$29,IF(Skills!C11=2,90+Inputs!$B$26+Inputs!$B$29,IF(Skills!C11=3,120+Inputs!$B$27+Inputs!$B$29,MAX(0,(Inputs!$B$3-100)*3)+Inputs!$B$28+Inputs!$B$29)))</f>
        <v/>
      </c>
      <c r="E1886">
        <f>INDEX(FactorTable!$B$2:$Y$301, MATCH(ROUND(MIN(300,MAX(1,D1886)),0), FactorTable!$A$2:$A$301,0), Skills!M11+1)</f>
        <v/>
      </c>
      <c r="F1886">
        <f>IF(Skills!N11=TRUE,(Skills!L11/10)*(E1886/1000),Skills!L11/10)+Skills!O11</f>
        <v/>
      </c>
      <c r="G1886">
        <f>Skills!G11*IF(Skills!H11&gt;0,Skills!I11/Skills!H11,1)</f>
        <v/>
      </c>
      <c r="H1886">
        <f>1-(1-Skills!J11/100)^Skills!K11</f>
        <v/>
      </c>
      <c r="I1886" t="inlineStr">
        <is>
          <t>1</t>
        </is>
      </c>
      <c r="J1886">
        <f>((Inputs!$B$6*(1+Inputs!$B$7/100))+(((Inputs!$B$12*(1+Inputs!$B$13/100))-(Inputs!$B$12*(1+Inputs!$B$13/100)))+0.25*(Inputs!$B$14-Inputs!$B$14))*(1+Inputs!$B$7/100))*(F1886/100)</f>
        <v/>
      </c>
      <c r="K1886">
        <f>J1886*(1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1886)</f>
        <v/>
      </c>
      <c r="L1886">
        <f>K1886*(MIN(Inputs!$B$22+((C1897=TRUE)*(F1897-Calc!F22)),(Inputs!$B$23+0+(IF(ArtifactsInput!$M$15,CHOOSE(ArtifactsInput!$N$15+1,25,30,35,40,45,50)/100*(Inputs!$B$11-Inputs!$B$11),0))))/100+(Inputs!$B$23+0+(IF(ArtifactsInput!$M$15,CHOOSE(ArtifactsInput!$N$15+1,25,30,35,40,45,50)/100*(Inputs!$B$11-Inputs!$B$11),0)))/100)/2</f>
        <v/>
      </c>
      <c r="M1886">
        <f>L1886*(1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6">
        <f>L1886*(1-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1886*(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6">
        <f>(1-Summary!$B$11)*T1886+Summary!$B$11*V1886</f>
        <v/>
      </c>
      <c r="P1886">
        <f>IF(B1916=0,0,O1886/B1916)</f>
        <v/>
      </c>
      <c r="Q1886">
        <f>IFERROR(1/(IF(Inputs!$B$38="pvp",15,MAX(0.1,Skills!D11-IF(Skills!E11=TRUE,Inputs!$B$32,0)))*(1-IF(AND(ArtifactsInput!$M$27,Inputs!$B$4="Chapter Hunt"),CHOOSE(ArtifactsInput!$N$27+1,20,24,28,32,36,40),0)/100)),0)</f>
        <v/>
      </c>
      <c r="R1886">
        <f>IF(AND(Inputs!$B$38&lt;&gt;"pvp",Inputs!$B$43&gt;0),IF(MAX(0,Inputs!$B$43-B1913)&lt;=0,0,(INT(MAX(0,Inputs!$B$43-B1913)/(IF(Inputs!$B$38="pvp",15,MAX(0.1,Skills!D11-IF(Skills!E11=TRUE,Inputs!$B$32,0)))*(1-IF(AND(ArtifactsInput!$M$27,Inputs!$B$4="Chapter Hunt"),CHOOSE(ArtifactsInput!$N$27+1,20,24,28,32,36,40),0)/100)))+1)),0)</f>
        <v/>
      </c>
      <c r="S1886">
        <f>IFERROR(O1886/N1886,0)</f>
        <v/>
      </c>
      <c r="T1886">
        <f>IF(C1886,(H1886*N1886*IF(AND(Inputs!$B$38&lt;&gt;"pvp",Inputs!$B$43&gt;0),((Skills!G11*((R1886-1)*IF(Skills!H11&gt;0,Skills!I11/Skills!H11,1)+IF(Skills!H11&gt;0,MIN(Skills!I11,MAX(0,MAX(0,Inputs!$B$43-B1913)-((R1886-1)*(IF(Inputs!$B$38="pvp",15,MAX(0.1,Skills!D11-IF(Skills!E11=TRUE,Inputs!$B$32,0)))*(1-IF(AND(ArtifactsInput!$M$27,Inputs!$B$4="Chapter Hunt"),CHOOSE(ArtifactsInput!$N$27+1,20,24,28,32,36,40),0)/100)))))/Skills!H11,1)))/Inputs!$B$43),G1886*Q1886)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1886*(1-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1886*(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1886*(1-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1886*(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6">
        <f>IF(C1886,(H1886*N1886*IF(AND(Inputs!$B$38&lt;&gt;"pvp",Inputs!$B$43&gt;0),((Skills!G11*((R1886-1)*IF(Skills!H11&gt;0,Skills!I11/Skills!H11,1)+IF(Skills!H11&gt;0,MIN(Skills!I11,MAX(0,MAX(0,Inputs!$B$43-B1913)-((R1886-1)*(IF(Inputs!$B$38="pvp",15,MAX(0.1,Skills!D11-IF(Skills!E11=TRUE,Inputs!$B$32,0)))*(1-IF(AND(ArtifactsInput!$M$27,Inputs!$B$4="Chapter Hunt"),CHOOSE(ArtifactsInput!$N$27+1,20,24,28,32,36,40),0)/100)))))/Skills!H11,1)))/Inputs!$B$43),G1886*Q1886))*IF(Inputs!$B$38="pvp",1,(1+(Inputs!$B$21+Skills!Q11+(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7">
      <c r="A1887">
        <f>Skills!A12</f>
        <v/>
      </c>
      <c r="B1887">
        <f>Skills!B12</f>
        <v/>
      </c>
      <c r="C1887">
        <f>Inputs!$B$3&gt;=110</f>
        <v/>
      </c>
      <c r="D1887">
        <f>IF(Skills!C12=1,60+Inputs!$B$25+Inputs!$B$29,IF(Skills!C12=2,90+Inputs!$B$26+Inputs!$B$29,IF(Skills!C12=3,120+Inputs!$B$27+Inputs!$B$29,MAX(0,(Inputs!$B$3-100)*3)+Inputs!$B$28+Inputs!$B$29)))</f>
        <v/>
      </c>
      <c r="E1887">
        <f>INDEX(FactorTable!$B$2:$Y$301, MATCH(ROUND(MIN(300,MAX(1,D1887)),0), FactorTable!$A$2:$A$301,0), Skills!M12+1)</f>
        <v/>
      </c>
      <c r="F1887">
        <f>IF(Skills!N12=TRUE,(Skills!L12/10)*(E1887/1000),Skills!L12/10)+Skills!O12</f>
        <v/>
      </c>
      <c r="G1887">
        <f>Skills!G12*IF(Skills!H12&gt;0,Skills!I12/Skills!H12,1)</f>
        <v/>
      </c>
      <c r="H1887">
        <f>1-(1-Skills!J12/100)^Skills!K12</f>
        <v/>
      </c>
      <c r="I1887" t="inlineStr">
        <is>
          <t>1</t>
        </is>
      </c>
      <c r="J1887">
        <f>((Inputs!$B$6*(1+Inputs!$B$7/100))+(((Inputs!$B$12*(1+Inputs!$B$13/100))-(Inputs!$B$12*(1+Inputs!$B$13/100)))+0.25*(Inputs!$B$14-Inputs!$B$14))*(1+Inputs!$B$7/100))*(F1887/100)</f>
        <v/>
      </c>
      <c r="K1887">
        <f>J1887*(1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1887)</f>
        <v/>
      </c>
      <c r="L1887">
        <f>K1887*(MIN(Inputs!$B$22+((C1897=TRUE)*(F1897-Calc!F22)),(Inputs!$B$23+0+(IF(ArtifactsInput!$M$15,CHOOSE(ArtifactsInput!$N$15+1,25,30,35,40,45,50)/100*(Inputs!$B$11-Inputs!$B$11),0))))/100+(Inputs!$B$23+0+(IF(ArtifactsInput!$M$15,CHOOSE(ArtifactsInput!$N$15+1,25,30,35,40,45,50)/100*(Inputs!$B$11-Inputs!$B$11),0)))/100)/2</f>
        <v/>
      </c>
      <c r="M1887">
        <f>L1887*(1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7">
        <f>L1887*(1-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1887*(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7">
        <f>(1-Summary!$B$11)*T1887+Summary!$B$11*V1887</f>
        <v/>
      </c>
      <c r="P1887">
        <f>IF(B1916=0,0,O1887/B1916)</f>
        <v/>
      </c>
      <c r="Q1887">
        <f>IFERROR(1/(IF(Inputs!$B$38="pvp",15,MAX(0.1,Skills!D12-IF(Skills!E12=TRUE,Inputs!$B$32,0)))*(1-IF(AND(ArtifactsInput!$M$27,Inputs!$B$4="Chapter Hunt"),CHOOSE(ArtifactsInput!$N$27+1,20,24,28,32,36,40),0)/100)),0)</f>
        <v/>
      </c>
      <c r="R1887">
        <f>IF(AND(Inputs!$B$38&lt;&gt;"pvp",Inputs!$B$43&gt;0),IF(MAX(0,Inputs!$B$43-B1913)&lt;=0,0,(INT(MAX(0,Inputs!$B$43-B1913)/(IF(Inputs!$B$38="pvp",15,MAX(0.1,Skills!D12-IF(Skills!E12=TRUE,Inputs!$B$32,0)))*(1-IF(AND(ArtifactsInput!$M$27,Inputs!$B$4="Chapter Hunt"),CHOOSE(ArtifactsInput!$N$27+1,20,24,28,32,36,40),0)/100)))+1)),0)</f>
        <v/>
      </c>
      <c r="S1887">
        <f>IFERROR(O1887/N1887,0)</f>
        <v/>
      </c>
      <c r="T1887">
        <f>IF(C1887,(H1887*N1887*IF(AND(Inputs!$B$38&lt;&gt;"pvp",Inputs!$B$43&gt;0),((Skills!G12*((R1887-1)*IF(Skills!H12&gt;0,Skills!I12/Skills!H12,1)+IF(Skills!H12&gt;0,MIN(Skills!I12,MAX(0,MAX(0,Inputs!$B$43-B1913)-((R1887-1)*(IF(Inputs!$B$38="pvp",15,MAX(0.1,Skills!D12-IF(Skills!E12=TRUE,Inputs!$B$32,0)))*(1-IF(AND(ArtifactsInput!$M$27,Inputs!$B$4="Chapter Hunt"),CHOOSE(ArtifactsInput!$N$27+1,20,24,28,32,36,40),0)/100)))))/Skills!H12,1)))/Inputs!$B$43),G1887*Q1887)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1887*(1-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1887*(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1887*(1-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1887*(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7">
        <f>IF(C1887,(H1887*N1887*IF(AND(Inputs!$B$38&lt;&gt;"pvp",Inputs!$B$43&gt;0),((Skills!G12*((R1887-1)*IF(Skills!H12&gt;0,Skills!I12/Skills!H12,1)+IF(Skills!H12&gt;0,MIN(Skills!I12,MAX(0,MAX(0,Inputs!$B$43-B1913)-((R1887-1)*(IF(Inputs!$B$38="pvp",15,MAX(0.1,Skills!D12-IF(Skills!E12=TRUE,Inputs!$B$32,0)))*(1-IF(AND(ArtifactsInput!$M$27,Inputs!$B$4="Chapter Hunt"),CHOOSE(ArtifactsInput!$N$27+1,20,24,28,32,36,40),0)/100)))))/Skills!H12,1)))/Inputs!$B$43),G1887*Q1887))*IF(Inputs!$B$38="pvp",1,(1+(Inputs!$B$21+Skills!Q12+(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8">
      <c r="A1888">
        <f>Skills!A13</f>
        <v/>
      </c>
      <c r="B1888">
        <f>Skills!B13</f>
        <v/>
      </c>
      <c r="C1888">
        <f>Inputs!$B$3&gt;=110</f>
        <v/>
      </c>
      <c r="D1888">
        <f>IF(Skills!C13=1,60+Inputs!$B$25+Inputs!$B$29,IF(Skills!C13=2,90+Inputs!$B$26+Inputs!$B$29,IF(Skills!C13=3,120+Inputs!$B$27+Inputs!$B$29,MAX(0,(Inputs!$B$3-100)*3)+Inputs!$B$28+Inputs!$B$29)))</f>
        <v/>
      </c>
      <c r="E1888">
        <f>INDEX(FactorTable!$B$2:$Y$301, MATCH(ROUND(MIN(300,MAX(1,D1888)),0), FactorTable!$A$2:$A$301,0), Skills!M13+1)</f>
        <v/>
      </c>
      <c r="F1888">
        <f>IF(Skills!N13=TRUE,(Skills!L13/10)*(E1888/1000),Skills!L13/10)+Skills!O13</f>
        <v/>
      </c>
      <c r="G1888">
        <f>Skills!G13*IF(Skills!H13&gt;0,Skills!I13/Skills!H13,1)</f>
        <v/>
      </c>
      <c r="H1888">
        <f>1-(1-Skills!J13/100)^Skills!K13</f>
        <v/>
      </c>
      <c r="I1888" t="inlineStr">
        <is>
          <t>1</t>
        </is>
      </c>
      <c r="J1888">
        <f>((Inputs!$B$6*(1+Inputs!$B$7/100))+(((Inputs!$B$12*(1+Inputs!$B$13/100))-(Inputs!$B$12*(1+Inputs!$B$13/100)))+0.25*(Inputs!$B$14-Inputs!$B$14))*(1+Inputs!$B$7/100))*(F1888/100)</f>
        <v/>
      </c>
      <c r="K1888">
        <f>J1888*(1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1888)</f>
        <v/>
      </c>
      <c r="L1888">
        <f>K1888*(MIN(Inputs!$B$22+((C1897=TRUE)*(F1897-Calc!F22)),(Inputs!$B$23+0+(IF(ArtifactsInput!$M$15,CHOOSE(ArtifactsInput!$N$15+1,25,30,35,40,45,50)/100*(Inputs!$B$11-Inputs!$B$11),0))))/100+(Inputs!$B$23+0+(IF(ArtifactsInput!$M$15,CHOOSE(ArtifactsInput!$N$15+1,25,30,35,40,45,50)/100*(Inputs!$B$11-Inputs!$B$11),0)))/100)/2</f>
        <v/>
      </c>
      <c r="M1888">
        <f>L1888*(1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8">
        <f>L1888*(1-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1888*(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8">
        <f>(1-Summary!$B$11)*T1888+Summary!$B$11*V1888</f>
        <v/>
      </c>
      <c r="P1888">
        <f>IF(B1916=0,0,O1888/B1916)</f>
        <v/>
      </c>
      <c r="Q1888">
        <f>IFERROR(1/(IF(Inputs!$B$38="pvp",15,MAX(0.1,Skills!D13-IF(Skills!E13=TRUE,Inputs!$B$32,0)))*(1-IF(AND(ArtifactsInput!$M$27,Inputs!$B$4="Chapter Hunt"),CHOOSE(ArtifactsInput!$N$27+1,20,24,28,32,36,40),0)/100)),0)</f>
        <v/>
      </c>
      <c r="R1888">
        <f>IF(AND(Inputs!$B$38&lt;&gt;"pvp",Inputs!$B$43&gt;0),IF(MAX(0,Inputs!$B$43-B1913)&lt;=0,0,(INT(MAX(0,Inputs!$B$43-B1913)/(IF(Inputs!$B$38="pvp",15,MAX(0.1,Skills!D13-IF(Skills!E13=TRUE,Inputs!$B$32,0)))*(1-IF(AND(ArtifactsInput!$M$27,Inputs!$B$4="Chapter Hunt"),CHOOSE(ArtifactsInput!$N$27+1,20,24,28,32,36,40),0)/100)))+1)),0)</f>
        <v/>
      </c>
      <c r="S1888">
        <f>IFERROR(O1888/N1888,0)</f>
        <v/>
      </c>
      <c r="T1888">
        <f>IF(C1888,(H1888*N1888*IF(AND(Inputs!$B$38&lt;&gt;"pvp",Inputs!$B$43&gt;0),((Skills!G13*((R1888-1)*IF(Skills!H13&gt;0,Skills!I13/Skills!H13,1)+IF(Skills!H13&gt;0,MIN(Skills!I13,MAX(0,MAX(0,Inputs!$B$43-B1913)-((R1888-1)*(IF(Inputs!$B$38="pvp",15,MAX(0.1,Skills!D13-IF(Skills!E13=TRUE,Inputs!$B$32,0)))*(1-IF(AND(ArtifactsInput!$M$27,Inputs!$B$4="Chapter Hunt"),CHOOSE(ArtifactsInput!$N$27+1,20,24,28,32,36,40),0)/100)))))/Skills!H13,1)))/Inputs!$B$43),G1888*Q1888)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1888*(1-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1888*(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1888*(1-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1888*(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8">
        <f>IF(C1888,(H1888*N1888*IF(AND(Inputs!$B$38&lt;&gt;"pvp",Inputs!$B$43&gt;0),((Skills!G13*((R1888-1)*IF(Skills!H13&gt;0,Skills!I13/Skills!H13,1)+IF(Skills!H13&gt;0,MIN(Skills!I13,MAX(0,MAX(0,Inputs!$B$43-B1913)-((R1888-1)*(IF(Inputs!$B$38="pvp",15,MAX(0.1,Skills!D13-IF(Skills!E13=TRUE,Inputs!$B$32,0)))*(1-IF(AND(ArtifactsInput!$M$27,Inputs!$B$4="Chapter Hunt"),CHOOSE(ArtifactsInput!$N$27+1,20,24,28,32,36,40),0)/100)))))/Skills!H13,1)))/Inputs!$B$43),G1888*Q1888))*IF(Inputs!$B$38="pvp",1,(1+(Inputs!$B$21+Skills!Q13+(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9">
      <c r="A1889">
        <f>Skills!A14</f>
        <v/>
      </c>
      <c r="B1889">
        <f>Skills!B14</f>
        <v/>
      </c>
      <c r="C1889">
        <f>Inputs!$B$3&gt;=125</f>
        <v/>
      </c>
      <c r="D1889">
        <f>IF(Skills!C14=1,60+Inputs!$B$25+Inputs!$B$29,IF(Skills!C14=2,90+Inputs!$B$26+Inputs!$B$29,IF(Skills!C14=3,120+Inputs!$B$27+Inputs!$B$29,MAX(0,(Inputs!$B$3-100)*3)+Inputs!$B$28+Inputs!$B$29)))</f>
        <v/>
      </c>
      <c r="E1889">
        <f>INDEX(FactorTable!$B$2:$Y$301, MATCH(ROUND(MIN(300,MAX(1,D1889)),0), FactorTable!$A$2:$A$301,0), Skills!M14+1)</f>
        <v/>
      </c>
      <c r="F1889">
        <f>IF(Skills!N14=TRUE,(Skills!L14/10)*(E1889/1000),Skills!L14/10)+Skills!O14</f>
        <v/>
      </c>
      <c r="G1889">
        <f>Skills!G14*IF(Skills!H14&gt;0,Skills!I14/Skills!H14,1)</f>
        <v/>
      </c>
      <c r="H1889">
        <f>1-(1-Skills!J14/100)^Skills!K14</f>
        <v/>
      </c>
      <c r="I1889" t="inlineStr">
        <is>
          <t>1</t>
        </is>
      </c>
      <c r="J1889">
        <f>((Inputs!$B$6*(1+Inputs!$B$7/100))+(((Inputs!$B$12*(1+Inputs!$B$13/100))-(Inputs!$B$12*(1+Inputs!$B$13/100)))+0.25*(Inputs!$B$14-Inputs!$B$14))*(1+Inputs!$B$7/100))*(F1889/100)</f>
        <v/>
      </c>
      <c r="K1889">
        <f>J1889*(1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1889)</f>
        <v/>
      </c>
      <c r="L1889">
        <f>K1889*(MIN(Inputs!$B$22+((C1897=TRUE)*(F1897-Calc!F22)),(Inputs!$B$23+0+(IF(ArtifactsInput!$M$15,CHOOSE(ArtifactsInput!$N$15+1,25,30,35,40,45,50)/100*(Inputs!$B$11-Inputs!$B$11),0))))/100+(Inputs!$B$23+0+(IF(ArtifactsInput!$M$15,CHOOSE(ArtifactsInput!$N$15+1,25,30,35,40,45,50)/100*(Inputs!$B$11-Inputs!$B$11),0)))/100)/2</f>
        <v/>
      </c>
      <c r="M1889">
        <f>L1889*(1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9">
        <f>L1889*(1-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1889*(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9">
        <f>(1-Summary!$B$11)*T1889+Summary!$B$11*V1889</f>
        <v/>
      </c>
      <c r="P1889">
        <f>IF(B1916=0,0,O1889/B1916)</f>
        <v/>
      </c>
      <c r="Q1889" t="n">
        <v>0</v>
      </c>
      <c r="R1889" t="n">
        <v>0</v>
      </c>
      <c r="S1889">
        <f>IFERROR(O1889/N1889,0)</f>
        <v/>
      </c>
      <c r="T1889">
        <f>IF(C1889,(H1889*N1889*(B1910+IF(AND(Inputs!$B$38&lt;&gt;"pvp",Inputs!$B$43&gt;0),((Skills!G8*((R1883-1)*IF(Skills!H8&gt;0,Skills!I8/Skills!H8,1)+IF(Skills!H8&gt;0,MIN(Skills!I8,MAX(0,MAX(0,Inputs!$B$43-B1913)-((R1883-1)*(IF(Inputs!$B$38="pvp",15,MAX(0.1,Skills!D8-IF(Skills!E8=TRUE,Inputs!$B$32,0)))*(1-IF(AND(ArtifactsInput!$M$27,Inputs!$B$4="Chapter Hunt"),CHOOSE(ArtifactsInput!$N$27+1,20,24,28,32,36,40),0)/100)))))/Skills!H8,1)))/Inputs!$B$43),G1883*Q1883)+IF(AND(Inputs!$B$38&lt;&gt;"pvp",Inputs!$B$43&gt;0),((Skills!G11*((R1886-1)*IF(Skills!H11&gt;0,Skills!I11/Skills!H11,1)+IF(Skills!H11&gt;0,MIN(Skills!I11,MAX(0,MAX(0,Inputs!$B$43-B1913)-((R1886-1)*(IF(Inputs!$B$38="pvp",15,MAX(0.1,Skills!D11-IF(Skills!E11=TRUE,Inputs!$B$32,0)))*(1-IF(AND(ArtifactsInput!$M$27,Inputs!$B$4="Chapter Hunt"),CHOOSE(ArtifactsInput!$N$27+1,20,24,28,32,36,40),0)/100)))))/Skills!H11,1)))/Inputs!$B$43),G1886*Q1886)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1889*(1-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1889*(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1889*(1-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1889*(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9">
        <f>IF(C1889,(H1889*N1889*(B1910+IF(AND(Inputs!$B$38&lt;&gt;"pvp",Inputs!$B$43&gt;0),((Skills!G8*((R1883-1)*IF(Skills!H8&gt;0,Skills!I8/Skills!H8,1)+IF(Skills!H8&gt;0,MIN(Skills!I8,MAX(0,MAX(0,Inputs!$B$43-B1913)-((R1883-1)*(IF(Inputs!$B$38="pvp",15,MAX(0.1,Skills!D8-IF(Skills!E8=TRUE,Inputs!$B$32,0)))*(1-IF(AND(ArtifactsInput!$M$27,Inputs!$B$4="Chapter Hunt"),CHOOSE(ArtifactsInput!$N$27+1,20,24,28,32,36,40),0)/100)))))/Skills!H8,1)))/Inputs!$B$43),G1883*Q1883)+IF(AND(Inputs!$B$38&lt;&gt;"pvp",Inputs!$B$43&gt;0),((Skills!G11*((R1886-1)*IF(Skills!H11&gt;0,Skills!I11/Skills!H11,1)+IF(Skills!H11&gt;0,MIN(Skills!I11,MAX(0,MAX(0,Inputs!$B$43-B1913)-((R1886-1)*(IF(Inputs!$B$38="pvp",15,MAX(0.1,Skills!D11-IF(Skills!E11=TRUE,Inputs!$B$32,0)))*(1-IF(AND(ArtifactsInput!$M$27,Inputs!$B$4="Chapter Hunt"),CHOOSE(ArtifactsInput!$N$27+1,20,24,28,32,36,40),0)/100)))))/Skills!H11,1)))/Inputs!$B$43),G1886*Q1886)))*IF(Inputs!$B$38="pvp",1,(1+(Inputs!$B$21+Skills!Q14+(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90">
      <c r="A1890">
        <f>Skills!A15</f>
        <v/>
      </c>
      <c r="B1890">
        <f>Skills!B15</f>
        <v/>
      </c>
      <c r="C1890">
        <f>Inputs!$B$3&gt;=100</f>
        <v/>
      </c>
      <c r="D1890">
        <f>IF(Skills!C15=1,60+Inputs!$B$25+Inputs!$B$29,IF(Skills!C15=2,90+Inputs!$B$26+Inputs!$B$29,IF(Skills!C15=3,120+Inputs!$B$27+Inputs!$B$29,MAX(0,(Inputs!$B$3-100)*3)+Inputs!$B$28+Inputs!$B$29)))</f>
        <v/>
      </c>
      <c r="E1890">
        <f>INDEX(FactorTable!$B$2:$Y$301, MATCH(ROUND(MIN(300,MAX(1,D1890)),0), FactorTable!$A$2:$A$301,0), Skills!M15+1)</f>
        <v/>
      </c>
      <c r="F1890">
        <f>IF(Skills!N15=TRUE,(Skills!L15/10)*(E1890/1000),Skills!L15/10)+Skills!O15</f>
        <v/>
      </c>
      <c r="G1890" t="inlineStr"/>
      <c r="H1890" t="inlineStr"/>
      <c r="I1890" t="inlineStr">
        <is>
          <t>1</t>
        </is>
      </c>
      <c r="J1890" t="inlineStr"/>
      <c r="K1890" t="inlineStr"/>
      <c r="L1890" t="inlineStr"/>
      <c r="M1890" t="inlineStr"/>
      <c r="N1890" t="inlineStr"/>
      <c r="O1890" t="inlineStr"/>
      <c r="P1890" t="inlineStr"/>
      <c r="Q1890" t="inlineStr"/>
      <c r="R1890" t="inlineStr"/>
      <c r="S1890" t="inlineStr"/>
    </row>
    <row r="1891">
      <c r="A1891">
        <f>Skills!A16</f>
        <v/>
      </c>
      <c r="B1891">
        <f>Skills!B16</f>
        <v/>
      </c>
      <c r="C1891">
        <f>Inputs!$B$3&gt;=120</f>
        <v/>
      </c>
      <c r="D1891">
        <f>IF(Skills!C16=1,60+Inputs!$B$25+Inputs!$B$29,IF(Skills!C16=2,90+Inputs!$B$26+Inputs!$B$29,IF(Skills!C16=3,120+Inputs!$B$27+Inputs!$B$29,MAX(0,(Inputs!$B$3-100)*3)+Inputs!$B$28+Inputs!$B$29)))</f>
        <v/>
      </c>
      <c r="E1891">
        <f>INDEX(FactorTable!$B$2:$Y$301, MATCH(ROUND(MIN(300,MAX(1,D1891)),0), FactorTable!$A$2:$A$301,0), Skills!M16+1)</f>
        <v/>
      </c>
      <c r="F1891">
        <f>IF(Skills!N16=TRUE,(Skills!L16/10)*(E1891/1000),Skills!L16/10)+Skills!O16</f>
        <v/>
      </c>
      <c r="G1891" t="inlineStr"/>
      <c r="H1891" t="inlineStr"/>
      <c r="I1891" t="inlineStr">
        <is>
          <t>1</t>
        </is>
      </c>
      <c r="J1891" t="inlineStr"/>
      <c r="K1891" t="inlineStr"/>
      <c r="L1891" t="inlineStr"/>
      <c r="M1891" t="inlineStr"/>
      <c r="N1891" t="inlineStr"/>
      <c r="O1891" t="inlineStr"/>
      <c r="P1891" t="inlineStr"/>
      <c r="Q1891" t="inlineStr"/>
      <c r="R1891" t="inlineStr"/>
      <c r="S1891" t="inlineStr"/>
    </row>
    <row r="1892">
      <c r="A1892">
        <f>Skills!A17</f>
        <v/>
      </c>
      <c r="B1892">
        <f>Skills!B17</f>
        <v/>
      </c>
      <c r="C1892">
        <f>Inputs!$B$3&gt;=66</f>
        <v/>
      </c>
      <c r="D1892">
        <f>IF(Skills!C17=1,60+Inputs!$B$25+Inputs!$B$29,IF(Skills!C17=2,90+Inputs!$B$26+Inputs!$B$29,IF(Skills!C17=3,120+Inputs!$B$27+Inputs!$B$29,MAX(0,(Inputs!$B$3-100)*3)+Inputs!$B$28+Inputs!$B$29)))</f>
        <v/>
      </c>
      <c r="E1892">
        <f>INDEX(FactorTable!$B$2:$Y$301, MATCH(ROUND(MIN(300,MAX(1,D1892)),0), FactorTable!$A$2:$A$301,0), Skills!M17+1)</f>
        <v/>
      </c>
      <c r="F1892">
        <f>IF(Skills!N17=TRUE,(Skills!L17/10)*(E1892/1000),Skills!L17/10)+Skills!O17</f>
        <v/>
      </c>
      <c r="G1892">
        <f>Skills!G17*IF(Skills!H17&gt;0,Skills!I17/Skills!H17,1)</f>
        <v/>
      </c>
      <c r="H1892">
        <f>1-(1-Skills!J17/100)^Skills!K17</f>
        <v/>
      </c>
      <c r="I1892" t="inlineStr">
        <is>
          <t>1</t>
        </is>
      </c>
      <c r="J1892" t="inlineStr"/>
      <c r="K1892" t="inlineStr"/>
      <c r="L1892" t="inlineStr"/>
      <c r="M1892" t="inlineStr"/>
      <c r="N1892" t="inlineStr"/>
      <c r="O1892">
        <f>(1-Summary!$B$11)*T1892+Summary!$B$11*V1892</f>
        <v/>
      </c>
      <c r="P1892">
        <f>IF(B1916=0,0,O1892/B1916)</f>
        <v/>
      </c>
      <c r="Q1892" t="n">
        <v>0</v>
      </c>
      <c r="R1892" t="n">
        <v>0</v>
      </c>
      <c r="S1892">
        <f>IFERROR(O1892/N1892,0)</f>
        <v/>
      </c>
      <c r="T1892" t="n">
        <v>0</v>
      </c>
      <c r="V1892" t="n">
        <v>0</v>
      </c>
    </row>
    <row r="1893">
      <c r="A1893">
        <f>Skills!A18</f>
        <v/>
      </c>
      <c r="B1893">
        <f>Skills!B18</f>
        <v/>
      </c>
      <c r="C1893">
        <f>Inputs!$B$3&gt;=115</f>
        <v/>
      </c>
      <c r="D1893">
        <f>IF(Skills!C18=1,60+Inputs!$B$25+Inputs!$B$29,IF(Skills!C18=2,90+Inputs!$B$26+Inputs!$B$29,IF(Skills!C18=3,120+Inputs!$B$27+Inputs!$B$29,MAX(0,(Inputs!$B$3-100)*3)+Inputs!$B$28+Inputs!$B$29)))</f>
        <v/>
      </c>
      <c r="E1893">
        <f>INDEX(FactorTable!$B$2:$Y$301, MATCH(ROUND(MIN(300,MAX(1,D1893)),0), FactorTable!$A$2:$A$301,0), Skills!M18+1)</f>
        <v/>
      </c>
      <c r="F1893">
        <f>IF(Skills!N18=TRUE,(Skills!L18/10)*(E1893/1000),Skills!L18/10)+Skills!O18</f>
        <v/>
      </c>
      <c r="G1893">
        <f>Skills!G18*IF(Skills!H18&gt;0,Skills!I18/Skills!H18,1)</f>
        <v/>
      </c>
      <c r="H1893">
        <f>1-(1-Skills!J18/100)^Skills!K18</f>
        <v/>
      </c>
      <c r="I1893" t="inlineStr">
        <is>
          <t>1</t>
        </is>
      </c>
      <c r="J1893" t="inlineStr"/>
      <c r="K1893" t="inlineStr"/>
      <c r="L1893" t="inlineStr"/>
      <c r="M1893" t="inlineStr"/>
      <c r="N1893" t="inlineStr"/>
      <c r="O1893">
        <f>(1-Summary!$B$11)*T1893+Summary!$B$11*V1893</f>
        <v/>
      </c>
      <c r="P1893">
        <f>IF(B1916=0,0,O1893/B1916)</f>
        <v/>
      </c>
      <c r="Q1893">
        <f>IFERROR(1/(IF(Inputs!$B$38="pvp",15,MAX(0.1,Skills!D18-IF(Skills!E18=TRUE,Inputs!$B$32,0)))*(1-IF(AND(ArtifactsInput!$M$27,Inputs!$B$4="Chapter Hunt"),CHOOSE(ArtifactsInput!$N$27+1,20,24,28,32,36,40),0)/100)),0)</f>
        <v/>
      </c>
      <c r="R1893">
        <f>IF(AND(Inputs!$B$38&lt;&gt;"pvp",Inputs!$B$43&gt;0),IF(Inputs!$B$43&lt;=0,0,(INT(Inputs!$B$43/(IF(Inputs!$B$38="pvp",15,MAX(0.1,Skills!D18-IF(Skills!E18=TRUE,Inputs!$B$32,0)))*(1-IF(AND(ArtifactsInput!$M$27,Inputs!$B$4="Chapter Hunt"),CHOOSE(ArtifactsInput!$N$27+1,20,24,28,32,36,40),0)/100)))+1)),0)</f>
        <v/>
      </c>
      <c r="S1893">
        <f>IFERROR(O1893/N1893,0)</f>
        <v/>
      </c>
      <c r="T1893" t="n">
        <v>0</v>
      </c>
      <c r="V1893" t="n">
        <v>0</v>
      </c>
    </row>
    <row r="1894">
      <c r="A1894">
        <f>Skills!A19</f>
        <v/>
      </c>
      <c r="B1894">
        <f>Skills!B19</f>
        <v/>
      </c>
      <c r="C1894">
        <f>Inputs!$B$3&gt;=15</f>
        <v/>
      </c>
      <c r="D1894">
        <f>IF(Skills!C19=1,60+Inputs!$B$25+Inputs!$B$29,IF(Skills!C19=2,90+Inputs!$B$26+Inputs!$B$29,IF(Skills!C19=3,120+Inputs!$B$27+Inputs!$B$29,MAX(0,(Inputs!$B$3-100)*3)+Inputs!$B$28+Inputs!$B$29)))</f>
        <v/>
      </c>
      <c r="E1894">
        <f>INDEX(FactorTable!$B$2:$Y$301, MATCH(ROUND(MIN(300,MAX(1,D1894)),0), FactorTable!$A$2:$A$301,0), Skills!M19+1)</f>
        <v/>
      </c>
      <c r="F1894">
        <f>IF(Skills!N19=TRUE,(Skills!L19/10)*(E1894/1000),Skills!L19/10)+Skills!O19</f>
        <v/>
      </c>
      <c r="G1894">
        <f>Skills!G19*IF(Skills!H19&gt;0,Skills!I19/Skills!H19,1)</f>
        <v/>
      </c>
      <c r="H1894">
        <f>1-(1-Skills!J19/100)^Skills!K19</f>
        <v/>
      </c>
      <c r="I1894" t="inlineStr">
        <is>
          <t>1</t>
        </is>
      </c>
      <c r="J1894" t="inlineStr"/>
      <c r="K1894" t="inlineStr"/>
      <c r="L1894" t="inlineStr"/>
      <c r="M1894" t="inlineStr"/>
      <c r="N1894" t="inlineStr"/>
      <c r="O1894">
        <f>(1-Summary!$B$11)*T1894+Summary!$B$11*V1894</f>
        <v/>
      </c>
      <c r="P1894">
        <f>IF(B1916=0,0,O1894/B1916)</f>
        <v/>
      </c>
      <c r="Q1894" t="n">
        <v>0</v>
      </c>
      <c r="R1894" t="n">
        <v>0</v>
      </c>
      <c r="S1894">
        <f>IFERROR(O1894/N1894,0)</f>
        <v/>
      </c>
      <c r="T1894" t="n">
        <v>0</v>
      </c>
      <c r="V1894" t="n">
        <v>0</v>
      </c>
    </row>
    <row r="1895">
      <c r="A1895">
        <f>Skills!A20</f>
        <v/>
      </c>
      <c r="B1895">
        <f>Skills!B20</f>
        <v/>
      </c>
      <c r="C1895">
        <f>Inputs!$B$3&gt;=10</f>
        <v/>
      </c>
      <c r="D1895">
        <f>IF(Skills!C20=1,60+Inputs!$B$25+Inputs!$B$29,IF(Skills!C20=2,90+Inputs!$B$26+Inputs!$B$29,IF(Skills!C20=3,120+Inputs!$B$27+Inputs!$B$29,MAX(0,(Inputs!$B$3-100)*3)+Inputs!$B$28+Inputs!$B$29)))</f>
        <v/>
      </c>
      <c r="E1895">
        <f>INDEX(FactorTable!$B$2:$Y$301, MATCH(ROUND(MIN(300,MAX(1,D1895)),0), FactorTable!$A$2:$A$301,0), Skills!M20+1)</f>
        <v/>
      </c>
      <c r="F1895">
        <f>IF(Skills!N20=TRUE,(Skills!L20/10)*(E1895/1000),Skills!L20/10)+Skills!O20</f>
        <v/>
      </c>
      <c r="G1895">
        <f>Skills!G20*IF(Skills!H20&gt;0,Skills!I20/Skills!H20,1)</f>
        <v/>
      </c>
      <c r="H1895">
        <f>1-(1-Skills!J20/100)^Skills!K20</f>
        <v/>
      </c>
      <c r="I1895" t="inlineStr">
        <is>
          <t>1</t>
        </is>
      </c>
      <c r="J1895" t="inlineStr"/>
      <c r="K1895" t="inlineStr"/>
      <c r="L1895" t="inlineStr"/>
      <c r="M1895" t="inlineStr"/>
      <c r="N1895" t="inlineStr"/>
      <c r="O1895">
        <f>(1-Summary!$B$11)*T1895+Summary!$B$11*V1895</f>
        <v/>
      </c>
      <c r="P1895">
        <f>IF(B1916=0,0,O1895/B1916)</f>
        <v/>
      </c>
      <c r="Q1895" t="n">
        <v>0</v>
      </c>
      <c r="R1895" t="n">
        <v>0</v>
      </c>
      <c r="S1895">
        <f>IFERROR(O1895/N1895,0)</f>
        <v/>
      </c>
      <c r="T1895" t="n">
        <v>0</v>
      </c>
      <c r="V1895" t="n">
        <v>0</v>
      </c>
    </row>
    <row r="1896">
      <c r="A1896">
        <f>Skills!A21</f>
        <v/>
      </c>
      <c r="B1896">
        <f>Skills!B21</f>
        <v/>
      </c>
      <c r="C1896">
        <f>Inputs!$B$3&gt;=33</f>
        <v/>
      </c>
      <c r="D1896">
        <f>IF(Skills!C21=1,60+Inputs!$B$25+Inputs!$B$29,IF(Skills!C21=2,90+Inputs!$B$26+Inputs!$B$29,IF(Skills!C21=3,120+Inputs!$B$27+Inputs!$B$29,MAX(0,(Inputs!$B$3-100)*3)+Inputs!$B$28+Inputs!$B$29)))</f>
        <v/>
      </c>
      <c r="E1896">
        <f>INDEX(FactorTable!$B$2:$Y$301, MATCH(ROUND(MIN(300,MAX(1,D1896)),0), FactorTable!$A$2:$A$301,0), Skills!M21+1)</f>
        <v/>
      </c>
      <c r="F1896">
        <f>IF(Skills!N21=TRUE,(Skills!L21/10)*(E1896/1000),Skills!L21/10)+Skills!O21</f>
        <v/>
      </c>
      <c r="G1896">
        <f>Skills!G21*IF(Skills!H21&gt;0,Skills!I21/Skills!H21,1)</f>
        <v/>
      </c>
      <c r="H1896">
        <f>1-(1-Skills!J21/100)^Skills!K21</f>
        <v/>
      </c>
      <c r="I1896" t="inlineStr">
        <is>
          <t>1</t>
        </is>
      </c>
      <c r="J1896" t="inlineStr"/>
      <c r="K1896" t="inlineStr"/>
      <c r="L1896" t="inlineStr"/>
      <c r="M1896" t="inlineStr"/>
      <c r="N1896" t="inlineStr"/>
      <c r="O1896">
        <f>(1-Summary!$B$11)*T1896+Summary!$B$11*V1896</f>
        <v/>
      </c>
      <c r="P1896">
        <f>IF(B1916=0,0,O1896/B1916)</f>
        <v/>
      </c>
      <c r="Q1896" t="n">
        <v>0</v>
      </c>
      <c r="R1896" t="n">
        <v>0</v>
      </c>
      <c r="S1896">
        <f>IFERROR(O1896/N1896,0)</f>
        <v/>
      </c>
      <c r="T1896" t="n">
        <v>0</v>
      </c>
      <c r="V1896" t="n">
        <v>0</v>
      </c>
    </row>
    <row r="1897">
      <c r="A1897">
        <f>Skills!A22</f>
        <v/>
      </c>
      <c r="B1897">
        <f>Skills!B22</f>
        <v/>
      </c>
      <c r="C1897">
        <f>Inputs!$B$3&gt;=43</f>
        <v/>
      </c>
      <c r="D1897">
        <f>IF(Skills!C22=1,60+Inputs!$B$25+Inputs!$B$29,IF(Skills!C22=2,90+Inputs!$B$26+Inputs!$B$29,IF(Skills!C22=3,120+Inputs!$B$27+Inputs!$B$29,MAX(0,(Inputs!$B$3-100)*3)+Inputs!$B$28+Inputs!$B$29)))</f>
        <v/>
      </c>
      <c r="E1897">
        <f>INDEX(FactorTable!$B$2:$Y$301, MATCH(ROUND(MIN(300,MAX(1,D1897)),0), FactorTable!$A$2:$A$301,0), Skills!M22+1)</f>
        <v/>
      </c>
      <c r="F1897">
        <f>IF(Skills!N22=TRUE,(Skills!L22/10)*(E1897/1000),Skills!L22/10)+Skills!O22</f>
        <v/>
      </c>
      <c r="G1897">
        <f>Skills!G22*IF(Skills!H22&gt;0,Skills!I22/Skills!H22,1)</f>
        <v/>
      </c>
      <c r="H1897">
        <f>1-(1-Skills!J22/100)^Skills!K22</f>
        <v/>
      </c>
      <c r="I1897" t="inlineStr">
        <is>
          <t>1</t>
        </is>
      </c>
      <c r="J1897" t="inlineStr"/>
      <c r="K1897" t="inlineStr"/>
      <c r="L1897" t="inlineStr"/>
      <c r="M1897" t="inlineStr"/>
      <c r="N1897" t="inlineStr"/>
      <c r="O1897">
        <f>(1-Summary!$B$11)*T1897+Summary!$B$11*V1897</f>
        <v/>
      </c>
      <c r="P1897">
        <f>IF(B1916=0,0,O1897/B1916)</f>
        <v/>
      </c>
      <c r="Q1897" t="n">
        <v>0</v>
      </c>
      <c r="R1897" t="n">
        <v>0</v>
      </c>
      <c r="S1897">
        <f>IFERROR(O1897/N1897,0)</f>
        <v/>
      </c>
      <c r="T1897" t="n">
        <v>0</v>
      </c>
      <c r="V1897" t="n">
        <v>0</v>
      </c>
    </row>
    <row r="1898">
      <c r="A1898">
        <f>Skills!A23</f>
        <v/>
      </c>
      <c r="B1898">
        <f>Skills!B23</f>
        <v/>
      </c>
      <c r="C1898">
        <f>Inputs!$B$3&gt;=38</f>
        <v/>
      </c>
      <c r="D1898">
        <f>IF(Skills!C23=1,60+Inputs!$B$25+Inputs!$B$29,IF(Skills!C23=2,90+Inputs!$B$26+Inputs!$B$29,IF(Skills!C23=3,120+Inputs!$B$27+Inputs!$B$29,MAX(0,(Inputs!$B$3-100)*3)+Inputs!$B$28+Inputs!$B$29)))</f>
        <v/>
      </c>
      <c r="E1898">
        <f>INDEX(FactorTable!$B$2:$Y$301, MATCH(ROUND(MIN(300,MAX(1,D1898)),0), FactorTable!$A$2:$A$301,0), Skills!M23+1)</f>
        <v/>
      </c>
      <c r="F1898">
        <f>IF(Skills!N23=TRUE,(Skills!L23/10)*(E1898/1000),Skills!L23/10)+Skills!O23</f>
        <v/>
      </c>
      <c r="G1898">
        <f>Skills!G23*IF(Skills!H23&gt;0,Skills!I23/Skills!H23,1)</f>
        <v/>
      </c>
      <c r="H1898">
        <f>1-(1-Skills!J23/100)^Skills!K23</f>
        <v/>
      </c>
      <c r="I1898" t="inlineStr">
        <is>
          <t>1</t>
        </is>
      </c>
      <c r="J1898" t="inlineStr"/>
      <c r="K1898" t="inlineStr"/>
      <c r="L1898" t="inlineStr"/>
      <c r="M1898" t="inlineStr"/>
      <c r="N1898" t="inlineStr"/>
      <c r="O1898">
        <f>(1-Summary!$B$11)*T1898+Summary!$B$11*V1898</f>
        <v/>
      </c>
      <c r="P1898">
        <f>IF(B1916=0,0,O1898/B1916)</f>
        <v/>
      </c>
      <c r="Q1898" t="n">
        <v>0</v>
      </c>
      <c r="R1898" t="n">
        <v>0</v>
      </c>
      <c r="S1898">
        <f>IFERROR(O1898/N1898,0)</f>
        <v/>
      </c>
      <c r="T1898" t="n">
        <v>0</v>
      </c>
      <c r="V1898" t="n">
        <v>0</v>
      </c>
    </row>
    <row r="1899">
      <c r="A1899">
        <f>Skills!A24</f>
        <v/>
      </c>
      <c r="B1899">
        <f>Skills!B24</f>
        <v/>
      </c>
      <c r="C1899">
        <f>Inputs!$B$3&gt;=40</f>
        <v/>
      </c>
      <c r="D1899">
        <f>IF(Skills!C24=1,60+Inputs!$B$25+Inputs!$B$29,IF(Skills!C24=2,90+Inputs!$B$26+Inputs!$B$29,IF(Skills!C24=3,120+Inputs!$B$27+Inputs!$B$29,MAX(0,(Inputs!$B$3-100)*3)+Inputs!$B$28+Inputs!$B$29)))</f>
        <v/>
      </c>
      <c r="E1899">
        <f>INDEX(FactorTable!$B$2:$Y$301, MATCH(ROUND(MIN(300,MAX(1,D1899)),0), FactorTable!$A$2:$A$301,0), Skills!M24+1)</f>
        <v/>
      </c>
      <c r="F1899">
        <f>IF(Skills!N24=TRUE,(Skills!L24/10)*(E1899/1000),Skills!L24/10)+Skills!O24</f>
        <v/>
      </c>
      <c r="G1899">
        <f>Skills!G24*IF(Skills!H24&gt;0,Skills!I24/Skills!H24,1)</f>
        <v/>
      </c>
      <c r="H1899">
        <f>1-(1-Skills!J24/100)^Skills!K24</f>
        <v/>
      </c>
      <c r="I1899" t="inlineStr">
        <is>
          <t>1</t>
        </is>
      </c>
      <c r="J1899" t="inlineStr"/>
      <c r="K1899" t="inlineStr"/>
      <c r="L1899" t="inlineStr"/>
      <c r="M1899" t="inlineStr"/>
      <c r="N1899" t="inlineStr"/>
      <c r="O1899">
        <f>(1-Summary!$B$11)*T1899+Summary!$B$11*V1899</f>
        <v/>
      </c>
      <c r="P1899">
        <f>IF(B1916=0,0,O1899/B1916)</f>
        <v/>
      </c>
      <c r="Q1899" t="n">
        <v>0</v>
      </c>
      <c r="R1899" t="n">
        <v>0</v>
      </c>
      <c r="S1899">
        <f>IFERROR(O1899/N1899,0)</f>
        <v/>
      </c>
      <c r="T1899" t="n">
        <v>0</v>
      </c>
      <c r="V1899" t="n">
        <v>0</v>
      </c>
    </row>
    <row r="1900">
      <c r="A1900">
        <f>Skills!A25</f>
        <v/>
      </c>
      <c r="B1900">
        <f>Skills!B25</f>
        <v/>
      </c>
      <c r="C1900">
        <f>Inputs!$B$3&gt;=72</f>
        <v/>
      </c>
      <c r="D1900">
        <f>IF(Skills!C25=1,60+Inputs!$B$25+Inputs!$B$29,IF(Skills!C25=2,90+Inputs!$B$26+Inputs!$B$29,IF(Skills!C25=3,120+Inputs!$B$27+Inputs!$B$29,MAX(0,(Inputs!$B$3-100)*3)+Inputs!$B$28+Inputs!$B$29)))</f>
        <v/>
      </c>
      <c r="E1900">
        <f>INDEX(FactorTable!$B$2:$Y$301, MATCH(ROUND(MIN(300,MAX(1,D1900)),0), FactorTable!$A$2:$A$301,0), Skills!M25+1)</f>
        <v/>
      </c>
      <c r="F1900">
        <f>IF(Skills!N25=TRUE,(Skills!L25/10)*(E1900/1000),Skills!L25/10)+Skills!O25</f>
        <v/>
      </c>
      <c r="G1900">
        <f>Skills!G25*IF(Skills!H25&gt;0,Skills!I25/Skills!H25,1)</f>
        <v/>
      </c>
      <c r="H1900">
        <f>1-(1-Skills!J25/100)^Skills!K25</f>
        <v/>
      </c>
      <c r="I1900" t="inlineStr">
        <is>
          <t>1</t>
        </is>
      </c>
      <c r="J1900" t="inlineStr"/>
      <c r="K1900" t="inlineStr"/>
      <c r="L1900" t="inlineStr"/>
      <c r="M1900" t="inlineStr"/>
      <c r="N1900" t="inlineStr"/>
      <c r="O1900">
        <f>(1-Summary!$B$11)*T1900+Summary!$B$11*V1900</f>
        <v/>
      </c>
      <c r="P1900">
        <f>IF(B1916=0,0,O1900/B1916)</f>
        <v/>
      </c>
      <c r="Q1900" t="n">
        <v>0</v>
      </c>
      <c r="R1900" t="n">
        <v>0</v>
      </c>
      <c r="S1900">
        <f>IFERROR(O1900/N1900,0)</f>
        <v/>
      </c>
      <c r="T1900" t="n">
        <v>0</v>
      </c>
      <c r="V1900" t="n">
        <v>0</v>
      </c>
    </row>
    <row r="1901">
      <c r="A1901">
        <f>Skills!A26</f>
        <v/>
      </c>
      <c r="B1901">
        <f>Skills!B26</f>
        <v/>
      </c>
      <c r="C1901">
        <f>Inputs!$B$3&gt;=75</f>
        <v/>
      </c>
      <c r="D1901">
        <f>IF(Skills!C26=1,60+Inputs!$B$25+Inputs!$B$29,IF(Skills!C26=2,90+Inputs!$B$26+Inputs!$B$29,IF(Skills!C26=3,120+Inputs!$B$27+Inputs!$B$29,MAX(0,(Inputs!$B$3-100)*3)+Inputs!$B$28+Inputs!$B$29)))</f>
        <v/>
      </c>
      <c r="E1901">
        <f>INDEX(FactorTable!$B$2:$Y$301, MATCH(ROUND(MIN(300,MAX(1,D1901)),0), FactorTable!$A$2:$A$301,0), Skills!M26+1)</f>
        <v/>
      </c>
      <c r="F1901">
        <f>IF(Skills!N26=TRUE,(Skills!L26/10)*(E1901/1000),Skills!L26/10)+Skills!O26</f>
        <v/>
      </c>
      <c r="G1901">
        <f>Skills!G26*IF(Skills!H26&gt;0,Skills!I26/Skills!H26,1)</f>
        <v/>
      </c>
      <c r="H1901">
        <f>1-(1-Skills!J26/100)^Skills!K26</f>
        <v/>
      </c>
      <c r="I1901" t="inlineStr">
        <is>
          <t>1</t>
        </is>
      </c>
      <c r="J1901" t="inlineStr"/>
      <c r="K1901" t="inlineStr"/>
      <c r="L1901" t="inlineStr"/>
      <c r="M1901" t="inlineStr"/>
      <c r="N1901" t="inlineStr"/>
      <c r="O1901">
        <f>(1-Summary!$B$11)*T1901+Summary!$B$11*V1901</f>
        <v/>
      </c>
      <c r="P1901">
        <f>IF(B1916=0,0,O1901/B1916)</f>
        <v/>
      </c>
      <c r="Q1901" t="n">
        <v>0</v>
      </c>
      <c r="R1901" t="n">
        <v>0</v>
      </c>
      <c r="S1901">
        <f>IFERROR(O1901/N1901,0)</f>
        <v/>
      </c>
      <c r="T1901" t="n">
        <v>0</v>
      </c>
      <c r="V1901" t="n">
        <v>0</v>
      </c>
    </row>
    <row r="1902">
      <c r="A1902">
        <f>Skills!A27</f>
        <v/>
      </c>
      <c r="B1902">
        <f>Skills!B27</f>
        <v/>
      </c>
      <c r="C1902">
        <f>Inputs!$B$3&gt;=117</f>
        <v/>
      </c>
      <c r="D1902">
        <f>IF(Skills!C27=1,60+Inputs!$B$25+Inputs!$B$29,IF(Skills!C27=2,90+Inputs!$B$26+Inputs!$B$29,IF(Skills!C27=3,120+Inputs!$B$27+Inputs!$B$29,MAX(0,(Inputs!$B$3-100)*3)+Inputs!$B$28+Inputs!$B$29)))</f>
        <v/>
      </c>
      <c r="E1902">
        <f>INDEX(FactorTable!$B$2:$Y$301, MATCH(ROUND(MIN(300,MAX(1,D1902)),0), FactorTable!$A$2:$A$301,0), Skills!M27+1)</f>
        <v/>
      </c>
      <c r="F1902">
        <f>IF(Skills!N27=TRUE,(Skills!L27/10)*(E1902/1000),Skills!L27/10)+Skills!O27</f>
        <v/>
      </c>
      <c r="G1902">
        <f>Skills!G27*IF(Skills!H27&gt;0,Skills!I27/Skills!H27,1)</f>
        <v/>
      </c>
      <c r="H1902">
        <f>1-(1-Skills!J27/100)^Skills!K27</f>
        <v/>
      </c>
      <c r="I1902" t="inlineStr">
        <is>
          <t>1</t>
        </is>
      </c>
      <c r="J1902" t="inlineStr"/>
      <c r="K1902" t="inlineStr"/>
      <c r="L1902" t="inlineStr"/>
      <c r="M1902" t="inlineStr"/>
      <c r="N1902" t="inlineStr"/>
      <c r="O1902">
        <f>(1-Summary!$B$11)*T1902+Summary!$B$11*V1902</f>
        <v/>
      </c>
      <c r="P1902">
        <f>IF(B1916=0,0,O1902/B1916)</f>
        <v/>
      </c>
      <c r="Q1902" t="n">
        <v>0</v>
      </c>
      <c r="R1902" t="n">
        <v>0</v>
      </c>
      <c r="S1902">
        <f>IFERROR(O1902/N1902,0)</f>
        <v/>
      </c>
      <c r="T1902" t="n">
        <v>0</v>
      </c>
      <c r="V1902" t="n">
        <v>0</v>
      </c>
    </row>
    <row r="1903">
      <c r="A1903">
        <f>Skills!A28</f>
        <v/>
      </c>
      <c r="B1903">
        <f>Skills!B28</f>
        <v/>
      </c>
      <c r="C1903">
        <f>TRUE</f>
        <v/>
      </c>
      <c r="D1903">
        <f>IF(Skills!C28=1,60+Inputs!$B$25+Inputs!$B$29,IF(Skills!C28=2,90+Inputs!$B$26+Inputs!$B$29,IF(Skills!C28=3,120+Inputs!$B$27+Inputs!$B$29,MAX(0,(Inputs!$B$3-100)*3)+Inputs!$B$28+Inputs!$B$29)))</f>
        <v/>
      </c>
      <c r="E1903">
        <f>INDEX(FactorTable!$B$2:$Y$301, MATCH(ROUND(MIN(300,MAX(1,D1903)),0), FactorTable!$A$2:$A$301,0), Skills!M28+1)</f>
        <v/>
      </c>
      <c r="F1903">
        <f>IF(Skills!N28=TRUE,(Skills!L28/10)*(E1903/1000),Skills!L28/10)+Skills!O28</f>
        <v/>
      </c>
      <c r="G1903">
        <f>Skills!G28*IF(Skills!H28&gt;0,Skills!I28/Skills!H28,1)</f>
        <v/>
      </c>
      <c r="H1903">
        <f>1-(1-Skills!J28/100)^Skills!K28</f>
        <v/>
      </c>
      <c r="I1903" t="inlineStr">
        <is>
          <t>1</t>
        </is>
      </c>
      <c r="J1903" t="inlineStr"/>
      <c r="K1903" t="inlineStr"/>
      <c r="L1903" t="inlineStr"/>
      <c r="M1903" t="inlineStr"/>
      <c r="N1903" t="inlineStr"/>
      <c r="O1903">
        <f>(1-Summary!$B$11)*T1903+Summary!$B$11*V1903</f>
        <v/>
      </c>
      <c r="P1903">
        <f>IF(B1916=0,0,O1903/B1916)</f>
        <v/>
      </c>
      <c r="Q1903">
        <f>IFERROR(1/(IF(Inputs!$B$38="pvp",15,MAX(0.1,Skills!D28-IF(Skills!E28=TRUE,Inputs!$B$32,0)))*(1-IF(AND(ArtifactsInput!$M$27,Inputs!$B$4="Chapter Hunt"),CHOOSE(ArtifactsInput!$N$27+1,20,24,28,32,36,40),0)/100)),0)</f>
        <v/>
      </c>
      <c r="R1903">
        <f>IF(AND(Inputs!$B$38&lt;&gt;"pvp",Inputs!$B$43&gt;0),IF(Inputs!$B$43&lt;=0,0,(INT(Inputs!$B$43/(IF(Inputs!$B$38="pvp",15,MAX(0.1,Skills!D28-IF(Skills!E28=TRUE,Inputs!$B$32,0)))*(1-IF(AND(ArtifactsInput!$M$27,Inputs!$B$4="Chapter Hunt"),CHOOSE(ArtifactsInput!$N$27+1,20,24,28,32,36,40),0)/100)))+1)),0)</f>
        <v/>
      </c>
      <c r="S1903">
        <f>IFERROR(O1903/N1903,0)</f>
        <v/>
      </c>
      <c r="T1903" t="n">
        <v>0</v>
      </c>
      <c r="V1903" t="n">
        <v>0</v>
      </c>
    </row>
    <row r="1905">
      <c r="A1905" t="inlineStr">
        <is>
          <t>Attack% Bucket Multiplier</t>
        </is>
      </c>
      <c r="B1905">
        <f>(1+(((C1892=TRUE)*F1892*5/7)+((C1899=TRUE)*(F1899-Calc!F24))+(IF(ArtifactsInput!$M$21,CHOOSE(ArtifactsInput!$N$21+1,25,30,35,40,45,50)*(IF(OR(Inputs!$B$4="Chapter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06">
      <c r="A1906" t="inlineStr">
        <is>
          <t>Global Crit Rate Bonus %</t>
        </is>
      </c>
      <c r="B1906" t="n">
        <v>0</v>
      </c>
    </row>
    <row r="1907">
      <c r="A1907" t="inlineStr">
        <is>
          <t>Attack Speed Buff Bonus % (Nimble Feet, duty-cycle averaged)</t>
        </is>
      </c>
      <c r="B1907">
        <f>((C1903=TRUE)*F1903*IF(AND(Inputs!$B$38&lt;&gt;"pvp",Inputs!$B$43&gt;0),(((R1903-1)*(Skills!T28*(1+Inputs!$B$34/100))+MIN((Skills!T28*(1+Inputs!$B$34/100)),MAX(0,Inputs!$B$43-((R1903-1)*Skills!D28))))/Inputs!$B$43),IF(Inputs!$B$38="pvp",MIN((Skills!T28*(1+Inputs!$B$34/100)),15)/15,(Skills!T28*(1+Inputs!$B$34/100))/Skills!D28)))</f>
        <v/>
      </c>
    </row>
    <row r="1908">
      <c r="A1908" t="inlineStr">
        <is>
          <t>Actions Per Second</t>
        </is>
      </c>
      <c r="B1908">
        <f>1+MIN(150,150*(1-(1-(Inputs!$B$11+((C1895=TRUE)*(F1895-Calc!F20))+((C1896=TRUE)*(F1896-Calc!F21)))/150)*(1-B1907/150)))/100</f>
        <v/>
      </c>
    </row>
    <row r="1909">
      <c r="A1909" t="inlineStr">
        <is>
          <t>Skill + Buff Cast Rate</t>
        </is>
      </c>
      <c r="B1909">
        <f>IF(AND(Inputs!$B$38&lt;&gt;"pvp",Inputs!$B$43&gt;0),SUMPRODUCT((Skills!E2:E28=TRUE)*(C1877:C1903=TRUE)*R1877:R1903*Skills!F2:F28)/Inputs!$B$43,SUMPRODUCT((Skills!E2:E28=TRUE)*(C1877:C1903=TRUE)*Q1877:Q1903*Skills!F2:F28))</f>
        <v/>
      </c>
    </row>
    <row r="1910">
      <c r="A1910" t="inlineStr">
        <is>
          <t>Eight-Legs Easton Casts Per Second</t>
        </is>
      </c>
      <c r="B1910">
        <f>MAX(0,B1908-B1909)</f>
        <v/>
      </c>
    </row>
    <row r="1911">
      <c r="A1911" t="inlineStr">
        <is>
          <t>Global Critical Damage Bonus % (unused)</t>
        </is>
      </c>
      <c r="B1911" t="n">
        <v>0</v>
      </c>
    </row>
    <row r="1912">
      <c r="A1912" t="inlineStr">
        <is>
          <t>Global Final Damage Bonus % (Jolly Roger + Ahoy Mateys - Final Damage proc)</t>
        </is>
      </c>
      <c r="B1912">
        <f>((C1893=TRUE)*F1893*IF(AND(Inputs!$B$38&lt;&gt;"pvp",Inputs!$B$43&gt;0),(((R1893-1)*(Skills!T18*(1+Inputs!$B$34/100))+MIN((Skills!T18*(1+Inputs!$B$34/100)),MAX(0,Inputs!$B$43-((R1893-1)*Skills!D18))))/Inputs!$B$43),IF(Inputs!$B$38="pvp",MIN((Skills!T18*(1+Inputs!$B$34/100)),15)/15,(Skills!T18*(1+Inputs!$B$34/100))/Skills!D18)))+IF(Inputs!$B$3&gt;=122,20*IF(Inputs!$B$38="pvp",MIN((20*(1+Inputs!$B$34/100)),15)/15,(20*(1+Inputs!$B$34/100))/Skills!D4),0)</f>
        <v/>
      </c>
    </row>
    <row r="1913">
      <c r="A1913" t="inlineStr">
        <is>
          <t>Buff-Casting Startup Delay (s, fixed-duration only)</t>
        </is>
      </c>
      <c r="B1913">
        <f>IF(AND(Inputs!$B$38&lt;&gt;"pvp",Inputs!$B$43&gt;0),SUMPRODUCT((Skills!T2:T28&gt;0)*(Skills!E2:E28=TRUE)*(C1877:C1903=TRUE))/B1908,0)</f>
        <v/>
      </c>
    </row>
    <row r="1914">
      <c r="A1914" t="inlineStr">
        <is>
          <t>Boss-Only Total DPS (this block's swept value)</t>
        </is>
      </c>
      <c r="B1914">
        <f>SUM(T1877:T1903)</f>
        <v/>
      </c>
    </row>
    <row r="1915">
      <c r="A1915" t="inlineStr">
        <is>
          <t>Normal-Only Total DPS (this block's swept value)</t>
        </is>
      </c>
      <c r="B1915">
        <f>SUM(V1877:V1903)</f>
        <v/>
      </c>
    </row>
    <row r="1916">
      <c r="A1916" s="6" t="inlineStr">
        <is>
          <t>TOTAL DPS</t>
        </is>
      </c>
      <c r="B1916" s="6">
        <f>SUM(O1877:O1903)</f>
        <v/>
      </c>
    </row>
    <row r="1919">
      <c r="A1919" s="6" t="inlineStr">
        <is>
          <t>Stat: Star Rock (Equip)</t>
        </is>
      </c>
    </row>
    <row r="1920">
      <c r="A1920" s="5" t="inlineStr">
        <is>
          <t>Key</t>
        </is>
      </c>
      <c r="B1920" s="5" t="inlineStr">
        <is>
          <t>Name</t>
        </is>
      </c>
      <c r="C1920" s="5" t="inlineStr">
        <is>
          <t>Unlocked</t>
        </is>
      </c>
      <c r="D1920" s="5" t="inlineStr">
        <is>
          <t>InputLevel</t>
        </is>
      </c>
      <c r="E1920" s="5" t="inlineStr">
        <is>
          <t>Factor</t>
        </is>
      </c>
      <c r="F1920" s="5" t="inlineStr">
        <is>
          <t>CoefficientPercent</t>
        </is>
      </c>
      <c r="G1920" s="5" t="inlineStr">
        <is>
          <t>EffectiveHits</t>
        </is>
      </c>
      <c r="H1920" s="5" t="inlineStr">
        <is>
          <t>ProcProbability</t>
        </is>
      </c>
      <c r="I1920" s="5" t="inlineStr">
        <is>
          <t>MapleHeroMultiplier</t>
        </is>
      </c>
      <c r="J1920" s="5" t="inlineStr">
        <is>
          <t>BaseDamage</t>
        </is>
      </c>
      <c r="K1920" s="5" t="inlineStr">
        <is>
          <t>BaseHitDamage</t>
        </is>
      </c>
      <c r="L1920" s="5" t="inlineStr">
        <is>
          <t>NonCritAvg</t>
        </is>
      </c>
      <c r="M1920" s="5" t="inlineStr">
        <is>
          <t>CritAvg</t>
        </is>
      </c>
      <c r="N1920" s="5" t="inlineStr">
        <is>
          <t>ExpectedDamage(perHit)</t>
        </is>
      </c>
      <c r="O1920" s="5" t="inlineStr">
        <is>
          <t>DPS</t>
        </is>
      </c>
      <c r="P1920" s="5" t="inlineStr">
        <is>
          <t>% of Total</t>
        </is>
      </c>
      <c r="Q1920" s="5" t="inlineStr">
        <is>
          <t>InvCooldown</t>
        </is>
      </c>
      <c r="R1920" s="5" t="inlineStr">
        <is>
          <t>CastsInFight</t>
        </is>
      </c>
      <c r="S1920" s="5" t="inlineStr">
        <is>
          <t>HitRate(perSec)</t>
        </is>
      </c>
      <c r="U1920" t="inlineStr">
        <is>
          <t>helpers</t>
        </is>
      </c>
    </row>
    <row r="1921">
      <c r="A1921">
        <f>Skills!A2</f>
        <v/>
      </c>
      <c r="B1921">
        <f>Skills!B2</f>
        <v/>
      </c>
      <c r="C1921">
        <f>Inputs!$B$3&gt;=100</f>
        <v/>
      </c>
      <c r="D1921" t="inlineStr"/>
      <c r="E1921" t="inlineStr"/>
      <c r="F1921">
        <f>U1923+Skills!O2</f>
        <v/>
      </c>
      <c r="G1921">
        <f>Skills!G2*IF(Skills!H2&gt;0,Skills!I2/Skills!H2,1)</f>
        <v/>
      </c>
      <c r="H1921">
        <f>1-(1-Skills!J2/100)^Skills!K2</f>
        <v/>
      </c>
      <c r="I1921" t="inlineStr">
        <is>
          <t>1</t>
        </is>
      </c>
      <c r="J1921">
        <f>((Inputs!$B$6*(1+Inputs!$B$7/100))+(((Inputs!$B$12*(1+Inputs!$B$13/100))-(Inputs!$B$12*(1+Inputs!$B$13/100)))+0.25*(Inputs!$B$14-Inputs!$B$14))*(1+Inputs!$B$7/100))*(F1921/100)</f>
        <v/>
      </c>
      <c r="K1921">
        <f>J1921*(1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1921)</f>
        <v/>
      </c>
      <c r="L1921">
        <f>K1921*(MIN(Inputs!$B$22+((C1941=TRUE)*(F1941-Calc!F22)),(Inputs!$B$23+0+(IF(ArtifactsInput!$M$15,CHOOSE(ArtifactsInput!$N$15+1,25,30,35,40,45,50)/100*(Inputs!$B$11-Inputs!$B$11),0))))/100+(Inputs!$B$23+0+(IF(ArtifactsInput!$M$15,CHOOSE(ArtifactsInput!$N$15+1,25,30,35,40,45,50)/100*(Inputs!$B$11-Inputs!$B$11),0)))/100)/2</f>
        <v/>
      </c>
      <c r="M1921">
        <f>L1921*(1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1">
        <f>L1921*(1-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1">
        <f>(1-Summary!$B$11)*T1921+Summary!$B$11*V1921</f>
        <v/>
      </c>
      <c r="P1921">
        <f>IF(B1960=0,0,O1921/B1960)</f>
        <v/>
      </c>
      <c r="Q1921" t="n">
        <v>0</v>
      </c>
      <c r="R1921" t="n">
        <v>0</v>
      </c>
      <c r="S1921">
        <f>IFERROR(O1921/N1921,0)</f>
        <v/>
      </c>
      <c r="T1921">
        <f>IF(C1921,(Skills!G2*N1921*B1954)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1921*(1-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1">
        <f>MAX(0,(Inputs!$B$3-100)*3)+Inputs!$B$28+Inputs!$B$29</f>
        <v/>
      </c>
      <c r="V1921">
        <f>IF(C1921,(Skills!G2*N1921*B1954)*IF(Inputs!$B$38="pvp",1,(1+(Inputs!$B$21+Skills!Q2+(IF(ArtifactsInput!$M$33,CHOOSE(ArtifactsInput!$N$33+1,30,36,42,48,54,60),0))+(IF(AND(ArtifactsInput!$M$35,Inputs!$B$4&lt;&gt;"Chapter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2">
      <c r="A1922">
        <f>Skills!A3</f>
        <v/>
      </c>
      <c r="B1922">
        <f>Skills!B3</f>
        <v/>
      </c>
      <c r="C1922">
        <f>Inputs!$B$3&gt;=35</f>
        <v/>
      </c>
      <c r="D1922">
        <f>IF(Skills!C3=1,60+Inputs!$B$25+Inputs!$B$29,IF(Skills!C3=2,90+Inputs!$B$26+Inputs!$B$29,IF(Skills!C3=3,120+Inputs!$B$27+Inputs!$B$29,MAX(0,(Inputs!$B$3-100)*3)+Inputs!$B$28+Inputs!$B$29)))</f>
        <v/>
      </c>
      <c r="E1922">
        <f>INDEX(FactorTable!$B$2:$Y$301, MATCH(ROUND(MIN(300,MAX(1,D1922)),0), FactorTable!$A$2:$A$301,0), Skills!M3+1)</f>
        <v/>
      </c>
      <c r="F1922">
        <f>IF(Skills!N3=TRUE,(Skills!L3/10)*(E1922/1000),Skills!L3/10)+Skills!O3</f>
        <v/>
      </c>
      <c r="G1922">
        <f>Skills!G3*IF(Skills!H3&gt;0,Skills!I3/Skills!H3,1)</f>
        <v/>
      </c>
      <c r="H1922">
        <f>1-(1-Skills!J3/100)^Skills!K3</f>
        <v/>
      </c>
      <c r="I1922" t="inlineStr">
        <is>
          <t>1</t>
        </is>
      </c>
      <c r="J1922">
        <f>((Inputs!$B$6*(1+Inputs!$B$7/100))+(((Inputs!$B$12*(1+Inputs!$B$13/100))-(Inputs!$B$12*(1+Inputs!$B$13/100)))+0.25*(Inputs!$B$14-Inputs!$B$14))*(1+Inputs!$B$7/100))*(F1922/100)</f>
        <v/>
      </c>
      <c r="K1922">
        <f>J1922*(1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1934=TRUE,F1934,0)/100)*(1+(IF(Skills!A3="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1922)</f>
        <v/>
      </c>
      <c r="L1922">
        <f>K1922*(MIN(Inputs!$B$22+((C1941=TRUE)*(F1941-Calc!F22)),(Inputs!$B$23+0+(IF(ArtifactsInput!$M$15,CHOOSE(ArtifactsInput!$N$15+1,25,30,35,40,45,50)/100*(Inputs!$B$11-Inputs!$B$11),0))))/100+(Inputs!$B$23+0+(IF(ArtifactsInput!$M$15,CHOOSE(ArtifactsInput!$N$15+1,25,30,35,40,45,50)/100*(Inputs!$B$11-Inputs!$B$11),0)))/100)/2</f>
        <v/>
      </c>
      <c r="M1922">
        <f>L1922*(1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2">
        <f>L1922*(1-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1922*(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2">
        <f>(1-Summary!$B$11)*T1922+Summary!$B$11*V1922</f>
        <v/>
      </c>
      <c r="P1922">
        <f>IF(B1960=0,0,O1922/B1960)</f>
        <v/>
      </c>
      <c r="Q1922">
        <f>IFERROR(1/(IF(Inputs!$B$38="pvp",15,MAX(0.1,Skills!D3-IF(Skills!E3=TRUE,Inputs!$B$32,0)))*(1-IF(AND(ArtifactsInput!$M$27,Inputs!$B$4="Chapter Hunt"),CHOOSE(ArtifactsInput!$N$27+1,20,24,28,32,36,40),0)/100)),0)</f>
        <v/>
      </c>
      <c r="R1922">
        <f>IF(AND(Inputs!$B$38&lt;&gt;"pvp",Inputs!$B$43&gt;0),IF(MAX(0,Inputs!$B$43-B1957)&lt;=0,0,(INT(MAX(0,Inputs!$B$43-B1957)/(IF(Inputs!$B$38="pvp",15,MAX(0.1,Skills!D3-IF(Skills!E3=TRUE,Inputs!$B$32,0)))*(1-IF(AND(ArtifactsInput!$M$27,Inputs!$B$4="Chapter Hunt"),CHOOSE(ArtifactsInput!$N$27+1,20,24,28,32,36,40),0)/100)))+1)),0)</f>
        <v/>
      </c>
      <c r="S1922">
        <f>IFERROR(O1922/N1922,0)</f>
        <v/>
      </c>
      <c r="T1922">
        <f>IF(C1922,(H1922*N1922*IF(AND(Inputs!$B$38&lt;&gt;"pvp",Inputs!$B$43&gt;0),((Skills!G3*((R1922-1)*IF(Skills!H3&gt;0,Skills!I3/Skills!H3,1)+IF(Skills!H3&gt;0,MIN(Skills!I3,MAX(0,MAX(0,Inputs!$B$43-B1957)-((R1922-1)*(IF(Inputs!$B$38="pvp",15,MAX(0.1,Skills!D3-IF(Skills!E3=TRUE,Inputs!$B$32,0)))*(1-IF(AND(ArtifactsInput!$M$27,Inputs!$B$4="Chapter Hunt"),CHOOSE(ArtifactsInput!$N$27+1,20,24,28,32,36,40),0)/100)))))/Skills!H3,1)))/Inputs!$B$43),G1922*Q1922)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1922*(1-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1922*(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1922*(1-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1922*(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2">
        <f>INDEX(FactorTable!$B$2:$Y$301, MATCH(ROUND(MIN(300,MAX(1,U1921)),0), FactorTable!$A$2:$A$301,0), 22)</f>
        <v/>
      </c>
      <c r="V1922">
        <f>IF(C1922,(H1922*N1922*IF(AND(Inputs!$B$38&lt;&gt;"pvp",Inputs!$B$43&gt;0),((Skills!G3*((R1922-1)*IF(Skills!H3&gt;0,Skills!I3/Skills!H3,1)+IF(Skills!H3&gt;0,MIN(Skills!I3,MAX(0,MAX(0,Inputs!$B$43-B1957)-((R1922-1)*(IF(Inputs!$B$38="pvp",15,MAX(0.1,Skills!D3-IF(Skills!E3=TRUE,Inputs!$B$32,0)))*(1-IF(AND(ArtifactsInput!$M$27,Inputs!$B$4="Chapter Hunt"),CHOOSE(ArtifactsInput!$N$27+1,20,24,28,32,36,40),0)/100)))))/Skills!H3,1)))/Inputs!$B$43),G1922*Q1922))*IF(Inputs!$B$38="pvp",1,(1+(Inputs!$B$21+Skills!Q3+(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3">
      <c r="A1923">
        <f>Skills!A4</f>
        <v/>
      </c>
      <c r="B1923">
        <f>Skills!B4</f>
        <v/>
      </c>
      <c r="C1923">
        <f>Inputs!$B$3&gt;=40</f>
        <v/>
      </c>
      <c r="D1923">
        <f>IF(Skills!C4=1,60+Inputs!$B$25+Inputs!$B$29,IF(Skills!C4=2,90+Inputs!$B$26+Inputs!$B$29,IF(Skills!C4=3,120+Inputs!$B$27+Inputs!$B$29,MAX(0,(Inputs!$B$3-100)*3)+Inputs!$B$28+Inputs!$B$29)))</f>
        <v/>
      </c>
      <c r="E1923">
        <f>INDEX(FactorTable!$B$2:$Y$301, MATCH(ROUND(MIN(300,MAX(1,D1923)),0), FactorTable!$A$2:$A$301,0), Skills!M4+1)</f>
        <v/>
      </c>
      <c r="F1923">
        <f>IF(Skills!N4=TRUE,(Skills!L4/10)*(E1923/1000),Skills!L4/10)+Skills!O4</f>
        <v/>
      </c>
      <c r="G1923">
        <f>Skills!G4*IF(Skills!H4&gt;0,Skills!I4/Skills!H4,1)</f>
        <v/>
      </c>
      <c r="H1923">
        <f>1-(1-Skills!J4/100)^Skills!K4</f>
        <v/>
      </c>
      <c r="I1923" t="inlineStr">
        <is>
          <t>1</t>
        </is>
      </c>
      <c r="J1923">
        <f>((Inputs!$B$6*(1+Inputs!$B$7/100))+(((Inputs!$B$12*(1+Inputs!$B$13/100))-(Inputs!$B$12*(1+Inputs!$B$13/100)))+0.25*(Inputs!$B$14-Inputs!$B$14))*(1+Inputs!$B$7/100))*(F1923/100)</f>
        <v/>
      </c>
      <c r="K1923">
        <f>J1923*(1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1935=TRUE,F1935,0)/100)*(1+(IF(Skills!A4="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1923)</f>
        <v/>
      </c>
      <c r="L1923">
        <f>K1923*(MIN(Inputs!$B$22+((C1941=TRUE)*(F1941-Calc!F22)),(Inputs!$B$23+0+(IF(ArtifactsInput!$M$15,CHOOSE(ArtifactsInput!$N$15+1,25,30,35,40,45,50)/100*(Inputs!$B$11-Inputs!$B$11),0))))/100+(Inputs!$B$23+0+(IF(ArtifactsInput!$M$15,CHOOSE(ArtifactsInput!$N$15+1,25,30,35,40,45,50)/100*(Inputs!$B$11-Inputs!$B$11),0)))/100)/2</f>
        <v/>
      </c>
      <c r="M1923">
        <f>L1923*(1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3">
        <f>L1923*(1-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1923*(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3">
        <f>(1-Summary!$B$11)*T1923+Summary!$B$11*V1923</f>
        <v/>
      </c>
      <c r="P1923">
        <f>IF(B1960=0,0,O1923/B1960)</f>
        <v/>
      </c>
      <c r="Q1923">
        <f>IFERROR(1/(IF(Inputs!$B$38="pvp",15,MAX(0.1,Skills!D4-IF(Skills!E4=TRUE,Inputs!$B$32,0)))*(1-IF(AND(ArtifactsInput!$M$27,Inputs!$B$4="Chapter Hunt"),CHOOSE(ArtifactsInput!$N$27+1,20,24,28,32,36,40),0)/100)),0)</f>
        <v/>
      </c>
      <c r="R1923">
        <f>IF(AND(Inputs!$B$38&lt;&gt;"pvp",Inputs!$B$43&gt;0),IF(MAX(0,Inputs!$B$43-B1957)&lt;=0,0,(INT(MAX(0,Inputs!$B$43-B1957)/(IF(Inputs!$B$38="pvp",15,MAX(0.1,Skills!D4-IF(Skills!E4=TRUE,Inputs!$B$32,0)))*(1-IF(AND(ArtifactsInput!$M$27,Inputs!$B$4="Chapter Hunt"),CHOOSE(ArtifactsInput!$N$27+1,20,24,28,32,36,40),0)/100)))+1)),0)</f>
        <v/>
      </c>
      <c r="S1923">
        <f>IFERROR(O1923/N1923,0)</f>
        <v/>
      </c>
      <c r="T1923">
        <f>IF(C1923,(H1923*N1923*IF(AND(Inputs!$B$38&lt;&gt;"pvp",Inputs!$B$43&gt;0),((Skills!G4*((R1923-1)*IF(Skills!H4&gt;0,Skills!I4/Skills!H4,1)+IF(Skills!H4&gt;0,MIN(Skills!I4,MAX(0,MAX(0,Inputs!$B$43-B1957)-((R1923-1)*(IF(Inputs!$B$38="pvp",15,MAX(0.1,Skills!D4-IF(Skills!E4=TRUE,Inputs!$B$32,0)))*(1-IF(AND(ArtifactsInput!$M$27,Inputs!$B$4="Chapter Hunt"),CHOOSE(ArtifactsInput!$N$27+1,20,24,28,32,36,40),0)/100)))))/Skills!H4,1)))/Inputs!$B$43),G1923*Q1923)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1923*(1-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1923*(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1923*(1-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1923*(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3">
        <f>290*U1922/1000</f>
        <v/>
      </c>
      <c r="V1923">
        <f>IF(C1923,(H1923*N1923*IF(AND(Inputs!$B$38&lt;&gt;"pvp",Inputs!$B$43&gt;0),((Skills!G4*((R1923-1)*IF(Skills!H4&gt;0,Skills!I4/Skills!H4,1)+IF(Skills!H4&gt;0,MIN(Skills!I4,MAX(0,MAX(0,Inputs!$B$43-B1957)-((R1923-1)*(IF(Inputs!$B$38="pvp",15,MAX(0.1,Skills!D4-IF(Skills!E4=TRUE,Inputs!$B$32,0)))*(1-IF(AND(ArtifactsInput!$M$27,Inputs!$B$4="Chapter Hunt"),CHOOSE(ArtifactsInput!$N$27+1,20,24,28,32,36,40),0)/100)))))/Skills!H4,1)))/Inputs!$B$43),G1923*Q1923))*IF(Inputs!$B$38="pvp",1,(1+(Inputs!$B$21+Skills!Q4+(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4">
      <c r="A1924">
        <f>Skills!A5</f>
        <v/>
      </c>
      <c r="B1924">
        <f>Skills!B5</f>
        <v/>
      </c>
      <c r="C1924">
        <f>Inputs!$B$3&gt;=45</f>
        <v/>
      </c>
      <c r="D1924">
        <f>IF(Skills!C5=1,60+Inputs!$B$25+Inputs!$B$29,IF(Skills!C5=2,90+Inputs!$B$26+Inputs!$B$29,IF(Skills!C5=3,120+Inputs!$B$27+Inputs!$B$29,MAX(0,(Inputs!$B$3-100)*3)+Inputs!$B$28+Inputs!$B$29)))</f>
        <v/>
      </c>
      <c r="E1924">
        <f>INDEX(FactorTable!$B$2:$Y$301, MATCH(ROUND(MIN(300,MAX(1,D1924)),0), FactorTable!$A$2:$A$301,0), Skills!M5+1)</f>
        <v/>
      </c>
      <c r="F1924">
        <f>IF(Skills!N5=TRUE,(Skills!L5/10)*(E1924/1000),Skills!L5/10)+Skills!O5</f>
        <v/>
      </c>
      <c r="G1924">
        <f>Skills!G5*IF(Skills!H5&gt;0,Skills!I5/Skills!H5,1)</f>
        <v/>
      </c>
      <c r="H1924">
        <f>1-(1-Skills!J5/100)^Skills!K5</f>
        <v/>
      </c>
      <c r="I1924" t="inlineStr">
        <is>
          <t>1</t>
        </is>
      </c>
      <c r="J1924">
        <f>((Inputs!$B$6*(1+Inputs!$B$7/100))+(((Inputs!$B$12*(1+Inputs!$B$13/100))-(Inputs!$B$12*(1+Inputs!$B$13/100)))+0.25*(Inputs!$B$14-Inputs!$B$14))*(1+Inputs!$B$7/100))*(F1924/100)</f>
        <v/>
      </c>
      <c r="K1924">
        <f>J1924*(1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1935=TRUE,F1935,0)/100)*(1+(IF(Skills!A5="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1924)</f>
        <v/>
      </c>
      <c r="L1924">
        <f>K1924*(MIN(Inputs!$B$22+((C1941=TRUE)*(F1941-Calc!F22)),(Inputs!$B$23+0+(IF(ArtifactsInput!$M$15,CHOOSE(ArtifactsInput!$N$15+1,25,30,35,40,45,50)/100*(Inputs!$B$11-Inputs!$B$11),0))))/100+(Inputs!$B$23+0+(IF(ArtifactsInput!$M$15,CHOOSE(ArtifactsInput!$N$15+1,25,30,35,40,45,50)/100*(Inputs!$B$11-Inputs!$B$11),0)))/100)/2</f>
        <v/>
      </c>
      <c r="M1924">
        <f>L1924*(1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4">
        <f>L1924*(1-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1924*(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4">
        <f>(1-Summary!$B$11)*T1924+Summary!$B$11*V1924</f>
        <v/>
      </c>
      <c r="P1924">
        <f>IF(B1960=0,0,O1924/B1960)</f>
        <v/>
      </c>
      <c r="Q1924">
        <f>IFERROR(1/(IF(Inputs!$B$38="pvp",15,MAX(0.1,Skills!D5-IF(Skills!E5=TRUE,Inputs!$B$32,0)))*(1-IF(AND(ArtifactsInput!$M$27,Inputs!$B$4="Chapter Hunt"),CHOOSE(ArtifactsInput!$N$27+1,20,24,28,32,36,40),0)/100)),0)</f>
        <v/>
      </c>
      <c r="R1924">
        <f>IF(AND(Inputs!$B$38&lt;&gt;"pvp",Inputs!$B$43&gt;0),IF(MAX(0,Inputs!$B$43-B1957)&lt;=0,0,(INT(MAX(0,Inputs!$B$43-B1957)/(IF(Inputs!$B$38="pvp",15,MAX(0.1,Skills!D5-IF(Skills!E5=TRUE,Inputs!$B$32,0)))*(1-IF(AND(ArtifactsInput!$M$27,Inputs!$B$4="Chapter Hunt"),CHOOSE(ArtifactsInput!$N$27+1,20,24,28,32,36,40),0)/100)))+1)),0)</f>
        <v/>
      </c>
      <c r="S1924">
        <f>IFERROR(O1924/N1924,0)</f>
        <v/>
      </c>
      <c r="T1924">
        <f>IF(C1924,(H1924*N1924*IF(AND(Inputs!$B$38&lt;&gt;"pvp",Inputs!$B$43&gt;0),((Skills!G5*((R1924-1)*IF(Skills!H5&gt;0,Skills!I5/Skills!H5,1)+IF(Skills!H5&gt;0,MIN(Skills!I5,MAX(0,MAX(0,Inputs!$B$43-B1957)-((R1924-1)*(IF(Inputs!$B$38="pvp",15,MAX(0.1,Skills!D5-IF(Skills!E5=TRUE,Inputs!$B$32,0)))*(1-IF(AND(ArtifactsInput!$M$27,Inputs!$B$4="Chapter Hunt"),CHOOSE(ArtifactsInput!$N$27+1,20,24,28,32,36,40),0)/100)))))/Skills!H5,1)))/Inputs!$B$43),G1924*Q1924)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1924*(1-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1924*(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1924*(1-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1924*(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4">
        <f>IF(C1924,(H1924*N1924*IF(AND(Inputs!$B$38&lt;&gt;"pvp",Inputs!$B$43&gt;0),((Skills!G5*((R1924-1)*IF(Skills!H5&gt;0,Skills!I5/Skills!H5,1)+IF(Skills!H5&gt;0,MIN(Skills!I5,MAX(0,MAX(0,Inputs!$B$43-B1957)-((R1924-1)*(IF(Inputs!$B$38="pvp",15,MAX(0.1,Skills!D5-IF(Skills!E5=TRUE,Inputs!$B$32,0)))*(1-IF(AND(ArtifactsInput!$M$27,Inputs!$B$4="Chapter Hunt"),CHOOSE(ArtifactsInput!$N$27+1,20,24,28,32,36,40),0)/100)))))/Skills!H5,1)))/Inputs!$B$43),G1924*Q1924))*IF(Inputs!$B$38="pvp",1,(1+(Inputs!$B$21+Skills!Q5+(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5">
      <c r="A1925">
        <f>Skills!A6</f>
        <v/>
      </c>
      <c r="B1925">
        <f>Skills!B6</f>
        <v/>
      </c>
      <c r="C1925">
        <f>Inputs!$B$3&gt;=63</f>
        <v/>
      </c>
      <c r="D1925">
        <f>IF(Skills!C6=1,60+Inputs!$B$25+Inputs!$B$29,IF(Skills!C6=2,90+Inputs!$B$26+Inputs!$B$29,IF(Skills!C6=3,120+Inputs!$B$27+Inputs!$B$29,MAX(0,(Inputs!$B$3-100)*3)+Inputs!$B$28+Inputs!$B$29)))</f>
        <v/>
      </c>
      <c r="E1925">
        <f>INDEX(FactorTable!$B$2:$Y$301, MATCH(ROUND(MIN(300,MAX(1,D1925)),0), FactorTable!$A$2:$A$301,0), Skills!M6+1)</f>
        <v/>
      </c>
      <c r="F1925">
        <f>IF(Skills!N6=TRUE,(Skills!L6/10)*(E1925/1000),Skills!L6/10)+Skills!O6</f>
        <v/>
      </c>
      <c r="G1925">
        <f>Skills!G6*IF(Skills!H6&gt;0,Skills!I6/Skills!H6,1)</f>
        <v/>
      </c>
      <c r="H1925">
        <f>1-(1-Skills!J6/100)^Skills!K6</f>
        <v/>
      </c>
      <c r="I1925" t="inlineStr">
        <is>
          <t>1</t>
        </is>
      </c>
      <c r="J1925">
        <f>((Inputs!$B$6*(1+Inputs!$B$7/100))+(((Inputs!$B$12*(1+Inputs!$B$13/100))-(Inputs!$B$12*(1+Inputs!$B$13/100)))+0.25*(Inputs!$B$14-Inputs!$B$14))*(1+Inputs!$B$7/100))*(F1925/100)</f>
        <v/>
      </c>
      <c r="K1925">
        <f>J1925*(1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1934=TRUE,F1934,0)/100)*(1+(IF(Skills!A6="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1925)</f>
        <v/>
      </c>
      <c r="L1925">
        <f>K1925*(MIN(Inputs!$B$22+((C1941=TRUE)*(F1941-Calc!F22)),(Inputs!$B$23+0+(IF(ArtifactsInput!$M$15,CHOOSE(ArtifactsInput!$N$15+1,25,30,35,40,45,50)/100*(Inputs!$B$11-Inputs!$B$11),0))))/100+(Inputs!$B$23+0+(IF(ArtifactsInput!$M$15,CHOOSE(ArtifactsInput!$N$15+1,25,30,35,40,45,50)/100*(Inputs!$B$11-Inputs!$B$11),0)))/100)/2</f>
        <v/>
      </c>
      <c r="M1925">
        <f>L1925*(1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5">
        <f>L1925*(1-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1925*(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5">
        <f>(1-Summary!$B$11)*T1925+Summary!$B$11*V1925</f>
        <v/>
      </c>
      <c r="P1925">
        <f>IF(B1960=0,0,O1925/B1960)</f>
        <v/>
      </c>
      <c r="Q1925">
        <f>IFERROR(1/(IF(Inputs!$B$38="pvp",15,MAX(0.1,Skills!D6-IF(Skills!E6=TRUE,Inputs!$B$32,0)))*(1-IF(AND(ArtifactsInput!$M$27,Inputs!$B$4="Chapter Hunt"),CHOOSE(ArtifactsInput!$N$27+1,20,24,28,32,36,40),0)/100)),0)</f>
        <v/>
      </c>
      <c r="R1925">
        <f>IF(AND(Inputs!$B$38&lt;&gt;"pvp",Inputs!$B$43&gt;0),IF(MAX(0,Inputs!$B$43-B1957)&lt;=0,0,(INT(MAX(0,Inputs!$B$43-B1957)/(IF(Inputs!$B$38="pvp",15,MAX(0.1,Skills!D6-IF(Skills!E6=TRUE,Inputs!$B$32,0)))*(1-IF(AND(ArtifactsInput!$M$27,Inputs!$B$4="Chapter Hunt"),CHOOSE(ArtifactsInput!$N$27+1,20,24,28,32,36,40),0)/100)))+1)),0)</f>
        <v/>
      </c>
      <c r="S1925">
        <f>IFERROR(O1925/N1925,0)</f>
        <v/>
      </c>
      <c r="T1925">
        <f>IF(C1925,(H1925*N1925*IF(AND(Inputs!$B$38&lt;&gt;"pvp",Inputs!$B$43&gt;0),((Skills!G6*((R1925-1)*IF(Skills!H6&gt;0,Skills!I6/Skills!H6,1)+IF(Skills!H6&gt;0,MIN(Skills!I6,MAX(0,MAX(0,Inputs!$B$43-B1957)-((R1925-1)*(IF(Inputs!$B$38="pvp",15,MAX(0.1,Skills!D6-IF(Skills!E6=TRUE,Inputs!$B$32,0)))*(1-IF(AND(ArtifactsInput!$M$27,Inputs!$B$4="Chapter Hunt"),CHOOSE(ArtifactsInput!$N$27+1,20,24,28,32,36,40),0)/100)))))/Skills!H6,1)))/Inputs!$B$43),G1925*Q1925)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1925*(1-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1925*(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1925*(1-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1925*(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5">
        <f>IF(C1925,(H1925*N1925*IF(AND(Inputs!$B$38&lt;&gt;"pvp",Inputs!$B$43&gt;0),((Skills!G6*((R1925-1)*IF(Skills!H6&gt;0,Skills!I6/Skills!H6,1)+IF(Skills!H6&gt;0,MIN(Skills!I6,MAX(0,MAX(0,Inputs!$B$43-B1957)-((R1925-1)*(IF(Inputs!$B$38="pvp",15,MAX(0.1,Skills!D6-IF(Skills!E6=TRUE,Inputs!$B$32,0)))*(1-IF(AND(ArtifactsInput!$M$27,Inputs!$B$4="Chapter Hunt"),CHOOSE(ArtifactsInput!$N$27+1,20,24,28,32,36,40),0)/100)))))/Skills!H6,1)))/Inputs!$B$43),G1925*Q1925))*IF(Inputs!$B$38="pvp",1,(1+(Inputs!$B$21+Skills!Q6+(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6">
      <c r="A1926">
        <f>Skills!A7</f>
        <v/>
      </c>
      <c r="B1926">
        <f>Skills!B7</f>
        <v/>
      </c>
      <c r="C1926">
        <f>Inputs!$B$3&gt;=66</f>
        <v/>
      </c>
      <c r="D1926">
        <f>IF(Skills!C7=1,60+Inputs!$B$25+Inputs!$B$29,IF(Skills!C7=2,90+Inputs!$B$26+Inputs!$B$29,IF(Skills!C7=3,120+Inputs!$B$27+Inputs!$B$29,MAX(0,(Inputs!$B$3-100)*3)+Inputs!$B$28+Inputs!$B$29)))</f>
        <v/>
      </c>
      <c r="E1926">
        <f>INDEX(FactorTable!$B$2:$Y$301, MATCH(ROUND(MIN(300,MAX(1,D1926)),0), FactorTable!$A$2:$A$301,0), Skills!M7+1)</f>
        <v/>
      </c>
      <c r="F1926">
        <f>IF(Skills!N7=TRUE,(Skills!L7/10)*(E1926/1000),Skills!L7/10)+Skills!O7</f>
        <v/>
      </c>
      <c r="G1926">
        <f>Skills!G7*IF(Skills!H7&gt;0,Skills!I7/Skills!H7,1)</f>
        <v/>
      </c>
      <c r="H1926">
        <f>1-(1-Skills!J7/100)^Skills!K7</f>
        <v/>
      </c>
      <c r="I1926" t="inlineStr">
        <is>
          <t>1</t>
        </is>
      </c>
      <c r="J1926">
        <f>((Inputs!$B$6*(1+Inputs!$B$7/100))+(((Inputs!$B$12*(1+Inputs!$B$13/100))-(Inputs!$B$12*(1+Inputs!$B$13/100)))+0.25*(Inputs!$B$14-Inputs!$B$14))*(1+Inputs!$B$7/100))*(F1926/100)</f>
        <v/>
      </c>
      <c r="K1926">
        <f>J1926*(1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1934=TRUE,F1934,0)/100)*(1+(IF(Skills!A7="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1926)</f>
        <v/>
      </c>
      <c r="L1926">
        <f>K1926*(MIN(Inputs!$B$22+((C1941=TRUE)*(F1941-Calc!F22)),(Inputs!$B$23+0+(IF(ArtifactsInput!$M$15,CHOOSE(ArtifactsInput!$N$15+1,25,30,35,40,45,50)/100*(Inputs!$B$11-Inputs!$B$11),0))))/100+(Inputs!$B$23+0+(IF(ArtifactsInput!$M$15,CHOOSE(ArtifactsInput!$N$15+1,25,30,35,40,45,50)/100*(Inputs!$B$11-Inputs!$B$11),0)))/100)/2</f>
        <v/>
      </c>
      <c r="M1926">
        <f>L1926*(1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6">
        <f>L1926*(1-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1926*(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6">
        <f>(1-Summary!$B$11)*T1926+Summary!$B$11*V1926</f>
        <v/>
      </c>
      <c r="P1926">
        <f>IF(B1960=0,0,O1926/B1960)</f>
        <v/>
      </c>
      <c r="Q1926">
        <f>IFERROR(1/(IF(Inputs!$B$38="pvp",15,MAX(0.1,Skills!D7-IF(Skills!E7=TRUE,Inputs!$B$32,0)))*(1-IF(AND(ArtifactsInput!$M$27,Inputs!$B$4="Chapter Hunt"),CHOOSE(ArtifactsInput!$N$27+1,20,24,28,32,36,40),0)/100)),0)</f>
        <v/>
      </c>
      <c r="R1926">
        <f>IF(AND(Inputs!$B$38&lt;&gt;"pvp",Inputs!$B$43&gt;0),IF(MAX(0,Inputs!$B$43-B1957)&lt;=0,0,(INT(MAX(0,Inputs!$B$43-B1957)/(IF(Inputs!$B$38="pvp",15,MAX(0.1,Skills!D7-IF(Skills!E7=TRUE,Inputs!$B$32,0)))*(1-IF(AND(ArtifactsInput!$M$27,Inputs!$B$4="Chapter Hunt"),CHOOSE(ArtifactsInput!$N$27+1,20,24,28,32,36,40),0)/100)))+1)),0)</f>
        <v/>
      </c>
      <c r="S1926">
        <f>IFERROR(O1926/N1926,0)</f>
        <v/>
      </c>
      <c r="T1926">
        <f>IF(C1926,(H1926*N1926*IF(AND(Inputs!$B$38&lt;&gt;"pvp",Inputs!$B$43&gt;0),((Skills!G7*((R1926-1)*IF(Skills!H7&gt;0,Skills!I7/Skills!H7,1)+IF(Skills!H7&gt;0,MIN(Skills!I7,MAX(0,MAX(0,Inputs!$B$43-B1957)-((R1926-1)*(IF(Inputs!$B$38="pvp",15,MAX(0.1,Skills!D7-IF(Skills!E7=TRUE,Inputs!$B$32,0)))*(1-IF(AND(ArtifactsInput!$M$27,Inputs!$B$4="Chapter Hunt"),CHOOSE(ArtifactsInput!$N$27+1,20,24,28,32,36,40),0)/100)))))/Skills!H7,1)))/Inputs!$B$43),G1926*Q1926)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1926*(1-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1926*(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1926*(1-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1926*(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6">
        <f>IF(C1926,(H1926*N1926*IF(AND(Inputs!$B$38&lt;&gt;"pvp",Inputs!$B$43&gt;0),((Skills!G7*((R1926-1)*IF(Skills!H7&gt;0,Skills!I7/Skills!H7,1)+IF(Skills!H7&gt;0,MIN(Skills!I7,MAX(0,MAX(0,Inputs!$B$43-B1957)-((R1926-1)*(IF(Inputs!$B$38="pvp",15,MAX(0.1,Skills!D7-IF(Skills!E7=TRUE,Inputs!$B$32,0)))*(1-IF(AND(ArtifactsInput!$M$27,Inputs!$B$4="Chapter Hunt"),CHOOSE(ArtifactsInput!$N$27+1,20,24,28,32,36,40),0)/100)))))/Skills!H7,1)))/Inputs!$B$43),G1926*Q1926))*IF(Inputs!$B$38="pvp",1,(1+(Inputs!$B$21+Skills!Q7+(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7">
      <c r="A1927">
        <f>Skills!A8</f>
        <v/>
      </c>
      <c r="B1927">
        <f>Skills!B8</f>
        <v/>
      </c>
      <c r="C1927">
        <f>Inputs!$B$3&gt;=100</f>
        <v/>
      </c>
      <c r="D1927">
        <f>IF(Skills!C8=1,60+Inputs!$B$25+Inputs!$B$29,IF(Skills!C8=2,90+Inputs!$B$26+Inputs!$B$29,IF(Skills!C8=3,120+Inputs!$B$27+Inputs!$B$29,MAX(0,(Inputs!$B$3-100)*3)+Inputs!$B$28+Inputs!$B$29)))</f>
        <v/>
      </c>
      <c r="E1927">
        <f>INDEX(FactorTable!$B$2:$Y$301, MATCH(ROUND(MIN(300,MAX(1,D1927)),0), FactorTable!$A$2:$A$301,0), Skills!M8+1)</f>
        <v/>
      </c>
      <c r="F1927">
        <f>IF(Skills!N8=TRUE,(Skills!L8/10)*(E1927/1000),Skills!L8/10)+Skills!O8</f>
        <v/>
      </c>
      <c r="G1927">
        <f>Skills!G8*IF(Skills!H8&gt;0,Skills!I8/Skills!H8,1)</f>
        <v/>
      </c>
      <c r="H1927">
        <f>1-(1-Skills!J8/100)^Skills!K8</f>
        <v/>
      </c>
      <c r="I1927" t="inlineStr">
        <is>
          <t>1</t>
        </is>
      </c>
      <c r="J1927">
        <f>((Inputs!$B$6*(1+Inputs!$B$7/100))+(((Inputs!$B$12*(1+Inputs!$B$13/100))-(Inputs!$B$12*(1+Inputs!$B$13/100)))+0.25*(Inputs!$B$14-Inputs!$B$14))*(1+Inputs!$B$7/100))*(F1927/100)</f>
        <v/>
      </c>
      <c r="K1927">
        <f>J1927*(1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1927)</f>
        <v/>
      </c>
      <c r="L1927">
        <f>K1927*(MIN(Inputs!$B$22+((C1941=TRUE)*(F1941-Calc!F22)),(Inputs!$B$23+0+(IF(ArtifactsInput!$M$15,CHOOSE(ArtifactsInput!$N$15+1,25,30,35,40,45,50)/100*(Inputs!$B$11-Inputs!$B$11),0))))/100+(Inputs!$B$23+0+(IF(ArtifactsInput!$M$15,CHOOSE(ArtifactsInput!$N$15+1,25,30,35,40,45,50)/100*(Inputs!$B$11-Inputs!$B$11),0)))/100)/2</f>
        <v/>
      </c>
      <c r="M1927">
        <f>L1927*(1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7">
        <f>L1927*(1-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1927*(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7">
        <f>(1-Summary!$B$11)*T1927+Summary!$B$11*V1927</f>
        <v/>
      </c>
      <c r="P1927">
        <f>IF(B1960=0,0,O1927/B1960)</f>
        <v/>
      </c>
      <c r="Q1927">
        <f>IFERROR(1/(IF(Inputs!$B$38="pvp",15,MAX(0.1,Skills!D8-IF(Skills!E8=TRUE,Inputs!$B$32,0)))*(1-IF(AND(ArtifactsInput!$M$27,Inputs!$B$4="Chapter Hunt"),CHOOSE(ArtifactsInput!$N$27+1,20,24,28,32,36,40),0)/100)),0)</f>
        <v/>
      </c>
      <c r="R1927">
        <f>IF(AND(Inputs!$B$38&lt;&gt;"pvp",Inputs!$B$43&gt;0),IF(MAX(0,Inputs!$B$43-B1957)&lt;=0,0,(INT(MAX(0,Inputs!$B$43-B1957)/(IF(Inputs!$B$38="pvp",15,MAX(0.1,Skills!D8-IF(Skills!E8=TRUE,Inputs!$B$32,0)))*(1-IF(AND(ArtifactsInput!$M$27,Inputs!$B$4="Chapter Hunt"),CHOOSE(ArtifactsInput!$N$27+1,20,24,28,32,36,40),0)/100)))+1)),0)</f>
        <v/>
      </c>
      <c r="S1927">
        <f>IFERROR(O1927/N1927,0)</f>
        <v/>
      </c>
      <c r="T1927">
        <f>IF(C1927,(H1927*N1927*IF(AND(Inputs!$B$38&lt;&gt;"pvp",Inputs!$B$43&gt;0),((Skills!G8*((R1927-1)*IF(Skills!H8&gt;0,Skills!I8/Skills!H8,1)+IF(Skills!H8&gt;0,MIN(Skills!I8,MAX(0,MAX(0,Inputs!$B$43-B1957)-((R1927-1)*(IF(Inputs!$B$38="pvp",15,MAX(0.1,Skills!D8-IF(Skills!E8=TRUE,Inputs!$B$32,0)))*(1-IF(AND(ArtifactsInput!$M$27,Inputs!$B$4="Chapter Hunt"),CHOOSE(ArtifactsInput!$N$27+1,20,24,28,32,36,40),0)/100)))))/Skills!H8,1)))/Inputs!$B$43),G1927*Q1927)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1927*(1-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1927*(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1927*(1-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1927*(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7">
        <f>IF(C1927,(H1927*N1927*IF(AND(Inputs!$B$38&lt;&gt;"pvp",Inputs!$B$43&gt;0),((Skills!G8*((R1927-1)*IF(Skills!H8&gt;0,Skills!I8/Skills!H8,1)+IF(Skills!H8&gt;0,MIN(Skills!I8,MAX(0,MAX(0,Inputs!$B$43-B1957)-((R1927-1)*(IF(Inputs!$B$38="pvp",15,MAX(0.1,Skills!D8-IF(Skills!E8=TRUE,Inputs!$B$32,0)))*(1-IF(AND(ArtifactsInput!$M$27,Inputs!$B$4="Chapter Hunt"),CHOOSE(ArtifactsInput!$N$27+1,20,24,28,32,36,40),0)/100)))))/Skills!H8,1)))/Inputs!$B$43),G1927*Q1927))*IF(Inputs!$B$38="pvp",1,(1+(Inputs!$B$21+Skills!Q8+(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8">
      <c r="A1928">
        <f>Skills!A9</f>
        <v/>
      </c>
      <c r="B1928">
        <f>Skills!B9</f>
        <v/>
      </c>
      <c r="C1928">
        <f>Inputs!$B$3&gt;=103</f>
        <v/>
      </c>
      <c r="D1928">
        <f>IF(Skills!C9=1,60+Inputs!$B$25+Inputs!$B$29,IF(Skills!C9=2,90+Inputs!$B$26+Inputs!$B$29,IF(Skills!C9=3,120+Inputs!$B$27+Inputs!$B$29,MAX(0,(Inputs!$B$3-100)*3)+Inputs!$B$28+Inputs!$B$29)))</f>
        <v/>
      </c>
      <c r="E1928">
        <f>INDEX(FactorTable!$B$2:$Y$301, MATCH(ROUND(MIN(300,MAX(1,D1928)),0), FactorTable!$A$2:$A$301,0), Skills!M9+1)</f>
        <v/>
      </c>
      <c r="F1928">
        <f>IF(Skills!N9=TRUE,(Skills!L9/10)*(E1928/1000),Skills!L9/10)+Skills!O9</f>
        <v/>
      </c>
      <c r="G1928">
        <f>Skills!G9*IF(Skills!H9&gt;0,Skills!I9/Skills!H9,1)</f>
        <v/>
      </c>
      <c r="H1928">
        <f>1-(1-Skills!J9/100)^Skills!K9</f>
        <v/>
      </c>
      <c r="I1928" t="inlineStr">
        <is>
          <t>1</t>
        </is>
      </c>
      <c r="J1928">
        <f>((Inputs!$B$6*(1+Inputs!$B$7/100))+(((Inputs!$B$12*(1+Inputs!$B$13/100))-(Inputs!$B$12*(1+Inputs!$B$13/100)))+0.25*(Inputs!$B$14-Inputs!$B$14))*(1+Inputs!$B$7/100))*(F1928/100)</f>
        <v/>
      </c>
      <c r="K1928">
        <f>J1928*(1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1928)</f>
        <v/>
      </c>
      <c r="L1928">
        <f>K1928*(MIN(Inputs!$B$22+((C1941=TRUE)*(F1941-Calc!F22)),(Inputs!$B$23+0+(IF(ArtifactsInput!$M$15,CHOOSE(ArtifactsInput!$N$15+1,25,30,35,40,45,50)/100*(Inputs!$B$11-Inputs!$B$11),0))))/100+(Inputs!$B$23+0+(IF(ArtifactsInput!$M$15,CHOOSE(ArtifactsInput!$N$15+1,25,30,35,40,45,50)/100*(Inputs!$B$11-Inputs!$B$11),0)))/100)/2</f>
        <v/>
      </c>
      <c r="M1928">
        <f>L1928*(1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8">
        <f>L1928*(1-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1928*(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8">
        <f>(1-Summary!$B$11)*T1928+Summary!$B$11*V1928</f>
        <v/>
      </c>
      <c r="P1928">
        <f>IF(B1960=0,0,O1928/B1960)</f>
        <v/>
      </c>
      <c r="Q1928">
        <f>IFERROR(1/(IF(Inputs!$B$38="pvp",15,MAX(0.1,Skills!D9-IF(Skills!E9=TRUE,Inputs!$B$32,0)))*(1-IF(AND(ArtifactsInput!$M$27,Inputs!$B$4="Chapter Hunt"),CHOOSE(ArtifactsInput!$N$27+1,20,24,28,32,36,40),0)/100)),0)</f>
        <v/>
      </c>
      <c r="R1928">
        <f>IF(AND(Inputs!$B$38&lt;&gt;"pvp",Inputs!$B$43&gt;0),IF(MAX(0,Inputs!$B$43-B1957)&lt;=0,0,(INT(MAX(0,Inputs!$B$43-B1957)/(IF(Inputs!$B$38="pvp",15,MAX(0.1,Skills!D9-IF(Skills!E9=TRUE,Inputs!$B$32,0)))*(1-IF(AND(ArtifactsInput!$M$27,Inputs!$B$4="Chapter Hunt"),CHOOSE(ArtifactsInput!$N$27+1,20,24,28,32,36,40),0)/100)))+1)),0)</f>
        <v/>
      </c>
      <c r="S1928">
        <f>IFERROR(O1928/N1928,0)</f>
        <v/>
      </c>
      <c r="T1928">
        <f>IF(C1928,(H1928*N1928*IF(AND(Inputs!$B$38&lt;&gt;"pvp",Inputs!$B$43&gt;0),((Skills!G9*((R1928-1)*IF(Skills!H9&gt;0,Skills!I9/Skills!H9,1)+IF(Skills!H9&gt;0,MIN(Skills!I9,MAX(0,MAX(0,Inputs!$B$43-B1957)-((R1928-1)*(IF(Inputs!$B$38="pvp",15,MAX(0.1,Skills!D9-IF(Skills!E9=TRUE,Inputs!$B$32,0)))*(1-IF(AND(ArtifactsInput!$M$27,Inputs!$B$4="Chapter Hunt"),CHOOSE(ArtifactsInput!$N$27+1,20,24,28,32,36,40),0)/100)))))/Skills!H9,1)))/Inputs!$B$43),G1928*Q1928)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1928*(1-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1928*(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1928*(1-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1928*(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8">
        <f>IF(C1928,(H1928*N1928*IF(AND(Inputs!$B$38&lt;&gt;"pvp",Inputs!$B$43&gt;0),((Skills!G9*((R1928-1)*IF(Skills!H9&gt;0,Skills!I9/Skills!H9,1)+IF(Skills!H9&gt;0,MIN(Skills!I9,MAX(0,MAX(0,Inputs!$B$43-B1957)-((R1928-1)*(IF(Inputs!$B$38="pvp",15,MAX(0.1,Skills!D9-IF(Skills!E9=TRUE,Inputs!$B$32,0)))*(1-IF(AND(ArtifactsInput!$M$27,Inputs!$B$4="Chapter Hunt"),CHOOSE(ArtifactsInput!$N$27+1,20,24,28,32,36,40),0)/100)))))/Skills!H9,1)))/Inputs!$B$43),G1928*Q1928))*IF(Inputs!$B$38="pvp",1,(1+(Inputs!$B$21+Skills!Q9+(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9">
      <c r="A1929">
        <f>Skills!A10</f>
        <v/>
      </c>
      <c r="B1929">
        <f>Skills!B10</f>
        <v/>
      </c>
      <c r="C1929">
        <f>Inputs!$B$3&gt;=113</f>
        <v/>
      </c>
      <c r="D1929">
        <f>IF(Skills!C10=1,60+Inputs!$B$25+Inputs!$B$29,IF(Skills!C10=2,90+Inputs!$B$26+Inputs!$B$29,IF(Skills!C10=3,120+Inputs!$B$27+Inputs!$B$29,MAX(0,(Inputs!$B$3-100)*3)+Inputs!$B$28+Inputs!$B$29)))</f>
        <v/>
      </c>
      <c r="E1929">
        <f>INDEX(FactorTable!$B$2:$Y$301, MATCH(ROUND(MIN(300,MAX(1,D1929)),0), FactorTable!$A$2:$A$301,0), Skills!M10+1)</f>
        <v/>
      </c>
      <c r="F1929">
        <f>IF(Skills!N10=TRUE,(Skills!L10/10)*(E1929/1000),Skills!L10/10)+Skills!O10</f>
        <v/>
      </c>
      <c r="G1929">
        <f>Skills!G10*IF(Skills!H10&gt;0,Skills!I10/Skills!H10,1)</f>
        <v/>
      </c>
      <c r="H1929">
        <f>1-(1-Skills!J10/100)^Skills!K10</f>
        <v/>
      </c>
      <c r="I1929" t="inlineStr">
        <is>
          <t>1</t>
        </is>
      </c>
      <c r="J1929">
        <f>((Inputs!$B$6*(1+Inputs!$B$7/100))+(((Inputs!$B$12*(1+Inputs!$B$13/100))-(Inputs!$B$12*(1+Inputs!$B$13/100)))+0.25*(Inputs!$B$14-Inputs!$B$14))*(1+Inputs!$B$7/100))*(F1929/100)</f>
        <v/>
      </c>
      <c r="K1929">
        <f>J1929*(1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1929)</f>
        <v/>
      </c>
      <c r="L1929">
        <f>K1929*(MIN(Inputs!$B$22+((C1941=TRUE)*(F1941-Calc!F22)),(Inputs!$B$23+0+(IF(ArtifactsInput!$M$15,CHOOSE(ArtifactsInput!$N$15+1,25,30,35,40,45,50)/100*(Inputs!$B$11-Inputs!$B$11),0))))/100+(Inputs!$B$23+0+(IF(ArtifactsInput!$M$15,CHOOSE(ArtifactsInput!$N$15+1,25,30,35,40,45,50)/100*(Inputs!$B$11-Inputs!$B$11),0)))/100)/2</f>
        <v/>
      </c>
      <c r="M1929">
        <f>L1929*(1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9">
        <f>L1929*(1-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1929*(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9">
        <f>(1-Summary!$B$11)*T1929+Summary!$B$11*V1929</f>
        <v/>
      </c>
      <c r="P1929">
        <f>IF(B1960=0,0,O1929/B1960)</f>
        <v/>
      </c>
      <c r="Q1929">
        <f>IFERROR(1/(IF(Inputs!$B$38="pvp",15,MAX(0.1,Skills!D10-IF(Skills!E10=TRUE,Inputs!$B$32,0)))*(1-IF(AND(ArtifactsInput!$M$27,Inputs!$B$4="Chapter Hunt"),CHOOSE(ArtifactsInput!$N$27+1,20,24,28,32,36,40),0)/100)),0)</f>
        <v/>
      </c>
      <c r="R1929">
        <f>IF(AND(Inputs!$B$38&lt;&gt;"pvp",Inputs!$B$43&gt;0),IF(MAX(0,Inputs!$B$43-B1957)&lt;=0,0,(INT(MAX(0,Inputs!$B$43-B1957)/(IF(Inputs!$B$38="pvp",15,MAX(0.1,Skills!D10-IF(Skills!E10=TRUE,Inputs!$B$32,0)))*(1-IF(AND(ArtifactsInput!$M$27,Inputs!$B$4="Chapter Hunt"),CHOOSE(ArtifactsInput!$N$27+1,20,24,28,32,36,40),0)/100)))+1)),0)</f>
        <v/>
      </c>
      <c r="S1929">
        <f>IFERROR(O1929/N1929,0)</f>
        <v/>
      </c>
      <c r="T1929">
        <f>IF(C1929,(H1929*N1929*IF(AND(Inputs!$B$38&lt;&gt;"pvp",Inputs!$B$43&gt;0),((Skills!G10*((R1929-1)*IF(Skills!H10&gt;0,Skills!I10/Skills!H10,1)+IF(Skills!H10&gt;0,MIN(Skills!I10,MAX(0,MAX(0,Inputs!$B$43-B1957)-((R1929-1)*(IF(Inputs!$B$38="pvp",15,MAX(0.1,Skills!D10-IF(Skills!E10=TRUE,Inputs!$B$32,0)))*(1-IF(AND(ArtifactsInput!$M$27,Inputs!$B$4="Chapter Hunt"),CHOOSE(ArtifactsInput!$N$27+1,20,24,28,32,36,40),0)/100)))))/Skills!H10,1)))/Inputs!$B$43),G1929*Q1929)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1929*(1-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1929*(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1929*(1-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1929*(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9">
        <f>IF(C1929,(H1929*N1929*IF(AND(Inputs!$B$38&lt;&gt;"pvp",Inputs!$B$43&gt;0),((Skills!G10*((R1929-1)*IF(Skills!H10&gt;0,Skills!I10/Skills!H10,1)+IF(Skills!H10&gt;0,MIN(Skills!I10,MAX(0,MAX(0,Inputs!$B$43-B1957)-((R1929-1)*(IF(Inputs!$B$38="pvp",15,MAX(0.1,Skills!D10-IF(Skills!E10=TRUE,Inputs!$B$32,0)))*(1-IF(AND(ArtifactsInput!$M$27,Inputs!$B$4="Chapter Hunt"),CHOOSE(ArtifactsInput!$N$27+1,20,24,28,32,36,40),0)/100)))))/Skills!H10,1)))/Inputs!$B$43),G1929*Q1929))*IF(Inputs!$B$38="pvp",1,(1+(Inputs!$B$21+Skills!Q10+(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0">
      <c r="A1930">
        <f>Skills!A11</f>
        <v/>
      </c>
      <c r="B1930">
        <f>Skills!B11</f>
        <v/>
      </c>
      <c r="C1930">
        <f>Inputs!$B$3&gt;=107</f>
        <v/>
      </c>
      <c r="D1930">
        <f>IF(Skills!C11=1,60+Inputs!$B$25+Inputs!$B$29,IF(Skills!C11=2,90+Inputs!$B$26+Inputs!$B$29,IF(Skills!C11=3,120+Inputs!$B$27+Inputs!$B$29,MAX(0,(Inputs!$B$3-100)*3)+Inputs!$B$28+Inputs!$B$29)))</f>
        <v/>
      </c>
      <c r="E1930">
        <f>INDEX(FactorTable!$B$2:$Y$301, MATCH(ROUND(MIN(300,MAX(1,D1930)),0), FactorTable!$A$2:$A$301,0), Skills!M11+1)</f>
        <v/>
      </c>
      <c r="F1930">
        <f>IF(Skills!N11=TRUE,(Skills!L11/10)*(E1930/1000),Skills!L11/10)+Skills!O11</f>
        <v/>
      </c>
      <c r="G1930">
        <f>Skills!G11*IF(Skills!H11&gt;0,Skills!I11/Skills!H11,1)</f>
        <v/>
      </c>
      <c r="H1930">
        <f>1-(1-Skills!J11/100)^Skills!K11</f>
        <v/>
      </c>
      <c r="I1930" t="inlineStr">
        <is>
          <t>1</t>
        </is>
      </c>
      <c r="J1930">
        <f>((Inputs!$B$6*(1+Inputs!$B$7/100))+(((Inputs!$B$12*(1+Inputs!$B$13/100))-(Inputs!$B$12*(1+Inputs!$B$13/100)))+0.25*(Inputs!$B$14-Inputs!$B$14))*(1+Inputs!$B$7/100))*(F1930/100)</f>
        <v/>
      </c>
      <c r="K1930">
        <f>J1930*(1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1930)</f>
        <v/>
      </c>
      <c r="L1930">
        <f>K1930*(MIN(Inputs!$B$22+((C1941=TRUE)*(F1941-Calc!F22)),(Inputs!$B$23+0+(IF(ArtifactsInput!$M$15,CHOOSE(ArtifactsInput!$N$15+1,25,30,35,40,45,50)/100*(Inputs!$B$11-Inputs!$B$11),0))))/100+(Inputs!$B$23+0+(IF(ArtifactsInput!$M$15,CHOOSE(ArtifactsInput!$N$15+1,25,30,35,40,45,50)/100*(Inputs!$B$11-Inputs!$B$11),0)))/100)/2</f>
        <v/>
      </c>
      <c r="M1930">
        <f>L1930*(1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0">
        <f>L1930*(1-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1930*(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0">
        <f>(1-Summary!$B$11)*T1930+Summary!$B$11*V1930</f>
        <v/>
      </c>
      <c r="P1930">
        <f>IF(B1960=0,0,O1930/B1960)</f>
        <v/>
      </c>
      <c r="Q1930">
        <f>IFERROR(1/(IF(Inputs!$B$38="pvp",15,MAX(0.1,Skills!D11-IF(Skills!E11=TRUE,Inputs!$B$32,0)))*(1-IF(AND(ArtifactsInput!$M$27,Inputs!$B$4="Chapter Hunt"),CHOOSE(ArtifactsInput!$N$27+1,20,24,28,32,36,40),0)/100)),0)</f>
        <v/>
      </c>
      <c r="R1930">
        <f>IF(AND(Inputs!$B$38&lt;&gt;"pvp",Inputs!$B$43&gt;0),IF(MAX(0,Inputs!$B$43-B1957)&lt;=0,0,(INT(MAX(0,Inputs!$B$43-B1957)/(IF(Inputs!$B$38="pvp",15,MAX(0.1,Skills!D11-IF(Skills!E11=TRUE,Inputs!$B$32,0)))*(1-IF(AND(ArtifactsInput!$M$27,Inputs!$B$4="Chapter Hunt"),CHOOSE(ArtifactsInput!$N$27+1,20,24,28,32,36,40),0)/100)))+1)),0)</f>
        <v/>
      </c>
      <c r="S1930">
        <f>IFERROR(O1930/N1930,0)</f>
        <v/>
      </c>
      <c r="T1930">
        <f>IF(C1930,(H1930*N1930*IF(AND(Inputs!$B$38&lt;&gt;"pvp",Inputs!$B$43&gt;0),((Skills!G11*((R1930-1)*IF(Skills!H11&gt;0,Skills!I11/Skills!H11,1)+IF(Skills!H11&gt;0,MIN(Skills!I11,MAX(0,MAX(0,Inputs!$B$43-B1957)-((R1930-1)*(IF(Inputs!$B$38="pvp",15,MAX(0.1,Skills!D11-IF(Skills!E11=TRUE,Inputs!$B$32,0)))*(1-IF(AND(ArtifactsInput!$M$27,Inputs!$B$4="Chapter Hunt"),CHOOSE(ArtifactsInput!$N$27+1,20,24,28,32,36,40),0)/100)))))/Skills!H11,1)))/Inputs!$B$43),G1930*Q1930)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1930*(1-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1930*(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1930*(1-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1930*(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0">
        <f>IF(C1930,(H1930*N1930*IF(AND(Inputs!$B$38&lt;&gt;"pvp",Inputs!$B$43&gt;0),((Skills!G11*((R1930-1)*IF(Skills!H11&gt;0,Skills!I11/Skills!H11,1)+IF(Skills!H11&gt;0,MIN(Skills!I11,MAX(0,MAX(0,Inputs!$B$43-B1957)-((R1930-1)*(IF(Inputs!$B$38="pvp",15,MAX(0.1,Skills!D11-IF(Skills!E11=TRUE,Inputs!$B$32,0)))*(1-IF(AND(ArtifactsInput!$M$27,Inputs!$B$4="Chapter Hunt"),CHOOSE(ArtifactsInput!$N$27+1,20,24,28,32,36,40),0)/100)))))/Skills!H11,1)))/Inputs!$B$43),G1930*Q1930))*IF(Inputs!$B$38="pvp",1,(1+(Inputs!$B$21+Skills!Q11+(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1">
      <c r="A1931">
        <f>Skills!A12</f>
        <v/>
      </c>
      <c r="B1931">
        <f>Skills!B12</f>
        <v/>
      </c>
      <c r="C1931">
        <f>Inputs!$B$3&gt;=110</f>
        <v/>
      </c>
      <c r="D1931">
        <f>IF(Skills!C12=1,60+Inputs!$B$25+Inputs!$B$29,IF(Skills!C12=2,90+Inputs!$B$26+Inputs!$B$29,IF(Skills!C12=3,120+Inputs!$B$27+Inputs!$B$29,MAX(0,(Inputs!$B$3-100)*3)+Inputs!$B$28+Inputs!$B$29)))</f>
        <v/>
      </c>
      <c r="E1931">
        <f>INDEX(FactorTable!$B$2:$Y$301, MATCH(ROUND(MIN(300,MAX(1,D1931)),0), FactorTable!$A$2:$A$301,0), Skills!M12+1)</f>
        <v/>
      </c>
      <c r="F1931">
        <f>IF(Skills!N12=TRUE,(Skills!L12/10)*(E1931/1000),Skills!L12/10)+Skills!O12</f>
        <v/>
      </c>
      <c r="G1931">
        <f>Skills!G12*IF(Skills!H12&gt;0,Skills!I12/Skills!H12,1)</f>
        <v/>
      </c>
      <c r="H1931">
        <f>1-(1-Skills!J12/100)^Skills!K12</f>
        <v/>
      </c>
      <c r="I1931" t="inlineStr">
        <is>
          <t>1</t>
        </is>
      </c>
      <c r="J1931">
        <f>((Inputs!$B$6*(1+Inputs!$B$7/100))+(((Inputs!$B$12*(1+Inputs!$B$13/100))-(Inputs!$B$12*(1+Inputs!$B$13/100)))+0.25*(Inputs!$B$14-Inputs!$B$14))*(1+Inputs!$B$7/100))*(F1931/100)</f>
        <v/>
      </c>
      <c r="K1931">
        <f>J1931*(1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1931)</f>
        <v/>
      </c>
      <c r="L1931">
        <f>K1931*(MIN(Inputs!$B$22+((C1941=TRUE)*(F1941-Calc!F22)),(Inputs!$B$23+0+(IF(ArtifactsInput!$M$15,CHOOSE(ArtifactsInput!$N$15+1,25,30,35,40,45,50)/100*(Inputs!$B$11-Inputs!$B$11),0))))/100+(Inputs!$B$23+0+(IF(ArtifactsInput!$M$15,CHOOSE(ArtifactsInput!$N$15+1,25,30,35,40,45,50)/100*(Inputs!$B$11-Inputs!$B$11),0)))/100)/2</f>
        <v/>
      </c>
      <c r="M1931">
        <f>L1931*(1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1">
        <f>L1931*(1-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1">
        <f>(1-Summary!$B$11)*T1931+Summary!$B$11*V1931</f>
        <v/>
      </c>
      <c r="P1931">
        <f>IF(B1960=0,0,O1931/B1960)</f>
        <v/>
      </c>
      <c r="Q1931">
        <f>IFERROR(1/(IF(Inputs!$B$38="pvp",15,MAX(0.1,Skills!D12-IF(Skills!E12=TRUE,Inputs!$B$32,0)))*(1-IF(AND(ArtifactsInput!$M$27,Inputs!$B$4="Chapter Hunt"),CHOOSE(ArtifactsInput!$N$27+1,20,24,28,32,36,40),0)/100)),0)</f>
        <v/>
      </c>
      <c r="R1931">
        <f>IF(AND(Inputs!$B$38&lt;&gt;"pvp",Inputs!$B$43&gt;0),IF(MAX(0,Inputs!$B$43-B1957)&lt;=0,0,(INT(MAX(0,Inputs!$B$43-B1957)/(IF(Inputs!$B$38="pvp",15,MAX(0.1,Skills!D12-IF(Skills!E12=TRUE,Inputs!$B$32,0)))*(1-IF(AND(ArtifactsInput!$M$27,Inputs!$B$4="Chapter Hunt"),CHOOSE(ArtifactsInput!$N$27+1,20,24,28,32,36,40),0)/100)))+1)),0)</f>
        <v/>
      </c>
      <c r="S1931">
        <f>IFERROR(O1931/N1931,0)</f>
        <v/>
      </c>
      <c r="T1931">
        <f>IF(C1931,(H1931*N1931*IF(AND(Inputs!$B$38&lt;&gt;"pvp",Inputs!$B$43&gt;0),((Skills!G12*((R1931-1)*IF(Skills!H12&gt;0,Skills!I12/Skills!H12,1)+IF(Skills!H12&gt;0,MIN(Skills!I12,MAX(0,MAX(0,Inputs!$B$43-B1957)-((R1931-1)*(IF(Inputs!$B$38="pvp",15,MAX(0.1,Skills!D12-IF(Skills!E12=TRUE,Inputs!$B$32,0)))*(1-IF(AND(ArtifactsInput!$M$27,Inputs!$B$4="Chapter Hunt"),CHOOSE(ArtifactsInput!$N$27+1,20,24,28,32,36,40),0)/100)))))/Skills!H12,1)))/Inputs!$B$43),G1931*Q1931)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1931*(1-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1931*(1-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1">
        <f>IF(C1931,(H1931*N1931*IF(AND(Inputs!$B$38&lt;&gt;"pvp",Inputs!$B$43&gt;0),((Skills!G12*((R1931-1)*IF(Skills!H12&gt;0,Skills!I12/Skills!H12,1)+IF(Skills!H12&gt;0,MIN(Skills!I12,MAX(0,MAX(0,Inputs!$B$43-B1957)-((R1931-1)*(IF(Inputs!$B$38="pvp",15,MAX(0.1,Skills!D12-IF(Skills!E12=TRUE,Inputs!$B$32,0)))*(1-IF(AND(ArtifactsInput!$M$27,Inputs!$B$4="Chapter Hunt"),CHOOSE(ArtifactsInput!$N$27+1,20,24,28,32,36,40),0)/100)))))/Skills!H12,1)))/Inputs!$B$43),G1931*Q1931))*IF(Inputs!$B$38="pvp",1,(1+(Inputs!$B$21+Skills!Q12+(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2">
      <c r="A1932">
        <f>Skills!A13</f>
        <v/>
      </c>
      <c r="B1932">
        <f>Skills!B13</f>
        <v/>
      </c>
      <c r="C1932">
        <f>Inputs!$B$3&gt;=110</f>
        <v/>
      </c>
      <c r="D1932">
        <f>IF(Skills!C13=1,60+Inputs!$B$25+Inputs!$B$29,IF(Skills!C13=2,90+Inputs!$B$26+Inputs!$B$29,IF(Skills!C13=3,120+Inputs!$B$27+Inputs!$B$29,MAX(0,(Inputs!$B$3-100)*3)+Inputs!$B$28+Inputs!$B$29)))</f>
        <v/>
      </c>
      <c r="E1932">
        <f>INDEX(FactorTable!$B$2:$Y$301, MATCH(ROUND(MIN(300,MAX(1,D1932)),0), FactorTable!$A$2:$A$301,0), Skills!M13+1)</f>
        <v/>
      </c>
      <c r="F1932">
        <f>IF(Skills!N13=TRUE,(Skills!L13/10)*(E1932/1000),Skills!L13/10)+Skills!O13</f>
        <v/>
      </c>
      <c r="G1932">
        <f>Skills!G13*IF(Skills!H13&gt;0,Skills!I13/Skills!H13,1)</f>
        <v/>
      </c>
      <c r="H1932">
        <f>1-(1-Skills!J13/100)^Skills!K13</f>
        <v/>
      </c>
      <c r="I1932" t="inlineStr">
        <is>
          <t>1</t>
        </is>
      </c>
      <c r="J1932">
        <f>((Inputs!$B$6*(1+Inputs!$B$7/100))+(((Inputs!$B$12*(1+Inputs!$B$13/100))-(Inputs!$B$12*(1+Inputs!$B$13/100)))+0.25*(Inputs!$B$14-Inputs!$B$14))*(1+Inputs!$B$7/100))*(F1932/100)</f>
        <v/>
      </c>
      <c r="K1932">
        <f>J1932*(1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1932)</f>
        <v/>
      </c>
      <c r="L1932">
        <f>K1932*(MIN(Inputs!$B$22+((C1941=TRUE)*(F1941-Calc!F22)),(Inputs!$B$23+0+(IF(ArtifactsInput!$M$15,CHOOSE(ArtifactsInput!$N$15+1,25,30,35,40,45,50)/100*(Inputs!$B$11-Inputs!$B$11),0))))/100+(Inputs!$B$23+0+(IF(ArtifactsInput!$M$15,CHOOSE(ArtifactsInput!$N$15+1,25,30,35,40,45,50)/100*(Inputs!$B$11-Inputs!$B$11),0)))/100)/2</f>
        <v/>
      </c>
      <c r="M1932">
        <f>L1932*(1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2">
        <f>L1932*(1-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1932*(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2">
        <f>(1-Summary!$B$11)*T1932+Summary!$B$11*V1932</f>
        <v/>
      </c>
      <c r="P1932">
        <f>IF(B1960=0,0,O1932/B1960)</f>
        <v/>
      </c>
      <c r="Q1932">
        <f>IFERROR(1/(IF(Inputs!$B$38="pvp",15,MAX(0.1,Skills!D13-IF(Skills!E13=TRUE,Inputs!$B$32,0)))*(1-IF(AND(ArtifactsInput!$M$27,Inputs!$B$4="Chapter Hunt"),CHOOSE(ArtifactsInput!$N$27+1,20,24,28,32,36,40),0)/100)),0)</f>
        <v/>
      </c>
      <c r="R1932">
        <f>IF(AND(Inputs!$B$38&lt;&gt;"pvp",Inputs!$B$43&gt;0),IF(MAX(0,Inputs!$B$43-B1957)&lt;=0,0,(INT(MAX(0,Inputs!$B$43-B1957)/(IF(Inputs!$B$38="pvp",15,MAX(0.1,Skills!D13-IF(Skills!E13=TRUE,Inputs!$B$32,0)))*(1-IF(AND(ArtifactsInput!$M$27,Inputs!$B$4="Chapter Hunt"),CHOOSE(ArtifactsInput!$N$27+1,20,24,28,32,36,40),0)/100)))+1)),0)</f>
        <v/>
      </c>
      <c r="S1932">
        <f>IFERROR(O1932/N1932,0)</f>
        <v/>
      </c>
      <c r="T1932">
        <f>IF(C1932,(H1932*N1932*IF(AND(Inputs!$B$38&lt;&gt;"pvp",Inputs!$B$43&gt;0),((Skills!G13*((R1932-1)*IF(Skills!H13&gt;0,Skills!I13/Skills!H13,1)+IF(Skills!H13&gt;0,MIN(Skills!I13,MAX(0,MAX(0,Inputs!$B$43-B1957)-((R1932-1)*(IF(Inputs!$B$38="pvp",15,MAX(0.1,Skills!D13-IF(Skills!E13=TRUE,Inputs!$B$32,0)))*(1-IF(AND(ArtifactsInput!$M$27,Inputs!$B$4="Chapter Hunt"),CHOOSE(ArtifactsInput!$N$27+1,20,24,28,32,36,40),0)/100)))))/Skills!H13,1)))/Inputs!$B$43),G1932*Q1932)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1932*(1-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1932*(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1932*(1-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1932*(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2">
        <f>IF(C1932,(H1932*N1932*IF(AND(Inputs!$B$38&lt;&gt;"pvp",Inputs!$B$43&gt;0),((Skills!G13*((R1932-1)*IF(Skills!H13&gt;0,Skills!I13/Skills!H13,1)+IF(Skills!H13&gt;0,MIN(Skills!I13,MAX(0,MAX(0,Inputs!$B$43-B1957)-((R1932-1)*(IF(Inputs!$B$38="pvp",15,MAX(0.1,Skills!D13-IF(Skills!E13=TRUE,Inputs!$B$32,0)))*(1-IF(AND(ArtifactsInput!$M$27,Inputs!$B$4="Chapter Hunt"),CHOOSE(ArtifactsInput!$N$27+1,20,24,28,32,36,40),0)/100)))))/Skills!H13,1)))/Inputs!$B$43),G1932*Q1932))*IF(Inputs!$B$38="pvp",1,(1+(Inputs!$B$21+Skills!Q13+(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3">
      <c r="A1933">
        <f>Skills!A14</f>
        <v/>
      </c>
      <c r="B1933">
        <f>Skills!B14</f>
        <v/>
      </c>
      <c r="C1933">
        <f>Inputs!$B$3&gt;=125</f>
        <v/>
      </c>
      <c r="D1933">
        <f>IF(Skills!C14=1,60+Inputs!$B$25+Inputs!$B$29,IF(Skills!C14=2,90+Inputs!$B$26+Inputs!$B$29,IF(Skills!C14=3,120+Inputs!$B$27+Inputs!$B$29,MAX(0,(Inputs!$B$3-100)*3)+Inputs!$B$28+Inputs!$B$29)))</f>
        <v/>
      </c>
      <c r="E1933">
        <f>INDEX(FactorTable!$B$2:$Y$301, MATCH(ROUND(MIN(300,MAX(1,D1933)),0), FactorTable!$A$2:$A$301,0), Skills!M14+1)</f>
        <v/>
      </c>
      <c r="F1933">
        <f>IF(Skills!N14=TRUE,(Skills!L14/10)*(E1933/1000),Skills!L14/10)+Skills!O14</f>
        <v/>
      </c>
      <c r="G1933">
        <f>Skills!G14*IF(Skills!H14&gt;0,Skills!I14/Skills!H14,1)</f>
        <v/>
      </c>
      <c r="H1933">
        <f>1-(1-Skills!J14/100)^Skills!K14</f>
        <v/>
      </c>
      <c r="I1933" t="inlineStr">
        <is>
          <t>1</t>
        </is>
      </c>
      <c r="J1933">
        <f>((Inputs!$B$6*(1+Inputs!$B$7/100))+(((Inputs!$B$12*(1+Inputs!$B$13/100))-(Inputs!$B$12*(1+Inputs!$B$13/100)))+0.25*(Inputs!$B$14-Inputs!$B$14))*(1+Inputs!$B$7/100))*(F1933/100)</f>
        <v/>
      </c>
      <c r="K1933">
        <f>J1933*(1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1933)</f>
        <v/>
      </c>
      <c r="L1933">
        <f>K1933*(MIN(Inputs!$B$22+((C1941=TRUE)*(F1941-Calc!F22)),(Inputs!$B$23+0+(IF(ArtifactsInput!$M$15,CHOOSE(ArtifactsInput!$N$15+1,25,30,35,40,45,50)/100*(Inputs!$B$11-Inputs!$B$11),0))))/100+(Inputs!$B$23+0+(IF(ArtifactsInput!$M$15,CHOOSE(ArtifactsInput!$N$15+1,25,30,35,40,45,50)/100*(Inputs!$B$11-Inputs!$B$11),0)))/100)/2</f>
        <v/>
      </c>
      <c r="M1933">
        <f>L1933*(1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3">
        <f>L1933*(1-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1933*(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3">
        <f>(1-Summary!$B$11)*T1933+Summary!$B$11*V1933</f>
        <v/>
      </c>
      <c r="P1933">
        <f>IF(B1960=0,0,O1933/B1960)</f>
        <v/>
      </c>
      <c r="Q1933" t="n">
        <v>0</v>
      </c>
      <c r="R1933" t="n">
        <v>0</v>
      </c>
      <c r="S1933">
        <f>IFERROR(O1933/N1933,0)</f>
        <v/>
      </c>
      <c r="T1933">
        <f>IF(C1933,(H1933*N1933*(B1954+IF(AND(Inputs!$B$38&lt;&gt;"pvp",Inputs!$B$43&gt;0),((Skills!G8*((R1927-1)*IF(Skills!H8&gt;0,Skills!I8/Skills!H8,1)+IF(Skills!H8&gt;0,MIN(Skills!I8,MAX(0,MAX(0,Inputs!$B$43-B1957)-((R1927-1)*(IF(Inputs!$B$38="pvp",15,MAX(0.1,Skills!D8-IF(Skills!E8=TRUE,Inputs!$B$32,0)))*(1-IF(AND(ArtifactsInput!$M$27,Inputs!$B$4="Chapter Hunt"),CHOOSE(ArtifactsInput!$N$27+1,20,24,28,32,36,40),0)/100)))))/Skills!H8,1)))/Inputs!$B$43),G1927*Q1927)+IF(AND(Inputs!$B$38&lt;&gt;"pvp",Inputs!$B$43&gt;0),((Skills!G11*((R1930-1)*IF(Skills!H11&gt;0,Skills!I11/Skills!H11,1)+IF(Skills!H11&gt;0,MIN(Skills!I11,MAX(0,MAX(0,Inputs!$B$43-B1957)-((R1930-1)*(IF(Inputs!$B$38="pvp",15,MAX(0.1,Skills!D11-IF(Skills!E11=TRUE,Inputs!$B$32,0)))*(1-IF(AND(ArtifactsInput!$M$27,Inputs!$B$4="Chapter Hunt"),CHOOSE(ArtifactsInput!$N$27+1,20,24,28,32,36,40),0)/100)))))/Skills!H11,1)))/Inputs!$B$43),G1930*Q1930)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1933*(1-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1933*(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1933*(1-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1933*(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3">
        <f>IF(C1933,(H1933*N1933*(B1954+IF(AND(Inputs!$B$38&lt;&gt;"pvp",Inputs!$B$43&gt;0),((Skills!G8*((R1927-1)*IF(Skills!H8&gt;0,Skills!I8/Skills!H8,1)+IF(Skills!H8&gt;0,MIN(Skills!I8,MAX(0,MAX(0,Inputs!$B$43-B1957)-((R1927-1)*(IF(Inputs!$B$38="pvp",15,MAX(0.1,Skills!D8-IF(Skills!E8=TRUE,Inputs!$B$32,0)))*(1-IF(AND(ArtifactsInput!$M$27,Inputs!$B$4="Chapter Hunt"),CHOOSE(ArtifactsInput!$N$27+1,20,24,28,32,36,40),0)/100)))))/Skills!H8,1)))/Inputs!$B$43),G1927*Q1927)+IF(AND(Inputs!$B$38&lt;&gt;"pvp",Inputs!$B$43&gt;0),((Skills!G11*((R1930-1)*IF(Skills!H11&gt;0,Skills!I11/Skills!H11,1)+IF(Skills!H11&gt;0,MIN(Skills!I11,MAX(0,MAX(0,Inputs!$B$43-B1957)-((R1930-1)*(IF(Inputs!$B$38="pvp",15,MAX(0.1,Skills!D11-IF(Skills!E11=TRUE,Inputs!$B$32,0)))*(1-IF(AND(ArtifactsInput!$M$27,Inputs!$B$4="Chapter Hunt"),CHOOSE(ArtifactsInput!$N$27+1,20,24,28,32,36,40),0)/100)))))/Skills!H11,1)))/Inputs!$B$43),G1930*Q1930)))*IF(Inputs!$B$38="pvp",1,(1+(Inputs!$B$21+Skills!Q14+(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4">
      <c r="A1934">
        <f>Skills!A15</f>
        <v/>
      </c>
      <c r="B1934">
        <f>Skills!B15</f>
        <v/>
      </c>
      <c r="C1934">
        <f>Inputs!$B$3&gt;=100</f>
        <v/>
      </c>
      <c r="D1934">
        <f>IF(Skills!C15=1,60+Inputs!$B$25+Inputs!$B$29,IF(Skills!C15=2,90+Inputs!$B$26+Inputs!$B$29,IF(Skills!C15=3,120+Inputs!$B$27+Inputs!$B$29,MAX(0,(Inputs!$B$3-100)*3)+Inputs!$B$28+Inputs!$B$29)))</f>
        <v/>
      </c>
      <c r="E1934">
        <f>INDEX(FactorTable!$B$2:$Y$301, MATCH(ROUND(MIN(300,MAX(1,D1934)),0), FactorTable!$A$2:$A$301,0), Skills!M15+1)</f>
        <v/>
      </c>
      <c r="F1934">
        <f>IF(Skills!N15=TRUE,(Skills!L15/10)*(E1934/1000),Skills!L15/10)+Skills!O15</f>
        <v/>
      </c>
      <c r="G1934" t="inlineStr"/>
      <c r="H1934" t="inlineStr"/>
      <c r="I1934" t="inlineStr">
        <is>
          <t>1</t>
        </is>
      </c>
      <c r="J1934" t="inlineStr"/>
      <c r="K1934" t="inlineStr"/>
      <c r="L1934" t="inlineStr"/>
      <c r="M1934" t="inlineStr"/>
      <c r="N1934" t="inlineStr"/>
      <c r="O1934" t="inlineStr"/>
      <c r="P1934" t="inlineStr"/>
      <c r="Q1934" t="inlineStr"/>
      <c r="R1934" t="inlineStr"/>
      <c r="S1934" t="inlineStr"/>
    </row>
    <row r="1935">
      <c r="A1935">
        <f>Skills!A16</f>
        <v/>
      </c>
      <c r="B1935">
        <f>Skills!B16</f>
        <v/>
      </c>
      <c r="C1935">
        <f>Inputs!$B$3&gt;=120</f>
        <v/>
      </c>
      <c r="D1935">
        <f>IF(Skills!C16=1,60+Inputs!$B$25+Inputs!$B$29,IF(Skills!C16=2,90+Inputs!$B$26+Inputs!$B$29,IF(Skills!C16=3,120+Inputs!$B$27+Inputs!$B$29,MAX(0,(Inputs!$B$3-100)*3)+Inputs!$B$28+Inputs!$B$29)))</f>
        <v/>
      </c>
      <c r="E1935">
        <f>INDEX(FactorTable!$B$2:$Y$301, MATCH(ROUND(MIN(300,MAX(1,D1935)),0), FactorTable!$A$2:$A$301,0), Skills!M16+1)</f>
        <v/>
      </c>
      <c r="F1935">
        <f>IF(Skills!N16=TRUE,(Skills!L16/10)*(E1935/1000),Skills!L16/10)+Skills!O16</f>
        <v/>
      </c>
      <c r="G1935" t="inlineStr"/>
      <c r="H1935" t="inlineStr"/>
      <c r="I1935" t="inlineStr">
        <is>
          <t>1</t>
        </is>
      </c>
      <c r="J1935" t="inlineStr"/>
      <c r="K1935" t="inlineStr"/>
      <c r="L1935" t="inlineStr"/>
      <c r="M1935" t="inlineStr"/>
      <c r="N1935" t="inlineStr"/>
      <c r="O1935" t="inlineStr"/>
      <c r="P1935" t="inlineStr"/>
      <c r="Q1935" t="inlineStr"/>
      <c r="R1935" t="inlineStr"/>
      <c r="S1935" t="inlineStr"/>
    </row>
    <row r="1936">
      <c r="A1936">
        <f>Skills!A17</f>
        <v/>
      </c>
      <c r="B1936">
        <f>Skills!B17</f>
        <v/>
      </c>
      <c r="C1936">
        <f>Inputs!$B$3&gt;=66</f>
        <v/>
      </c>
      <c r="D1936">
        <f>IF(Skills!C17=1,60+Inputs!$B$25+Inputs!$B$29,IF(Skills!C17=2,90+Inputs!$B$26+Inputs!$B$29,IF(Skills!C17=3,120+Inputs!$B$27+Inputs!$B$29,MAX(0,(Inputs!$B$3-100)*3)+Inputs!$B$28+Inputs!$B$29)))</f>
        <v/>
      </c>
      <c r="E1936">
        <f>INDEX(FactorTable!$B$2:$Y$301, MATCH(ROUND(MIN(300,MAX(1,D1936)),0), FactorTable!$A$2:$A$301,0), Skills!M17+1)</f>
        <v/>
      </c>
      <c r="F1936">
        <f>IF(Skills!N17=TRUE,(Skills!L17/10)*(E1936/1000),Skills!L17/10)+Skills!O17</f>
        <v/>
      </c>
      <c r="G1936">
        <f>Skills!G17*IF(Skills!H17&gt;0,Skills!I17/Skills!H17,1)</f>
        <v/>
      </c>
      <c r="H1936">
        <f>1-(1-Skills!J17/100)^Skills!K17</f>
        <v/>
      </c>
      <c r="I1936" t="inlineStr">
        <is>
          <t>1</t>
        </is>
      </c>
      <c r="J1936" t="inlineStr"/>
      <c r="K1936" t="inlineStr"/>
      <c r="L1936" t="inlineStr"/>
      <c r="M1936" t="inlineStr"/>
      <c r="N1936" t="inlineStr"/>
      <c r="O1936">
        <f>(1-Summary!$B$11)*T1936+Summary!$B$11*V1936</f>
        <v/>
      </c>
      <c r="P1936">
        <f>IF(B1960=0,0,O1936/B1960)</f>
        <v/>
      </c>
      <c r="Q1936" t="n">
        <v>0</v>
      </c>
      <c r="R1936" t="n">
        <v>0</v>
      </c>
      <c r="S1936">
        <f>IFERROR(O1936/N1936,0)</f>
        <v/>
      </c>
      <c r="T1936" t="n">
        <v>0</v>
      </c>
      <c r="V1936" t="n">
        <v>0</v>
      </c>
    </row>
    <row r="1937">
      <c r="A1937">
        <f>Skills!A18</f>
        <v/>
      </c>
      <c r="B1937">
        <f>Skills!B18</f>
        <v/>
      </c>
      <c r="C1937">
        <f>Inputs!$B$3&gt;=115</f>
        <v/>
      </c>
      <c r="D1937">
        <f>IF(Skills!C18=1,60+Inputs!$B$25+Inputs!$B$29,IF(Skills!C18=2,90+Inputs!$B$26+Inputs!$B$29,IF(Skills!C18=3,120+Inputs!$B$27+Inputs!$B$29,MAX(0,(Inputs!$B$3-100)*3)+Inputs!$B$28+Inputs!$B$29)))</f>
        <v/>
      </c>
      <c r="E1937">
        <f>INDEX(FactorTable!$B$2:$Y$301, MATCH(ROUND(MIN(300,MAX(1,D1937)),0), FactorTable!$A$2:$A$301,0), Skills!M18+1)</f>
        <v/>
      </c>
      <c r="F1937">
        <f>IF(Skills!N18=TRUE,(Skills!L18/10)*(E1937/1000),Skills!L18/10)+Skills!O18</f>
        <v/>
      </c>
      <c r="G1937">
        <f>Skills!G18*IF(Skills!H18&gt;0,Skills!I18/Skills!H18,1)</f>
        <v/>
      </c>
      <c r="H1937">
        <f>1-(1-Skills!J18/100)^Skills!K18</f>
        <v/>
      </c>
      <c r="I1937" t="inlineStr">
        <is>
          <t>1</t>
        </is>
      </c>
      <c r="J1937" t="inlineStr"/>
      <c r="K1937" t="inlineStr"/>
      <c r="L1937" t="inlineStr"/>
      <c r="M1937" t="inlineStr"/>
      <c r="N1937" t="inlineStr"/>
      <c r="O1937">
        <f>(1-Summary!$B$11)*T1937+Summary!$B$11*V1937</f>
        <v/>
      </c>
      <c r="P1937">
        <f>IF(B1960=0,0,O1937/B1960)</f>
        <v/>
      </c>
      <c r="Q1937">
        <f>IFERROR(1/(IF(Inputs!$B$38="pvp",15,MAX(0.1,Skills!D18-IF(Skills!E18=TRUE,Inputs!$B$32,0)))*(1-IF(AND(ArtifactsInput!$M$27,Inputs!$B$4="Chapter Hunt"),CHOOSE(ArtifactsInput!$N$27+1,20,24,28,32,36,40),0)/100)),0)</f>
        <v/>
      </c>
      <c r="R1937">
        <f>IF(AND(Inputs!$B$38&lt;&gt;"pvp",Inputs!$B$43&gt;0),IF(Inputs!$B$43&lt;=0,0,(INT(Inputs!$B$43/(IF(Inputs!$B$38="pvp",15,MAX(0.1,Skills!D18-IF(Skills!E18=TRUE,Inputs!$B$32,0)))*(1-IF(AND(ArtifactsInput!$M$27,Inputs!$B$4="Chapter Hunt"),CHOOSE(ArtifactsInput!$N$27+1,20,24,28,32,36,40),0)/100)))+1)),0)</f>
        <v/>
      </c>
      <c r="S1937">
        <f>IFERROR(O1937/N1937,0)</f>
        <v/>
      </c>
      <c r="T1937" t="n">
        <v>0</v>
      </c>
      <c r="V1937" t="n">
        <v>0</v>
      </c>
    </row>
    <row r="1938">
      <c r="A1938">
        <f>Skills!A19</f>
        <v/>
      </c>
      <c r="B1938">
        <f>Skills!B19</f>
        <v/>
      </c>
      <c r="C1938">
        <f>Inputs!$B$3&gt;=15</f>
        <v/>
      </c>
      <c r="D1938">
        <f>IF(Skills!C19=1,60+Inputs!$B$25+Inputs!$B$29,IF(Skills!C19=2,90+Inputs!$B$26+Inputs!$B$29,IF(Skills!C19=3,120+Inputs!$B$27+Inputs!$B$29,MAX(0,(Inputs!$B$3-100)*3)+Inputs!$B$28+Inputs!$B$29)))</f>
        <v/>
      </c>
      <c r="E1938">
        <f>INDEX(FactorTable!$B$2:$Y$301, MATCH(ROUND(MIN(300,MAX(1,D1938)),0), FactorTable!$A$2:$A$301,0), Skills!M19+1)</f>
        <v/>
      </c>
      <c r="F1938">
        <f>IF(Skills!N19=TRUE,(Skills!L19/10)*(E1938/1000),Skills!L19/10)+Skills!O19</f>
        <v/>
      </c>
      <c r="G1938">
        <f>Skills!G19*IF(Skills!H19&gt;0,Skills!I19/Skills!H19,1)</f>
        <v/>
      </c>
      <c r="H1938">
        <f>1-(1-Skills!J19/100)^Skills!K19</f>
        <v/>
      </c>
      <c r="I1938" t="inlineStr">
        <is>
          <t>1</t>
        </is>
      </c>
      <c r="J1938" t="inlineStr"/>
      <c r="K1938" t="inlineStr"/>
      <c r="L1938" t="inlineStr"/>
      <c r="M1938" t="inlineStr"/>
      <c r="N1938" t="inlineStr"/>
      <c r="O1938">
        <f>(1-Summary!$B$11)*T1938+Summary!$B$11*V1938</f>
        <v/>
      </c>
      <c r="P1938">
        <f>IF(B1960=0,0,O1938/B1960)</f>
        <v/>
      </c>
      <c r="Q1938" t="n">
        <v>0</v>
      </c>
      <c r="R1938" t="n">
        <v>0</v>
      </c>
      <c r="S1938">
        <f>IFERROR(O1938/N1938,0)</f>
        <v/>
      </c>
      <c r="T1938" t="n">
        <v>0</v>
      </c>
      <c r="V1938" t="n">
        <v>0</v>
      </c>
    </row>
    <row r="1939">
      <c r="A1939">
        <f>Skills!A20</f>
        <v/>
      </c>
      <c r="B1939">
        <f>Skills!B20</f>
        <v/>
      </c>
      <c r="C1939">
        <f>Inputs!$B$3&gt;=10</f>
        <v/>
      </c>
      <c r="D1939">
        <f>IF(Skills!C20=1,60+Inputs!$B$25+Inputs!$B$29,IF(Skills!C20=2,90+Inputs!$B$26+Inputs!$B$29,IF(Skills!C20=3,120+Inputs!$B$27+Inputs!$B$29,MAX(0,(Inputs!$B$3-100)*3)+Inputs!$B$28+Inputs!$B$29)))</f>
        <v/>
      </c>
      <c r="E1939">
        <f>INDEX(FactorTable!$B$2:$Y$301, MATCH(ROUND(MIN(300,MAX(1,D1939)),0), FactorTable!$A$2:$A$301,0), Skills!M20+1)</f>
        <v/>
      </c>
      <c r="F1939">
        <f>IF(Skills!N20=TRUE,(Skills!L20/10)*(E1939/1000),Skills!L20/10)+Skills!O20</f>
        <v/>
      </c>
      <c r="G1939">
        <f>Skills!G20*IF(Skills!H20&gt;0,Skills!I20/Skills!H20,1)</f>
        <v/>
      </c>
      <c r="H1939">
        <f>1-(1-Skills!J20/100)^Skills!K20</f>
        <v/>
      </c>
      <c r="I1939" t="inlineStr">
        <is>
          <t>1</t>
        </is>
      </c>
      <c r="J1939" t="inlineStr"/>
      <c r="K1939" t="inlineStr"/>
      <c r="L1939" t="inlineStr"/>
      <c r="M1939" t="inlineStr"/>
      <c r="N1939" t="inlineStr"/>
      <c r="O1939">
        <f>(1-Summary!$B$11)*T1939+Summary!$B$11*V1939</f>
        <v/>
      </c>
      <c r="P1939">
        <f>IF(B1960=0,0,O1939/B1960)</f>
        <v/>
      </c>
      <c r="Q1939" t="n">
        <v>0</v>
      </c>
      <c r="R1939" t="n">
        <v>0</v>
      </c>
      <c r="S1939">
        <f>IFERROR(O1939/N1939,0)</f>
        <v/>
      </c>
      <c r="T1939" t="n">
        <v>0</v>
      </c>
      <c r="V1939" t="n">
        <v>0</v>
      </c>
    </row>
    <row r="1940">
      <c r="A1940">
        <f>Skills!A21</f>
        <v/>
      </c>
      <c r="B1940">
        <f>Skills!B21</f>
        <v/>
      </c>
      <c r="C1940">
        <f>Inputs!$B$3&gt;=33</f>
        <v/>
      </c>
      <c r="D1940">
        <f>IF(Skills!C21=1,60+Inputs!$B$25+Inputs!$B$29,IF(Skills!C21=2,90+Inputs!$B$26+Inputs!$B$29,IF(Skills!C21=3,120+Inputs!$B$27+Inputs!$B$29,MAX(0,(Inputs!$B$3-100)*3)+Inputs!$B$28+Inputs!$B$29)))</f>
        <v/>
      </c>
      <c r="E1940">
        <f>INDEX(FactorTable!$B$2:$Y$301, MATCH(ROUND(MIN(300,MAX(1,D1940)),0), FactorTable!$A$2:$A$301,0), Skills!M21+1)</f>
        <v/>
      </c>
      <c r="F1940">
        <f>IF(Skills!N21=TRUE,(Skills!L21/10)*(E1940/1000),Skills!L21/10)+Skills!O21</f>
        <v/>
      </c>
      <c r="G1940">
        <f>Skills!G21*IF(Skills!H21&gt;0,Skills!I21/Skills!H21,1)</f>
        <v/>
      </c>
      <c r="H1940">
        <f>1-(1-Skills!J21/100)^Skills!K21</f>
        <v/>
      </c>
      <c r="I1940" t="inlineStr">
        <is>
          <t>1</t>
        </is>
      </c>
      <c r="J1940" t="inlineStr"/>
      <c r="K1940" t="inlineStr"/>
      <c r="L1940" t="inlineStr"/>
      <c r="M1940" t="inlineStr"/>
      <c r="N1940" t="inlineStr"/>
      <c r="O1940">
        <f>(1-Summary!$B$11)*T1940+Summary!$B$11*V1940</f>
        <v/>
      </c>
      <c r="P1940">
        <f>IF(B1960=0,0,O1940/B1960)</f>
        <v/>
      </c>
      <c r="Q1940" t="n">
        <v>0</v>
      </c>
      <c r="R1940" t="n">
        <v>0</v>
      </c>
      <c r="S1940">
        <f>IFERROR(O1940/N1940,0)</f>
        <v/>
      </c>
      <c r="T1940" t="n">
        <v>0</v>
      </c>
      <c r="V1940" t="n">
        <v>0</v>
      </c>
    </row>
    <row r="1941">
      <c r="A1941">
        <f>Skills!A22</f>
        <v/>
      </c>
      <c r="B1941">
        <f>Skills!B22</f>
        <v/>
      </c>
      <c r="C1941">
        <f>Inputs!$B$3&gt;=43</f>
        <v/>
      </c>
      <c r="D1941">
        <f>IF(Skills!C22=1,60+Inputs!$B$25+Inputs!$B$29,IF(Skills!C22=2,90+Inputs!$B$26+Inputs!$B$29,IF(Skills!C22=3,120+Inputs!$B$27+Inputs!$B$29,MAX(0,(Inputs!$B$3-100)*3)+Inputs!$B$28+Inputs!$B$29)))</f>
        <v/>
      </c>
      <c r="E1941">
        <f>INDEX(FactorTable!$B$2:$Y$301, MATCH(ROUND(MIN(300,MAX(1,D1941)),0), FactorTable!$A$2:$A$301,0), Skills!M22+1)</f>
        <v/>
      </c>
      <c r="F1941">
        <f>IF(Skills!N22=TRUE,(Skills!L22/10)*(E1941/1000),Skills!L22/10)+Skills!O22</f>
        <v/>
      </c>
      <c r="G1941">
        <f>Skills!G22*IF(Skills!H22&gt;0,Skills!I22/Skills!H22,1)</f>
        <v/>
      </c>
      <c r="H1941">
        <f>1-(1-Skills!J22/100)^Skills!K22</f>
        <v/>
      </c>
      <c r="I1941" t="inlineStr">
        <is>
          <t>1</t>
        </is>
      </c>
      <c r="J1941" t="inlineStr"/>
      <c r="K1941" t="inlineStr"/>
      <c r="L1941" t="inlineStr"/>
      <c r="M1941" t="inlineStr"/>
      <c r="N1941" t="inlineStr"/>
      <c r="O1941">
        <f>(1-Summary!$B$11)*T1941+Summary!$B$11*V1941</f>
        <v/>
      </c>
      <c r="P1941">
        <f>IF(B1960=0,0,O1941/B1960)</f>
        <v/>
      </c>
      <c r="Q1941" t="n">
        <v>0</v>
      </c>
      <c r="R1941" t="n">
        <v>0</v>
      </c>
      <c r="S1941">
        <f>IFERROR(O1941/N1941,0)</f>
        <v/>
      </c>
      <c r="T1941" t="n">
        <v>0</v>
      </c>
      <c r="V1941" t="n">
        <v>0</v>
      </c>
    </row>
    <row r="1942">
      <c r="A1942">
        <f>Skills!A23</f>
        <v/>
      </c>
      <c r="B1942">
        <f>Skills!B23</f>
        <v/>
      </c>
      <c r="C1942">
        <f>Inputs!$B$3&gt;=38</f>
        <v/>
      </c>
      <c r="D1942">
        <f>IF(Skills!C23=1,60+Inputs!$B$25+Inputs!$B$29,IF(Skills!C23=2,90+Inputs!$B$26+Inputs!$B$29,IF(Skills!C23=3,120+Inputs!$B$27+Inputs!$B$29,MAX(0,(Inputs!$B$3-100)*3)+Inputs!$B$28+Inputs!$B$29)))</f>
        <v/>
      </c>
      <c r="E1942">
        <f>INDEX(FactorTable!$B$2:$Y$301, MATCH(ROUND(MIN(300,MAX(1,D1942)),0), FactorTable!$A$2:$A$301,0), Skills!M23+1)</f>
        <v/>
      </c>
      <c r="F1942">
        <f>IF(Skills!N23=TRUE,(Skills!L23/10)*(E1942/1000),Skills!L23/10)+Skills!O23</f>
        <v/>
      </c>
      <c r="G1942">
        <f>Skills!G23*IF(Skills!H23&gt;0,Skills!I23/Skills!H23,1)</f>
        <v/>
      </c>
      <c r="H1942">
        <f>1-(1-Skills!J23/100)^Skills!K23</f>
        <v/>
      </c>
      <c r="I1942" t="inlineStr">
        <is>
          <t>1</t>
        </is>
      </c>
      <c r="J1942" t="inlineStr"/>
      <c r="K1942" t="inlineStr"/>
      <c r="L1942" t="inlineStr"/>
      <c r="M1942" t="inlineStr"/>
      <c r="N1942" t="inlineStr"/>
      <c r="O1942">
        <f>(1-Summary!$B$11)*T1942+Summary!$B$11*V1942</f>
        <v/>
      </c>
      <c r="P1942">
        <f>IF(B1960=0,0,O1942/B1960)</f>
        <v/>
      </c>
      <c r="Q1942" t="n">
        <v>0</v>
      </c>
      <c r="R1942" t="n">
        <v>0</v>
      </c>
      <c r="S1942">
        <f>IFERROR(O1942/N1942,0)</f>
        <v/>
      </c>
      <c r="T1942" t="n">
        <v>0</v>
      </c>
      <c r="V1942" t="n">
        <v>0</v>
      </c>
    </row>
    <row r="1943">
      <c r="A1943">
        <f>Skills!A24</f>
        <v/>
      </c>
      <c r="B1943">
        <f>Skills!B24</f>
        <v/>
      </c>
      <c r="C1943">
        <f>Inputs!$B$3&gt;=40</f>
        <v/>
      </c>
      <c r="D1943">
        <f>IF(Skills!C24=1,60+Inputs!$B$25+Inputs!$B$29,IF(Skills!C24=2,90+Inputs!$B$26+Inputs!$B$29,IF(Skills!C24=3,120+Inputs!$B$27+Inputs!$B$29,MAX(0,(Inputs!$B$3-100)*3)+Inputs!$B$28+Inputs!$B$29)))</f>
        <v/>
      </c>
      <c r="E1943">
        <f>INDEX(FactorTable!$B$2:$Y$301, MATCH(ROUND(MIN(300,MAX(1,D1943)),0), FactorTable!$A$2:$A$301,0), Skills!M24+1)</f>
        <v/>
      </c>
      <c r="F1943">
        <f>IF(Skills!N24=TRUE,(Skills!L24/10)*(E1943/1000),Skills!L24/10)+Skills!O24</f>
        <v/>
      </c>
      <c r="G1943">
        <f>Skills!G24*IF(Skills!H24&gt;0,Skills!I24/Skills!H24,1)</f>
        <v/>
      </c>
      <c r="H1943">
        <f>1-(1-Skills!J24/100)^Skills!K24</f>
        <v/>
      </c>
      <c r="I1943" t="inlineStr">
        <is>
          <t>1</t>
        </is>
      </c>
      <c r="J1943" t="inlineStr"/>
      <c r="K1943" t="inlineStr"/>
      <c r="L1943" t="inlineStr"/>
      <c r="M1943" t="inlineStr"/>
      <c r="N1943" t="inlineStr"/>
      <c r="O1943">
        <f>(1-Summary!$B$11)*T1943+Summary!$B$11*V1943</f>
        <v/>
      </c>
      <c r="P1943">
        <f>IF(B1960=0,0,O1943/B1960)</f>
        <v/>
      </c>
      <c r="Q1943" t="n">
        <v>0</v>
      </c>
      <c r="R1943" t="n">
        <v>0</v>
      </c>
      <c r="S1943">
        <f>IFERROR(O1943/N1943,0)</f>
        <v/>
      </c>
      <c r="T1943" t="n">
        <v>0</v>
      </c>
      <c r="V1943" t="n">
        <v>0</v>
      </c>
    </row>
    <row r="1944">
      <c r="A1944">
        <f>Skills!A25</f>
        <v/>
      </c>
      <c r="B1944">
        <f>Skills!B25</f>
        <v/>
      </c>
      <c r="C1944">
        <f>Inputs!$B$3&gt;=72</f>
        <v/>
      </c>
      <c r="D1944">
        <f>IF(Skills!C25=1,60+Inputs!$B$25+Inputs!$B$29,IF(Skills!C25=2,90+Inputs!$B$26+Inputs!$B$29,IF(Skills!C25=3,120+Inputs!$B$27+Inputs!$B$29,MAX(0,(Inputs!$B$3-100)*3)+Inputs!$B$28+Inputs!$B$29)))</f>
        <v/>
      </c>
      <c r="E1944">
        <f>INDEX(FactorTable!$B$2:$Y$301, MATCH(ROUND(MIN(300,MAX(1,D1944)),0), FactorTable!$A$2:$A$301,0), Skills!M25+1)</f>
        <v/>
      </c>
      <c r="F1944">
        <f>IF(Skills!N25=TRUE,(Skills!L25/10)*(E1944/1000),Skills!L25/10)+Skills!O25</f>
        <v/>
      </c>
      <c r="G1944">
        <f>Skills!G25*IF(Skills!H25&gt;0,Skills!I25/Skills!H25,1)</f>
        <v/>
      </c>
      <c r="H1944">
        <f>1-(1-Skills!J25/100)^Skills!K25</f>
        <v/>
      </c>
      <c r="I1944" t="inlineStr">
        <is>
          <t>1</t>
        </is>
      </c>
      <c r="J1944" t="inlineStr"/>
      <c r="K1944" t="inlineStr"/>
      <c r="L1944" t="inlineStr"/>
      <c r="M1944" t="inlineStr"/>
      <c r="N1944" t="inlineStr"/>
      <c r="O1944">
        <f>(1-Summary!$B$11)*T1944+Summary!$B$11*V1944</f>
        <v/>
      </c>
      <c r="P1944">
        <f>IF(B1960=0,0,O1944/B1960)</f>
        <v/>
      </c>
      <c r="Q1944" t="n">
        <v>0</v>
      </c>
      <c r="R1944" t="n">
        <v>0</v>
      </c>
      <c r="S1944">
        <f>IFERROR(O1944/N1944,0)</f>
        <v/>
      </c>
      <c r="T1944" t="n">
        <v>0</v>
      </c>
      <c r="V1944" t="n">
        <v>0</v>
      </c>
    </row>
    <row r="1945">
      <c r="A1945">
        <f>Skills!A26</f>
        <v/>
      </c>
      <c r="B1945">
        <f>Skills!B26</f>
        <v/>
      </c>
      <c r="C1945">
        <f>Inputs!$B$3&gt;=75</f>
        <v/>
      </c>
      <c r="D1945">
        <f>IF(Skills!C26=1,60+Inputs!$B$25+Inputs!$B$29,IF(Skills!C26=2,90+Inputs!$B$26+Inputs!$B$29,IF(Skills!C26=3,120+Inputs!$B$27+Inputs!$B$29,MAX(0,(Inputs!$B$3-100)*3)+Inputs!$B$28+Inputs!$B$29)))</f>
        <v/>
      </c>
      <c r="E1945">
        <f>INDEX(FactorTable!$B$2:$Y$301, MATCH(ROUND(MIN(300,MAX(1,D1945)),0), FactorTable!$A$2:$A$301,0), Skills!M26+1)</f>
        <v/>
      </c>
      <c r="F1945">
        <f>IF(Skills!N26=TRUE,(Skills!L26/10)*(E1945/1000),Skills!L26/10)+Skills!O26</f>
        <v/>
      </c>
      <c r="G1945">
        <f>Skills!G26*IF(Skills!H26&gt;0,Skills!I26/Skills!H26,1)</f>
        <v/>
      </c>
      <c r="H1945">
        <f>1-(1-Skills!J26/100)^Skills!K26</f>
        <v/>
      </c>
      <c r="I1945" t="inlineStr">
        <is>
          <t>1</t>
        </is>
      </c>
      <c r="J1945" t="inlineStr"/>
      <c r="K1945" t="inlineStr"/>
      <c r="L1945" t="inlineStr"/>
      <c r="M1945" t="inlineStr"/>
      <c r="N1945" t="inlineStr"/>
      <c r="O1945">
        <f>(1-Summary!$B$11)*T1945+Summary!$B$11*V1945</f>
        <v/>
      </c>
      <c r="P1945">
        <f>IF(B1960=0,0,O1945/B1960)</f>
        <v/>
      </c>
      <c r="Q1945" t="n">
        <v>0</v>
      </c>
      <c r="R1945" t="n">
        <v>0</v>
      </c>
      <c r="S1945">
        <f>IFERROR(O1945/N1945,0)</f>
        <v/>
      </c>
      <c r="T1945" t="n">
        <v>0</v>
      </c>
      <c r="V1945" t="n">
        <v>0</v>
      </c>
    </row>
    <row r="1946">
      <c r="A1946">
        <f>Skills!A27</f>
        <v/>
      </c>
      <c r="B1946">
        <f>Skills!B27</f>
        <v/>
      </c>
      <c r="C1946">
        <f>Inputs!$B$3&gt;=117</f>
        <v/>
      </c>
      <c r="D1946">
        <f>IF(Skills!C27=1,60+Inputs!$B$25+Inputs!$B$29,IF(Skills!C27=2,90+Inputs!$B$26+Inputs!$B$29,IF(Skills!C27=3,120+Inputs!$B$27+Inputs!$B$29,MAX(0,(Inputs!$B$3-100)*3)+Inputs!$B$28+Inputs!$B$29)))</f>
        <v/>
      </c>
      <c r="E1946">
        <f>INDEX(FactorTable!$B$2:$Y$301, MATCH(ROUND(MIN(300,MAX(1,D1946)),0), FactorTable!$A$2:$A$301,0), Skills!M27+1)</f>
        <v/>
      </c>
      <c r="F1946">
        <f>IF(Skills!N27=TRUE,(Skills!L27/10)*(E1946/1000),Skills!L27/10)+Skills!O27</f>
        <v/>
      </c>
      <c r="G1946">
        <f>Skills!G27*IF(Skills!H27&gt;0,Skills!I27/Skills!H27,1)</f>
        <v/>
      </c>
      <c r="H1946">
        <f>1-(1-Skills!J27/100)^Skills!K27</f>
        <v/>
      </c>
      <c r="I1946" t="inlineStr">
        <is>
          <t>1</t>
        </is>
      </c>
      <c r="J1946" t="inlineStr"/>
      <c r="K1946" t="inlineStr"/>
      <c r="L1946" t="inlineStr"/>
      <c r="M1946" t="inlineStr"/>
      <c r="N1946" t="inlineStr"/>
      <c r="O1946">
        <f>(1-Summary!$B$11)*T1946+Summary!$B$11*V1946</f>
        <v/>
      </c>
      <c r="P1946">
        <f>IF(B1960=0,0,O1946/B1960)</f>
        <v/>
      </c>
      <c r="Q1946" t="n">
        <v>0</v>
      </c>
      <c r="R1946" t="n">
        <v>0</v>
      </c>
      <c r="S1946">
        <f>IFERROR(O1946/N1946,0)</f>
        <v/>
      </c>
      <c r="T1946" t="n">
        <v>0</v>
      </c>
      <c r="V1946" t="n">
        <v>0</v>
      </c>
    </row>
    <row r="1947">
      <c r="A1947">
        <f>Skills!A28</f>
        <v/>
      </c>
      <c r="B1947">
        <f>Skills!B28</f>
        <v/>
      </c>
      <c r="C1947">
        <f>TRUE</f>
        <v/>
      </c>
      <c r="D1947">
        <f>IF(Skills!C28=1,60+Inputs!$B$25+Inputs!$B$29,IF(Skills!C28=2,90+Inputs!$B$26+Inputs!$B$29,IF(Skills!C28=3,120+Inputs!$B$27+Inputs!$B$29,MAX(0,(Inputs!$B$3-100)*3)+Inputs!$B$28+Inputs!$B$29)))</f>
        <v/>
      </c>
      <c r="E1947">
        <f>INDEX(FactorTable!$B$2:$Y$301, MATCH(ROUND(MIN(300,MAX(1,D1947)),0), FactorTable!$A$2:$A$301,0), Skills!M28+1)</f>
        <v/>
      </c>
      <c r="F1947">
        <f>IF(Skills!N28=TRUE,(Skills!L28/10)*(E1947/1000),Skills!L28/10)+Skills!O28</f>
        <v/>
      </c>
      <c r="G1947">
        <f>Skills!G28*IF(Skills!H28&gt;0,Skills!I28/Skills!H28,1)</f>
        <v/>
      </c>
      <c r="H1947">
        <f>1-(1-Skills!J28/100)^Skills!K28</f>
        <v/>
      </c>
      <c r="I1947" t="inlineStr">
        <is>
          <t>1</t>
        </is>
      </c>
      <c r="J1947" t="inlineStr"/>
      <c r="K1947" t="inlineStr"/>
      <c r="L1947" t="inlineStr"/>
      <c r="M1947" t="inlineStr"/>
      <c r="N1947" t="inlineStr"/>
      <c r="O1947">
        <f>(1-Summary!$B$11)*T1947+Summary!$B$11*V1947</f>
        <v/>
      </c>
      <c r="P1947">
        <f>IF(B1960=0,0,O1947/B1960)</f>
        <v/>
      </c>
      <c r="Q1947">
        <f>IFERROR(1/(IF(Inputs!$B$38="pvp",15,MAX(0.1,Skills!D28-IF(Skills!E28=TRUE,Inputs!$B$32,0)))*(1-IF(AND(ArtifactsInput!$M$27,Inputs!$B$4="Chapter Hunt"),CHOOSE(ArtifactsInput!$N$27+1,20,24,28,32,36,40),0)/100)),0)</f>
        <v/>
      </c>
      <c r="R1947">
        <f>IF(AND(Inputs!$B$38&lt;&gt;"pvp",Inputs!$B$43&gt;0),IF(Inputs!$B$43&lt;=0,0,(INT(Inputs!$B$43/(IF(Inputs!$B$38="pvp",15,MAX(0.1,Skills!D28-IF(Skills!E28=TRUE,Inputs!$B$32,0)))*(1-IF(AND(ArtifactsInput!$M$27,Inputs!$B$4="Chapter Hunt"),CHOOSE(ArtifactsInput!$N$27+1,20,24,28,32,36,40),0)/100)))+1)),0)</f>
        <v/>
      </c>
      <c r="S1947">
        <f>IFERROR(O1947/N1947,0)</f>
        <v/>
      </c>
      <c r="T1947" t="n">
        <v>0</v>
      </c>
      <c r="V1947" t="n">
        <v>0</v>
      </c>
    </row>
    <row r="1949">
      <c r="A1949" t="inlineStr">
        <is>
          <t>Attack% Bucket Multiplier</t>
        </is>
      </c>
      <c r="B1949">
        <f>(1+(((C1936=TRUE)*F1936*5/7)+((C1943=TRUE)*(F1943-Calc!F24))+(IF(ArtifactsInput!$M$21,CHOOSE(ArtifactsInput!$N$21+1,25,30,35,40,45,50)*(IF(OR(Inputs!$B$4="Chapter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50">
      <c r="A1950" t="inlineStr">
        <is>
          <t>Global Crit Rate Bonus %</t>
        </is>
      </c>
      <c r="B1950" t="n">
        <v>0</v>
      </c>
    </row>
    <row r="1951">
      <c r="A1951" t="inlineStr">
        <is>
          <t>Attack Speed Buff Bonus % (Nimble Feet, duty-cycle averaged)</t>
        </is>
      </c>
      <c r="B1951">
        <f>((C1947=TRUE)*F1947*IF(AND(Inputs!$B$38&lt;&gt;"pvp",Inputs!$B$43&gt;0),(((R1947-1)*(Skills!T28*(1+Inputs!$B$34/100))+MIN((Skills!T28*(1+Inputs!$B$34/100)),MAX(0,Inputs!$B$43-((R1947-1)*Skills!D28))))/Inputs!$B$43),IF(Inputs!$B$38="pvp",MIN((Skills!T28*(1+Inputs!$B$34/100)),15)/15,(Skills!T28*(1+Inputs!$B$34/100))/Skills!D28)))</f>
        <v/>
      </c>
    </row>
    <row r="1952">
      <c r="A1952" t="inlineStr">
        <is>
          <t>Actions Per Second</t>
        </is>
      </c>
      <c r="B1952">
        <f>1+MIN(150,150*(1-(1-(Inputs!$B$11+((C1939=TRUE)*(F1939-Calc!F20))+((C1940=TRUE)*(F1940-Calc!F21)))/150)*(1-B1951/150)))/100</f>
        <v/>
      </c>
    </row>
    <row r="1953">
      <c r="A1953" t="inlineStr">
        <is>
          <t>Skill + Buff Cast Rate</t>
        </is>
      </c>
      <c r="B1953">
        <f>IF(AND(Inputs!$B$38&lt;&gt;"pvp",Inputs!$B$43&gt;0),SUMPRODUCT((Skills!E2:E28=TRUE)*(C1921:C1947=TRUE)*R1921:R1947*Skills!F2:F28)/Inputs!$B$43,SUMPRODUCT((Skills!E2:E28=TRUE)*(C1921:C1947=TRUE)*Q1921:Q1947*Skills!F2:F28))</f>
        <v/>
      </c>
    </row>
    <row r="1954">
      <c r="A1954" t="inlineStr">
        <is>
          <t>Eight-Legs Easton Casts Per Second</t>
        </is>
      </c>
      <c r="B1954">
        <f>MAX(0,B1952-B1953)</f>
        <v/>
      </c>
    </row>
    <row r="1955">
      <c r="A1955" t="inlineStr">
        <is>
          <t>Global Critical Damage Bonus % (unused)</t>
        </is>
      </c>
      <c r="B1955" t="n">
        <v>0</v>
      </c>
    </row>
    <row r="1956">
      <c r="A1956" t="inlineStr">
        <is>
          <t>Global Final Damage Bonus % (Jolly Roger + Ahoy Mateys - Final Damage proc)</t>
        </is>
      </c>
      <c r="B1956">
        <f>((C1937=TRUE)*F1937*IF(AND(Inputs!$B$38&lt;&gt;"pvp",Inputs!$B$43&gt;0),(((R1937-1)*(Skills!T18*(1+Inputs!$B$34/100))+MIN((Skills!T18*(1+Inputs!$B$34/100)),MAX(0,Inputs!$B$43-((R1937-1)*Skills!D18))))/Inputs!$B$43),IF(Inputs!$B$38="pvp",MIN((Skills!T18*(1+Inputs!$B$34/100)),15)/15,(Skills!T18*(1+Inputs!$B$34/100))/Skills!D18)))+IF(Inputs!$B$3&gt;=122,20*IF(Inputs!$B$38="pvp",MIN((20*(1+Inputs!$B$34/100)),15)/15,(20*(1+Inputs!$B$34/100))/Skills!D4),0)</f>
        <v/>
      </c>
    </row>
    <row r="1957">
      <c r="A1957" t="inlineStr">
        <is>
          <t>Buff-Casting Startup Delay (s, fixed-duration only)</t>
        </is>
      </c>
      <c r="B1957">
        <f>IF(AND(Inputs!$B$38&lt;&gt;"pvp",Inputs!$B$43&gt;0),SUMPRODUCT((Skills!T2:T28&gt;0)*(Skills!E2:E28=TRUE)*(C1921:C1947=TRUE))/B1952,0)</f>
        <v/>
      </c>
    </row>
    <row r="1958">
      <c r="A1958" t="inlineStr">
        <is>
          <t>Boss-Only Total DPS (this block's swept value)</t>
        </is>
      </c>
      <c r="B1958">
        <f>SUM(T1921:T1947)</f>
        <v/>
      </c>
    </row>
    <row r="1959">
      <c r="A1959" t="inlineStr">
        <is>
          <t>Normal-Only Total DPS (this block's swept value)</t>
        </is>
      </c>
      <c r="B1959">
        <f>SUM(V1921:V1947)</f>
        <v/>
      </c>
    </row>
    <row r="1960">
      <c r="A1960" s="6" t="inlineStr">
        <is>
          <t>TOTAL DPS</t>
        </is>
      </c>
      <c r="B1960" s="6">
        <f>SUM(O1921:O1947)</f>
        <v/>
      </c>
    </row>
    <row r="1963">
      <c r="A1963" s="6" t="inlineStr">
        <is>
          <t>Stat: Book of Ancient (Equip)</t>
        </is>
      </c>
    </row>
    <row r="1964">
      <c r="A1964" s="5" t="inlineStr">
        <is>
          <t>Key</t>
        </is>
      </c>
      <c r="B1964" s="5" t="inlineStr">
        <is>
          <t>Name</t>
        </is>
      </c>
      <c r="C1964" s="5" t="inlineStr">
        <is>
          <t>Unlocked</t>
        </is>
      </c>
      <c r="D1964" s="5" t="inlineStr">
        <is>
          <t>InputLevel</t>
        </is>
      </c>
      <c r="E1964" s="5" t="inlineStr">
        <is>
          <t>Factor</t>
        </is>
      </c>
      <c r="F1964" s="5" t="inlineStr">
        <is>
          <t>CoefficientPercent</t>
        </is>
      </c>
      <c r="G1964" s="5" t="inlineStr">
        <is>
          <t>EffectiveHits</t>
        </is>
      </c>
      <c r="H1964" s="5" t="inlineStr">
        <is>
          <t>ProcProbability</t>
        </is>
      </c>
      <c r="I1964" s="5" t="inlineStr">
        <is>
          <t>MapleHeroMultiplier</t>
        </is>
      </c>
      <c r="J1964" s="5" t="inlineStr">
        <is>
          <t>BaseDamage</t>
        </is>
      </c>
      <c r="K1964" s="5" t="inlineStr">
        <is>
          <t>BaseHitDamage</t>
        </is>
      </c>
      <c r="L1964" s="5" t="inlineStr">
        <is>
          <t>NonCritAvg</t>
        </is>
      </c>
      <c r="M1964" s="5" t="inlineStr">
        <is>
          <t>CritAvg</t>
        </is>
      </c>
      <c r="N1964" s="5" t="inlineStr">
        <is>
          <t>ExpectedDamage(perHit)</t>
        </is>
      </c>
      <c r="O1964" s="5" t="inlineStr">
        <is>
          <t>DPS</t>
        </is>
      </c>
      <c r="P1964" s="5" t="inlineStr">
        <is>
          <t>% of Total</t>
        </is>
      </c>
      <c r="Q1964" s="5" t="inlineStr">
        <is>
          <t>InvCooldown</t>
        </is>
      </c>
      <c r="R1964" s="5" t="inlineStr">
        <is>
          <t>CastsInFight</t>
        </is>
      </c>
      <c r="S1964" s="5" t="inlineStr">
        <is>
          <t>HitRate(perSec)</t>
        </is>
      </c>
      <c r="U1964" t="inlineStr">
        <is>
          <t>helpers</t>
        </is>
      </c>
    </row>
    <row r="1965">
      <c r="A1965">
        <f>Skills!A2</f>
        <v/>
      </c>
      <c r="B1965">
        <f>Skills!B2</f>
        <v/>
      </c>
      <c r="C1965">
        <f>Inputs!$B$3&gt;=100</f>
        <v/>
      </c>
      <c r="D1965" t="inlineStr"/>
      <c r="E1965" t="inlineStr"/>
      <c r="F1965">
        <f>U1967+Skills!O2</f>
        <v/>
      </c>
      <c r="G1965">
        <f>Skills!G2*IF(Skills!H2&gt;0,Skills!I2/Skills!H2,1)</f>
        <v/>
      </c>
      <c r="H1965">
        <f>1-(1-Skills!J2/100)^Skills!K2</f>
        <v/>
      </c>
      <c r="I1965" t="inlineStr">
        <is>
          <t>1</t>
        </is>
      </c>
      <c r="J1965">
        <f>((Inputs!$B$6*(1+Inputs!$B$7/100))+(((Inputs!$B$12*(1+Inputs!$B$13/100))-(Inputs!$B$12*(1+Inputs!$B$13/100)))+0.25*(Inputs!$B$14-Inputs!$B$14))*(1+Inputs!$B$7/100))*(F1965/100)</f>
        <v/>
      </c>
      <c r="K1965">
        <f>J1965*(1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1965)</f>
        <v/>
      </c>
      <c r="L1965">
        <f>K1965*(MIN(Inputs!$B$22+((C1985=TRUE)*(F1985-Calc!F22)),(Inputs!$B$23+0+(IF(ArtifactsInput!$M$15,CHOOSE(ArtifactsInput!$N$15+1,25,30,35,40,45,50)/100*(Inputs!$B$11-Inputs!$B$11),0))))/100+(Inputs!$B$23+0+(IF(ArtifactsInput!$M$15,CHOOSE(ArtifactsInput!$N$15+1,25,30,35,40,45,50)/100*(Inputs!$B$11-Inputs!$B$11),0)))/100)/2</f>
        <v/>
      </c>
      <c r="M1965">
        <f>L1965*(1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65">
        <f>L1965*(1-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1965*(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5">
        <f>(1-Summary!$B$11)*T1965+Summary!$B$11*V1965</f>
        <v/>
      </c>
      <c r="P1965">
        <f>IF(B2004=0,0,O1965/B2004)</f>
        <v/>
      </c>
      <c r="Q1965" t="n">
        <v>0</v>
      </c>
      <c r="R1965" t="n">
        <v>0</v>
      </c>
      <c r="S1965">
        <f>IFERROR(O1965/N1965,0)</f>
        <v/>
      </c>
      <c r="T1965">
        <f>IF(C1965,(Skills!G2*N1965*B1998)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1965*(1-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1965*(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1965*(1-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1965*(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5">
        <f>MAX(0,(Inputs!$B$3-100)*3)+Inputs!$B$28+Inputs!$B$29</f>
        <v/>
      </c>
      <c r="V1965">
        <f>IF(C1965,(Skills!G2*N1965*B1998)*IF(Inputs!$B$38="pvp",1,(1+(Inputs!$B$21+Skills!Q2+(IF(ArtifactsInput!$M$33,CHOOSE(ArtifactsInput!$N$33+1,30,36,42,48,54,60),0))+(IF(AND(ArtifactsInput!$M$35,Inputs!$B$4&lt;&gt;"Chapter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6">
      <c r="A1966">
        <f>Skills!A3</f>
        <v/>
      </c>
      <c r="B1966">
        <f>Skills!B3</f>
        <v/>
      </c>
      <c r="C1966">
        <f>Inputs!$B$3&gt;=35</f>
        <v/>
      </c>
      <c r="D1966">
        <f>IF(Skills!C3=1,60+Inputs!$B$25+Inputs!$B$29,IF(Skills!C3=2,90+Inputs!$B$26+Inputs!$B$29,IF(Skills!C3=3,120+Inputs!$B$27+Inputs!$B$29,MAX(0,(Inputs!$B$3-100)*3)+Inputs!$B$28+Inputs!$B$29)))</f>
        <v/>
      </c>
      <c r="E1966">
        <f>INDEX(FactorTable!$B$2:$Y$301, MATCH(ROUND(MIN(300,MAX(1,D1966)),0), FactorTable!$A$2:$A$301,0), Skills!M3+1)</f>
        <v/>
      </c>
      <c r="F1966">
        <f>IF(Skills!N3=TRUE,(Skills!L3/10)*(E1966/1000),Skills!L3/10)+Skills!O3</f>
        <v/>
      </c>
      <c r="G1966">
        <f>Skills!G3*IF(Skills!H3&gt;0,Skills!I3/Skills!H3,1)</f>
        <v/>
      </c>
      <c r="H1966">
        <f>1-(1-Skills!J3/100)^Skills!K3</f>
        <v/>
      </c>
      <c r="I1966" t="inlineStr">
        <is>
          <t>1</t>
        </is>
      </c>
      <c r="J1966">
        <f>((Inputs!$B$6*(1+Inputs!$B$7/100))+(((Inputs!$B$12*(1+Inputs!$B$13/100))-(Inputs!$B$12*(1+Inputs!$B$13/100)))+0.25*(Inputs!$B$14-Inputs!$B$14))*(1+Inputs!$B$7/100))*(F1966/100)</f>
        <v/>
      </c>
      <c r="K1966">
        <f>J1966*(1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1978=TRUE,F1978,0)/100)*(1+(IF(Skills!A3="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1966)</f>
        <v/>
      </c>
      <c r="L1966">
        <f>K1966*(MIN(Inputs!$B$22+((C1985=TRUE)*(F1985-Calc!F22)),(Inputs!$B$23+0+(IF(ArtifactsInput!$M$15,CHOOSE(ArtifactsInput!$N$15+1,25,30,35,40,45,50)/100*(Inputs!$B$11-Inputs!$B$11),0))))/100+(Inputs!$B$23+0+(IF(ArtifactsInput!$M$15,CHOOSE(ArtifactsInput!$N$15+1,25,30,35,40,45,50)/100*(Inputs!$B$11-Inputs!$B$11),0)))/100)/2</f>
        <v/>
      </c>
      <c r="M1966">
        <f>L1966*(1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66">
        <f>L1966*(1-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1966*(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6">
        <f>(1-Summary!$B$11)*T1966+Summary!$B$11*V1966</f>
        <v/>
      </c>
      <c r="P1966">
        <f>IF(B2004=0,0,O1966/B2004)</f>
        <v/>
      </c>
      <c r="Q1966">
        <f>IFERROR(1/(IF(Inputs!$B$38="pvp",15,MAX(0.1,Skills!D3-IF(Skills!E3=TRUE,Inputs!$B$32,0)))*(1-IF(AND(ArtifactsInput!$M$27,Inputs!$B$4="Chapter Hunt"),CHOOSE(ArtifactsInput!$N$27+1,20,24,28,32,36,40),0)/100)),0)</f>
        <v/>
      </c>
      <c r="R1966">
        <f>IF(AND(Inputs!$B$38&lt;&gt;"pvp",Inputs!$B$43&gt;0),IF(MAX(0,Inputs!$B$43-B2001)&lt;=0,0,(INT(MAX(0,Inputs!$B$43-B2001)/(IF(Inputs!$B$38="pvp",15,MAX(0.1,Skills!D3-IF(Skills!E3=TRUE,Inputs!$B$32,0)))*(1-IF(AND(ArtifactsInput!$M$27,Inputs!$B$4="Chapter Hunt"),CHOOSE(ArtifactsInput!$N$27+1,20,24,28,32,36,40),0)/100)))+1)),0)</f>
        <v/>
      </c>
      <c r="S1966">
        <f>IFERROR(O1966/N1966,0)</f>
        <v/>
      </c>
      <c r="T1966">
        <f>IF(C1966,(H1966*N1966*IF(AND(Inputs!$B$38&lt;&gt;"pvp",Inputs!$B$43&gt;0),((Skills!G3*((R1966-1)*IF(Skills!H3&gt;0,Skills!I3/Skills!H3,1)+IF(Skills!H3&gt;0,MIN(Skills!I3,MAX(0,MAX(0,Inputs!$B$43-B2001)-((R1966-1)*(IF(Inputs!$B$38="pvp",15,MAX(0.1,Skills!D3-IF(Skills!E3=TRUE,Inputs!$B$32,0)))*(1-IF(AND(ArtifactsInput!$M$27,Inputs!$B$4="Chapter Hunt"),CHOOSE(ArtifactsInput!$N$27+1,20,24,28,32,36,40),0)/100)))))/Skills!H3,1)))/Inputs!$B$43),G1966*Q1966)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1966*(1-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1966*(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1966*(1-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1966*(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6">
        <f>INDEX(FactorTable!$B$2:$Y$301, MATCH(ROUND(MIN(300,MAX(1,U1965)),0), FactorTable!$A$2:$A$301,0), 22)</f>
        <v/>
      </c>
      <c r="V1966">
        <f>IF(C1966,(H1966*N1966*IF(AND(Inputs!$B$38&lt;&gt;"pvp",Inputs!$B$43&gt;0),((Skills!G3*((R1966-1)*IF(Skills!H3&gt;0,Skills!I3/Skills!H3,1)+IF(Skills!H3&gt;0,MIN(Skills!I3,MAX(0,MAX(0,Inputs!$B$43-B2001)-((R1966-1)*(IF(Inputs!$B$38="pvp",15,MAX(0.1,Skills!D3-IF(Skills!E3=TRUE,Inputs!$B$32,0)))*(1-IF(AND(ArtifactsInput!$M$27,Inputs!$B$4="Chapter Hunt"),CHOOSE(ArtifactsInput!$N$27+1,20,24,28,32,36,40),0)/100)))))/Skills!H3,1)))/Inputs!$B$43),G1966*Q1966))*IF(Inputs!$B$38="pvp",1,(1+(Inputs!$B$21+Skills!Q3+(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7">
      <c r="A1967">
        <f>Skills!A4</f>
        <v/>
      </c>
      <c r="B1967">
        <f>Skills!B4</f>
        <v/>
      </c>
      <c r="C1967">
        <f>Inputs!$B$3&gt;=40</f>
        <v/>
      </c>
      <c r="D1967">
        <f>IF(Skills!C4=1,60+Inputs!$B$25+Inputs!$B$29,IF(Skills!C4=2,90+Inputs!$B$26+Inputs!$B$29,IF(Skills!C4=3,120+Inputs!$B$27+Inputs!$B$29,MAX(0,(Inputs!$B$3-100)*3)+Inputs!$B$28+Inputs!$B$29)))</f>
        <v/>
      </c>
      <c r="E1967">
        <f>INDEX(FactorTable!$B$2:$Y$301, MATCH(ROUND(MIN(300,MAX(1,D1967)),0), FactorTable!$A$2:$A$301,0), Skills!M4+1)</f>
        <v/>
      </c>
      <c r="F1967">
        <f>IF(Skills!N4=TRUE,(Skills!L4/10)*(E1967/1000),Skills!L4/10)+Skills!O4</f>
        <v/>
      </c>
      <c r="G1967">
        <f>Skills!G4*IF(Skills!H4&gt;0,Skills!I4/Skills!H4,1)</f>
        <v/>
      </c>
      <c r="H1967">
        <f>1-(1-Skills!J4/100)^Skills!K4</f>
        <v/>
      </c>
      <c r="I1967" t="inlineStr">
        <is>
          <t>1</t>
        </is>
      </c>
      <c r="J1967">
        <f>((Inputs!$B$6*(1+Inputs!$B$7/100))+(((Inputs!$B$12*(1+Inputs!$B$13/100))-(Inputs!$B$12*(1+Inputs!$B$13/100)))+0.25*(Inputs!$B$14-Inputs!$B$14))*(1+Inputs!$B$7/100))*(F1967/100)</f>
        <v/>
      </c>
      <c r="K1967">
        <f>J1967*(1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1979=TRUE,F1979,0)/100)*(1+(IF(Skills!A4="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1967)</f>
        <v/>
      </c>
      <c r="L1967">
        <f>K1967*(MIN(Inputs!$B$22+((C1985=TRUE)*(F1985-Calc!F22)),(Inputs!$B$23+0+(IF(ArtifactsInput!$M$15,CHOOSE(ArtifactsInput!$N$15+1,25,30,35,40,45,50)/100*(Inputs!$B$11-Inputs!$B$11),0))))/100+(Inputs!$B$23+0+(IF(ArtifactsInput!$M$15,CHOOSE(ArtifactsInput!$N$15+1,25,30,35,40,45,50)/100*(Inputs!$B$11-Inputs!$B$11),0)))/100)/2</f>
        <v/>
      </c>
      <c r="M1967">
        <f>L1967*(1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67">
        <f>L1967*(1-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1967*(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7">
        <f>(1-Summary!$B$11)*T1967+Summary!$B$11*V1967</f>
        <v/>
      </c>
      <c r="P1967">
        <f>IF(B2004=0,0,O1967/B2004)</f>
        <v/>
      </c>
      <c r="Q1967">
        <f>IFERROR(1/(IF(Inputs!$B$38="pvp",15,MAX(0.1,Skills!D4-IF(Skills!E4=TRUE,Inputs!$B$32,0)))*(1-IF(AND(ArtifactsInput!$M$27,Inputs!$B$4="Chapter Hunt"),CHOOSE(ArtifactsInput!$N$27+1,20,24,28,32,36,40),0)/100)),0)</f>
        <v/>
      </c>
      <c r="R1967">
        <f>IF(AND(Inputs!$B$38&lt;&gt;"pvp",Inputs!$B$43&gt;0),IF(MAX(0,Inputs!$B$43-B2001)&lt;=0,0,(INT(MAX(0,Inputs!$B$43-B2001)/(IF(Inputs!$B$38="pvp",15,MAX(0.1,Skills!D4-IF(Skills!E4=TRUE,Inputs!$B$32,0)))*(1-IF(AND(ArtifactsInput!$M$27,Inputs!$B$4="Chapter Hunt"),CHOOSE(ArtifactsInput!$N$27+1,20,24,28,32,36,40),0)/100)))+1)),0)</f>
        <v/>
      </c>
      <c r="S1967">
        <f>IFERROR(O1967/N1967,0)</f>
        <v/>
      </c>
      <c r="T1967">
        <f>IF(C1967,(H1967*N1967*IF(AND(Inputs!$B$38&lt;&gt;"pvp",Inputs!$B$43&gt;0),((Skills!G4*((R1967-1)*IF(Skills!H4&gt;0,Skills!I4/Skills!H4,1)+IF(Skills!H4&gt;0,MIN(Skills!I4,MAX(0,MAX(0,Inputs!$B$43-B2001)-((R1967-1)*(IF(Inputs!$B$38="pvp",15,MAX(0.1,Skills!D4-IF(Skills!E4=TRUE,Inputs!$B$32,0)))*(1-IF(AND(ArtifactsInput!$M$27,Inputs!$B$4="Chapter Hunt"),CHOOSE(ArtifactsInput!$N$27+1,20,24,28,32,36,40),0)/100)))))/Skills!H4,1)))/Inputs!$B$43),G1967*Q1967)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1967*(1-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1967*(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1967*(1-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1967*(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7">
        <f>290*U1966/1000</f>
        <v/>
      </c>
      <c r="V1967">
        <f>IF(C1967,(H1967*N1967*IF(AND(Inputs!$B$38&lt;&gt;"pvp",Inputs!$B$43&gt;0),((Skills!G4*((R1967-1)*IF(Skills!H4&gt;0,Skills!I4/Skills!H4,1)+IF(Skills!H4&gt;0,MIN(Skills!I4,MAX(0,MAX(0,Inputs!$B$43-B2001)-((R1967-1)*(IF(Inputs!$B$38="pvp",15,MAX(0.1,Skills!D4-IF(Skills!E4=TRUE,Inputs!$B$32,0)))*(1-IF(AND(ArtifactsInput!$M$27,Inputs!$B$4="Chapter Hunt"),CHOOSE(ArtifactsInput!$N$27+1,20,24,28,32,36,40),0)/100)))))/Skills!H4,1)))/Inputs!$B$43),G1967*Q1967))*IF(Inputs!$B$38="pvp",1,(1+(Inputs!$B$21+Skills!Q4+(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8">
      <c r="A1968">
        <f>Skills!A5</f>
        <v/>
      </c>
      <c r="B1968">
        <f>Skills!B5</f>
        <v/>
      </c>
      <c r="C1968">
        <f>Inputs!$B$3&gt;=45</f>
        <v/>
      </c>
      <c r="D1968">
        <f>IF(Skills!C5=1,60+Inputs!$B$25+Inputs!$B$29,IF(Skills!C5=2,90+Inputs!$B$26+Inputs!$B$29,IF(Skills!C5=3,120+Inputs!$B$27+Inputs!$B$29,MAX(0,(Inputs!$B$3-100)*3)+Inputs!$B$28+Inputs!$B$29)))</f>
        <v/>
      </c>
      <c r="E1968">
        <f>INDEX(FactorTable!$B$2:$Y$301, MATCH(ROUND(MIN(300,MAX(1,D1968)),0), FactorTable!$A$2:$A$301,0), Skills!M5+1)</f>
        <v/>
      </c>
      <c r="F1968">
        <f>IF(Skills!N5=TRUE,(Skills!L5/10)*(E1968/1000),Skills!L5/10)+Skills!O5</f>
        <v/>
      </c>
      <c r="G1968">
        <f>Skills!G5*IF(Skills!H5&gt;0,Skills!I5/Skills!H5,1)</f>
        <v/>
      </c>
      <c r="H1968">
        <f>1-(1-Skills!J5/100)^Skills!K5</f>
        <v/>
      </c>
      <c r="I1968" t="inlineStr">
        <is>
          <t>1</t>
        </is>
      </c>
      <c r="J1968">
        <f>((Inputs!$B$6*(1+Inputs!$B$7/100))+(((Inputs!$B$12*(1+Inputs!$B$13/100))-(Inputs!$B$12*(1+Inputs!$B$13/100)))+0.25*(Inputs!$B$14-Inputs!$B$14))*(1+Inputs!$B$7/100))*(F1968/100)</f>
        <v/>
      </c>
      <c r="K1968">
        <f>J1968*(1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1979=TRUE,F1979,0)/100)*(1+(IF(Skills!A5="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1968)</f>
        <v/>
      </c>
      <c r="L1968">
        <f>K1968*(MIN(Inputs!$B$22+((C1985=TRUE)*(F1985-Calc!F22)),(Inputs!$B$23+0+(IF(ArtifactsInput!$M$15,CHOOSE(ArtifactsInput!$N$15+1,25,30,35,40,45,50)/100*(Inputs!$B$11-Inputs!$B$11),0))))/100+(Inputs!$B$23+0+(IF(ArtifactsInput!$M$15,CHOOSE(ArtifactsInput!$N$15+1,25,30,35,40,45,50)/100*(Inputs!$B$11-Inputs!$B$11),0)))/100)/2</f>
        <v/>
      </c>
      <c r="M1968">
        <f>L1968*(1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68">
        <f>L1968*(1-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1968*(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8">
        <f>(1-Summary!$B$11)*T1968+Summary!$B$11*V1968</f>
        <v/>
      </c>
      <c r="P1968">
        <f>IF(B2004=0,0,O1968/B2004)</f>
        <v/>
      </c>
      <c r="Q1968">
        <f>IFERROR(1/(IF(Inputs!$B$38="pvp",15,MAX(0.1,Skills!D5-IF(Skills!E5=TRUE,Inputs!$B$32,0)))*(1-IF(AND(ArtifactsInput!$M$27,Inputs!$B$4="Chapter Hunt"),CHOOSE(ArtifactsInput!$N$27+1,20,24,28,32,36,40),0)/100)),0)</f>
        <v/>
      </c>
      <c r="R1968">
        <f>IF(AND(Inputs!$B$38&lt;&gt;"pvp",Inputs!$B$43&gt;0),IF(MAX(0,Inputs!$B$43-B2001)&lt;=0,0,(INT(MAX(0,Inputs!$B$43-B2001)/(IF(Inputs!$B$38="pvp",15,MAX(0.1,Skills!D5-IF(Skills!E5=TRUE,Inputs!$B$32,0)))*(1-IF(AND(ArtifactsInput!$M$27,Inputs!$B$4="Chapter Hunt"),CHOOSE(ArtifactsInput!$N$27+1,20,24,28,32,36,40),0)/100)))+1)),0)</f>
        <v/>
      </c>
      <c r="S1968">
        <f>IFERROR(O1968/N1968,0)</f>
        <v/>
      </c>
      <c r="T1968">
        <f>IF(C1968,(H1968*N1968*IF(AND(Inputs!$B$38&lt;&gt;"pvp",Inputs!$B$43&gt;0),((Skills!G5*((R1968-1)*IF(Skills!H5&gt;0,Skills!I5/Skills!H5,1)+IF(Skills!H5&gt;0,MIN(Skills!I5,MAX(0,MAX(0,Inputs!$B$43-B2001)-((R1968-1)*(IF(Inputs!$B$38="pvp",15,MAX(0.1,Skills!D5-IF(Skills!E5=TRUE,Inputs!$B$32,0)))*(1-IF(AND(ArtifactsInput!$M$27,Inputs!$B$4="Chapter Hunt"),CHOOSE(ArtifactsInput!$N$27+1,20,24,28,32,36,40),0)/100)))))/Skills!H5,1)))/Inputs!$B$43),G1968*Q1968)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1968*(1-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1968*(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1968*(1-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1968*(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8">
        <f>IF(C1968,(H1968*N1968*IF(AND(Inputs!$B$38&lt;&gt;"pvp",Inputs!$B$43&gt;0),((Skills!G5*((R1968-1)*IF(Skills!H5&gt;0,Skills!I5/Skills!H5,1)+IF(Skills!H5&gt;0,MIN(Skills!I5,MAX(0,MAX(0,Inputs!$B$43-B2001)-((R1968-1)*(IF(Inputs!$B$38="pvp",15,MAX(0.1,Skills!D5-IF(Skills!E5=TRUE,Inputs!$B$32,0)))*(1-IF(AND(ArtifactsInput!$M$27,Inputs!$B$4="Chapter Hunt"),CHOOSE(ArtifactsInput!$N$27+1,20,24,28,32,36,40),0)/100)))))/Skills!H5,1)))/Inputs!$B$43),G1968*Q1968))*IF(Inputs!$B$38="pvp",1,(1+(Inputs!$B$21+Skills!Q5+(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9">
      <c r="A1969">
        <f>Skills!A6</f>
        <v/>
      </c>
      <c r="B1969">
        <f>Skills!B6</f>
        <v/>
      </c>
      <c r="C1969">
        <f>Inputs!$B$3&gt;=63</f>
        <v/>
      </c>
      <c r="D1969">
        <f>IF(Skills!C6=1,60+Inputs!$B$25+Inputs!$B$29,IF(Skills!C6=2,90+Inputs!$B$26+Inputs!$B$29,IF(Skills!C6=3,120+Inputs!$B$27+Inputs!$B$29,MAX(0,(Inputs!$B$3-100)*3)+Inputs!$B$28+Inputs!$B$29)))</f>
        <v/>
      </c>
      <c r="E1969">
        <f>INDEX(FactorTable!$B$2:$Y$301, MATCH(ROUND(MIN(300,MAX(1,D1969)),0), FactorTable!$A$2:$A$301,0), Skills!M6+1)</f>
        <v/>
      </c>
      <c r="F1969">
        <f>IF(Skills!N6=TRUE,(Skills!L6/10)*(E1969/1000),Skills!L6/10)+Skills!O6</f>
        <v/>
      </c>
      <c r="G1969">
        <f>Skills!G6*IF(Skills!H6&gt;0,Skills!I6/Skills!H6,1)</f>
        <v/>
      </c>
      <c r="H1969">
        <f>1-(1-Skills!J6/100)^Skills!K6</f>
        <v/>
      </c>
      <c r="I1969" t="inlineStr">
        <is>
          <t>1</t>
        </is>
      </c>
      <c r="J1969">
        <f>((Inputs!$B$6*(1+Inputs!$B$7/100))+(((Inputs!$B$12*(1+Inputs!$B$13/100))-(Inputs!$B$12*(1+Inputs!$B$13/100)))+0.25*(Inputs!$B$14-Inputs!$B$14))*(1+Inputs!$B$7/100))*(F1969/100)</f>
        <v/>
      </c>
      <c r="K1969">
        <f>J1969*(1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1978=TRUE,F1978,0)/100)*(1+(IF(Skills!A6="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1969)</f>
        <v/>
      </c>
      <c r="L1969">
        <f>K1969*(MIN(Inputs!$B$22+((C1985=TRUE)*(F1985-Calc!F22)),(Inputs!$B$23+0+(IF(ArtifactsInput!$M$15,CHOOSE(ArtifactsInput!$N$15+1,25,30,35,40,45,50)/100*(Inputs!$B$11-Inputs!$B$11),0))))/100+(Inputs!$B$23+0+(IF(ArtifactsInput!$M$15,CHOOSE(ArtifactsInput!$N$15+1,25,30,35,40,45,50)/100*(Inputs!$B$11-Inputs!$B$11),0)))/100)/2</f>
        <v/>
      </c>
      <c r="M1969">
        <f>L1969*(1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69">
        <f>L1969*(1-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1969*(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9">
        <f>(1-Summary!$B$11)*T1969+Summary!$B$11*V1969</f>
        <v/>
      </c>
      <c r="P1969">
        <f>IF(B2004=0,0,O1969/B2004)</f>
        <v/>
      </c>
      <c r="Q1969">
        <f>IFERROR(1/(IF(Inputs!$B$38="pvp",15,MAX(0.1,Skills!D6-IF(Skills!E6=TRUE,Inputs!$B$32,0)))*(1-IF(AND(ArtifactsInput!$M$27,Inputs!$B$4="Chapter Hunt"),CHOOSE(ArtifactsInput!$N$27+1,20,24,28,32,36,40),0)/100)),0)</f>
        <v/>
      </c>
      <c r="R1969">
        <f>IF(AND(Inputs!$B$38&lt;&gt;"pvp",Inputs!$B$43&gt;0),IF(MAX(0,Inputs!$B$43-B2001)&lt;=0,0,(INT(MAX(0,Inputs!$B$43-B2001)/(IF(Inputs!$B$38="pvp",15,MAX(0.1,Skills!D6-IF(Skills!E6=TRUE,Inputs!$B$32,0)))*(1-IF(AND(ArtifactsInput!$M$27,Inputs!$B$4="Chapter Hunt"),CHOOSE(ArtifactsInput!$N$27+1,20,24,28,32,36,40),0)/100)))+1)),0)</f>
        <v/>
      </c>
      <c r="S1969">
        <f>IFERROR(O1969/N1969,0)</f>
        <v/>
      </c>
      <c r="T1969">
        <f>IF(C1969,(H1969*N1969*IF(AND(Inputs!$B$38&lt;&gt;"pvp",Inputs!$B$43&gt;0),((Skills!G6*((R1969-1)*IF(Skills!H6&gt;0,Skills!I6/Skills!H6,1)+IF(Skills!H6&gt;0,MIN(Skills!I6,MAX(0,MAX(0,Inputs!$B$43-B2001)-((R1969-1)*(IF(Inputs!$B$38="pvp",15,MAX(0.1,Skills!D6-IF(Skills!E6=TRUE,Inputs!$B$32,0)))*(1-IF(AND(ArtifactsInput!$M$27,Inputs!$B$4="Chapter Hunt"),CHOOSE(ArtifactsInput!$N$27+1,20,24,28,32,36,40),0)/100)))))/Skills!H6,1)))/Inputs!$B$43),G1969*Q1969)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1969*(1-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1969*(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1969*(1-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1969*(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9">
        <f>IF(C1969,(H1969*N1969*IF(AND(Inputs!$B$38&lt;&gt;"pvp",Inputs!$B$43&gt;0),((Skills!G6*((R1969-1)*IF(Skills!H6&gt;0,Skills!I6/Skills!H6,1)+IF(Skills!H6&gt;0,MIN(Skills!I6,MAX(0,MAX(0,Inputs!$B$43-B2001)-((R1969-1)*(IF(Inputs!$B$38="pvp",15,MAX(0.1,Skills!D6-IF(Skills!E6=TRUE,Inputs!$B$32,0)))*(1-IF(AND(ArtifactsInput!$M$27,Inputs!$B$4="Chapter Hunt"),CHOOSE(ArtifactsInput!$N$27+1,20,24,28,32,36,40),0)/100)))))/Skills!H6,1)))/Inputs!$B$43),G1969*Q1969))*IF(Inputs!$B$38="pvp",1,(1+(Inputs!$B$21+Skills!Q6+(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0">
      <c r="A1970">
        <f>Skills!A7</f>
        <v/>
      </c>
      <c r="B1970">
        <f>Skills!B7</f>
        <v/>
      </c>
      <c r="C1970">
        <f>Inputs!$B$3&gt;=66</f>
        <v/>
      </c>
      <c r="D1970">
        <f>IF(Skills!C7=1,60+Inputs!$B$25+Inputs!$B$29,IF(Skills!C7=2,90+Inputs!$B$26+Inputs!$B$29,IF(Skills!C7=3,120+Inputs!$B$27+Inputs!$B$29,MAX(0,(Inputs!$B$3-100)*3)+Inputs!$B$28+Inputs!$B$29)))</f>
        <v/>
      </c>
      <c r="E1970">
        <f>INDEX(FactorTable!$B$2:$Y$301, MATCH(ROUND(MIN(300,MAX(1,D1970)),0), FactorTable!$A$2:$A$301,0), Skills!M7+1)</f>
        <v/>
      </c>
      <c r="F1970">
        <f>IF(Skills!N7=TRUE,(Skills!L7/10)*(E1970/1000),Skills!L7/10)+Skills!O7</f>
        <v/>
      </c>
      <c r="G1970">
        <f>Skills!G7*IF(Skills!H7&gt;0,Skills!I7/Skills!H7,1)</f>
        <v/>
      </c>
      <c r="H1970">
        <f>1-(1-Skills!J7/100)^Skills!K7</f>
        <v/>
      </c>
      <c r="I1970" t="inlineStr">
        <is>
          <t>1</t>
        </is>
      </c>
      <c r="J1970">
        <f>((Inputs!$B$6*(1+Inputs!$B$7/100))+(((Inputs!$B$12*(1+Inputs!$B$13/100))-(Inputs!$B$12*(1+Inputs!$B$13/100)))+0.25*(Inputs!$B$14-Inputs!$B$14))*(1+Inputs!$B$7/100))*(F1970/100)</f>
        <v/>
      </c>
      <c r="K1970">
        <f>J1970*(1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1978=TRUE,F1978,0)/100)*(1+(IF(Skills!A7="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1970)</f>
        <v/>
      </c>
      <c r="L1970">
        <f>K1970*(MIN(Inputs!$B$22+((C1985=TRUE)*(F1985-Calc!F22)),(Inputs!$B$23+0+(IF(ArtifactsInput!$M$15,CHOOSE(ArtifactsInput!$N$15+1,25,30,35,40,45,50)/100*(Inputs!$B$11-Inputs!$B$11),0))))/100+(Inputs!$B$23+0+(IF(ArtifactsInput!$M$15,CHOOSE(ArtifactsInput!$N$15+1,25,30,35,40,45,50)/100*(Inputs!$B$11-Inputs!$B$11),0)))/100)/2</f>
        <v/>
      </c>
      <c r="M1970">
        <f>L1970*(1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70">
        <f>L1970*(1-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1970*(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0">
        <f>(1-Summary!$B$11)*T1970+Summary!$B$11*V1970</f>
        <v/>
      </c>
      <c r="P1970">
        <f>IF(B2004=0,0,O1970/B2004)</f>
        <v/>
      </c>
      <c r="Q1970">
        <f>IFERROR(1/(IF(Inputs!$B$38="pvp",15,MAX(0.1,Skills!D7-IF(Skills!E7=TRUE,Inputs!$B$32,0)))*(1-IF(AND(ArtifactsInput!$M$27,Inputs!$B$4="Chapter Hunt"),CHOOSE(ArtifactsInput!$N$27+1,20,24,28,32,36,40),0)/100)),0)</f>
        <v/>
      </c>
      <c r="R1970">
        <f>IF(AND(Inputs!$B$38&lt;&gt;"pvp",Inputs!$B$43&gt;0),IF(MAX(0,Inputs!$B$43-B2001)&lt;=0,0,(INT(MAX(0,Inputs!$B$43-B2001)/(IF(Inputs!$B$38="pvp",15,MAX(0.1,Skills!D7-IF(Skills!E7=TRUE,Inputs!$B$32,0)))*(1-IF(AND(ArtifactsInput!$M$27,Inputs!$B$4="Chapter Hunt"),CHOOSE(ArtifactsInput!$N$27+1,20,24,28,32,36,40),0)/100)))+1)),0)</f>
        <v/>
      </c>
      <c r="S1970">
        <f>IFERROR(O1970/N1970,0)</f>
        <v/>
      </c>
      <c r="T1970">
        <f>IF(C1970,(H1970*N1970*IF(AND(Inputs!$B$38&lt;&gt;"pvp",Inputs!$B$43&gt;0),((Skills!G7*((R1970-1)*IF(Skills!H7&gt;0,Skills!I7/Skills!H7,1)+IF(Skills!H7&gt;0,MIN(Skills!I7,MAX(0,MAX(0,Inputs!$B$43-B2001)-((R1970-1)*(IF(Inputs!$B$38="pvp",15,MAX(0.1,Skills!D7-IF(Skills!E7=TRUE,Inputs!$B$32,0)))*(1-IF(AND(ArtifactsInput!$M$27,Inputs!$B$4="Chapter Hunt"),CHOOSE(ArtifactsInput!$N$27+1,20,24,28,32,36,40),0)/100)))))/Skills!H7,1)))/Inputs!$B$43),G1970*Q1970)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1970*(1-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1970*(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1970*(1-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1970*(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0">
        <f>IF(C1970,(H1970*N1970*IF(AND(Inputs!$B$38&lt;&gt;"pvp",Inputs!$B$43&gt;0),((Skills!G7*((R1970-1)*IF(Skills!H7&gt;0,Skills!I7/Skills!H7,1)+IF(Skills!H7&gt;0,MIN(Skills!I7,MAX(0,MAX(0,Inputs!$B$43-B2001)-((R1970-1)*(IF(Inputs!$B$38="pvp",15,MAX(0.1,Skills!D7-IF(Skills!E7=TRUE,Inputs!$B$32,0)))*(1-IF(AND(ArtifactsInput!$M$27,Inputs!$B$4="Chapter Hunt"),CHOOSE(ArtifactsInput!$N$27+1,20,24,28,32,36,40),0)/100)))))/Skills!H7,1)))/Inputs!$B$43),G1970*Q1970))*IF(Inputs!$B$38="pvp",1,(1+(Inputs!$B$21+Skills!Q7+(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1">
      <c r="A1971">
        <f>Skills!A8</f>
        <v/>
      </c>
      <c r="B1971">
        <f>Skills!B8</f>
        <v/>
      </c>
      <c r="C1971">
        <f>Inputs!$B$3&gt;=100</f>
        <v/>
      </c>
      <c r="D1971">
        <f>IF(Skills!C8=1,60+Inputs!$B$25+Inputs!$B$29,IF(Skills!C8=2,90+Inputs!$B$26+Inputs!$B$29,IF(Skills!C8=3,120+Inputs!$B$27+Inputs!$B$29,MAX(0,(Inputs!$B$3-100)*3)+Inputs!$B$28+Inputs!$B$29)))</f>
        <v/>
      </c>
      <c r="E1971">
        <f>INDEX(FactorTable!$B$2:$Y$301, MATCH(ROUND(MIN(300,MAX(1,D1971)),0), FactorTable!$A$2:$A$301,0), Skills!M8+1)</f>
        <v/>
      </c>
      <c r="F1971">
        <f>IF(Skills!N8=TRUE,(Skills!L8/10)*(E1971/1000),Skills!L8/10)+Skills!O8</f>
        <v/>
      </c>
      <c r="G1971">
        <f>Skills!G8*IF(Skills!H8&gt;0,Skills!I8/Skills!H8,1)</f>
        <v/>
      </c>
      <c r="H1971">
        <f>1-(1-Skills!J8/100)^Skills!K8</f>
        <v/>
      </c>
      <c r="I1971" t="inlineStr">
        <is>
          <t>1</t>
        </is>
      </c>
      <c r="J1971">
        <f>((Inputs!$B$6*(1+Inputs!$B$7/100))+(((Inputs!$B$12*(1+Inputs!$B$13/100))-(Inputs!$B$12*(1+Inputs!$B$13/100)))+0.25*(Inputs!$B$14-Inputs!$B$14))*(1+Inputs!$B$7/100))*(F1971/100)</f>
        <v/>
      </c>
      <c r="K1971">
        <f>J1971*(1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1971)</f>
        <v/>
      </c>
      <c r="L1971">
        <f>K1971*(MIN(Inputs!$B$22+((C1985=TRUE)*(F1985-Calc!F22)),(Inputs!$B$23+0+(IF(ArtifactsInput!$M$15,CHOOSE(ArtifactsInput!$N$15+1,25,30,35,40,45,50)/100*(Inputs!$B$11-Inputs!$B$11),0))))/100+(Inputs!$B$23+0+(IF(ArtifactsInput!$M$15,CHOOSE(ArtifactsInput!$N$15+1,25,30,35,40,45,50)/100*(Inputs!$B$11-Inputs!$B$11),0)))/100)/2</f>
        <v/>
      </c>
      <c r="M1971">
        <f>L1971*(1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71">
        <f>L1971*(1-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1">
        <f>(1-Summary!$B$11)*T1971+Summary!$B$11*V1971</f>
        <v/>
      </c>
      <c r="P1971">
        <f>IF(B2004=0,0,O1971/B2004)</f>
        <v/>
      </c>
      <c r="Q1971">
        <f>IFERROR(1/(IF(Inputs!$B$38="pvp",15,MAX(0.1,Skills!D8-IF(Skills!E8=TRUE,Inputs!$B$32,0)))*(1-IF(AND(ArtifactsInput!$M$27,Inputs!$B$4="Chapter Hunt"),CHOOSE(ArtifactsInput!$N$27+1,20,24,28,32,36,40),0)/100)),0)</f>
        <v/>
      </c>
      <c r="R1971">
        <f>IF(AND(Inputs!$B$38&lt;&gt;"pvp",Inputs!$B$43&gt;0),IF(MAX(0,Inputs!$B$43-B2001)&lt;=0,0,(INT(MAX(0,Inputs!$B$43-B2001)/(IF(Inputs!$B$38="pvp",15,MAX(0.1,Skills!D8-IF(Skills!E8=TRUE,Inputs!$B$32,0)))*(1-IF(AND(ArtifactsInput!$M$27,Inputs!$B$4="Chapter Hunt"),CHOOSE(ArtifactsInput!$N$27+1,20,24,28,32,36,40),0)/100)))+1)),0)</f>
        <v/>
      </c>
      <c r="S1971">
        <f>IFERROR(O1971/N1971,0)</f>
        <v/>
      </c>
      <c r="T1971">
        <f>IF(C1971,(H1971*N1971*IF(AND(Inputs!$B$38&lt;&gt;"pvp",Inputs!$B$43&gt;0),((Skills!G8*((R1971-1)*IF(Skills!H8&gt;0,Skills!I8/Skills!H8,1)+IF(Skills!H8&gt;0,MIN(Skills!I8,MAX(0,MAX(0,Inputs!$B$43-B2001)-((R1971-1)*(IF(Inputs!$B$38="pvp",15,MAX(0.1,Skills!D8-IF(Skills!E8=TRUE,Inputs!$B$32,0)))*(1-IF(AND(ArtifactsInput!$M$27,Inputs!$B$4="Chapter Hunt"),CHOOSE(ArtifactsInput!$N$27+1,20,24,28,32,36,40),0)/100)))))/Skills!H8,1)))/Inputs!$B$43),G1971*Q1971)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1971*(1-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1">
        <f>IF(C1971,(H1971*N1971*IF(AND(Inputs!$B$38&lt;&gt;"pvp",Inputs!$B$43&gt;0),((Skills!G8*((R1971-1)*IF(Skills!H8&gt;0,Skills!I8/Skills!H8,1)+IF(Skills!H8&gt;0,MIN(Skills!I8,MAX(0,MAX(0,Inputs!$B$43-B2001)-((R1971-1)*(IF(Inputs!$B$38="pvp",15,MAX(0.1,Skills!D8-IF(Skills!E8=TRUE,Inputs!$B$32,0)))*(1-IF(AND(ArtifactsInput!$M$27,Inputs!$B$4="Chapter Hunt"),CHOOSE(ArtifactsInput!$N$27+1,20,24,28,32,36,40),0)/100)))))/Skills!H8,1)))/Inputs!$B$43),G1971*Q1971))*IF(Inputs!$B$38="pvp",1,(1+(Inputs!$B$21+Skills!Q8+(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2">
      <c r="A1972">
        <f>Skills!A9</f>
        <v/>
      </c>
      <c r="B1972">
        <f>Skills!B9</f>
        <v/>
      </c>
      <c r="C1972">
        <f>Inputs!$B$3&gt;=103</f>
        <v/>
      </c>
      <c r="D1972">
        <f>IF(Skills!C9=1,60+Inputs!$B$25+Inputs!$B$29,IF(Skills!C9=2,90+Inputs!$B$26+Inputs!$B$29,IF(Skills!C9=3,120+Inputs!$B$27+Inputs!$B$29,MAX(0,(Inputs!$B$3-100)*3)+Inputs!$B$28+Inputs!$B$29)))</f>
        <v/>
      </c>
      <c r="E1972">
        <f>INDEX(FactorTable!$B$2:$Y$301, MATCH(ROUND(MIN(300,MAX(1,D1972)),0), FactorTable!$A$2:$A$301,0), Skills!M9+1)</f>
        <v/>
      </c>
      <c r="F1972">
        <f>IF(Skills!N9=TRUE,(Skills!L9/10)*(E1972/1000),Skills!L9/10)+Skills!O9</f>
        <v/>
      </c>
      <c r="G1972">
        <f>Skills!G9*IF(Skills!H9&gt;0,Skills!I9/Skills!H9,1)</f>
        <v/>
      </c>
      <c r="H1972">
        <f>1-(1-Skills!J9/100)^Skills!K9</f>
        <v/>
      </c>
      <c r="I1972" t="inlineStr">
        <is>
          <t>1</t>
        </is>
      </c>
      <c r="J1972">
        <f>((Inputs!$B$6*(1+Inputs!$B$7/100))+(((Inputs!$B$12*(1+Inputs!$B$13/100))-(Inputs!$B$12*(1+Inputs!$B$13/100)))+0.25*(Inputs!$B$14-Inputs!$B$14))*(1+Inputs!$B$7/100))*(F1972/100)</f>
        <v/>
      </c>
      <c r="K1972">
        <f>J1972*(1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1972)</f>
        <v/>
      </c>
      <c r="L1972">
        <f>K1972*(MIN(Inputs!$B$22+((C1985=TRUE)*(F1985-Calc!F22)),(Inputs!$B$23+0+(IF(ArtifactsInput!$M$15,CHOOSE(ArtifactsInput!$N$15+1,25,30,35,40,45,50)/100*(Inputs!$B$11-Inputs!$B$11),0))))/100+(Inputs!$B$23+0+(IF(ArtifactsInput!$M$15,CHOOSE(ArtifactsInput!$N$15+1,25,30,35,40,45,50)/100*(Inputs!$B$11-Inputs!$B$11),0)))/100)/2</f>
        <v/>
      </c>
      <c r="M1972">
        <f>L1972*(1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72">
        <f>L1972*(1-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1972*(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2">
        <f>(1-Summary!$B$11)*T1972+Summary!$B$11*V1972</f>
        <v/>
      </c>
      <c r="P1972">
        <f>IF(B2004=0,0,O1972/B2004)</f>
        <v/>
      </c>
      <c r="Q1972">
        <f>IFERROR(1/(IF(Inputs!$B$38="pvp",15,MAX(0.1,Skills!D9-IF(Skills!E9=TRUE,Inputs!$B$32,0)))*(1-IF(AND(ArtifactsInput!$M$27,Inputs!$B$4="Chapter Hunt"),CHOOSE(ArtifactsInput!$N$27+1,20,24,28,32,36,40),0)/100)),0)</f>
        <v/>
      </c>
      <c r="R1972">
        <f>IF(AND(Inputs!$B$38&lt;&gt;"pvp",Inputs!$B$43&gt;0),IF(MAX(0,Inputs!$B$43-B2001)&lt;=0,0,(INT(MAX(0,Inputs!$B$43-B2001)/(IF(Inputs!$B$38="pvp",15,MAX(0.1,Skills!D9-IF(Skills!E9=TRUE,Inputs!$B$32,0)))*(1-IF(AND(ArtifactsInput!$M$27,Inputs!$B$4="Chapter Hunt"),CHOOSE(ArtifactsInput!$N$27+1,20,24,28,32,36,40),0)/100)))+1)),0)</f>
        <v/>
      </c>
      <c r="S1972">
        <f>IFERROR(O1972/N1972,0)</f>
        <v/>
      </c>
      <c r="T1972">
        <f>IF(C1972,(H1972*N1972*IF(AND(Inputs!$B$38&lt;&gt;"pvp",Inputs!$B$43&gt;0),((Skills!G9*((R1972-1)*IF(Skills!H9&gt;0,Skills!I9/Skills!H9,1)+IF(Skills!H9&gt;0,MIN(Skills!I9,MAX(0,MAX(0,Inputs!$B$43-B2001)-((R1972-1)*(IF(Inputs!$B$38="pvp",15,MAX(0.1,Skills!D9-IF(Skills!E9=TRUE,Inputs!$B$32,0)))*(1-IF(AND(ArtifactsInput!$M$27,Inputs!$B$4="Chapter Hunt"),CHOOSE(ArtifactsInput!$N$27+1,20,24,28,32,36,40),0)/100)))))/Skills!H9,1)))/Inputs!$B$43),G1972*Q1972)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1972*(1-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1972*(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1972*(1-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1972*(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2">
        <f>IF(C1972,(H1972*N1972*IF(AND(Inputs!$B$38&lt;&gt;"pvp",Inputs!$B$43&gt;0),((Skills!G9*((R1972-1)*IF(Skills!H9&gt;0,Skills!I9/Skills!H9,1)+IF(Skills!H9&gt;0,MIN(Skills!I9,MAX(0,MAX(0,Inputs!$B$43-B2001)-((R1972-1)*(IF(Inputs!$B$38="pvp",15,MAX(0.1,Skills!D9-IF(Skills!E9=TRUE,Inputs!$B$32,0)))*(1-IF(AND(ArtifactsInput!$M$27,Inputs!$B$4="Chapter Hunt"),CHOOSE(ArtifactsInput!$N$27+1,20,24,28,32,36,40),0)/100)))))/Skills!H9,1)))/Inputs!$B$43),G1972*Q1972))*IF(Inputs!$B$38="pvp",1,(1+(Inputs!$B$21+Skills!Q9+(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3">
      <c r="A1973">
        <f>Skills!A10</f>
        <v/>
      </c>
      <c r="B1973">
        <f>Skills!B10</f>
        <v/>
      </c>
      <c r="C1973">
        <f>Inputs!$B$3&gt;=113</f>
        <v/>
      </c>
      <c r="D1973">
        <f>IF(Skills!C10=1,60+Inputs!$B$25+Inputs!$B$29,IF(Skills!C10=2,90+Inputs!$B$26+Inputs!$B$29,IF(Skills!C10=3,120+Inputs!$B$27+Inputs!$B$29,MAX(0,(Inputs!$B$3-100)*3)+Inputs!$B$28+Inputs!$B$29)))</f>
        <v/>
      </c>
      <c r="E1973">
        <f>INDEX(FactorTable!$B$2:$Y$301, MATCH(ROUND(MIN(300,MAX(1,D1973)),0), FactorTable!$A$2:$A$301,0), Skills!M10+1)</f>
        <v/>
      </c>
      <c r="F1973">
        <f>IF(Skills!N10=TRUE,(Skills!L10/10)*(E1973/1000),Skills!L10/10)+Skills!O10</f>
        <v/>
      </c>
      <c r="G1973">
        <f>Skills!G10*IF(Skills!H10&gt;0,Skills!I10/Skills!H10,1)</f>
        <v/>
      </c>
      <c r="H1973">
        <f>1-(1-Skills!J10/100)^Skills!K10</f>
        <v/>
      </c>
      <c r="I1973" t="inlineStr">
        <is>
          <t>1</t>
        </is>
      </c>
      <c r="J1973">
        <f>((Inputs!$B$6*(1+Inputs!$B$7/100))+(((Inputs!$B$12*(1+Inputs!$B$13/100))-(Inputs!$B$12*(1+Inputs!$B$13/100)))+0.25*(Inputs!$B$14-Inputs!$B$14))*(1+Inputs!$B$7/100))*(F1973/100)</f>
        <v/>
      </c>
      <c r="K1973">
        <f>J1973*(1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1973)</f>
        <v/>
      </c>
      <c r="L1973">
        <f>K1973*(MIN(Inputs!$B$22+((C1985=TRUE)*(F1985-Calc!F22)),(Inputs!$B$23+0+(IF(ArtifactsInput!$M$15,CHOOSE(ArtifactsInput!$N$15+1,25,30,35,40,45,50)/100*(Inputs!$B$11-Inputs!$B$11),0))))/100+(Inputs!$B$23+0+(IF(ArtifactsInput!$M$15,CHOOSE(ArtifactsInput!$N$15+1,25,30,35,40,45,50)/100*(Inputs!$B$11-Inputs!$B$11),0)))/100)/2</f>
        <v/>
      </c>
      <c r="M1973">
        <f>L1973*(1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73">
        <f>L1973*(1-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1973*(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3">
        <f>(1-Summary!$B$11)*T1973+Summary!$B$11*V1973</f>
        <v/>
      </c>
      <c r="P1973">
        <f>IF(B2004=0,0,O1973/B2004)</f>
        <v/>
      </c>
      <c r="Q1973">
        <f>IFERROR(1/(IF(Inputs!$B$38="pvp",15,MAX(0.1,Skills!D10-IF(Skills!E10=TRUE,Inputs!$B$32,0)))*(1-IF(AND(ArtifactsInput!$M$27,Inputs!$B$4="Chapter Hunt"),CHOOSE(ArtifactsInput!$N$27+1,20,24,28,32,36,40),0)/100)),0)</f>
        <v/>
      </c>
      <c r="R1973">
        <f>IF(AND(Inputs!$B$38&lt;&gt;"pvp",Inputs!$B$43&gt;0),IF(MAX(0,Inputs!$B$43-B2001)&lt;=0,0,(INT(MAX(0,Inputs!$B$43-B2001)/(IF(Inputs!$B$38="pvp",15,MAX(0.1,Skills!D10-IF(Skills!E10=TRUE,Inputs!$B$32,0)))*(1-IF(AND(ArtifactsInput!$M$27,Inputs!$B$4="Chapter Hunt"),CHOOSE(ArtifactsInput!$N$27+1,20,24,28,32,36,40),0)/100)))+1)),0)</f>
        <v/>
      </c>
      <c r="S1973">
        <f>IFERROR(O1973/N1973,0)</f>
        <v/>
      </c>
      <c r="T1973">
        <f>IF(C1973,(H1973*N1973*IF(AND(Inputs!$B$38&lt;&gt;"pvp",Inputs!$B$43&gt;0),((Skills!G10*((R1973-1)*IF(Skills!H10&gt;0,Skills!I10/Skills!H10,1)+IF(Skills!H10&gt;0,MIN(Skills!I10,MAX(0,MAX(0,Inputs!$B$43-B2001)-((R1973-1)*(IF(Inputs!$B$38="pvp",15,MAX(0.1,Skills!D10-IF(Skills!E10=TRUE,Inputs!$B$32,0)))*(1-IF(AND(ArtifactsInput!$M$27,Inputs!$B$4="Chapter Hunt"),CHOOSE(ArtifactsInput!$N$27+1,20,24,28,32,36,40),0)/100)))))/Skills!H10,1)))/Inputs!$B$43),G1973*Q1973)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1973*(1-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1973*(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1973*(1-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1973*(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3">
        <f>IF(C1973,(H1973*N1973*IF(AND(Inputs!$B$38&lt;&gt;"pvp",Inputs!$B$43&gt;0),((Skills!G10*((R1973-1)*IF(Skills!H10&gt;0,Skills!I10/Skills!H10,1)+IF(Skills!H10&gt;0,MIN(Skills!I10,MAX(0,MAX(0,Inputs!$B$43-B2001)-((R1973-1)*(IF(Inputs!$B$38="pvp",15,MAX(0.1,Skills!D10-IF(Skills!E10=TRUE,Inputs!$B$32,0)))*(1-IF(AND(ArtifactsInput!$M$27,Inputs!$B$4="Chapter Hunt"),CHOOSE(ArtifactsInput!$N$27+1,20,24,28,32,36,40),0)/100)))))/Skills!H10,1)))/Inputs!$B$43),G1973*Q1973))*IF(Inputs!$B$38="pvp",1,(1+(Inputs!$B$21+Skills!Q10+(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4">
      <c r="A1974">
        <f>Skills!A11</f>
        <v/>
      </c>
      <c r="B1974">
        <f>Skills!B11</f>
        <v/>
      </c>
      <c r="C1974">
        <f>Inputs!$B$3&gt;=107</f>
        <v/>
      </c>
      <c r="D1974">
        <f>IF(Skills!C11=1,60+Inputs!$B$25+Inputs!$B$29,IF(Skills!C11=2,90+Inputs!$B$26+Inputs!$B$29,IF(Skills!C11=3,120+Inputs!$B$27+Inputs!$B$29,MAX(0,(Inputs!$B$3-100)*3)+Inputs!$B$28+Inputs!$B$29)))</f>
        <v/>
      </c>
      <c r="E1974">
        <f>INDEX(FactorTable!$B$2:$Y$301, MATCH(ROUND(MIN(300,MAX(1,D1974)),0), FactorTable!$A$2:$A$301,0), Skills!M11+1)</f>
        <v/>
      </c>
      <c r="F1974">
        <f>IF(Skills!N11=TRUE,(Skills!L11/10)*(E1974/1000),Skills!L11/10)+Skills!O11</f>
        <v/>
      </c>
      <c r="G1974">
        <f>Skills!G11*IF(Skills!H11&gt;0,Skills!I11/Skills!H11,1)</f>
        <v/>
      </c>
      <c r="H1974">
        <f>1-(1-Skills!J11/100)^Skills!K11</f>
        <v/>
      </c>
      <c r="I1974" t="inlineStr">
        <is>
          <t>1</t>
        </is>
      </c>
      <c r="J1974">
        <f>((Inputs!$B$6*(1+Inputs!$B$7/100))+(((Inputs!$B$12*(1+Inputs!$B$13/100))-(Inputs!$B$12*(1+Inputs!$B$13/100)))+0.25*(Inputs!$B$14-Inputs!$B$14))*(1+Inputs!$B$7/100))*(F1974/100)</f>
        <v/>
      </c>
      <c r="K1974">
        <f>J1974*(1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1974)</f>
        <v/>
      </c>
      <c r="L1974">
        <f>K1974*(MIN(Inputs!$B$22+((C1985=TRUE)*(F1985-Calc!F22)),(Inputs!$B$23+0+(IF(ArtifactsInput!$M$15,CHOOSE(ArtifactsInput!$N$15+1,25,30,35,40,45,50)/100*(Inputs!$B$11-Inputs!$B$11),0))))/100+(Inputs!$B$23+0+(IF(ArtifactsInput!$M$15,CHOOSE(ArtifactsInput!$N$15+1,25,30,35,40,45,50)/100*(Inputs!$B$11-Inputs!$B$11),0)))/100)/2</f>
        <v/>
      </c>
      <c r="M1974">
        <f>L1974*(1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74">
        <f>L1974*(1-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1974*(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4">
        <f>(1-Summary!$B$11)*T1974+Summary!$B$11*V1974</f>
        <v/>
      </c>
      <c r="P1974">
        <f>IF(B2004=0,0,O1974/B2004)</f>
        <v/>
      </c>
      <c r="Q1974">
        <f>IFERROR(1/(IF(Inputs!$B$38="pvp",15,MAX(0.1,Skills!D11-IF(Skills!E11=TRUE,Inputs!$B$32,0)))*(1-IF(AND(ArtifactsInput!$M$27,Inputs!$B$4="Chapter Hunt"),CHOOSE(ArtifactsInput!$N$27+1,20,24,28,32,36,40),0)/100)),0)</f>
        <v/>
      </c>
      <c r="R1974">
        <f>IF(AND(Inputs!$B$38&lt;&gt;"pvp",Inputs!$B$43&gt;0),IF(MAX(0,Inputs!$B$43-B2001)&lt;=0,0,(INT(MAX(0,Inputs!$B$43-B2001)/(IF(Inputs!$B$38="pvp",15,MAX(0.1,Skills!D11-IF(Skills!E11=TRUE,Inputs!$B$32,0)))*(1-IF(AND(ArtifactsInput!$M$27,Inputs!$B$4="Chapter Hunt"),CHOOSE(ArtifactsInput!$N$27+1,20,24,28,32,36,40),0)/100)))+1)),0)</f>
        <v/>
      </c>
      <c r="S1974">
        <f>IFERROR(O1974/N1974,0)</f>
        <v/>
      </c>
      <c r="T1974">
        <f>IF(C1974,(H1974*N1974*IF(AND(Inputs!$B$38&lt;&gt;"pvp",Inputs!$B$43&gt;0),((Skills!G11*((R1974-1)*IF(Skills!H11&gt;0,Skills!I11/Skills!H11,1)+IF(Skills!H11&gt;0,MIN(Skills!I11,MAX(0,MAX(0,Inputs!$B$43-B2001)-((R1974-1)*(IF(Inputs!$B$38="pvp",15,MAX(0.1,Skills!D11-IF(Skills!E11=TRUE,Inputs!$B$32,0)))*(1-IF(AND(ArtifactsInput!$M$27,Inputs!$B$4="Chapter Hunt"),CHOOSE(ArtifactsInput!$N$27+1,20,24,28,32,36,40),0)/100)))))/Skills!H11,1)))/Inputs!$B$43),G1974*Q1974)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1974*(1-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1974*(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1974*(1-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1974*(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4">
        <f>IF(C1974,(H1974*N1974*IF(AND(Inputs!$B$38&lt;&gt;"pvp",Inputs!$B$43&gt;0),((Skills!G11*((R1974-1)*IF(Skills!H11&gt;0,Skills!I11/Skills!H11,1)+IF(Skills!H11&gt;0,MIN(Skills!I11,MAX(0,MAX(0,Inputs!$B$43-B2001)-((R1974-1)*(IF(Inputs!$B$38="pvp",15,MAX(0.1,Skills!D11-IF(Skills!E11=TRUE,Inputs!$B$32,0)))*(1-IF(AND(ArtifactsInput!$M$27,Inputs!$B$4="Chapter Hunt"),CHOOSE(ArtifactsInput!$N$27+1,20,24,28,32,36,40),0)/100)))))/Skills!H11,1)))/Inputs!$B$43),G1974*Q1974))*IF(Inputs!$B$38="pvp",1,(1+(Inputs!$B$21+Skills!Q11+(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5">
      <c r="A1975">
        <f>Skills!A12</f>
        <v/>
      </c>
      <c r="B1975">
        <f>Skills!B12</f>
        <v/>
      </c>
      <c r="C1975">
        <f>Inputs!$B$3&gt;=110</f>
        <v/>
      </c>
      <c r="D1975">
        <f>IF(Skills!C12=1,60+Inputs!$B$25+Inputs!$B$29,IF(Skills!C12=2,90+Inputs!$B$26+Inputs!$B$29,IF(Skills!C12=3,120+Inputs!$B$27+Inputs!$B$29,MAX(0,(Inputs!$B$3-100)*3)+Inputs!$B$28+Inputs!$B$29)))</f>
        <v/>
      </c>
      <c r="E1975">
        <f>INDEX(FactorTable!$B$2:$Y$301, MATCH(ROUND(MIN(300,MAX(1,D1975)),0), FactorTable!$A$2:$A$301,0), Skills!M12+1)</f>
        <v/>
      </c>
      <c r="F1975">
        <f>IF(Skills!N12=TRUE,(Skills!L12/10)*(E1975/1000),Skills!L12/10)+Skills!O12</f>
        <v/>
      </c>
      <c r="G1975">
        <f>Skills!G12*IF(Skills!H12&gt;0,Skills!I12/Skills!H12,1)</f>
        <v/>
      </c>
      <c r="H1975">
        <f>1-(1-Skills!J12/100)^Skills!K12</f>
        <v/>
      </c>
      <c r="I1975" t="inlineStr">
        <is>
          <t>1</t>
        </is>
      </c>
      <c r="J1975">
        <f>((Inputs!$B$6*(1+Inputs!$B$7/100))+(((Inputs!$B$12*(1+Inputs!$B$13/100))-(Inputs!$B$12*(1+Inputs!$B$13/100)))+0.25*(Inputs!$B$14-Inputs!$B$14))*(1+Inputs!$B$7/100))*(F1975/100)</f>
        <v/>
      </c>
      <c r="K1975">
        <f>J1975*(1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1975)</f>
        <v/>
      </c>
      <c r="L1975">
        <f>K1975*(MIN(Inputs!$B$22+((C1985=TRUE)*(F1985-Calc!F22)),(Inputs!$B$23+0+(IF(ArtifactsInput!$M$15,CHOOSE(ArtifactsInput!$N$15+1,25,30,35,40,45,50)/100*(Inputs!$B$11-Inputs!$B$11),0))))/100+(Inputs!$B$23+0+(IF(ArtifactsInput!$M$15,CHOOSE(ArtifactsInput!$N$15+1,25,30,35,40,45,50)/100*(Inputs!$B$11-Inputs!$B$11),0)))/100)/2</f>
        <v/>
      </c>
      <c r="M1975">
        <f>L1975*(1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75">
        <f>L1975*(1-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1975*(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5">
        <f>(1-Summary!$B$11)*T1975+Summary!$B$11*V1975</f>
        <v/>
      </c>
      <c r="P1975">
        <f>IF(B2004=0,0,O1975/B2004)</f>
        <v/>
      </c>
      <c r="Q1975">
        <f>IFERROR(1/(IF(Inputs!$B$38="pvp",15,MAX(0.1,Skills!D12-IF(Skills!E12=TRUE,Inputs!$B$32,0)))*(1-IF(AND(ArtifactsInput!$M$27,Inputs!$B$4="Chapter Hunt"),CHOOSE(ArtifactsInput!$N$27+1,20,24,28,32,36,40),0)/100)),0)</f>
        <v/>
      </c>
      <c r="R1975">
        <f>IF(AND(Inputs!$B$38&lt;&gt;"pvp",Inputs!$B$43&gt;0),IF(MAX(0,Inputs!$B$43-B2001)&lt;=0,0,(INT(MAX(0,Inputs!$B$43-B2001)/(IF(Inputs!$B$38="pvp",15,MAX(0.1,Skills!D12-IF(Skills!E12=TRUE,Inputs!$B$32,0)))*(1-IF(AND(ArtifactsInput!$M$27,Inputs!$B$4="Chapter Hunt"),CHOOSE(ArtifactsInput!$N$27+1,20,24,28,32,36,40),0)/100)))+1)),0)</f>
        <v/>
      </c>
      <c r="S1975">
        <f>IFERROR(O1975/N1975,0)</f>
        <v/>
      </c>
      <c r="T1975">
        <f>IF(C1975,(H1975*N1975*IF(AND(Inputs!$B$38&lt;&gt;"pvp",Inputs!$B$43&gt;0),((Skills!G12*((R1975-1)*IF(Skills!H12&gt;0,Skills!I12/Skills!H12,1)+IF(Skills!H12&gt;0,MIN(Skills!I12,MAX(0,MAX(0,Inputs!$B$43-B2001)-((R1975-1)*(IF(Inputs!$B$38="pvp",15,MAX(0.1,Skills!D12-IF(Skills!E12=TRUE,Inputs!$B$32,0)))*(1-IF(AND(ArtifactsInput!$M$27,Inputs!$B$4="Chapter Hunt"),CHOOSE(ArtifactsInput!$N$27+1,20,24,28,32,36,40),0)/100)))))/Skills!H12,1)))/Inputs!$B$43),G1975*Q1975)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1975*(1-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1975*(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1975*(1-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1975*(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5">
        <f>IF(C1975,(H1975*N1975*IF(AND(Inputs!$B$38&lt;&gt;"pvp",Inputs!$B$43&gt;0),((Skills!G12*((R1975-1)*IF(Skills!H12&gt;0,Skills!I12/Skills!H12,1)+IF(Skills!H12&gt;0,MIN(Skills!I12,MAX(0,MAX(0,Inputs!$B$43-B2001)-((R1975-1)*(IF(Inputs!$B$38="pvp",15,MAX(0.1,Skills!D12-IF(Skills!E12=TRUE,Inputs!$B$32,0)))*(1-IF(AND(ArtifactsInput!$M$27,Inputs!$B$4="Chapter Hunt"),CHOOSE(ArtifactsInput!$N$27+1,20,24,28,32,36,40),0)/100)))))/Skills!H12,1)))/Inputs!$B$43),G1975*Q1975))*IF(Inputs!$B$38="pvp",1,(1+(Inputs!$B$21+Skills!Q12+(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6">
      <c r="A1976">
        <f>Skills!A13</f>
        <v/>
      </c>
      <c r="B1976">
        <f>Skills!B13</f>
        <v/>
      </c>
      <c r="C1976">
        <f>Inputs!$B$3&gt;=110</f>
        <v/>
      </c>
      <c r="D1976">
        <f>IF(Skills!C13=1,60+Inputs!$B$25+Inputs!$B$29,IF(Skills!C13=2,90+Inputs!$B$26+Inputs!$B$29,IF(Skills!C13=3,120+Inputs!$B$27+Inputs!$B$29,MAX(0,(Inputs!$B$3-100)*3)+Inputs!$B$28+Inputs!$B$29)))</f>
        <v/>
      </c>
      <c r="E1976">
        <f>INDEX(FactorTable!$B$2:$Y$301, MATCH(ROUND(MIN(300,MAX(1,D1976)),0), FactorTable!$A$2:$A$301,0), Skills!M13+1)</f>
        <v/>
      </c>
      <c r="F1976">
        <f>IF(Skills!N13=TRUE,(Skills!L13/10)*(E1976/1000),Skills!L13/10)+Skills!O13</f>
        <v/>
      </c>
      <c r="G1976">
        <f>Skills!G13*IF(Skills!H13&gt;0,Skills!I13/Skills!H13,1)</f>
        <v/>
      </c>
      <c r="H1976">
        <f>1-(1-Skills!J13/100)^Skills!K13</f>
        <v/>
      </c>
      <c r="I1976" t="inlineStr">
        <is>
          <t>1</t>
        </is>
      </c>
      <c r="J1976">
        <f>((Inputs!$B$6*(1+Inputs!$B$7/100))+(((Inputs!$B$12*(1+Inputs!$B$13/100))-(Inputs!$B$12*(1+Inputs!$B$13/100)))+0.25*(Inputs!$B$14-Inputs!$B$14))*(1+Inputs!$B$7/100))*(F1976/100)</f>
        <v/>
      </c>
      <c r="K1976">
        <f>J1976*(1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1976)</f>
        <v/>
      </c>
      <c r="L1976">
        <f>K1976*(MIN(Inputs!$B$22+((C1985=TRUE)*(F1985-Calc!F22)),(Inputs!$B$23+0+(IF(ArtifactsInput!$M$15,CHOOSE(ArtifactsInput!$N$15+1,25,30,35,40,45,50)/100*(Inputs!$B$11-Inputs!$B$11),0))))/100+(Inputs!$B$23+0+(IF(ArtifactsInput!$M$15,CHOOSE(ArtifactsInput!$N$15+1,25,30,35,40,45,50)/100*(Inputs!$B$11-Inputs!$B$11),0)))/100)/2</f>
        <v/>
      </c>
      <c r="M1976">
        <f>L1976*(1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76">
        <f>L1976*(1-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1976*(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6">
        <f>(1-Summary!$B$11)*T1976+Summary!$B$11*V1976</f>
        <v/>
      </c>
      <c r="P1976">
        <f>IF(B2004=0,0,O1976/B2004)</f>
        <v/>
      </c>
      <c r="Q1976">
        <f>IFERROR(1/(IF(Inputs!$B$38="pvp",15,MAX(0.1,Skills!D13-IF(Skills!E13=TRUE,Inputs!$B$32,0)))*(1-IF(AND(ArtifactsInput!$M$27,Inputs!$B$4="Chapter Hunt"),CHOOSE(ArtifactsInput!$N$27+1,20,24,28,32,36,40),0)/100)),0)</f>
        <v/>
      </c>
      <c r="R1976">
        <f>IF(AND(Inputs!$B$38&lt;&gt;"pvp",Inputs!$B$43&gt;0),IF(MAX(0,Inputs!$B$43-B2001)&lt;=0,0,(INT(MAX(0,Inputs!$B$43-B2001)/(IF(Inputs!$B$38="pvp",15,MAX(0.1,Skills!D13-IF(Skills!E13=TRUE,Inputs!$B$32,0)))*(1-IF(AND(ArtifactsInput!$M$27,Inputs!$B$4="Chapter Hunt"),CHOOSE(ArtifactsInput!$N$27+1,20,24,28,32,36,40),0)/100)))+1)),0)</f>
        <v/>
      </c>
      <c r="S1976">
        <f>IFERROR(O1976/N1976,0)</f>
        <v/>
      </c>
      <c r="T1976">
        <f>IF(C1976,(H1976*N1976*IF(AND(Inputs!$B$38&lt;&gt;"pvp",Inputs!$B$43&gt;0),((Skills!G13*((R1976-1)*IF(Skills!H13&gt;0,Skills!I13/Skills!H13,1)+IF(Skills!H13&gt;0,MIN(Skills!I13,MAX(0,MAX(0,Inputs!$B$43-B2001)-((R1976-1)*(IF(Inputs!$B$38="pvp",15,MAX(0.1,Skills!D13-IF(Skills!E13=TRUE,Inputs!$B$32,0)))*(1-IF(AND(ArtifactsInput!$M$27,Inputs!$B$4="Chapter Hunt"),CHOOSE(ArtifactsInput!$N$27+1,20,24,28,32,36,40),0)/100)))))/Skills!H13,1)))/Inputs!$B$43),G1976*Q1976)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1976*(1-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1976*(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1976*(1-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1976*(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6">
        <f>IF(C1976,(H1976*N1976*IF(AND(Inputs!$B$38&lt;&gt;"pvp",Inputs!$B$43&gt;0),((Skills!G13*((R1976-1)*IF(Skills!H13&gt;0,Skills!I13/Skills!H13,1)+IF(Skills!H13&gt;0,MIN(Skills!I13,MAX(0,MAX(0,Inputs!$B$43-B2001)-((R1976-1)*(IF(Inputs!$B$38="pvp",15,MAX(0.1,Skills!D13-IF(Skills!E13=TRUE,Inputs!$B$32,0)))*(1-IF(AND(ArtifactsInput!$M$27,Inputs!$B$4="Chapter Hunt"),CHOOSE(ArtifactsInput!$N$27+1,20,24,28,32,36,40),0)/100)))))/Skills!H13,1)))/Inputs!$B$43),G1976*Q1976))*IF(Inputs!$B$38="pvp",1,(1+(Inputs!$B$21+Skills!Q13+(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7">
      <c r="A1977">
        <f>Skills!A14</f>
        <v/>
      </c>
      <c r="B1977">
        <f>Skills!B14</f>
        <v/>
      </c>
      <c r="C1977">
        <f>Inputs!$B$3&gt;=125</f>
        <v/>
      </c>
      <c r="D1977">
        <f>IF(Skills!C14=1,60+Inputs!$B$25+Inputs!$B$29,IF(Skills!C14=2,90+Inputs!$B$26+Inputs!$B$29,IF(Skills!C14=3,120+Inputs!$B$27+Inputs!$B$29,MAX(0,(Inputs!$B$3-100)*3)+Inputs!$B$28+Inputs!$B$29)))</f>
        <v/>
      </c>
      <c r="E1977">
        <f>INDEX(FactorTable!$B$2:$Y$301, MATCH(ROUND(MIN(300,MAX(1,D1977)),0), FactorTable!$A$2:$A$301,0), Skills!M14+1)</f>
        <v/>
      </c>
      <c r="F1977">
        <f>IF(Skills!N14=TRUE,(Skills!L14/10)*(E1977/1000),Skills!L14/10)+Skills!O14</f>
        <v/>
      </c>
      <c r="G1977">
        <f>Skills!G14*IF(Skills!H14&gt;0,Skills!I14/Skills!H14,1)</f>
        <v/>
      </c>
      <c r="H1977">
        <f>1-(1-Skills!J14/100)^Skills!K14</f>
        <v/>
      </c>
      <c r="I1977" t="inlineStr">
        <is>
          <t>1</t>
        </is>
      </c>
      <c r="J1977">
        <f>((Inputs!$B$6*(1+Inputs!$B$7/100))+(((Inputs!$B$12*(1+Inputs!$B$13/100))-(Inputs!$B$12*(1+Inputs!$B$13/100)))+0.25*(Inputs!$B$14-Inputs!$B$14))*(1+Inputs!$B$7/100))*(F1977/100)</f>
        <v/>
      </c>
      <c r="K1977">
        <f>J1977*(1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1977)</f>
        <v/>
      </c>
      <c r="L1977">
        <f>K1977*(MIN(Inputs!$B$22+((C1985=TRUE)*(F1985-Calc!F22)),(Inputs!$B$23+0+(IF(ArtifactsInput!$M$15,CHOOSE(ArtifactsInput!$N$15+1,25,30,35,40,45,50)/100*(Inputs!$B$11-Inputs!$B$11),0))))/100+(Inputs!$B$23+0+(IF(ArtifactsInput!$M$15,CHOOSE(ArtifactsInput!$N$15+1,25,30,35,40,45,50)/100*(Inputs!$B$11-Inputs!$B$11),0)))/100)/2</f>
        <v/>
      </c>
      <c r="M1977">
        <f>L1977*(1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77">
        <f>L1977*(1-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1977*(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7">
        <f>(1-Summary!$B$11)*T1977+Summary!$B$11*V1977</f>
        <v/>
      </c>
      <c r="P1977">
        <f>IF(B2004=0,0,O1977/B2004)</f>
        <v/>
      </c>
      <c r="Q1977" t="n">
        <v>0</v>
      </c>
      <c r="R1977" t="n">
        <v>0</v>
      </c>
      <c r="S1977">
        <f>IFERROR(O1977/N1977,0)</f>
        <v/>
      </c>
      <c r="T1977">
        <f>IF(C1977,(H1977*N1977*(B1998+IF(AND(Inputs!$B$38&lt;&gt;"pvp",Inputs!$B$43&gt;0),((Skills!G8*((R1971-1)*IF(Skills!H8&gt;0,Skills!I8/Skills!H8,1)+IF(Skills!H8&gt;0,MIN(Skills!I8,MAX(0,MAX(0,Inputs!$B$43-B2001)-((R1971-1)*(IF(Inputs!$B$38="pvp",15,MAX(0.1,Skills!D8-IF(Skills!E8=TRUE,Inputs!$B$32,0)))*(1-IF(AND(ArtifactsInput!$M$27,Inputs!$B$4="Chapter Hunt"),CHOOSE(ArtifactsInput!$N$27+1,20,24,28,32,36,40),0)/100)))))/Skills!H8,1)))/Inputs!$B$43),G1971*Q1971)+IF(AND(Inputs!$B$38&lt;&gt;"pvp",Inputs!$B$43&gt;0),((Skills!G11*((R1974-1)*IF(Skills!H11&gt;0,Skills!I11/Skills!H11,1)+IF(Skills!H11&gt;0,MIN(Skills!I11,MAX(0,MAX(0,Inputs!$B$43-B2001)-((R1974-1)*(IF(Inputs!$B$38="pvp",15,MAX(0.1,Skills!D11-IF(Skills!E11=TRUE,Inputs!$B$32,0)))*(1-IF(AND(ArtifactsInput!$M$27,Inputs!$B$4="Chapter Hunt"),CHOOSE(ArtifactsInput!$N$27+1,20,24,28,32,36,40),0)/100)))))/Skills!H11,1)))/Inputs!$B$43),G1974*Q1974)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1977*(1-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1977*(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1977*(1-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1977*(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7">
        <f>IF(C1977,(H1977*N1977*(B1998+IF(AND(Inputs!$B$38&lt;&gt;"pvp",Inputs!$B$43&gt;0),((Skills!G8*((R1971-1)*IF(Skills!H8&gt;0,Skills!I8/Skills!H8,1)+IF(Skills!H8&gt;0,MIN(Skills!I8,MAX(0,MAX(0,Inputs!$B$43-B2001)-((R1971-1)*(IF(Inputs!$B$38="pvp",15,MAX(0.1,Skills!D8-IF(Skills!E8=TRUE,Inputs!$B$32,0)))*(1-IF(AND(ArtifactsInput!$M$27,Inputs!$B$4="Chapter Hunt"),CHOOSE(ArtifactsInput!$N$27+1,20,24,28,32,36,40),0)/100)))))/Skills!H8,1)))/Inputs!$B$43),G1971*Q1971)+IF(AND(Inputs!$B$38&lt;&gt;"pvp",Inputs!$B$43&gt;0),((Skills!G11*((R1974-1)*IF(Skills!H11&gt;0,Skills!I11/Skills!H11,1)+IF(Skills!H11&gt;0,MIN(Skills!I11,MAX(0,MAX(0,Inputs!$B$43-B2001)-((R1974-1)*(IF(Inputs!$B$38="pvp",15,MAX(0.1,Skills!D11-IF(Skills!E11=TRUE,Inputs!$B$32,0)))*(1-IF(AND(ArtifactsInput!$M$27,Inputs!$B$4="Chapter Hunt"),CHOOSE(ArtifactsInput!$N$27+1,20,24,28,32,36,40),0)/100)))))/Skills!H11,1)))/Inputs!$B$43),G1974*Q1974)))*IF(Inputs!$B$38="pvp",1,(1+(Inputs!$B$21+Skills!Q14+(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8">
      <c r="A1978">
        <f>Skills!A15</f>
        <v/>
      </c>
      <c r="B1978">
        <f>Skills!B15</f>
        <v/>
      </c>
      <c r="C1978">
        <f>Inputs!$B$3&gt;=100</f>
        <v/>
      </c>
      <c r="D1978">
        <f>IF(Skills!C15=1,60+Inputs!$B$25+Inputs!$B$29,IF(Skills!C15=2,90+Inputs!$B$26+Inputs!$B$29,IF(Skills!C15=3,120+Inputs!$B$27+Inputs!$B$29,MAX(0,(Inputs!$B$3-100)*3)+Inputs!$B$28+Inputs!$B$29)))</f>
        <v/>
      </c>
      <c r="E1978">
        <f>INDEX(FactorTable!$B$2:$Y$301, MATCH(ROUND(MIN(300,MAX(1,D1978)),0), FactorTable!$A$2:$A$301,0), Skills!M15+1)</f>
        <v/>
      </c>
      <c r="F1978">
        <f>IF(Skills!N15=TRUE,(Skills!L15/10)*(E1978/1000),Skills!L15/10)+Skills!O15</f>
        <v/>
      </c>
      <c r="G1978" t="inlineStr"/>
      <c r="H1978" t="inlineStr"/>
      <c r="I1978" t="inlineStr">
        <is>
          <t>1</t>
        </is>
      </c>
      <c r="J1978" t="inlineStr"/>
      <c r="K1978" t="inlineStr"/>
      <c r="L1978" t="inlineStr"/>
      <c r="M1978" t="inlineStr"/>
      <c r="N1978" t="inlineStr"/>
      <c r="O1978" t="inlineStr"/>
      <c r="P1978" t="inlineStr"/>
      <c r="Q1978" t="inlineStr"/>
      <c r="R1978" t="inlineStr"/>
      <c r="S1978" t="inlineStr"/>
    </row>
    <row r="1979">
      <c r="A1979">
        <f>Skills!A16</f>
        <v/>
      </c>
      <c r="B1979">
        <f>Skills!B16</f>
        <v/>
      </c>
      <c r="C1979">
        <f>Inputs!$B$3&gt;=120</f>
        <v/>
      </c>
      <c r="D1979">
        <f>IF(Skills!C16=1,60+Inputs!$B$25+Inputs!$B$29,IF(Skills!C16=2,90+Inputs!$B$26+Inputs!$B$29,IF(Skills!C16=3,120+Inputs!$B$27+Inputs!$B$29,MAX(0,(Inputs!$B$3-100)*3)+Inputs!$B$28+Inputs!$B$29)))</f>
        <v/>
      </c>
      <c r="E1979">
        <f>INDEX(FactorTable!$B$2:$Y$301, MATCH(ROUND(MIN(300,MAX(1,D1979)),0), FactorTable!$A$2:$A$301,0), Skills!M16+1)</f>
        <v/>
      </c>
      <c r="F1979">
        <f>IF(Skills!N16=TRUE,(Skills!L16/10)*(E1979/1000),Skills!L16/10)+Skills!O16</f>
        <v/>
      </c>
      <c r="G1979" t="inlineStr"/>
      <c r="H1979" t="inlineStr"/>
      <c r="I1979" t="inlineStr">
        <is>
          <t>1</t>
        </is>
      </c>
      <c r="J1979" t="inlineStr"/>
      <c r="K1979" t="inlineStr"/>
      <c r="L1979" t="inlineStr"/>
      <c r="M1979" t="inlineStr"/>
      <c r="N1979" t="inlineStr"/>
      <c r="O1979" t="inlineStr"/>
      <c r="P1979" t="inlineStr"/>
      <c r="Q1979" t="inlineStr"/>
      <c r="R1979" t="inlineStr"/>
      <c r="S1979" t="inlineStr"/>
    </row>
    <row r="1980">
      <c r="A1980">
        <f>Skills!A17</f>
        <v/>
      </c>
      <c r="B1980">
        <f>Skills!B17</f>
        <v/>
      </c>
      <c r="C1980">
        <f>Inputs!$B$3&gt;=66</f>
        <v/>
      </c>
      <c r="D1980">
        <f>IF(Skills!C17=1,60+Inputs!$B$25+Inputs!$B$29,IF(Skills!C17=2,90+Inputs!$B$26+Inputs!$B$29,IF(Skills!C17=3,120+Inputs!$B$27+Inputs!$B$29,MAX(0,(Inputs!$B$3-100)*3)+Inputs!$B$28+Inputs!$B$29)))</f>
        <v/>
      </c>
      <c r="E1980">
        <f>INDEX(FactorTable!$B$2:$Y$301, MATCH(ROUND(MIN(300,MAX(1,D1980)),0), FactorTable!$A$2:$A$301,0), Skills!M17+1)</f>
        <v/>
      </c>
      <c r="F1980">
        <f>IF(Skills!N17=TRUE,(Skills!L17/10)*(E1980/1000),Skills!L17/10)+Skills!O17</f>
        <v/>
      </c>
      <c r="G1980">
        <f>Skills!G17*IF(Skills!H17&gt;0,Skills!I17/Skills!H17,1)</f>
        <v/>
      </c>
      <c r="H1980">
        <f>1-(1-Skills!J17/100)^Skills!K17</f>
        <v/>
      </c>
      <c r="I1980" t="inlineStr">
        <is>
          <t>1</t>
        </is>
      </c>
      <c r="J1980" t="inlineStr"/>
      <c r="K1980" t="inlineStr"/>
      <c r="L1980" t="inlineStr"/>
      <c r="M1980" t="inlineStr"/>
      <c r="N1980" t="inlineStr"/>
      <c r="O1980">
        <f>(1-Summary!$B$11)*T1980+Summary!$B$11*V1980</f>
        <v/>
      </c>
      <c r="P1980">
        <f>IF(B2004=0,0,O1980/B2004)</f>
        <v/>
      </c>
      <c r="Q1980" t="n">
        <v>0</v>
      </c>
      <c r="R1980" t="n">
        <v>0</v>
      </c>
      <c r="S1980">
        <f>IFERROR(O1980/N1980,0)</f>
        <v/>
      </c>
      <c r="T1980" t="n">
        <v>0</v>
      </c>
      <c r="V1980" t="n">
        <v>0</v>
      </c>
    </row>
    <row r="1981">
      <c r="A1981">
        <f>Skills!A18</f>
        <v/>
      </c>
      <c r="B1981">
        <f>Skills!B18</f>
        <v/>
      </c>
      <c r="C1981">
        <f>Inputs!$B$3&gt;=115</f>
        <v/>
      </c>
      <c r="D1981">
        <f>IF(Skills!C18=1,60+Inputs!$B$25+Inputs!$B$29,IF(Skills!C18=2,90+Inputs!$B$26+Inputs!$B$29,IF(Skills!C18=3,120+Inputs!$B$27+Inputs!$B$29,MAX(0,(Inputs!$B$3-100)*3)+Inputs!$B$28+Inputs!$B$29)))</f>
        <v/>
      </c>
      <c r="E1981">
        <f>INDEX(FactorTable!$B$2:$Y$301, MATCH(ROUND(MIN(300,MAX(1,D1981)),0), FactorTable!$A$2:$A$301,0), Skills!M18+1)</f>
        <v/>
      </c>
      <c r="F1981">
        <f>IF(Skills!N18=TRUE,(Skills!L18/10)*(E1981/1000),Skills!L18/10)+Skills!O18</f>
        <v/>
      </c>
      <c r="G1981">
        <f>Skills!G18*IF(Skills!H18&gt;0,Skills!I18/Skills!H18,1)</f>
        <v/>
      </c>
      <c r="H1981">
        <f>1-(1-Skills!J18/100)^Skills!K18</f>
        <v/>
      </c>
      <c r="I1981" t="inlineStr">
        <is>
          <t>1</t>
        </is>
      </c>
      <c r="J1981" t="inlineStr"/>
      <c r="K1981" t="inlineStr"/>
      <c r="L1981" t="inlineStr"/>
      <c r="M1981" t="inlineStr"/>
      <c r="N1981" t="inlineStr"/>
      <c r="O1981">
        <f>(1-Summary!$B$11)*T1981+Summary!$B$11*V1981</f>
        <v/>
      </c>
      <c r="P1981">
        <f>IF(B2004=0,0,O1981/B2004)</f>
        <v/>
      </c>
      <c r="Q1981">
        <f>IFERROR(1/(IF(Inputs!$B$38="pvp",15,MAX(0.1,Skills!D18-IF(Skills!E18=TRUE,Inputs!$B$32,0)))*(1-IF(AND(ArtifactsInput!$M$27,Inputs!$B$4="Chapter Hunt"),CHOOSE(ArtifactsInput!$N$27+1,20,24,28,32,36,40),0)/100)),0)</f>
        <v/>
      </c>
      <c r="R1981">
        <f>IF(AND(Inputs!$B$38&lt;&gt;"pvp",Inputs!$B$43&gt;0),IF(Inputs!$B$43&lt;=0,0,(INT(Inputs!$B$43/(IF(Inputs!$B$38="pvp",15,MAX(0.1,Skills!D18-IF(Skills!E18=TRUE,Inputs!$B$32,0)))*(1-IF(AND(ArtifactsInput!$M$27,Inputs!$B$4="Chapter Hunt"),CHOOSE(ArtifactsInput!$N$27+1,20,24,28,32,36,40),0)/100)))+1)),0)</f>
        <v/>
      </c>
      <c r="S1981">
        <f>IFERROR(O1981/N1981,0)</f>
        <v/>
      </c>
      <c r="T1981" t="n">
        <v>0</v>
      </c>
      <c r="V1981" t="n">
        <v>0</v>
      </c>
    </row>
    <row r="1982">
      <c r="A1982">
        <f>Skills!A19</f>
        <v/>
      </c>
      <c r="B1982">
        <f>Skills!B19</f>
        <v/>
      </c>
      <c r="C1982">
        <f>Inputs!$B$3&gt;=15</f>
        <v/>
      </c>
      <c r="D1982">
        <f>IF(Skills!C19=1,60+Inputs!$B$25+Inputs!$B$29,IF(Skills!C19=2,90+Inputs!$B$26+Inputs!$B$29,IF(Skills!C19=3,120+Inputs!$B$27+Inputs!$B$29,MAX(0,(Inputs!$B$3-100)*3)+Inputs!$B$28+Inputs!$B$29)))</f>
        <v/>
      </c>
      <c r="E1982">
        <f>INDEX(FactorTable!$B$2:$Y$301, MATCH(ROUND(MIN(300,MAX(1,D1982)),0), FactorTable!$A$2:$A$301,0), Skills!M19+1)</f>
        <v/>
      </c>
      <c r="F1982">
        <f>IF(Skills!N19=TRUE,(Skills!L19/10)*(E1982/1000),Skills!L19/10)+Skills!O19</f>
        <v/>
      </c>
      <c r="G1982">
        <f>Skills!G19*IF(Skills!H19&gt;0,Skills!I19/Skills!H19,1)</f>
        <v/>
      </c>
      <c r="H1982">
        <f>1-(1-Skills!J19/100)^Skills!K19</f>
        <v/>
      </c>
      <c r="I1982" t="inlineStr">
        <is>
          <t>1</t>
        </is>
      </c>
      <c r="J1982" t="inlineStr"/>
      <c r="K1982" t="inlineStr"/>
      <c r="L1982" t="inlineStr"/>
      <c r="M1982" t="inlineStr"/>
      <c r="N1982" t="inlineStr"/>
      <c r="O1982">
        <f>(1-Summary!$B$11)*T1982+Summary!$B$11*V1982</f>
        <v/>
      </c>
      <c r="P1982">
        <f>IF(B2004=0,0,O1982/B2004)</f>
        <v/>
      </c>
      <c r="Q1982" t="n">
        <v>0</v>
      </c>
      <c r="R1982" t="n">
        <v>0</v>
      </c>
      <c r="S1982">
        <f>IFERROR(O1982/N1982,0)</f>
        <v/>
      </c>
      <c r="T1982" t="n">
        <v>0</v>
      </c>
      <c r="V1982" t="n">
        <v>0</v>
      </c>
    </row>
    <row r="1983">
      <c r="A1983">
        <f>Skills!A20</f>
        <v/>
      </c>
      <c r="B1983">
        <f>Skills!B20</f>
        <v/>
      </c>
      <c r="C1983">
        <f>Inputs!$B$3&gt;=10</f>
        <v/>
      </c>
      <c r="D1983">
        <f>IF(Skills!C20=1,60+Inputs!$B$25+Inputs!$B$29,IF(Skills!C20=2,90+Inputs!$B$26+Inputs!$B$29,IF(Skills!C20=3,120+Inputs!$B$27+Inputs!$B$29,MAX(0,(Inputs!$B$3-100)*3)+Inputs!$B$28+Inputs!$B$29)))</f>
        <v/>
      </c>
      <c r="E1983">
        <f>INDEX(FactorTable!$B$2:$Y$301, MATCH(ROUND(MIN(300,MAX(1,D1983)),0), FactorTable!$A$2:$A$301,0), Skills!M20+1)</f>
        <v/>
      </c>
      <c r="F1983">
        <f>IF(Skills!N20=TRUE,(Skills!L20/10)*(E1983/1000),Skills!L20/10)+Skills!O20</f>
        <v/>
      </c>
      <c r="G1983">
        <f>Skills!G20*IF(Skills!H20&gt;0,Skills!I20/Skills!H20,1)</f>
        <v/>
      </c>
      <c r="H1983">
        <f>1-(1-Skills!J20/100)^Skills!K20</f>
        <v/>
      </c>
      <c r="I1983" t="inlineStr">
        <is>
          <t>1</t>
        </is>
      </c>
      <c r="J1983" t="inlineStr"/>
      <c r="K1983" t="inlineStr"/>
      <c r="L1983" t="inlineStr"/>
      <c r="M1983" t="inlineStr"/>
      <c r="N1983" t="inlineStr"/>
      <c r="O1983">
        <f>(1-Summary!$B$11)*T1983+Summary!$B$11*V1983</f>
        <v/>
      </c>
      <c r="P1983">
        <f>IF(B2004=0,0,O1983/B2004)</f>
        <v/>
      </c>
      <c r="Q1983" t="n">
        <v>0</v>
      </c>
      <c r="R1983" t="n">
        <v>0</v>
      </c>
      <c r="S1983">
        <f>IFERROR(O1983/N1983,0)</f>
        <v/>
      </c>
      <c r="T1983" t="n">
        <v>0</v>
      </c>
      <c r="V1983" t="n">
        <v>0</v>
      </c>
    </row>
    <row r="1984">
      <c r="A1984">
        <f>Skills!A21</f>
        <v/>
      </c>
      <c r="B1984">
        <f>Skills!B21</f>
        <v/>
      </c>
      <c r="C1984">
        <f>Inputs!$B$3&gt;=33</f>
        <v/>
      </c>
      <c r="D1984">
        <f>IF(Skills!C21=1,60+Inputs!$B$25+Inputs!$B$29,IF(Skills!C21=2,90+Inputs!$B$26+Inputs!$B$29,IF(Skills!C21=3,120+Inputs!$B$27+Inputs!$B$29,MAX(0,(Inputs!$B$3-100)*3)+Inputs!$B$28+Inputs!$B$29)))</f>
        <v/>
      </c>
      <c r="E1984">
        <f>INDEX(FactorTable!$B$2:$Y$301, MATCH(ROUND(MIN(300,MAX(1,D1984)),0), FactorTable!$A$2:$A$301,0), Skills!M21+1)</f>
        <v/>
      </c>
      <c r="F1984">
        <f>IF(Skills!N21=TRUE,(Skills!L21/10)*(E1984/1000),Skills!L21/10)+Skills!O21</f>
        <v/>
      </c>
      <c r="G1984">
        <f>Skills!G21*IF(Skills!H21&gt;0,Skills!I21/Skills!H21,1)</f>
        <v/>
      </c>
      <c r="H1984">
        <f>1-(1-Skills!J21/100)^Skills!K21</f>
        <v/>
      </c>
      <c r="I1984" t="inlineStr">
        <is>
          <t>1</t>
        </is>
      </c>
      <c r="J1984" t="inlineStr"/>
      <c r="K1984" t="inlineStr"/>
      <c r="L1984" t="inlineStr"/>
      <c r="M1984" t="inlineStr"/>
      <c r="N1984" t="inlineStr"/>
      <c r="O1984">
        <f>(1-Summary!$B$11)*T1984+Summary!$B$11*V1984</f>
        <v/>
      </c>
      <c r="P1984">
        <f>IF(B2004=0,0,O1984/B2004)</f>
        <v/>
      </c>
      <c r="Q1984" t="n">
        <v>0</v>
      </c>
      <c r="R1984" t="n">
        <v>0</v>
      </c>
      <c r="S1984">
        <f>IFERROR(O1984/N1984,0)</f>
        <v/>
      </c>
      <c r="T1984" t="n">
        <v>0</v>
      </c>
      <c r="V1984" t="n">
        <v>0</v>
      </c>
    </row>
    <row r="1985">
      <c r="A1985">
        <f>Skills!A22</f>
        <v/>
      </c>
      <c r="B1985">
        <f>Skills!B22</f>
        <v/>
      </c>
      <c r="C1985">
        <f>Inputs!$B$3&gt;=43</f>
        <v/>
      </c>
      <c r="D1985">
        <f>IF(Skills!C22=1,60+Inputs!$B$25+Inputs!$B$29,IF(Skills!C22=2,90+Inputs!$B$26+Inputs!$B$29,IF(Skills!C22=3,120+Inputs!$B$27+Inputs!$B$29,MAX(0,(Inputs!$B$3-100)*3)+Inputs!$B$28+Inputs!$B$29)))</f>
        <v/>
      </c>
      <c r="E1985">
        <f>INDEX(FactorTable!$B$2:$Y$301, MATCH(ROUND(MIN(300,MAX(1,D1985)),0), FactorTable!$A$2:$A$301,0), Skills!M22+1)</f>
        <v/>
      </c>
      <c r="F1985">
        <f>IF(Skills!N22=TRUE,(Skills!L22/10)*(E1985/1000),Skills!L22/10)+Skills!O22</f>
        <v/>
      </c>
      <c r="G1985">
        <f>Skills!G22*IF(Skills!H22&gt;0,Skills!I22/Skills!H22,1)</f>
        <v/>
      </c>
      <c r="H1985">
        <f>1-(1-Skills!J22/100)^Skills!K22</f>
        <v/>
      </c>
      <c r="I1985" t="inlineStr">
        <is>
          <t>1</t>
        </is>
      </c>
      <c r="J1985" t="inlineStr"/>
      <c r="K1985" t="inlineStr"/>
      <c r="L1985" t="inlineStr"/>
      <c r="M1985" t="inlineStr"/>
      <c r="N1985" t="inlineStr"/>
      <c r="O1985">
        <f>(1-Summary!$B$11)*T1985+Summary!$B$11*V1985</f>
        <v/>
      </c>
      <c r="P1985">
        <f>IF(B2004=0,0,O1985/B2004)</f>
        <v/>
      </c>
      <c r="Q1985" t="n">
        <v>0</v>
      </c>
      <c r="R1985" t="n">
        <v>0</v>
      </c>
      <c r="S1985">
        <f>IFERROR(O1985/N1985,0)</f>
        <v/>
      </c>
      <c r="T1985" t="n">
        <v>0</v>
      </c>
      <c r="V1985" t="n">
        <v>0</v>
      </c>
    </row>
    <row r="1986">
      <c r="A1986">
        <f>Skills!A23</f>
        <v/>
      </c>
      <c r="B1986">
        <f>Skills!B23</f>
        <v/>
      </c>
      <c r="C1986">
        <f>Inputs!$B$3&gt;=38</f>
        <v/>
      </c>
      <c r="D1986">
        <f>IF(Skills!C23=1,60+Inputs!$B$25+Inputs!$B$29,IF(Skills!C23=2,90+Inputs!$B$26+Inputs!$B$29,IF(Skills!C23=3,120+Inputs!$B$27+Inputs!$B$29,MAX(0,(Inputs!$B$3-100)*3)+Inputs!$B$28+Inputs!$B$29)))</f>
        <v/>
      </c>
      <c r="E1986">
        <f>INDEX(FactorTable!$B$2:$Y$301, MATCH(ROUND(MIN(300,MAX(1,D1986)),0), FactorTable!$A$2:$A$301,0), Skills!M23+1)</f>
        <v/>
      </c>
      <c r="F1986">
        <f>IF(Skills!N23=TRUE,(Skills!L23/10)*(E1986/1000),Skills!L23/10)+Skills!O23</f>
        <v/>
      </c>
      <c r="G1986">
        <f>Skills!G23*IF(Skills!H23&gt;0,Skills!I23/Skills!H23,1)</f>
        <v/>
      </c>
      <c r="H1986">
        <f>1-(1-Skills!J23/100)^Skills!K23</f>
        <v/>
      </c>
      <c r="I1986" t="inlineStr">
        <is>
          <t>1</t>
        </is>
      </c>
      <c r="J1986" t="inlineStr"/>
      <c r="K1986" t="inlineStr"/>
      <c r="L1986" t="inlineStr"/>
      <c r="M1986" t="inlineStr"/>
      <c r="N1986" t="inlineStr"/>
      <c r="O1986">
        <f>(1-Summary!$B$11)*T1986+Summary!$B$11*V1986</f>
        <v/>
      </c>
      <c r="P1986">
        <f>IF(B2004=0,0,O1986/B2004)</f>
        <v/>
      </c>
      <c r="Q1986" t="n">
        <v>0</v>
      </c>
      <c r="R1986" t="n">
        <v>0</v>
      </c>
      <c r="S1986">
        <f>IFERROR(O1986/N1986,0)</f>
        <v/>
      </c>
      <c r="T1986" t="n">
        <v>0</v>
      </c>
      <c r="V1986" t="n">
        <v>0</v>
      </c>
    </row>
    <row r="1987">
      <c r="A1987">
        <f>Skills!A24</f>
        <v/>
      </c>
      <c r="B1987">
        <f>Skills!B24</f>
        <v/>
      </c>
      <c r="C1987">
        <f>Inputs!$B$3&gt;=40</f>
        <v/>
      </c>
      <c r="D1987">
        <f>IF(Skills!C24=1,60+Inputs!$B$25+Inputs!$B$29,IF(Skills!C24=2,90+Inputs!$B$26+Inputs!$B$29,IF(Skills!C24=3,120+Inputs!$B$27+Inputs!$B$29,MAX(0,(Inputs!$B$3-100)*3)+Inputs!$B$28+Inputs!$B$29)))</f>
        <v/>
      </c>
      <c r="E1987">
        <f>INDEX(FactorTable!$B$2:$Y$301, MATCH(ROUND(MIN(300,MAX(1,D1987)),0), FactorTable!$A$2:$A$301,0), Skills!M24+1)</f>
        <v/>
      </c>
      <c r="F1987">
        <f>IF(Skills!N24=TRUE,(Skills!L24/10)*(E1987/1000),Skills!L24/10)+Skills!O24</f>
        <v/>
      </c>
      <c r="G1987">
        <f>Skills!G24*IF(Skills!H24&gt;0,Skills!I24/Skills!H24,1)</f>
        <v/>
      </c>
      <c r="H1987">
        <f>1-(1-Skills!J24/100)^Skills!K24</f>
        <v/>
      </c>
      <c r="I1987" t="inlineStr">
        <is>
          <t>1</t>
        </is>
      </c>
      <c r="J1987" t="inlineStr"/>
      <c r="K1987" t="inlineStr"/>
      <c r="L1987" t="inlineStr"/>
      <c r="M1987" t="inlineStr"/>
      <c r="N1987" t="inlineStr"/>
      <c r="O1987">
        <f>(1-Summary!$B$11)*T1987+Summary!$B$11*V1987</f>
        <v/>
      </c>
      <c r="P1987">
        <f>IF(B2004=0,0,O1987/B2004)</f>
        <v/>
      </c>
      <c r="Q1987" t="n">
        <v>0</v>
      </c>
      <c r="R1987" t="n">
        <v>0</v>
      </c>
      <c r="S1987">
        <f>IFERROR(O1987/N1987,0)</f>
        <v/>
      </c>
      <c r="T1987" t="n">
        <v>0</v>
      </c>
      <c r="V1987" t="n">
        <v>0</v>
      </c>
    </row>
    <row r="1988">
      <c r="A1988">
        <f>Skills!A25</f>
        <v/>
      </c>
      <c r="B1988">
        <f>Skills!B25</f>
        <v/>
      </c>
      <c r="C1988">
        <f>Inputs!$B$3&gt;=72</f>
        <v/>
      </c>
      <c r="D1988">
        <f>IF(Skills!C25=1,60+Inputs!$B$25+Inputs!$B$29,IF(Skills!C25=2,90+Inputs!$B$26+Inputs!$B$29,IF(Skills!C25=3,120+Inputs!$B$27+Inputs!$B$29,MAX(0,(Inputs!$B$3-100)*3)+Inputs!$B$28+Inputs!$B$29)))</f>
        <v/>
      </c>
      <c r="E1988">
        <f>INDEX(FactorTable!$B$2:$Y$301, MATCH(ROUND(MIN(300,MAX(1,D1988)),0), FactorTable!$A$2:$A$301,0), Skills!M25+1)</f>
        <v/>
      </c>
      <c r="F1988">
        <f>IF(Skills!N25=TRUE,(Skills!L25/10)*(E1988/1000),Skills!L25/10)+Skills!O25</f>
        <v/>
      </c>
      <c r="G1988">
        <f>Skills!G25*IF(Skills!H25&gt;0,Skills!I25/Skills!H25,1)</f>
        <v/>
      </c>
      <c r="H1988">
        <f>1-(1-Skills!J25/100)^Skills!K25</f>
        <v/>
      </c>
      <c r="I1988" t="inlineStr">
        <is>
          <t>1</t>
        </is>
      </c>
      <c r="J1988" t="inlineStr"/>
      <c r="K1988" t="inlineStr"/>
      <c r="L1988" t="inlineStr"/>
      <c r="M1988" t="inlineStr"/>
      <c r="N1988" t="inlineStr"/>
      <c r="O1988">
        <f>(1-Summary!$B$11)*T1988+Summary!$B$11*V1988</f>
        <v/>
      </c>
      <c r="P1988">
        <f>IF(B2004=0,0,O1988/B2004)</f>
        <v/>
      </c>
      <c r="Q1988" t="n">
        <v>0</v>
      </c>
      <c r="R1988" t="n">
        <v>0</v>
      </c>
      <c r="S1988">
        <f>IFERROR(O1988/N1988,0)</f>
        <v/>
      </c>
      <c r="T1988" t="n">
        <v>0</v>
      </c>
      <c r="V1988" t="n">
        <v>0</v>
      </c>
    </row>
    <row r="1989">
      <c r="A1989">
        <f>Skills!A26</f>
        <v/>
      </c>
      <c r="B1989">
        <f>Skills!B26</f>
        <v/>
      </c>
      <c r="C1989">
        <f>Inputs!$B$3&gt;=75</f>
        <v/>
      </c>
      <c r="D1989">
        <f>IF(Skills!C26=1,60+Inputs!$B$25+Inputs!$B$29,IF(Skills!C26=2,90+Inputs!$B$26+Inputs!$B$29,IF(Skills!C26=3,120+Inputs!$B$27+Inputs!$B$29,MAX(0,(Inputs!$B$3-100)*3)+Inputs!$B$28+Inputs!$B$29)))</f>
        <v/>
      </c>
      <c r="E1989">
        <f>INDEX(FactorTable!$B$2:$Y$301, MATCH(ROUND(MIN(300,MAX(1,D1989)),0), FactorTable!$A$2:$A$301,0), Skills!M26+1)</f>
        <v/>
      </c>
      <c r="F1989">
        <f>IF(Skills!N26=TRUE,(Skills!L26/10)*(E1989/1000),Skills!L26/10)+Skills!O26</f>
        <v/>
      </c>
      <c r="G1989">
        <f>Skills!G26*IF(Skills!H26&gt;0,Skills!I26/Skills!H26,1)</f>
        <v/>
      </c>
      <c r="H1989">
        <f>1-(1-Skills!J26/100)^Skills!K26</f>
        <v/>
      </c>
      <c r="I1989" t="inlineStr">
        <is>
          <t>1</t>
        </is>
      </c>
      <c r="J1989" t="inlineStr"/>
      <c r="K1989" t="inlineStr"/>
      <c r="L1989" t="inlineStr"/>
      <c r="M1989" t="inlineStr"/>
      <c r="N1989" t="inlineStr"/>
      <c r="O1989">
        <f>(1-Summary!$B$11)*T1989+Summary!$B$11*V1989</f>
        <v/>
      </c>
      <c r="P1989">
        <f>IF(B2004=0,0,O1989/B2004)</f>
        <v/>
      </c>
      <c r="Q1989" t="n">
        <v>0</v>
      </c>
      <c r="R1989" t="n">
        <v>0</v>
      </c>
      <c r="S1989">
        <f>IFERROR(O1989/N1989,0)</f>
        <v/>
      </c>
      <c r="T1989" t="n">
        <v>0</v>
      </c>
      <c r="V1989" t="n">
        <v>0</v>
      </c>
    </row>
    <row r="1990">
      <c r="A1990">
        <f>Skills!A27</f>
        <v/>
      </c>
      <c r="B1990">
        <f>Skills!B27</f>
        <v/>
      </c>
      <c r="C1990">
        <f>Inputs!$B$3&gt;=117</f>
        <v/>
      </c>
      <c r="D1990">
        <f>IF(Skills!C27=1,60+Inputs!$B$25+Inputs!$B$29,IF(Skills!C27=2,90+Inputs!$B$26+Inputs!$B$29,IF(Skills!C27=3,120+Inputs!$B$27+Inputs!$B$29,MAX(0,(Inputs!$B$3-100)*3)+Inputs!$B$28+Inputs!$B$29)))</f>
        <v/>
      </c>
      <c r="E1990">
        <f>INDEX(FactorTable!$B$2:$Y$301, MATCH(ROUND(MIN(300,MAX(1,D1990)),0), FactorTable!$A$2:$A$301,0), Skills!M27+1)</f>
        <v/>
      </c>
      <c r="F1990">
        <f>IF(Skills!N27=TRUE,(Skills!L27/10)*(E1990/1000),Skills!L27/10)+Skills!O27</f>
        <v/>
      </c>
      <c r="G1990">
        <f>Skills!G27*IF(Skills!H27&gt;0,Skills!I27/Skills!H27,1)</f>
        <v/>
      </c>
      <c r="H1990">
        <f>1-(1-Skills!J27/100)^Skills!K27</f>
        <v/>
      </c>
      <c r="I1990" t="inlineStr">
        <is>
          <t>1</t>
        </is>
      </c>
      <c r="J1990" t="inlineStr"/>
      <c r="K1990" t="inlineStr"/>
      <c r="L1990" t="inlineStr"/>
      <c r="M1990" t="inlineStr"/>
      <c r="N1990" t="inlineStr"/>
      <c r="O1990">
        <f>(1-Summary!$B$11)*T1990+Summary!$B$11*V1990</f>
        <v/>
      </c>
      <c r="P1990">
        <f>IF(B2004=0,0,O1990/B2004)</f>
        <v/>
      </c>
      <c r="Q1990" t="n">
        <v>0</v>
      </c>
      <c r="R1990" t="n">
        <v>0</v>
      </c>
      <c r="S1990">
        <f>IFERROR(O1990/N1990,0)</f>
        <v/>
      </c>
      <c r="T1990" t="n">
        <v>0</v>
      </c>
      <c r="V1990" t="n">
        <v>0</v>
      </c>
    </row>
    <row r="1991">
      <c r="A1991">
        <f>Skills!A28</f>
        <v/>
      </c>
      <c r="B1991">
        <f>Skills!B28</f>
        <v/>
      </c>
      <c r="C1991">
        <f>TRUE</f>
        <v/>
      </c>
      <c r="D1991">
        <f>IF(Skills!C28=1,60+Inputs!$B$25+Inputs!$B$29,IF(Skills!C28=2,90+Inputs!$B$26+Inputs!$B$29,IF(Skills!C28=3,120+Inputs!$B$27+Inputs!$B$29,MAX(0,(Inputs!$B$3-100)*3)+Inputs!$B$28+Inputs!$B$29)))</f>
        <v/>
      </c>
      <c r="E1991">
        <f>INDEX(FactorTable!$B$2:$Y$301, MATCH(ROUND(MIN(300,MAX(1,D1991)),0), FactorTable!$A$2:$A$301,0), Skills!M28+1)</f>
        <v/>
      </c>
      <c r="F1991">
        <f>IF(Skills!N28=TRUE,(Skills!L28/10)*(E1991/1000),Skills!L28/10)+Skills!O28</f>
        <v/>
      </c>
      <c r="G1991">
        <f>Skills!G28*IF(Skills!H28&gt;0,Skills!I28/Skills!H28,1)</f>
        <v/>
      </c>
      <c r="H1991">
        <f>1-(1-Skills!J28/100)^Skills!K28</f>
        <v/>
      </c>
      <c r="I1991" t="inlineStr">
        <is>
          <t>1</t>
        </is>
      </c>
      <c r="J1991" t="inlineStr"/>
      <c r="K1991" t="inlineStr"/>
      <c r="L1991" t="inlineStr"/>
      <c r="M1991" t="inlineStr"/>
      <c r="N1991" t="inlineStr"/>
      <c r="O1991">
        <f>(1-Summary!$B$11)*T1991+Summary!$B$11*V1991</f>
        <v/>
      </c>
      <c r="P1991">
        <f>IF(B2004=0,0,O1991/B2004)</f>
        <v/>
      </c>
      <c r="Q1991">
        <f>IFERROR(1/(IF(Inputs!$B$38="pvp",15,MAX(0.1,Skills!D28-IF(Skills!E28=TRUE,Inputs!$B$32,0)))*(1-IF(AND(ArtifactsInput!$M$27,Inputs!$B$4="Chapter Hunt"),CHOOSE(ArtifactsInput!$N$27+1,20,24,28,32,36,40),0)/100)),0)</f>
        <v/>
      </c>
      <c r="R1991">
        <f>IF(AND(Inputs!$B$38&lt;&gt;"pvp",Inputs!$B$43&gt;0),IF(Inputs!$B$43&lt;=0,0,(INT(Inputs!$B$43/(IF(Inputs!$B$38="pvp",15,MAX(0.1,Skills!D28-IF(Skills!E28=TRUE,Inputs!$B$32,0)))*(1-IF(AND(ArtifactsInput!$M$27,Inputs!$B$4="Chapter Hunt"),CHOOSE(ArtifactsInput!$N$27+1,20,24,28,32,36,40),0)/100)))+1)),0)</f>
        <v/>
      </c>
      <c r="S1991">
        <f>IFERROR(O1991/N1991,0)</f>
        <v/>
      </c>
      <c r="T1991" t="n">
        <v>0</v>
      </c>
      <c r="V1991" t="n">
        <v>0</v>
      </c>
    </row>
    <row r="1993">
      <c r="A1993" t="inlineStr">
        <is>
          <t>Attack% Bucket Multiplier</t>
        </is>
      </c>
      <c r="B1993">
        <f>(1+(((C1980=TRUE)*F1980*5/7)+((C1987=TRUE)*(F1987-Calc!F24))+(IF(ArtifactsInput!$M$21,CHOOSE(ArtifactsInput!$N$21+1,25,30,35,40,45,50)*(IF(OR(Inputs!$B$4="Chapter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94">
      <c r="A1994" t="inlineStr">
        <is>
          <t>Global Crit Rate Bonus %</t>
        </is>
      </c>
      <c r="B1994" t="n">
        <v>0</v>
      </c>
    </row>
    <row r="1995">
      <c r="A1995" t="inlineStr">
        <is>
          <t>Attack Speed Buff Bonus % (Nimble Feet, duty-cycle averaged)</t>
        </is>
      </c>
      <c r="B1995">
        <f>((C1991=TRUE)*F1991*IF(AND(Inputs!$B$38&lt;&gt;"pvp",Inputs!$B$43&gt;0),(((R1991-1)*(Skills!T28*(1+Inputs!$B$34/100))+MIN((Skills!T28*(1+Inputs!$B$34/100)),MAX(0,Inputs!$B$43-((R1991-1)*Skills!D28))))/Inputs!$B$43),IF(Inputs!$B$38="pvp",MIN((Skills!T28*(1+Inputs!$B$34/100)),15)/15,(Skills!T28*(1+Inputs!$B$34/100))/Skills!D28)))</f>
        <v/>
      </c>
    </row>
    <row r="1996">
      <c r="A1996" t="inlineStr">
        <is>
          <t>Actions Per Second</t>
        </is>
      </c>
      <c r="B1996">
        <f>1+MIN(150,150*(1-(1-(Inputs!$B$11+((C1983=TRUE)*(F1983-Calc!F20))+((C1984=TRUE)*(F1984-Calc!F21)))/150)*(1-B1995/150)))/100</f>
        <v/>
      </c>
    </row>
    <row r="1997">
      <c r="A1997" t="inlineStr">
        <is>
          <t>Skill + Buff Cast Rate</t>
        </is>
      </c>
      <c r="B1997">
        <f>IF(AND(Inputs!$B$38&lt;&gt;"pvp",Inputs!$B$43&gt;0),SUMPRODUCT((Skills!E2:E28=TRUE)*(C1965:C1991=TRUE)*R1965:R1991*Skills!F2:F28)/Inputs!$B$43,SUMPRODUCT((Skills!E2:E28=TRUE)*(C1965:C1991=TRUE)*Q1965:Q1991*Skills!F2:F28))</f>
        <v/>
      </c>
    </row>
    <row r="1998">
      <c r="A1998" t="inlineStr">
        <is>
          <t>Eight-Legs Easton Casts Per Second</t>
        </is>
      </c>
      <c r="B1998">
        <f>MAX(0,B1996-B1997)</f>
        <v/>
      </c>
    </row>
    <row r="1999">
      <c r="A1999" t="inlineStr">
        <is>
          <t>Global Critical Damage Bonus % (unused)</t>
        </is>
      </c>
      <c r="B1999" t="n">
        <v>0</v>
      </c>
    </row>
    <row r="2000">
      <c r="A2000" t="inlineStr">
        <is>
          <t>Global Final Damage Bonus % (Jolly Roger + Ahoy Mateys - Final Damage proc)</t>
        </is>
      </c>
      <c r="B2000">
        <f>((C1981=TRUE)*F1981*IF(AND(Inputs!$B$38&lt;&gt;"pvp",Inputs!$B$43&gt;0),(((R1981-1)*(Skills!T18*(1+Inputs!$B$34/100))+MIN((Skills!T18*(1+Inputs!$B$34/100)),MAX(0,Inputs!$B$43-((R1981-1)*Skills!D18))))/Inputs!$B$43),IF(Inputs!$B$38="pvp",MIN((Skills!T18*(1+Inputs!$B$34/100)),15)/15,(Skills!T18*(1+Inputs!$B$34/100))/Skills!D18)))+IF(Inputs!$B$3&gt;=122,20*IF(Inputs!$B$38="pvp",MIN((20*(1+Inputs!$B$34/100)),15)/15,(20*(1+Inputs!$B$34/100))/Skills!D4),0)</f>
        <v/>
      </c>
    </row>
    <row r="2001">
      <c r="A2001" t="inlineStr">
        <is>
          <t>Buff-Casting Startup Delay (s, fixed-duration only)</t>
        </is>
      </c>
      <c r="B2001">
        <f>IF(AND(Inputs!$B$38&lt;&gt;"pvp",Inputs!$B$43&gt;0),SUMPRODUCT((Skills!T2:T28&gt;0)*(Skills!E2:E28=TRUE)*(C1965:C1991=TRUE))/B1996,0)</f>
        <v/>
      </c>
    </row>
    <row r="2002">
      <c r="A2002" t="inlineStr">
        <is>
          <t>Boss-Only Total DPS (this block's swept value)</t>
        </is>
      </c>
      <c r="B2002">
        <f>SUM(T1965:T1991)</f>
        <v/>
      </c>
    </row>
    <row r="2003">
      <c r="A2003" t="inlineStr">
        <is>
          <t>Normal-Only Total DPS (this block's swept value)</t>
        </is>
      </c>
      <c r="B2003">
        <f>SUM(V1965:V1991)</f>
        <v/>
      </c>
    </row>
    <row r="2004">
      <c r="A2004" s="6" t="inlineStr">
        <is>
          <t>TOTAL DPS</t>
        </is>
      </c>
      <c r="B2004" s="6">
        <f>SUM(O1965:O1991)</f>
        <v/>
      </c>
    </row>
    <row r="2007">
      <c r="A2007" s="6" t="inlineStr">
        <is>
          <t>Stat: Lunar Dew (Equip)</t>
        </is>
      </c>
    </row>
    <row r="2008">
      <c r="A2008" s="5" t="inlineStr">
        <is>
          <t>Key</t>
        </is>
      </c>
      <c r="B2008" s="5" t="inlineStr">
        <is>
          <t>Name</t>
        </is>
      </c>
      <c r="C2008" s="5" t="inlineStr">
        <is>
          <t>Unlocked</t>
        </is>
      </c>
      <c r="D2008" s="5" t="inlineStr">
        <is>
          <t>InputLevel</t>
        </is>
      </c>
      <c r="E2008" s="5" t="inlineStr">
        <is>
          <t>Factor</t>
        </is>
      </c>
      <c r="F2008" s="5" t="inlineStr">
        <is>
          <t>CoefficientPercent</t>
        </is>
      </c>
      <c r="G2008" s="5" t="inlineStr">
        <is>
          <t>EffectiveHits</t>
        </is>
      </c>
      <c r="H2008" s="5" t="inlineStr">
        <is>
          <t>ProcProbability</t>
        </is>
      </c>
      <c r="I2008" s="5" t="inlineStr">
        <is>
          <t>MapleHeroMultiplier</t>
        </is>
      </c>
      <c r="J2008" s="5" t="inlineStr">
        <is>
          <t>BaseDamage</t>
        </is>
      </c>
      <c r="K2008" s="5" t="inlineStr">
        <is>
          <t>BaseHitDamage</t>
        </is>
      </c>
      <c r="L2008" s="5" t="inlineStr">
        <is>
          <t>NonCritAvg</t>
        </is>
      </c>
      <c r="M2008" s="5" t="inlineStr">
        <is>
          <t>CritAvg</t>
        </is>
      </c>
      <c r="N2008" s="5" t="inlineStr">
        <is>
          <t>ExpectedDamage(perHit)</t>
        </is>
      </c>
      <c r="O2008" s="5" t="inlineStr">
        <is>
          <t>DPS</t>
        </is>
      </c>
      <c r="P2008" s="5" t="inlineStr">
        <is>
          <t>% of Total</t>
        </is>
      </c>
      <c r="Q2008" s="5" t="inlineStr">
        <is>
          <t>InvCooldown</t>
        </is>
      </c>
      <c r="R2008" s="5" t="inlineStr">
        <is>
          <t>CastsInFight</t>
        </is>
      </c>
      <c r="S2008" s="5" t="inlineStr">
        <is>
          <t>HitRate(perSec)</t>
        </is>
      </c>
      <c r="U2008" t="inlineStr">
        <is>
          <t>helpers</t>
        </is>
      </c>
    </row>
    <row r="2009">
      <c r="A2009">
        <f>Skills!A2</f>
        <v/>
      </c>
      <c r="B2009">
        <f>Skills!B2</f>
        <v/>
      </c>
      <c r="C2009">
        <f>Inputs!$B$3&gt;=100</f>
        <v/>
      </c>
      <c r="D2009" t="inlineStr"/>
      <c r="E2009" t="inlineStr"/>
      <c r="F2009">
        <f>U2011+Skills!O2</f>
        <v/>
      </c>
      <c r="G2009">
        <f>Skills!G2*IF(Skills!H2&gt;0,Skills!I2/Skills!H2,1)</f>
        <v/>
      </c>
      <c r="H2009">
        <f>1-(1-Skills!J2/100)^Skills!K2</f>
        <v/>
      </c>
      <c r="I2009" t="inlineStr">
        <is>
          <t>1</t>
        </is>
      </c>
      <c r="J2009">
        <f>((Inputs!$B$6*(1+Inputs!$B$7/100))+(((Inputs!$B$12*(1+Inputs!$B$13/100))-(Inputs!$B$12*(1+Inputs!$B$13/100)))+0.25*(Inputs!$B$14-Inputs!$B$14))*(1+Inputs!$B$7/100))*(F2009/100)</f>
        <v/>
      </c>
      <c r="K2009">
        <f>J2009*(1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2009)</f>
        <v/>
      </c>
      <c r="L2009">
        <f>K2009*(MIN(Inputs!$B$22+((C2029=TRUE)*(F2029-Calc!F22)),(Inputs!$B$23+0+(IF(ArtifactsInput!$M$15,CHOOSE(ArtifactsInput!$N$15+1,25,30,35,40,45,50)/100*(Inputs!$B$11-Inputs!$B$11),0))))/100+(Inputs!$B$23+0+(IF(ArtifactsInput!$M$15,CHOOSE(ArtifactsInput!$N$15+1,25,30,35,40,45,50)/100*(Inputs!$B$11-Inputs!$B$11),0)))/100)/2</f>
        <v/>
      </c>
      <c r="M2009">
        <f>L2009*(1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9">
        <f>L2009*(1-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2009*(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9">
        <f>(1-Summary!$B$11)*T2009+Summary!$B$11*V2009</f>
        <v/>
      </c>
      <c r="P2009">
        <f>IF(B2048=0,0,O2009/B2048)</f>
        <v/>
      </c>
      <c r="Q2009" t="n">
        <v>0</v>
      </c>
      <c r="R2009" t="n">
        <v>0</v>
      </c>
      <c r="S2009">
        <f>IFERROR(O2009/N2009,0)</f>
        <v/>
      </c>
      <c r="T2009">
        <f>IF(C2009,(Skills!G2*N2009*B2042)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2009*(1-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2009*(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2009*(1-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2009*(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9">
        <f>MAX(0,(Inputs!$B$3-100)*3)+Inputs!$B$28+Inputs!$B$29</f>
        <v/>
      </c>
      <c r="V2009">
        <f>IF(C2009,(Skills!G2*N2009*B2042)*IF(Inputs!$B$38="pvp",1,(1+(Inputs!$B$21+Skills!Q2+(IF(ArtifactsInput!$M$33,CHOOSE(ArtifactsInput!$N$33+1,30,36,42,48,54,60),0))+(IF(AND(ArtifactsInput!$M$35,Inputs!$B$4&lt;&gt;"Chapter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0">
      <c r="A2010">
        <f>Skills!A3</f>
        <v/>
      </c>
      <c r="B2010">
        <f>Skills!B3</f>
        <v/>
      </c>
      <c r="C2010">
        <f>Inputs!$B$3&gt;=35</f>
        <v/>
      </c>
      <c r="D2010">
        <f>IF(Skills!C3=1,60+Inputs!$B$25+Inputs!$B$29,IF(Skills!C3=2,90+Inputs!$B$26+Inputs!$B$29,IF(Skills!C3=3,120+Inputs!$B$27+Inputs!$B$29,MAX(0,(Inputs!$B$3-100)*3)+Inputs!$B$28+Inputs!$B$29)))</f>
        <v/>
      </c>
      <c r="E2010">
        <f>INDEX(FactorTable!$B$2:$Y$301, MATCH(ROUND(MIN(300,MAX(1,D2010)),0), FactorTable!$A$2:$A$301,0), Skills!M3+1)</f>
        <v/>
      </c>
      <c r="F2010">
        <f>IF(Skills!N3=TRUE,(Skills!L3/10)*(E2010/1000),Skills!L3/10)+Skills!O3</f>
        <v/>
      </c>
      <c r="G2010">
        <f>Skills!G3*IF(Skills!H3&gt;0,Skills!I3/Skills!H3,1)</f>
        <v/>
      </c>
      <c r="H2010">
        <f>1-(1-Skills!J3/100)^Skills!K3</f>
        <v/>
      </c>
      <c r="I2010" t="inlineStr">
        <is>
          <t>1</t>
        </is>
      </c>
      <c r="J2010">
        <f>((Inputs!$B$6*(1+Inputs!$B$7/100))+(((Inputs!$B$12*(1+Inputs!$B$13/100))-(Inputs!$B$12*(1+Inputs!$B$13/100)))+0.25*(Inputs!$B$14-Inputs!$B$14))*(1+Inputs!$B$7/100))*(F2010/100)</f>
        <v/>
      </c>
      <c r="K2010">
        <f>J2010*(1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2022=TRUE,F2022,0)/100)*(1+(IF(Skills!A3="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2010)</f>
        <v/>
      </c>
      <c r="L2010">
        <f>K2010*(MIN(Inputs!$B$22+((C2029=TRUE)*(F2029-Calc!F22)),(Inputs!$B$23+0+(IF(ArtifactsInput!$M$15,CHOOSE(ArtifactsInput!$N$15+1,25,30,35,40,45,50)/100*(Inputs!$B$11-Inputs!$B$11),0))))/100+(Inputs!$B$23+0+(IF(ArtifactsInput!$M$15,CHOOSE(ArtifactsInput!$N$15+1,25,30,35,40,45,50)/100*(Inputs!$B$11-Inputs!$B$11),0)))/100)/2</f>
        <v/>
      </c>
      <c r="M2010">
        <f>L2010*(1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0">
        <f>L2010*(1-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2010*(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0">
        <f>(1-Summary!$B$11)*T2010+Summary!$B$11*V2010</f>
        <v/>
      </c>
      <c r="P2010">
        <f>IF(B2048=0,0,O2010/B2048)</f>
        <v/>
      </c>
      <c r="Q2010">
        <f>IFERROR(1/(IF(Inputs!$B$38="pvp",15,MAX(0.1,Skills!D3-IF(Skills!E3=TRUE,Inputs!$B$32,0)))*(1-IF(AND(ArtifactsInput!$M$27,Inputs!$B$4="Chapter Hunt"),CHOOSE(ArtifactsInput!$N$27+1,20,24,28,32,36,40),0)/100)),0)</f>
        <v/>
      </c>
      <c r="R2010">
        <f>IF(AND(Inputs!$B$38&lt;&gt;"pvp",Inputs!$B$43&gt;0),IF(MAX(0,Inputs!$B$43-B2045)&lt;=0,0,(INT(MAX(0,Inputs!$B$43-B2045)/(IF(Inputs!$B$38="pvp",15,MAX(0.1,Skills!D3-IF(Skills!E3=TRUE,Inputs!$B$32,0)))*(1-IF(AND(ArtifactsInput!$M$27,Inputs!$B$4="Chapter Hunt"),CHOOSE(ArtifactsInput!$N$27+1,20,24,28,32,36,40),0)/100)))+1)),0)</f>
        <v/>
      </c>
      <c r="S2010">
        <f>IFERROR(O2010/N2010,0)</f>
        <v/>
      </c>
      <c r="T2010">
        <f>IF(C2010,(H2010*N2010*IF(AND(Inputs!$B$38&lt;&gt;"pvp",Inputs!$B$43&gt;0),((Skills!G3*((R2010-1)*IF(Skills!H3&gt;0,Skills!I3/Skills!H3,1)+IF(Skills!H3&gt;0,MIN(Skills!I3,MAX(0,MAX(0,Inputs!$B$43-B2045)-((R2010-1)*(IF(Inputs!$B$38="pvp",15,MAX(0.1,Skills!D3-IF(Skills!E3=TRUE,Inputs!$B$32,0)))*(1-IF(AND(ArtifactsInput!$M$27,Inputs!$B$4="Chapter Hunt"),CHOOSE(ArtifactsInput!$N$27+1,20,24,28,32,36,40),0)/100)))))/Skills!H3,1)))/Inputs!$B$43),G2010*Q2010)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2010*(1-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2010*(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2010*(1-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2010*(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0">
        <f>INDEX(FactorTable!$B$2:$Y$301, MATCH(ROUND(MIN(300,MAX(1,U2009)),0), FactorTable!$A$2:$A$301,0), 22)</f>
        <v/>
      </c>
      <c r="V2010">
        <f>IF(C2010,(H2010*N2010*IF(AND(Inputs!$B$38&lt;&gt;"pvp",Inputs!$B$43&gt;0),((Skills!G3*((R2010-1)*IF(Skills!H3&gt;0,Skills!I3/Skills!H3,1)+IF(Skills!H3&gt;0,MIN(Skills!I3,MAX(0,MAX(0,Inputs!$B$43-B2045)-((R2010-1)*(IF(Inputs!$B$38="pvp",15,MAX(0.1,Skills!D3-IF(Skills!E3=TRUE,Inputs!$B$32,0)))*(1-IF(AND(ArtifactsInput!$M$27,Inputs!$B$4="Chapter Hunt"),CHOOSE(ArtifactsInput!$N$27+1,20,24,28,32,36,40),0)/100)))))/Skills!H3,1)))/Inputs!$B$43),G2010*Q2010))*IF(Inputs!$B$38="pvp",1,(1+(Inputs!$B$21+Skills!Q3+(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1">
      <c r="A2011">
        <f>Skills!A4</f>
        <v/>
      </c>
      <c r="B2011">
        <f>Skills!B4</f>
        <v/>
      </c>
      <c r="C2011">
        <f>Inputs!$B$3&gt;=40</f>
        <v/>
      </c>
      <c r="D2011">
        <f>IF(Skills!C4=1,60+Inputs!$B$25+Inputs!$B$29,IF(Skills!C4=2,90+Inputs!$B$26+Inputs!$B$29,IF(Skills!C4=3,120+Inputs!$B$27+Inputs!$B$29,MAX(0,(Inputs!$B$3-100)*3)+Inputs!$B$28+Inputs!$B$29)))</f>
        <v/>
      </c>
      <c r="E2011">
        <f>INDEX(FactorTable!$B$2:$Y$301, MATCH(ROUND(MIN(300,MAX(1,D2011)),0), FactorTable!$A$2:$A$301,0), Skills!M4+1)</f>
        <v/>
      </c>
      <c r="F2011">
        <f>IF(Skills!N4=TRUE,(Skills!L4/10)*(E2011/1000),Skills!L4/10)+Skills!O4</f>
        <v/>
      </c>
      <c r="G2011">
        <f>Skills!G4*IF(Skills!H4&gt;0,Skills!I4/Skills!H4,1)</f>
        <v/>
      </c>
      <c r="H2011">
        <f>1-(1-Skills!J4/100)^Skills!K4</f>
        <v/>
      </c>
      <c r="I2011" t="inlineStr">
        <is>
          <t>1</t>
        </is>
      </c>
      <c r="J2011">
        <f>((Inputs!$B$6*(1+Inputs!$B$7/100))+(((Inputs!$B$12*(1+Inputs!$B$13/100))-(Inputs!$B$12*(1+Inputs!$B$13/100)))+0.25*(Inputs!$B$14-Inputs!$B$14))*(1+Inputs!$B$7/100))*(F2011/100)</f>
        <v/>
      </c>
      <c r="K2011">
        <f>J2011*(1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2023=TRUE,F2023,0)/100)*(1+(IF(Skills!A4="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2011)</f>
        <v/>
      </c>
      <c r="L2011">
        <f>K2011*(MIN(Inputs!$B$22+((C2029=TRUE)*(F2029-Calc!F22)),(Inputs!$B$23+0+(IF(ArtifactsInput!$M$15,CHOOSE(ArtifactsInput!$N$15+1,25,30,35,40,45,50)/100*(Inputs!$B$11-Inputs!$B$11),0))))/100+(Inputs!$B$23+0+(IF(ArtifactsInput!$M$15,CHOOSE(ArtifactsInput!$N$15+1,25,30,35,40,45,50)/100*(Inputs!$B$11-Inputs!$B$11),0)))/100)/2</f>
        <v/>
      </c>
      <c r="M2011">
        <f>L2011*(1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1">
        <f>L2011*(1-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1">
        <f>(1-Summary!$B$11)*T2011+Summary!$B$11*V2011</f>
        <v/>
      </c>
      <c r="P2011">
        <f>IF(B2048=0,0,O2011/B2048)</f>
        <v/>
      </c>
      <c r="Q2011">
        <f>IFERROR(1/(IF(Inputs!$B$38="pvp",15,MAX(0.1,Skills!D4-IF(Skills!E4=TRUE,Inputs!$B$32,0)))*(1-IF(AND(ArtifactsInput!$M$27,Inputs!$B$4="Chapter Hunt"),CHOOSE(ArtifactsInput!$N$27+1,20,24,28,32,36,40),0)/100)),0)</f>
        <v/>
      </c>
      <c r="R2011">
        <f>IF(AND(Inputs!$B$38&lt;&gt;"pvp",Inputs!$B$43&gt;0),IF(MAX(0,Inputs!$B$43-B2045)&lt;=0,0,(INT(MAX(0,Inputs!$B$43-B2045)/(IF(Inputs!$B$38="pvp",15,MAX(0.1,Skills!D4-IF(Skills!E4=TRUE,Inputs!$B$32,0)))*(1-IF(AND(ArtifactsInput!$M$27,Inputs!$B$4="Chapter Hunt"),CHOOSE(ArtifactsInput!$N$27+1,20,24,28,32,36,40),0)/100)))+1)),0)</f>
        <v/>
      </c>
      <c r="S2011">
        <f>IFERROR(O2011/N2011,0)</f>
        <v/>
      </c>
      <c r="T2011">
        <f>IF(C2011,(H2011*N2011*IF(AND(Inputs!$B$38&lt;&gt;"pvp",Inputs!$B$43&gt;0),((Skills!G4*((R2011-1)*IF(Skills!H4&gt;0,Skills!I4/Skills!H4,1)+IF(Skills!H4&gt;0,MIN(Skills!I4,MAX(0,MAX(0,Inputs!$B$43-B2045)-((R2011-1)*(IF(Inputs!$B$38="pvp",15,MAX(0.1,Skills!D4-IF(Skills!E4=TRUE,Inputs!$B$32,0)))*(1-IF(AND(ArtifactsInput!$M$27,Inputs!$B$4="Chapter Hunt"),CHOOSE(ArtifactsInput!$N$27+1,20,24,28,32,36,40),0)/100)))))/Skills!H4,1)))/Inputs!$B$43),G2011*Q2011)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2011*(1-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1">
        <f>290*U2010/1000</f>
        <v/>
      </c>
      <c r="V2011">
        <f>IF(C2011,(H2011*N2011*IF(AND(Inputs!$B$38&lt;&gt;"pvp",Inputs!$B$43&gt;0),((Skills!G4*((R2011-1)*IF(Skills!H4&gt;0,Skills!I4/Skills!H4,1)+IF(Skills!H4&gt;0,MIN(Skills!I4,MAX(0,MAX(0,Inputs!$B$43-B2045)-((R2011-1)*(IF(Inputs!$B$38="pvp",15,MAX(0.1,Skills!D4-IF(Skills!E4=TRUE,Inputs!$B$32,0)))*(1-IF(AND(ArtifactsInput!$M$27,Inputs!$B$4="Chapter Hunt"),CHOOSE(ArtifactsInput!$N$27+1,20,24,28,32,36,40),0)/100)))))/Skills!H4,1)))/Inputs!$B$43),G2011*Q2011))*IF(Inputs!$B$38="pvp",1,(1+(Inputs!$B$21+Skills!Q4+(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2">
      <c r="A2012">
        <f>Skills!A5</f>
        <v/>
      </c>
      <c r="B2012">
        <f>Skills!B5</f>
        <v/>
      </c>
      <c r="C2012">
        <f>Inputs!$B$3&gt;=45</f>
        <v/>
      </c>
      <c r="D2012">
        <f>IF(Skills!C5=1,60+Inputs!$B$25+Inputs!$B$29,IF(Skills!C5=2,90+Inputs!$B$26+Inputs!$B$29,IF(Skills!C5=3,120+Inputs!$B$27+Inputs!$B$29,MAX(0,(Inputs!$B$3-100)*3)+Inputs!$B$28+Inputs!$B$29)))</f>
        <v/>
      </c>
      <c r="E2012">
        <f>INDEX(FactorTable!$B$2:$Y$301, MATCH(ROUND(MIN(300,MAX(1,D2012)),0), FactorTable!$A$2:$A$301,0), Skills!M5+1)</f>
        <v/>
      </c>
      <c r="F2012">
        <f>IF(Skills!N5=TRUE,(Skills!L5/10)*(E2012/1000),Skills!L5/10)+Skills!O5</f>
        <v/>
      </c>
      <c r="G2012">
        <f>Skills!G5*IF(Skills!H5&gt;0,Skills!I5/Skills!H5,1)</f>
        <v/>
      </c>
      <c r="H2012">
        <f>1-(1-Skills!J5/100)^Skills!K5</f>
        <v/>
      </c>
      <c r="I2012" t="inlineStr">
        <is>
          <t>1</t>
        </is>
      </c>
      <c r="J2012">
        <f>((Inputs!$B$6*(1+Inputs!$B$7/100))+(((Inputs!$B$12*(1+Inputs!$B$13/100))-(Inputs!$B$12*(1+Inputs!$B$13/100)))+0.25*(Inputs!$B$14-Inputs!$B$14))*(1+Inputs!$B$7/100))*(F2012/100)</f>
        <v/>
      </c>
      <c r="K2012">
        <f>J2012*(1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2023=TRUE,F2023,0)/100)*(1+(IF(Skills!A5="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2012)</f>
        <v/>
      </c>
      <c r="L2012">
        <f>K2012*(MIN(Inputs!$B$22+((C2029=TRUE)*(F2029-Calc!F22)),(Inputs!$B$23+0+(IF(ArtifactsInput!$M$15,CHOOSE(ArtifactsInput!$N$15+1,25,30,35,40,45,50)/100*(Inputs!$B$11-Inputs!$B$11),0))))/100+(Inputs!$B$23+0+(IF(ArtifactsInput!$M$15,CHOOSE(ArtifactsInput!$N$15+1,25,30,35,40,45,50)/100*(Inputs!$B$11-Inputs!$B$11),0)))/100)/2</f>
        <v/>
      </c>
      <c r="M2012">
        <f>L2012*(1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2">
        <f>L2012*(1-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2012*(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2">
        <f>(1-Summary!$B$11)*T2012+Summary!$B$11*V2012</f>
        <v/>
      </c>
      <c r="P2012">
        <f>IF(B2048=0,0,O2012/B2048)</f>
        <v/>
      </c>
      <c r="Q2012">
        <f>IFERROR(1/(IF(Inputs!$B$38="pvp",15,MAX(0.1,Skills!D5-IF(Skills!E5=TRUE,Inputs!$B$32,0)))*(1-IF(AND(ArtifactsInput!$M$27,Inputs!$B$4="Chapter Hunt"),CHOOSE(ArtifactsInput!$N$27+1,20,24,28,32,36,40),0)/100)),0)</f>
        <v/>
      </c>
      <c r="R2012">
        <f>IF(AND(Inputs!$B$38&lt;&gt;"pvp",Inputs!$B$43&gt;0),IF(MAX(0,Inputs!$B$43-B2045)&lt;=0,0,(INT(MAX(0,Inputs!$B$43-B2045)/(IF(Inputs!$B$38="pvp",15,MAX(0.1,Skills!D5-IF(Skills!E5=TRUE,Inputs!$B$32,0)))*(1-IF(AND(ArtifactsInput!$M$27,Inputs!$B$4="Chapter Hunt"),CHOOSE(ArtifactsInput!$N$27+1,20,24,28,32,36,40),0)/100)))+1)),0)</f>
        <v/>
      </c>
      <c r="S2012">
        <f>IFERROR(O2012/N2012,0)</f>
        <v/>
      </c>
      <c r="T2012">
        <f>IF(C2012,(H2012*N2012*IF(AND(Inputs!$B$38&lt;&gt;"pvp",Inputs!$B$43&gt;0),((Skills!G5*((R2012-1)*IF(Skills!H5&gt;0,Skills!I5/Skills!H5,1)+IF(Skills!H5&gt;0,MIN(Skills!I5,MAX(0,MAX(0,Inputs!$B$43-B2045)-((R2012-1)*(IF(Inputs!$B$38="pvp",15,MAX(0.1,Skills!D5-IF(Skills!E5=TRUE,Inputs!$B$32,0)))*(1-IF(AND(ArtifactsInput!$M$27,Inputs!$B$4="Chapter Hunt"),CHOOSE(ArtifactsInput!$N$27+1,20,24,28,32,36,40),0)/100)))))/Skills!H5,1)))/Inputs!$B$43),G2012*Q2012)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2012*(1-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2012*(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2012*(1-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2012*(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2">
        <f>IF(C2012,(H2012*N2012*IF(AND(Inputs!$B$38&lt;&gt;"pvp",Inputs!$B$43&gt;0),((Skills!G5*((R2012-1)*IF(Skills!H5&gt;0,Skills!I5/Skills!H5,1)+IF(Skills!H5&gt;0,MIN(Skills!I5,MAX(0,MAX(0,Inputs!$B$43-B2045)-((R2012-1)*(IF(Inputs!$B$38="pvp",15,MAX(0.1,Skills!D5-IF(Skills!E5=TRUE,Inputs!$B$32,0)))*(1-IF(AND(ArtifactsInput!$M$27,Inputs!$B$4="Chapter Hunt"),CHOOSE(ArtifactsInput!$N$27+1,20,24,28,32,36,40),0)/100)))))/Skills!H5,1)))/Inputs!$B$43),G2012*Q2012))*IF(Inputs!$B$38="pvp",1,(1+(Inputs!$B$21+Skills!Q5+(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3">
      <c r="A2013">
        <f>Skills!A6</f>
        <v/>
      </c>
      <c r="B2013">
        <f>Skills!B6</f>
        <v/>
      </c>
      <c r="C2013">
        <f>Inputs!$B$3&gt;=63</f>
        <v/>
      </c>
      <c r="D2013">
        <f>IF(Skills!C6=1,60+Inputs!$B$25+Inputs!$B$29,IF(Skills!C6=2,90+Inputs!$B$26+Inputs!$B$29,IF(Skills!C6=3,120+Inputs!$B$27+Inputs!$B$29,MAX(0,(Inputs!$B$3-100)*3)+Inputs!$B$28+Inputs!$B$29)))</f>
        <v/>
      </c>
      <c r="E2013">
        <f>INDEX(FactorTable!$B$2:$Y$301, MATCH(ROUND(MIN(300,MAX(1,D2013)),0), FactorTable!$A$2:$A$301,0), Skills!M6+1)</f>
        <v/>
      </c>
      <c r="F2013">
        <f>IF(Skills!N6=TRUE,(Skills!L6/10)*(E2013/1000),Skills!L6/10)+Skills!O6</f>
        <v/>
      </c>
      <c r="G2013">
        <f>Skills!G6*IF(Skills!H6&gt;0,Skills!I6/Skills!H6,1)</f>
        <v/>
      </c>
      <c r="H2013">
        <f>1-(1-Skills!J6/100)^Skills!K6</f>
        <v/>
      </c>
      <c r="I2013" t="inlineStr">
        <is>
          <t>1</t>
        </is>
      </c>
      <c r="J2013">
        <f>((Inputs!$B$6*(1+Inputs!$B$7/100))+(((Inputs!$B$12*(1+Inputs!$B$13/100))-(Inputs!$B$12*(1+Inputs!$B$13/100)))+0.25*(Inputs!$B$14-Inputs!$B$14))*(1+Inputs!$B$7/100))*(F2013/100)</f>
        <v/>
      </c>
      <c r="K2013">
        <f>J2013*(1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2022=TRUE,F2022,0)/100)*(1+(IF(Skills!A6="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2013)</f>
        <v/>
      </c>
      <c r="L2013">
        <f>K2013*(MIN(Inputs!$B$22+((C2029=TRUE)*(F2029-Calc!F22)),(Inputs!$B$23+0+(IF(ArtifactsInput!$M$15,CHOOSE(ArtifactsInput!$N$15+1,25,30,35,40,45,50)/100*(Inputs!$B$11-Inputs!$B$11),0))))/100+(Inputs!$B$23+0+(IF(ArtifactsInput!$M$15,CHOOSE(ArtifactsInput!$N$15+1,25,30,35,40,45,50)/100*(Inputs!$B$11-Inputs!$B$11),0)))/100)/2</f>
        <v/>
      </c>
      <c r="M2013">
        <f>L2013*(1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3">
        <f>L2013*(1-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2013*(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3">
        <f>(1-Summary!$B$11)*T2013+Summary!$B$11*V2013</f>
        <v/>
      </c>
      <c r="P2013">
        <f>IF(B2048=0,0,O2013/B2048)</f>
        <v/>
      </c>
      <c r="Q2013">
        <f>IFERROR(1/(IF(Inputs!$B$38="pvp",15,MAX(0.1,Skills!D6-IF(Skills!E6=TRUE,Inputs!$B$32,0)))*(1-IF(AND(ArtifactsInput!$M$27,Inputs!$B$4="Chapter Hunt"),CHOOSE(ArtifactsInput!$N$27+1,20,24,28,32,36,40),0)/100)),0)</f>
        <v/>
      </c>
      <c r="R2013">
        <f>IF(AND(Inputs!$B$38&lt;&gt;"pvp",Inputs!$B$43&gt;0),IF(MAX(0,Inputs!$B$43-B2045)&lt;=0,0,(INT(MAX(0,Inputs!$B$43-B2045)/(IF(Inputs!$B$38="pvp",15,MAX(0.1,Skills!D6-IF(Skills!E6=TRUE,Inputs!$B$32,0)))*(1-IF(AND(ArtifactsInput!$M$27,Inputs!$B$4="Chapter Hunt"),CHOOSE(ArtifactsInput!$N$27+1,20,24,28,32,36,40),0)/100)))+1)),0)</f>
        <v/>
      </c>
      <c r="S2013">
        <f>IFERROR(O2013/N2013,0)</f>
        <v/>
      </c>
      <c r="T2013">
        <f>IF(C2013,(H2013*N2013*IF(AND(Inputs!$B$38&lt;&gt;"pvp",Inputs!$B$43&gt;0),((Skills!G6*((R2013-1)*IF(Skills!H6&gt;0,Skills!I6/Skills!H6,1)+IF(Skills!H6&gt;0,MIN(Skills!I6,MAX(0,MAX(0,Inputs!$B$43-B2045)-((R2013-1)*(IF(Inputs!$B$38="pvp",15,MAX(0.1,Skills!D6-IF(Skills!E6=TRUE,Inputs!$B$32,0)))*(1-IF(AND(ArtifactsInput!$M$27,Inputs!$B$4="Chapter Hunt"),CHOOSE(ArtifactsInput!$N$27+1,20,24,28,32,36,40),0)/100)))))/Skills!H6,1)))/Inputs!$B$43),G2013*Q2013)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2013*(1-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2013*(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2013*(1-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2013*(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3">
        <f>IF(C2013,(H2013*N2013*IF(AND(Inputs!$B$38&lt;&gt;"pvp",Inputs!$B$43&gt;0),((Skills!G6*((R2013-1)*IF(Skills!H6&gt;0,Skills!I6/Skills!H6,1)+IF(Skills!H6&gt;0,MIN(Skills!I6,MAX(0,MAX(0,Inputs!$B$43-B2045)-((R2013-1)*(IF(Inputs!$B$38="pvp",15,MAX(0.1,Skills!D6-IF(Skills!E6=TRUE,Inputs!$B$32,0)))*(1-IF(AND(ArtifactsInput!$M$27,Inputs!$B$4="Chapter Hunt"),CHOOSE(ArtifactsInput!$N$27+1,20,24,28,32,36,40),0)/100)))))/Skills!H6,1)))/Inputs!$B$43),G2013*Q2013))*IF(Inputs!$B$38="pvp",1,(1+(Inputs!$B$21+Skills!Q6+(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4">
      <c r="A2014">
        <f>Skills!A7</f>
        <v/>
      </c>
      <c r="B2014">
        <f>Skills!B7</f>
        <v/>
      </c>
      <c r="C2014">
        <f>Inputs!$B$3&gt;=66</f>
        <v/>
      </c>
      <c r="D2014">
        <f>IF(Skills!C7=1,60+Inputs!$B$25+Inputs!$B$29,IF(Skills!C7=2,90+Inputs!$B$26+Inputs!$B$29,IF(Skills!C7=3,120+Inputs!$B$27+Inputs!$B$29,MAX(0,(Inputs!$B$3-100)*3)+Inputs!$B$28+Inputs!$B$29)))</f>
        <v/>
      </c>
      <c r="E2014">
        <f>INDEX(FactorTable!$B$2:$Y$301, MATCH(ROUND(MIN(300,MAX(1,D2014)),0), FactorTable!$A$2:$A$301,0), Skills!M7+1)</f>
        <v/>
      </c>
      <c r="F2014">
        <f>IF(Skills!N7=TRUE,(Skills!L7/10)*(E2014/1000),Skills!L7/10)+Skills!O7</f>
        <v/>
      </c>
      <c r="G2014">
        <f>Skills!G7*IF(Skills!H7&gt;0,Skills!I7/Skills!H7,1)</f>
        <v/>
      </c>
      <c r="H2014">
        <f>1-(1-Skills!J7/100)^Skills!K7</f>
        <v/>
      </c>
      <c r="I2014" t="inlineStr">
        <is>
          <t>1</t>
        </is>
      </c>
      <c r="J2014">
        <f>((Inputs!$B$6*(1+Inputs!$B$7/100))+(((Inputs!$B$12*(1+Inputs!$B$13/100))-(Inputs!$B$12*(1+Inputs!$B$13/100)))+0.25*(Inputs!$B$14-Inputs!$B$14))*(1+Inputs!$B$7/100))*(F2014/100)</f>
        <v/>
      </c>
      <c r="K2014">
        <f>J2014*(1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2022=TRUE,F2022,0)/100)*(1+(IF(Skills!A7="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2014)</f>
        <v/>
      </c>
      <c r="L2014">
        <f>K2014*(MIN(Inputs!$B$22+((C2029=TRUE)*(F2029-Calc!F22)),(Inputs!$B$23+0+(IF(ArtifactsInput!$M$15,CHOOSE(ArtifactsInput!$N$15+1,25,30,35,40,45,50)/100*(Inputs!$B$11-Inputs!$B$11),0))))/100+(Inputs!$B$23+0+(IF(ArtifactsInput!$M$15,CHOOSE(ArtifactsInput!$N$15+1,25,30,35,40,45,50)/100*(Inputs!$B$11-Inputs!$B$11),0)))/100)/2</f>
        <v/>
      </c>
      <c r="M2014">
        <f>L2014*(1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4">
        <f>L2014*(1-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2014*(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4">
        <f>(1-Summary!$B$11)*T2014+Summary!$B$11*V2014</f>
        <v/>
      </c>
      <c r="P2014">
        <f>IF(B2048=0,0,O2014/B2048)</f>
        <v/>
      </c>
      <c r="Q2014">
        <f>IFERROR(1/(IF(Inputs!$B$38="pvp",15,MAX(0.1,Skills!D7-IF(Skills!E7=TRUE,Inputs!$B$32,0)))*(1-IF(AND(ArtifactsInput!$M$27,Inputs!$B$4="Chapter Hunt"),CHOOSE(ArtifactsInput!$N$27+1,20,24,28,32,36,40),0)/100)),0)</f>
        <v/>
      </c>
      <c r="R2014">
        <f>IF(AND(Inputs!$B$38&lt;&gt;"pvp",Inputs!$B$43&gt;0),IF(MAX(0,Inputs!$B$43-B2045)&lt;=0,0,(INT(MAX(0,Inputs!$B$43-B2045)/(IF(Inputs!$B$38="pvp",15,MAX(0.1,Skills!D7-IF(Skills!E7=TRUE,Inputs!$B$32,0)))*(1-IF(AND(ArtifactsInput!$M$27,Inputs!$B$4="Chapter Hunt"),CHOOSE(ArtifactsInput!$N$27+1,20,24,28,32,36,40),0)/100)))+1)),0)</f>
        <v/>
      </c>
      <c r="S2014">
        <f>IFERROR(O2014/N2014,0)</f>
        <v/>
      </c>
      <c r="T2014">
        <f>IF(C2014,(H2014*N2014*IF(AND(Inputs!$B$38&lt;&gt;"pvp",Inputs!$B$43&gt;0),((Skills!G7*((R2014-1)*IF(Skills!H7&gt;0,Skills!I7/Skills!H7,1)+IF(Skills!H7&gt;0,MIN(Skills!I7,MAX(0,MAX(0,Inputs!$B$43-B2045)-((R2014-1)*(IF(Inputs!$B$38="pvp",15,MAX(0.1,Skills!D7-IF(Skills!E7=TRUE,Inputs!$B$32,0)))*(1-IF(AND(ArtifactsInput!$M$27,Inputs!$B$4="Chapter Hunt"),CHOOSE(ArtifactsInput!$N$27+1,20,24,28,32,36,40),0)/100)))))/Skills!H7,1)))/Inputs!$B$43),G2014*Q2014)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2014*(1-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2014*(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2014*(1-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2014*(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4">
        <f>IF(C2014,(H2014*N2014*IF(AND(Inputs!$B$38&lt;&gt;"pvp",Inputs!$B$43&gt;0),((Skills!G7*((R2014-1)*IF(Skills!H7&gt;0,Skills!I7/Skills!H7,1)+IF(Skills!H7&gt;0,MIN(Skills!I7,MAX(0,MAX(0,Inputs!$B$43-B2045)-((R2014-1)*(IF(Inputs!$B$38="pvp",15,MAX(0.1,Skills!D7-IF(Skills!E7=TRUE,Inputs!$B$32,0)))*(1-IF(AND(ArtifactsInput!$M$27,Inputs!$B$4="Chapter Hunt"),CHOOSE(ArtifactsInput!$N$27+1,20,24,28,32,36,40),0)/100)))))/Skills!H7,1)))/Inputs!$B$43),G2014*Q2014))*IF(Inputs!$B$38="pvp",1,(1+(Inputs!$B$21+Skills!Q7+(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5">
      <c r="A2015">
        <f>Skills!A8</f>
        <v/>
      </c>
      <c r="B2015">
        <f>Skills!B8</f>
        <v/>
      </c>
      <c r="C2015">
        <f>Inputs!$B$3&gt;=100</f>
        <v/>
      </c>
      <c r="D2015">
        <f>IF(Skills!C8=1,60+Inputs!$B$25+Inputs!$B$29,IF(Skills!C8=2,90+Inputs!$B$26+Inputs!$B$29,IF(Skills!C8=3,120+Inputs!$B$27+Inputs!$B$29,MAX(0,(Inputs!$B$3-100)*3)+Inputs!$B$28+Inputs!$B$29)))</f>
        <v/>
      </c>
      <c r="E2015">
        <f>INDEX(FactorTable!$B$2:$Y$301, MATCH(ROUND(MIN(300,MAX(1,D2015)),0), FactorTable!$A$2:$A$301,0), Skills!M8+1)</f>
        <v/>
      </c>
      <c r="F2015">
        <f>IF(Skills!N8=TRUE,(Skills!L8/10)*(E2015/1000),Skills!L8/10)+Skills!O8</f>
        <v/>
      </c>
      <c r="G2015">
        <f>Skills!G8*IF(Skills!H8&gt;0,Skills!I8/Skills!H8,1)</f>
        <v/>
      </c>
      <c r="H2015">
        <f>1-(1-Skills!J8/100)^Skills!K8</f>
        <v/>
      </c>
      <c r="I2015" t="inlineStr">
        <is>
          <t>1</t>
        </is>
      </c>
      <c r="J2015">
        <f>((Inputs!$B$6*(1+Inputs!$B$7/100))+(((Inputs!$B$12*(1+Inputs!$B$13/100))-(Inputs!$B$12*(1+Inputs!$B$13/100)))+0.25*(Inputs!$B$14-Inputs!$B$14))*(1+Inputs!$B$7/100))*(F2015/100)</f>
        <v/>
      </c>
      <c r="K2015">
        <f>J2015*(1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2015)</f>
        <v/>
      </c>
      <c r="L2015">
        <f>K2015*(MIN(Inputs!$B$22+((C2029=TRUE)*(F2029-Calc!F22)),(Inputs!$B$23+0+(IF(ArtifactsInput!$M$15,CHOOSE(ArtifactsInput!$N$15+1,25,30,35,40,45,50)/100*(Inputs!$B$11-Inputs!$B$11),0))))/100+(Inputs!$B$23+0+(IF(ArtifactsInput!$M$15,CHOOSE(ArtifactsInput!$N$15+1,25,30,35,40,45,50)/100*(Inputs!$B$11-Inputs!$B$11),0)))/100)/2</f>
        <v/>
      </c>
      <c r="M2015">
        <f>L2015*(1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5">
        <f>L2015*(1-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2015*(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5">
        <f>(1-Summary!$B$11)*T2015+Summary!$B$11*V2015</f>
        <v/>
      </c>
      <c r="P2015">
        <f>IF(B2048=0,0,O2015/B2048)</f>
        <v/>
      </c>
      <c r="Q2015">
        <f>IFERROR(1/(IF(Inputs!$B$38="pvp",15,MAX(0.1,Skills!D8-IF(Skills!E8=TRUE,Inputs!$B$32,0)))*(1-IF(AND(ArtifactsInput!$M$27,Inputs!$B$4="Chapter Hunt"),CHOOSE(ArtifactsInput!$N$27+1,20,24,28,32,36,40),0)/100)),0)</f>
        <v/>
      </c>
      <c r="R2015">
        <f>IF(AND(Inputs!$B$38&lt;&gt;"pvp",Inputs!$B$43&gt;0),IF(MAX(0,Inputs!$B$43-B2045)&lt;=0,0,(INT(MAX(0,Inputs!$B$43-B2045)/(IF(Inputs!$B$38="pvp",15,MAX(0.1,Skills!D8-IF(Skills!E8=TRUE,Inputs!$B$32,0)))*(1-IF(AND(ArtifactsInput!$M$27,Inputs!$B$4="Chapter Hunt"),CHOOSE(ArtifactsInput!$N$27+1,20,24,28,32,36,40),0)/100)))+1)),0)</f>
        <v/>
      </c>
      <c r="S2015">
        <f>IFERROR(O2015/N2015,0)</f>
        <v/>
      </c>
      <c r="T2015">
        <f>IF(C2015,(H2015*N2015*IF(AND(Inputs!$B$38&lt;&gt;"pvp",Inputs!$B$43&gt;0),((Skills!G8*((R2015-1)*IF(Skills!H8&gt;0,Skills!I8/Skills!H8,1)+IF(Skills!H8&gt;0,MIN(Skills!I8,MAX(0,MAX(0,Inputs!$B$43-B2045)-((R2015-1)*(IF(Inputs!$B$38="pvp",15,MAX(0.1,Skills!D8-IF(Skills!E8=TRUE,Inputs!$B$32,0)))*(1-IF(AND(ArtifactsInput!$M$27,Inputs!$B$4="Chapter Hunt"),CHOOSE(ArtifactsInput!$N$27+1,20,24,28,32,36,40),0)/100)))))/Skills!H8,1)))/Inputs!$B$43),G2015*Q2015)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2015*(1-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2015*(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2015*(1-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2015*(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5">
        <f>IF(C2015,(H2015*N2015*IF(AND(Inputs!$B$38&lt;&gt;"pvp",Inputs!$B$43&gt;0),((Skills!G8*((R2015-1)*IF(Skills!H8&gt;0,Skills!I8/Skills!H8,1)+IF(Skills!H8&gt;0,MIN(Skills!I8,MAX(0,MAX(0,Inputs!$B$43-B2045)-((R2015-1)*(IF(Inputs!$B$38="pvp",15,MAX(0.1,Skills!D8-IF(Skills!E8=TRUE,Inputs!$B$32,0)))*(1-IF(AND(ArtifactsInput!$M$27,Inputs!$B$4="Chapter Hunt"),CHOOSE(ArtifactsInput!$N$27+1,20,24,28,32,36,40),0)/100)))))/Skills!H8,1)))/Inputs!$B$43),G2015*Q2015))*IF(Inputs!$B$38="pvp",1,(1+(Inputs!$B$21+Skills!Q8+(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6">
      <c r="A2016">
        <f>Skills!A9</f>
        <v/>
      </c>
      <c r="B2016">
        <f>Skills!B9</f>
        <v/>
      </c>
      <c r="C2016">
        <f>Inputs!$B$3&gt;=103</f>
        <v/>
      </c>
      <c r="D2016">
        <f>IF(Skills!C9=1,60+Inputs!$B$25+Inputs!$B$29,IF(Skills!C9=2,90+Inputs!$B$26+Inputs!$B$29,IF(Skills!C9=3,120+Inputs!$B$27+Inputs!$B$29,MAX(0,(Inputs!$B$3-100)*3)+Inputs!$B$28+Inputs!$B$29)))</f>
        <v/>
      </c>
      <c r="E2016">
        <f>INDEX(FactorTable!$B$2:$Y$301, MATCH(ROUND(MIN(300,MAX(1,D2016)),0), FactorTable!$A$2:$A$301,0), Skills!M9+1)</f>
        <v/>
      </c>
      <c r="F2016">
        <f>IF(Skills!N9=TRUE,(Skills!L9/10)*(E2016/1000),Skills!L9/10)+Skills!O9</f>
        <v/>
      </c>
      <c r="G2016">
        <f>Skills!G9*IF(Skills!H9&gt;0,Skills!I9/Skills!H9,1)</f>
        <v/>
      </c>
      <c r="H2016">
        <f>1-(1-Skills!J9/100)^Skills!K9</f>
        <v/>
      </c>
      <c r="I2016" t="inlineStr">
        <is>
          <t>1</t>
        </is>
      </c>
      <c r="J2016">
        <f>((Inputs!$B$6*(1+Inputs!$B$7/100))+(((Inputs!$B$12*(1+Inputs!$B$13/100))-(Inputs!$B$12*(1+Inputs!$B$13/100)))+0.25*(Inputs!$B$14-Inputs!$B$14))*(1+Inputs!$B$7/100))*(F2016/100)</f>
        <v/>
      </c>
      <c r="K2016">
        <f>J2016*(1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2016)</f>
        <v/>
      </c>
      <c r="L2016">
        <f>K2016*(MIN(Inputs!$B$22+((C2029=TRUE)*(F2029-Calc!F22)),(Inputs!$B$23+0+(IF(ArtifactsInput!$M$15,CHOOSE(ArtifactsInput!$N$15+1,25,30,35,40,45,50)/100*(Inputs!$B$11-Inputs!$B$11),0))))/100+(Inputs!$B$23+0+(IF(ArtifactsInput!$M$15,CHOOSE(ArtifactsInput!$N$15+1,25,30,35,40,45,50)/100*(Inputs!$B$11-Inputs!$B$11),0)))/100)/2</f>
        <v/>
      </c>
      <c r="M2016">
        <f>L2016*(1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6">
        <f>L2016*(1-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2016*(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6">
        <f>(1-Summary!$B$11)*T2016+Summary!$B$11*V2016</f>
        <v/>
      </c>
      <c r="P2016">
        <f>IF(B2048=0,0,O2016/B2048)</f>
        <v/>
      </c>
      <c r="Q2016">
        <f>IFERROR(1/(IF(Inputs!$B$38="pvp",15,MAX(0.1,Skills!D9-IF(Skills!E9=TRUE,Inputs!$B$32,0)))*(1-IF(AND(ArtifactsInput!$M$27,Inputs!$B$4="Chapter Hunt"),CHOOSE(ArtifactsInput!$N$27+1,20,24,28,32,36,40),0)/100)),0)</f>
        <v/>
      </c>
      <c r="R2016">
        <f>IF(AND(Inputs!$B$38&lt;&gt;"pvp",Inputs!$B$43&gt;0),IF(MAX(0,Inputs!$B$43-B2045)&lt;=0,0,(INT(MAX(0,Inputs!$B$43-B2045)/(IF(Inputs!$B$38="pvp",15,MAX(0.1,Skills!D9-IF(Skills!E9=TRUE,Inputs!$B$32,0)))*(1-IF(AND(ArtifactsInput!$M$27,Inputs!$B$4="Chapter Hunt"),CHOOSE(ArtifactsInput!$N$27+1,20,24,28,32,36,40),0)/100)))+1)),0)</f>
        <v/>
      </c>
      <c r="S2016">
        <f>IFERROR(O2016/N2016,0)</f>
        <v/>
      </c>
      <c r="T2016">
        <f>IF(C2016,(H2016*N2016*IF(AND(Inputs!$B$38&lt;&gt;"pvp",Inputs!$B$43&gt;0),((Skills!G9*((R2016-1)*IF(Skills!H9&gt;0,Skills!I9/Skills!H9,1)+IF(Skills!H9&gt;0,MIN(Skills!I9,MAX(0,MAX(0,Inputs!$B$43-B2045)-((R2016-1)*(IF(Inputs!$B$38="pvp",15,MAX(0.1,Skills!D9-IF(Skills!E9=TRUE,Inputs!$B$32,0)))*(1-IF(AND(ArtifactsInput!$M$27,Inputs!$B$4="Chapter Hunt"),CHOOSE(ArtifactsInput!$N$27+1,20,24,28,32,36,40),0)/100)))))/Skills!H9,1)))/Inputs!$B$43),G2016*Q2016)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2016*(1-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2016*(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2016*(1-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2016*(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6">
        <f>IF(C2016,(H2016*N2016*IF(AND(Inputs!$B$38&lt;&gt;"pvp",Inputs!$B$43&gt;0),((Skills!G9*((R2016-1)*IF(Skills!H9&gt;0,Skills!I9/Skills!H9,1)+IF(Skills!H9&gt;0,MIN(Skills!I9,MAX(0,MAX(0,Inputs!$B$43-B2045)-((R2016-1)*(IF(Inputs!$B$38="pvp",15,MAX(0.1,Skills!D9-IF(Skills!E9=TRUE,Inputs!$B$32,0)))*(1-IF(AND(ArtifactsInput!$M$27,Inputs!$B$4="Chapter Hunt"),CHOOSE(ArtifactsInput!$N$27+1,20,24,28,32,36,40),0)/100)))))/Skills!H9,1)))/Inputs!$B$43),G2016*Q2016))*IF(Inputs!$B$38="pvp",1,(1+(Inputs!$B$21+Skills!Q9+(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7">
      <c r="A2017">
        <f>Skills!A10</f>
        <v/>
      </c>
      <c r="B2017">
        <f>Skills!B10</f>
        <v/>
      </c>
      <c r="C2017">
        <f>Inputs!$B$3&gt;=113</f>
        <v/>
      </c>
      <c r="D2017">
        <f>IF(Skills!C10=1,60+Inputs!$B$25+Inputs!$B$29,IF(Skills!C10=2,90+Inputs!$B$26+Inputs!$B$29,IF(Skills!C10=3,120+Inputs!$B$27+Inputs!$B$29,MAX(0,(Inputs!$B$3-100)*3)+Inputs!$B$28+Inputs!$B$29)))</f>
        <v/>
      </c>
      <c r="E2017">
        <f>INDEX(FactorTable!$B$2:$Y$301, MATCH(ROUND(MIN(300,MAX(1,D2017)),0), FactorTable!$A$2:$A$301,0), Skills!M10+1)</f>
        <v/>
      </c>
      <c r="F2017">
        <f>IF(Skills!N10=TRUE,(Skills!L10/10)*(E2017/1000),Skills!L10/10)+Skills!O10</f>
        <v/>
      </c>
      <c r="G2017">
        <f>Skills!G10*IF(Skills!H10&gt;0,Skills!I10/Skills!H10,1)</f>
        <v/>
      </c>
      <c r="H2017">
        <f>1-(1-Skills!J10/100)^Skills!K10</f>
        <v/>
      </c>
      <c r="I2017" t="inlineStr">
        <is>
          <t>1</t>
        </is>
      </c>
      <c r="J2017">
        <f>((Inputs!$B$6*(1+Inputs!$B$7/100))+(((Inputs!$B$12*(1+Inputs!$B$13/100))-(Inputs!$B$12*(1+Inputs!$B$13/100)))+0.25*(Inputs!$B$14-Inputs!$B$14))*(1+Inputs!$B$7/100))*(F2017/100)</f>
        <v/>
      </c>
      <c r="K2017">
        <f>J2017*(1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2017)</f>
        <v/>
      </c>
      <c r="L2017">
        <f>K2017*(MIN(Inputs!$B$22+((C2029=TRUE)*(F2029-Calc!F22)),(Inputs!$B$23+0+(IF(ArtifactsInput!$M$15,CHOOSE(ArtifactsInput!$N$15+1,25,30,35,40,45,50)/100*(Inputs!$B$11-Inputs!$B$11),0))))/100+(Inputs!$B$23+0+(IF(ArtifactsInput!$M$15,CHOOSE(ArtifactsInput!$N$15+1,25,30,35,40,45,50)/100*(Inputs!$B$11-Inputs!$B$11),0)))/100)/2</f>
        <v/>
      </c>
      <c r="M2017">
        <f>L2017*(1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7">
        <f>L2017*(1-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2017*(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7">
        <f>(1-Summary!$B$11)*T2017+Summary!$B$11*V2017</f>
        <v/>
      </c>
      <c r="P2017">
        <f>IF(B2048=0,0,O2017/B2048)</f>
        <v/>
      </c>
      <c r="Q2017">
        <f>IFERROR(1/(IF(Inputs!$B$38="pvp",15,MAX(0.1,Skills!D10-IF(Skills!E10=TRUE,Inputs!$B$32,0)))*(1-IF(AND(ArtifactsInput!$M$27,Inputs!$B$4="Chapter Hunt"),CHOOSE(ArtifactsInput!$N$27+1,20,24,28,32,36,40),0)/100)),0)</f>
        <v/>
      </c>
      <c r="R2017">
        <f>IF(AND(Inputs!$B$38&lt;&gt;"pvp",Inputs!$B$43&gt;0),IF(MAX(0,Inputs!$B$43-B2045)&lt;=0,0,(INT(MAX(0,Inputs!$B$43-B2045)/(IF(Inputs!$B$38="pvp",15,MAX(0.1,Skills!D10-IF(Skills!E10=TRUE,Inputs!$B$32,0)))*(1-IF(AND(ArtifactsInput!$M$27,Inputs!$B$4="Chapter Hunt"),CHOOSE(ArtifactsInput!$N$27+1,20,24,28,32,36,40),0)/100)))+1)),0)</f>
        <v/>
      </c>
      <c r="S2017">
        <f>IFERROR(O2017/N2017,0)</f>
        <v/>
      </c>
      <c r="T2017">
        <f>IF(C2017,(H2017*N2017*IF(AND(Inputs!$B$38&lt;&gt;"pvp",Inputs!$B$43&gt;0),((Skills!G10*((R2017-1)*IF(Skills!H10&gt;0,Skills!I10/Skills!H10,1)+IF(Skills!H10&gt;0,MIN(Skills!I10,MAX(0,MAX(0,Inputs!$B$43-B2045)-((R2017-1)*(IF(Inputs!$B$38="pvp",15,MAX(0.1,Skills!D10-IF(Skills!E10=TRUE,Inputs!$B$32,0)))*(1-IF(AND(ArtifactsInput!$M$27,Inputs!$B$4="Chapter Hunt"),CHOOSE(ArtifactsInput!$N$27+1,20,24,28,32,36,40),0)/100)))))/Skills!H10,1)))/Inputs!$B$43),G2017*Q2017)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2017*(1-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2017*(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2017*(1-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2017*(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7">
        <f>IF(C2017,(H2017*N2017*IF(AND(Inputs!$B$38&lt;&gt;"pvp",Inputs!$B$43&gt;0),((Skills!G10*((R2017-1)*IF(Skills!H10&gt;0,Skills!I10/Skills!H10,1)+IF(Skills!H10&gt;0,MIN(Skills!I10,MAX(0,MAX(0,Inputs!$B$43-B2045)-((R2017-1)*(IF(Inputs!$B$38="pvp",15,MAX(0.1,Skills!D10-IF(Skills!E10=TRUE,Inputs!$B$32,0)))*(1-IF(AND(ArtifactsInput!$M$27,Inputs!$B$4="Chapter Hunt"),CHOOSE(ArtifactsInput!$N$27+1,20,24,28,32,36,40),0)/100)))))/Skills!H10,1)))/Inputs!$B$43),G2017*Q2017))*IF(Inputs!$B$38="pvp",1,(1+(Inputs!$B$21+Skills!Q10+(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8">
      <c r="A2018">
        <f>Skills!A11</f>
        <v/>
      </c>
      <c r="B2018">
        <f>Skills!B11</f>
        <v/>
      </c>
      <c r="C2018">
        <f>Inputs!$B$3&gt;=107</f>
        <v/>
      </c>
      <c r="D2018">
        <f>IF(Skills!C11=1,60+Inputs!$B$25+Inputs!$B$29,IF(Skills!C11=2,90+Inputs!$B$26+Inputs!$B$29,IF(Skills!C11=3,120+Inputs!$B$27+Inputs!$B$29,MAX(0,(Inputs!$B$3-100)*3)+Inputs!$B$28+Inputs!$B$29)))</f>
        <v/>
      </c>
      <c r="E2018">
        <f>INDEX(FactorTable!$B$2:$Y$301, MATCH(ROUND(MIN(300,MAX(1,D2018)),0), FactorTable!$A$2:$A$301,0), Skills!M11+1)</f>
        <v/>
      </c>
      <c r="F2018">
        <f>IF(Skills!N11=TRUE,(Skills!L11/10)*(E2018/1000),Skills!L11/10)+Skills!O11</f>
        <v/>
      </c>
      <c r="G2018">
        <f>Skills!G11*IF(Skills!H11&gt;0,Skills!I11/Skills!H11,1)</f>
        <v/>
      </c>
      <c r="H2018">
        <f>1-(1-Skills!J11/100)^Skills!K11</f>
        <v/>
      </c>
      <c r="I2018" t="inlineStr">
        <is>
          <t>1</t>
        </is>
      </c>
      <c r="J2018">
        <f>((Inputs!$B$6*(1+Inputs!$B$7/100))+(((Inputs!$B$12*(1+Inputs!$B$13/100))-(Inputs!$B$12*(1+Inputs!$B$13/100)))+0.25*(Inputs!$B$14-Inputs!$B$14))*(1+Inputs!$B$7/100))*(F2018/100)</f>
        <v/>
      </c>
      <c r="K2018">
        <f>J2018*(1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2018)</f>
        <v/>
      </c>
      <c r="L2018">
        <f>K2018*(MIN(Inputs!$B$22+((C2029=TRUE)*(F2029-Calc!F22)),(Inputs!$B$23+0+(IF(ArtifactsInput!$M$15,CHOOSE(ArtifactsInput!$N$15+1,25,30,35,40,45,50)/100*(Inputs!$B$11-Inputs!$B$11),0))))/100+(Inputs!$B$23+0+(IF(ArtifactsInput!$M$15,CHOOSE(ArtifactsInput!$N$15+1,25,30,35,40,45,50)/100*(Inputs!$B$11-Inputs!$B$11),0)))/100)/2</f>
        <v/>
      </c>
      <c r="M2018">
        <f>L2018*(1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8">
        <f>L2018*(1-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2018*(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8">
        <f>(1-Summary!$B$11)*T2018+Summary!$B$11*V2018</f>
        <v/>
      </c>
      <c r="P2018">
        <f>IF(B2048=0,0,O2018/B2048)</f>
        <v/>
      </c>
      <c r="Q2018">
        <f>IFERROR(1/(IF(Inputs!$B$38="pvp",15,MAX(0.1,Skills!D11-IF(Skills!E11=TRUE,Inputs!$B$32,0)))*(1-IF(AND(ArtifactsInput!$M$27,Inputs!$B$4="Chapter Hunt"),CHOOSE(ArtifactsInput!$N$27+1,20,24,28,32,36,40),0)/100)),0)</f>
        <v/>
      </c>
      <c r="R2018">
        <f>IF(AND(Inputs!$B$38&lt;&gt;"pvp",Inputs!$B$43&gt;0),IF(MAX(0,Inputs!$B$43-B2045)&lt;=0,0,(INT(MAX(0,Inputs!$B$43-B2045)/(IF(Inputs!$B$38="pvp",15,MAX(0.1,Skills!D11-IF(Skills!E11=TRUE,Inputs!$B$32,0)))*(1-IF(AND(ArtifactsInput!$M$27,Inputs!$B$4="Chapter Hunt"),CHOOSE(ArtifactsInput!$N$27+1,20,24,28,32,36,40),0)/100)))+1)),0)</f>
        <v/>
      </c>
      <c r="S2018">
        <f>IFERROR(O2018/N2018,0)</f>
        <v/>
      </c>
      <c r="T2018">
        <f>IF(C2018,(H2018*N2018*IF(AND(Inputs!$B$38&lt;&gt;"pvp",Inputs!$B$43&gt;0),((Skills!G11*((R2018-1)*IF(Skills!H11&gt;0,Skills!I11/Skills!H11,1)+IF(Skills!H11&gt;0,MIN(Skills!I11,MAX(0,MAX(0,Inputs!$B$43-B2045)-((R2018-1)*(IF(Inputs!$B$38="pvp",15,MAX(0.1,Skills!D11-IF(Skills!E11=TRUE,Inputs!$B$32,0)))*(1-IF(AND(ArtifactsInput!$M$27,Inputs!$B$4="Chapter Hunt"),CHOOSE(ArtifactsInput!$N$27+1,20,24,28,32,36,40),0)/100)))))/Skills!H11,1)))/Inputs!$B$43),G2018*Q2018)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2018*(1-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2018*(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2018*(1-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2018*(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8">
        <f>IF(C2018,(H2018*N2018*IF(AND(Inputs!$B$38&lt;&gt;"pvp",Inputs!$B$43&gt;0),((Skills!G11*((R2018-1)*IF(Skills!H11&gt;0,Skills!I11/Skills!H11,1)+IF(Skills!H11&gt;0,MIN(Skills!I11,MAX(0,MAX(0,Inputs!$B$43-B2045)-((R2018-1)*(IF(Inputs!$B$38="pvp",15,MAX(0.1,Skills!D11-IF(Skills!E11=TRUE,Inputs!$B$32,0)))*(1-IF(AND(ArtifactsInput!$M$27,Inputs!$B$4="Chapter Hunt"),CHOOSE(ArtifactsInput!$N$27+1,20,24,28,32,36,40),0)/100)))))/Skills!H11,1)))/Inputs!$B$43),G2018*Q2018))*IF(Inputs!$B$38="pvp",1,(1+(Inputs!$B$21+Skills!Q11+(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9">
      <c r="A2019">
        <f>Skills!A12</f>
        <v/>
      </c>
      <c r="B2019">
        <f>Skills!B12</f>
        <v/>
      </c>
      <c r="C2019">
        <f>Inputs!$B$3&gt;=110</f>
        <v/>
      </c>
      <c r="D2019">
        <f>IF(Skills!C12=1,60+Inputs!$B$25+Inputs!$B$29,IF(Skills!C12=2,90+Inputs!$B$26+Inputs!$B$29,IF(Skills!C12=3,120+Inputs!$B$27+Inputs!$B$29,MAX(0,(Inputs!$B$3-100)*3)+Inputs!$B$28+Inputs!$B$29)))</f>
        <v/>
      </c>
      <c r="E2019">
        <f>INDEX(FactorTable!$B$2:$Y$301, MATCH(ROUND(MIN(300,MAX(1,D2019)),0), FactorTable!$A$2:$A$301,0), Skills!M12+1)</f>
        <v/>
      </c>
      <c r="F2019">
        <f>IF(Skills!N12=TRUE,(Skills!L12/10)*(E2019/1000),Skills!L12/10)+Skills!O12</f>
        <v/>
      </c>
      <c r="G2019">
        <f>Skills!G12*IF(Skills!H12&gt;0,Skills!I12/Skills!H12,1)</f>
        <v/>
      </c>
      <c r="H2019">
        <f>1-(1-Skills!J12/100)^Skills!K12</f>
        <v/>
      </c>
      <c r="I2019" t="inlineStr">
        <is>
          <t>1</t>
        </is>
      </c>
      <c r="J2019">
        <f>((Inputs!$B$6*(1+Inputs!$B$7/100))+(((Inputs!$B$12*(1+Inputs!$B$13/100))-(Inputs!$B$12*(1+Inputs!$B$13/100)))+0.25*(Inputs!$B$14-Inputs!$B$14))*(1+Inputs!$B$7/100))*(F2019/100)</f>
        <v/>
      </c>
      <c r="K2019">
        <f>J2019*(1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2019)</f>
        <v/>
      </c>
      <c r="L2019">
        <f>K2019*(MIN(Inputs!$B$22+((C2029=TRUE)*(F2029-Calc!F22)),(Inputs!$B$23+0+(IF(ArtifactsInput!$M$15,CHOOSE(ArtifactsInput!$N$15+1,25,30,35,40,45,50)/100*(Inputs!$B$11-Inputs!$B$11),0))))/100+(Inputs!$B$23+0+(IF(ArtifactsInput!$M$15,CHOOSE(ArtifactsInput!$N$15+1,25,30,35,40,45,50)/100*(Inputs!$B$11-Inputs!$B$11),0)))/100)/2</f>
        <v/>
      </c>
      <c r="M2019">
        <f>L2019*(1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9">
        <f>L2019*(1-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2019*(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9">
        <f>(1-Summary!$B$11)*T2019+Summary!$B$11*V2019</f>
        <v/>
      </c>
      <c r="P2019">
        <f>IF(B2048=0,0,O2019/B2048)</f>
        <v/>
      </c>
      <c r="Q2019">
        <f>IFERROR(1/(IF(Inputs!$B$38="pvp",15,MAX(0.1,Skills!D12-IF(Skills!E12=TRUE,Inputs!$B$32,0)))*(1-IF(AND(ArtifactsInput!$M$27,Inputs!$B$4="Chapter Hunt"),CHOOSE(ArtifactsInput!$N$27+1,20,24,28,32,36,40),0)/100)),0)</f>
        <v/>
      </c>
      <c r="R2019">
        <f>IF(AND(Inputs!$B$38&lt;&gt;"pvp",Inputs!$B$43&gt;0),IF(MAX(0,Inputs!$B$43-B2045)&lt;=0,0,(INT(MAX(0,Inputs!$B$43-B2045)/(IF(Inputs!$B$38="pvp",15,MAX(0.1,Skills!D12-IF(Skills!E12=TRUE,Inputs!$B$32,0)))*(1-IF(AND(ArtifactsInput!$M$27,Inputs!$B$4="Chapter Hunt"),CHOOSE(ArtifactsInput!$N$27+1,20,24,28,32,36,40),0)/100)))+1)),0)</f>
        <v/>
      </c>
      <c r="S2019">
        <f>IFERROR(O2019/N2019,0)</f>
        <v/>
      </c>
      <c r="T2019">
        <f>IF(C2019,(H2019*N2019*IF(AND(Inputs!$B$38&lt;&gt;"pvp",Inputs!$B$43&gt;0),((Skills!G12*((R2019-1)*IF(Skills!H12&gt;0,Skills!I12/Skills!H12,1)+IF(Skills!H12&gt;0,MIN(Skills!I12,MAX(0,MAX(0,Inputs!$B$43-B2045)-((R2019-1)*(IF(Inputs!$B$38="pvp",15,MAX(0.1,Skills!D12-IF(Skills!E12=TRUE,Inputs!$B$32,0)))*(1-IF(AND(ArtifactsInput!$M$27,Inputs!$B$4="Chapter Hunt"),CHOOSE(ArtifactsInput!$N$27+1,20,24,28,32,36,40),0)/100)))))/Skills!H12,1)))/Inputs!$B$43),G2019*Q2019)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2019*(1-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2019*(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2019*(1-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2019*(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9">
        <f>IF(C2019,(H2019*N2019*IF(AND(Inputs!$B$38&lt;&gt;"pvp",Inputs!$B$43&gt;0),((Skills!G12*((R2019-1)*IF(Skills!H12&gt;0,Skills!I12/Skills!H12,1)+IF(Skills!H12&gt;0,MIN(Skills!I12,MAX(0,MAX(0,Inputs!$B$43-B2045)-((R2019-1)*(IF(Inputs!$B$38="pvp",15,MAX(0.1,Skills!D12-IF(Skills!E12=TRUE,Inputs!$B$32,0)))*(1-IF(AND(ArtifactsInput!$M$27,Inputs!$B$4="Chapter Hunt"),CHOOSE(ArtifactsInput!$N$27+1,20,24,28,32,36,40),0)/100)))))/Skills!H12,1)))/Inputs!$B$43),G2019*Q2019))*IF(Inputs!$B$38="pvp",1,(1+(Inputs!$B$21+Skills!Q12+(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0">
      <c r="A2020">
        <f>Skills!A13</f>
        <v/>
      </c>
      <c r="B2020">
        <f>Skills!B13</f>
        <v/>
      </c>
      <c r="C2020">
        <f>Inputs!$B$3&gt;=110</f>
        <v/>
      </c>
      <c r="D2020">
        <f>IF(Skills!C13=1,60+Inputs!$B$25+Inputs!$B$29,IF(Skills!C13=2,90+Inputs!$B$26+Inputs!$B$29,IF(Skills!C13=3,120+Inputs!$B$27+Inputs!$B$29,MAX(0,(Inputs!$B$3-100)*3)+Inputs!$B$28+Inputs!$B$29)))</f>
        <v/>
      </c>
      <c r="E2020">
        <f>INDEX(FactorTable!$B$2:$Y$301, MATCH(ROUND(MIN(300,MAX(1,D2020)),0), FactorTable!$A$2:$A$301,0), Skills!M13+1)</f>
        <v/>
      </c>
      <c r="F2020">
        <f>IF(Skills!N13=TRUE,(Skills!L13/10)*(E2020/1000),Skills!L13/10)+Skills!O13</f>
        <v/>
      </c>
      <c r="G2020">
        <f>Skills!G13*IF(Skills!H13&gt;0,Skills!I13/Skills!H13,1)</f>
        <v/>
      </c>
      <c r="H2020">
        <f>1-(1-Skills!J13/100)^Skills!K13</f>
        <v/>
      </c>
      <c r="I2020" t="inlineStr">
        <is>
          <t>1</t>
        </is>
      </c>
      <c r="J2020">
        <f>((Inputs!$B$6*(1+Inputs!$B$7/100))+(((Inputs!$B$12*(1+Inputs!$B$13/100))-(Inputs!$B$12*(1+Inputs!$B$13/100)))+0.25*(Inputs!$B$14-Inputs!$B$14))*(1+Inputs!$B$7/100))*(F2020/100)</f>
        <v/>
      </c>
      <c r="K2020">
        <f>J2020*(1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2020)</f>
        <v/>
      </c>
      <c r="L2020">
        <f>K2020*(MIN(Inputs!$B$22+((C2029=TRUE)*(F2029-Calc!F22)),(Inputs!$B$23+0+(IF(ArtifactsInput!$M$15,CHOOSE(ArtifactsInput!$N$15+1,25,30,35,40,45,50)/100*(Inputs!$B$11-Inputs!$B$11),0))))/100+(Inputs!$B$23+0+(IF(ArtifactsInput!$M$15,CHOOSE(ArtifactsInput!$N$15+1,25,30,35,40,45,50)/100*(Inputs!$B$11-Inputs!$B$11),0)))/100)/2</f>
        <v/>
      </c>
      <c r="M2020">
        <f>L2020*(1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0">
        <f>L2020*(1-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2020*(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0">
        <f>(1-Summary!$B$11)*T2020+Summary!$B$11*V2020</f>
        <v/>
      </c>
      <c r="P2020">
        <f>IF(B2048=0,0,O2020/B2048)</f>
        <v/>
      </c>
      <c r="Q2020">
        <f>IFERROR(1/(IF(Inputs!$B$38="pvp",15,MAX(0.1,Skills!D13-IF(Skills!E13=TRUE,Inputs!$B$32,0)))*(1-IF(AND(ArtifactsInput!$M$27,Inputs!$B$4="Chapter Hunt"),CHOOSE(ArtifactsInput!$N$27+1,20,24,28,32,36,40),0)/100)),0)</f>
        <v/>
      </c>
      <c r="R2020">
        <f>IF(AND(Inputs!$B$38&lt;&gt;"pvp",Inputs!$B$43&gt;0),IF(MAX(0,Inputs!$B$43-B2045)&lt;=0,0,(INT(MAX(0,Inputs!$B$43-B2045)/(IF(Inputs!$B$38="pvp",15,MAX(0.1,Skills!D13-IF(Skills!E13=TRUE,Inputs!$B$32,0)))*(1-IF(AND(ArtifactsInput!$M$27,Inputs!$B$4="Chapter Hunt"),CHOOSE(ArtifactsInput!$N$27+1,20,24,28,32,36,40),0)/100)))+1)),0)</f>
        <v/>
      </c>
      <c r="S2020">
        <f>IFERROR(O2020/N2020,0)</f>
        <v/>
      </c>
      <c r="T2020">
        <f>IF(C2020,(H2020*N2020*IF(AND(Inputs!$B$38&lt;&gt;"pvp",Inputs!$B$43&gt;0),((Skills!G13*((R2020-1)*IF(Skills!H13&gt;0,Skills!I13/Skills!H13,1)+IF(Skills!H13&gt;0,MIN(Skills!I13,MAX(0,MAX(0,Inputs!$B$43-B2045)-((R2020-1)*(IF(Inputs!$B$38="pvp",15,MAX(0.1,Skills!D13-IF(Skills!E13=TRUE,Inputs!$B$32,0)))*(1-IF(AND(ArtifactsInput!$M$27,Inputs!$B$4="Chapter Hunt"),CHOOSE(ArtifactsInput!$N$27+1,20,24,28,32,36,40),0)/100)))))/Skills!H13,1)))/Inputs!$B$43),G2020*Q2020)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2020*(1-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2020*(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2020*(1-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2020*(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0">
        <f>IF(C2020,(H2020*N2020*IF(AND(Inputs!$B$38&lt;&gt;"pvp",Inputs!$B$43&gt;0),((Skills!G13*((R2020-1)*IF(Skills!H13&gt;0,Skills!I13/Skills!H13,1)+IF(Skills!H13&gt;0,MIN(Skills!I13,MAX(0,MAX(0,Inputs!$B$43-B2045)-((R2020-1)*(IF(Inputs!$B$38="pvp",15,MAX(0.1,Skills!D13-IF(Skills!E13=TRUE,Inputs!$B$32,0)))*(1-IF(AND(ArtifactsInput!$M$27,Inputs!$B$4="Chapter Hunt"),CHOOSE(ArtifactsInput!$N$27+1,20,24,28,32,36,40),0)/100)))))/Skills!H13,1)))/Inputs!$B$43),G2020*Q2020))*IF(Inputs!$B$38="pvp",1,(1+(Inputs!$B$21+Skills!Q13+(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1">
      <c r="A2021">
        <f>Skills!A14</f>
        <v/>
      </c>
      <c r="B2021">
        <f>Skills!B14</f>
        <v/>
      </c>
      <c r="C2021">
        <f>Inputs!$B$3&gt;=125</f>
        <v/>
      </c>
      <c r="D2021">
        <f>IF(Skills!C14=1,60+Inputs!$B$25+Inputs!$B$29,IF(Skills!C14=2,90+Inputs!$B$26+Inputs!$B$29,IF(Skills!C14=3,120+Inputs!$B$27+Inputs!$B$29,MAX(0,(Inputs!$B$3-100)*3)+Inputs!$B$28+Inputs!$B$29)))</f>
        <v/>
      </c>
      <c r="E2021">
        <f>INDEX(FactorTable!$B$2:$Y$301, MATCH(ROUND(MIN(300,MAX(1,D2021)),0), FactorTable!$A$2:$A$301,0), Skills!M14+1)</f>
        <v/>
      </c>
      <c r="F2021">
        <f>IF(Skills!N14=TRUE,(Skills!L14/10)*(E2021/1000),Skills!L14/10)+Skills!O14</f>
        <v/>
      </c>
      <c r="G2021">
        <f>Skills!G14*IF(Skills!H14&gt;0,Skills!I14/Skills!H14,1)</f>
        <v/>
      </c>
      <c r="H2021">
        <f>1-(1-Skills!J14/100)^Skills!K14</f>
        <v/>
      </c>
      <c r="I2021" t="inlineStr">
        <is>
          <t>1</t>
        </is>
      </c>
      <c r="J2021">
        <f>((Inputs!$B$6*(1+Inputs!$B$7/100))+(((Inputs!$B$12*(1+Inputs!$B$13/100))-(Inputs!$B$12*(1+Inputs!$B$13/100)))+0.25*(Inputs!$B$14-Inputs!$B$14))*(1+Inputs!$B$7/100))*(F2021/100)</f>
        <v/>
      </c>
      <c r="K2021">
        <f>J2021*(1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2021)</f>
        <v/>
      </c>
      <c r="L2021">
        <f>K2021*(MIN(Inputs!$B$22+((C2029=TRUE)*(F2029-Calc!F22)),(Inputs!$B$23+0+(IF(ArtifactsInput!$M$15,CHOOSE(ArtifactsInput!$N$15+1,25,30,35,40,45,50)/100*(Inputs!$B$11-Inputs!$B$11),0))))/100+(Inputs!$B$23+0+(IF(ArtifactsInput!$M$15,CHOOSE(ArtifactsInput!$N$15+1,25,30,35,40,45,50)/100*(Inputs!$B$11-Inputs!$B$11),0)))/100)/2</f>
        <v/>
      </c>
      <c r="M2021">
        <f>L2021*(1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1">
        <f>L2021*(1-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1">
        <f>(1-Summary!$B$11)*T2021+Summary!$B$11*V2021</f>
        <v/>
      </c>
      <c r="P2021">
        <f>IF(B2048=0,0,O2021/B2048)</f>
        <v/>
      </c>
      <c r="Q2021" t="n">
        <v>0</v>
      </c>
      <c r="R2021" t="n">
        <v>0</v>
      </c>
      <c r="S2021">
        <f>IFERROR(O2021/N2021,0)</f>
        <v/>
      </c>
      <c r="T2021">
        <f>IF(C2021,(H2021*N2021*(B2042+IF(AND(Inputs!$B$38&lt;&gt;"pvp",Inputs!$B$43&gt;0),((Skills!G8*((R2015-1)*IF(Skills!H8&gt;0,Skills!I8/Skills!H8,1)+IF(Skills!H8&gt;0,MIN(Skills!I8,MAX(0,MAX(0,Inputs!$B$43-B2045)-((R2015-1)*(IF(Inputs!$B$38="pvp",15,MAX(0.1,Skills!D8-IF(Skills!E8=TRUE,Inputs!$B$32,0)))*(1-IF(AND(ArtifactsInput!$M$27,Inputs!$B$4="Chapter Hunt"),CHOOSE(ArtifactsInput!$N$27+1,20,24,28,32,36,40),0)/100)))))/Skills!H8,1)))/Inputs!$B$43),G2015*Q2015)+IF(AND(Inputs!$B$38&lt;&gt;"pvp",Inputs!$B$43&gt;0),((Skills!G11*((R2018-1)*IF(Skills!H11&gt;0,Skills!I11/Skills!H11,1)+IF(Skills!H11&gt;0,MIN(Skills!I11,MAX(0,MAX(0,Inputs!$B$43-B2045)-((R2018-1)*(IF(Inputs!$B$38="pvp",15,MAX(0.1,Skills!D11-IF(Skills!E11=TRUE,Inputs!$B$32,0)))*(1-IF(AND(ArtifactsInput!$M$27,Inputs!$B$4="Chapter Hunt"),CHOOSE(ArtifactsInput!$N$27+1,20,24,28,32,36,40),0)/100)))))/Skills!H11,1)))/Inputs!$B$43),G2018*Q2018)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2021*(1-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2021*(1-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1">
        <f>IF(C2021,(H2021*N2021*(B2042+IF(AND(Inputs!$B$38&lt;&gt;"pvp",Inputs!$B$43&gt;0),((Skills!G8*((R2015-1)*IF(Skills!H8&gt;0,Skills!I8/Skills!H8,1)+IF(Skills!H8&gt;0,MIN(Skills!I8,MAX(0,MAX(0,Inputs!$B$43-B2045)-((R2015-1)*(IF(Inputs!$B$38="pvp",15,MAX(0.1,Skills!D8-IF(Skills!E8=TRUE,Inputs!$B$32,0)))*(1-IF(AND(ArtifactsInput!$M$27,Inputs!$B$4="Chapter Hunt"),CHOOSE(ArtifactsInput!$N$27+1,20,24,28,32,36,40),0)/100)))))/Skills!H8,1)))/Inputs!$B$43),G2015*Q2015)+IF(AND(Inputs!$B$38&lt;&gt;"pvp",Inputs!$B$43&gt;0),((Skills!G11*((R2018-1)*IF(Skills!H11&gt;0,Skills!I11/Skills!H11,1)+IF(Skills!H11&gt;0,MIN(Skills!I11,MAX(0,MAX(0,Inputs!$B$43-B2045)-((R2018-1)*(IF(Inputs!$B$38="pvp",15,MAX(0.1,Skills!D11-IF(Skills!E11=TRUE,Inputs!$B$32,0)))*(1-IF(AND(ArtifactsInput!$M$27,Inputs!$B$4="Chapter Hunt"),CHOOSE(ArtifactsInput!$N$27+1,20,24,28,32,36,40),0)/100)))))/Skills!H11,1)))/Inputs!$B$43),G2018*Q2018)))*IF(Inputs!$B$38="pvp",1,(1+(Inputs!$B$21+Skills!Q14+(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2">
      <c r="A2022">
        <f>Skills!A15</f>
        <v/>
      </c>
      <c r="B2022">
        <f>Skills!B15</f>
        <v/>
      </c>
      <c r="C2022">
        <f>Inputs!$B$3&gt;=100</f>
        <v/>
      </c>
      <c r="D2022">
        <f>IF(Skills!C15=1,60+Inputs!$B$25+Inputs!$B$29,IF(Skills!C15=2,90+Inputs!$B$26+Inputs!$B$29,IF(Skills!C15=3,120+Inputs!$B$27+Inputs!$B$29,MAX(0,(Inputs!$B$3-100)*3)+Inputs!$B$28+Inputs!$B$29)))</f>
        <v/>
      </c>
      <c r="E2022">
        <f>INDEX(FactorTable!$B$2:$Y$301, MATCH(ROUND(MIN(300,MAX(1,D2022)),0), FactorTable!$A$2:$A$301,0), Skills!M15+1)</f>
        <v/>
      </c>
      <c r="F2022">
        <f>IF(Skills!N15=TRUE,(Skills!L15/10)*(E2022/1000),Skills!L15/10)+Skills!O15</f>
        <v/>
      </c>
      <c r="G2022" t="inlineStr"/>
      <c r="H2022" t="inlineStr"/>
      <c r="I2022" t="inlineStr">
        <is>
          <t>1</t>
        </is>
      </c>
      <c r="J2022" t="inlineStr"/>
      <c r="K2022" t="inlineStr"/>
      <c r="L2022" t="inlineStr"/>
      <c r="M2022" t="inlineStr"/>
      <c r="N2022" t="inlineStr"/>
      <c r="O2022" t="inlineStr"/>
      <c r="P2022" t="inlineStr"/>
      <c r="Q2022" t="inlineStr"/>
      <c r="R2022" t="inlineStr"/>
      <c r="S2022" t="inlineStr"/>
    </row>
    <row r="2023">
      <c r="A2023">
        <f>Skills!A16</f>
        <v/>
      </c>
      <c r="B2023">
        <f>Skills!B16</f>
        <v/>
      </c>
      <c r="C2023">
        <f>Inputs!$B$3&gt;=120</f>
        <v/>
      </c>
      <c r="D2023">
        <f>IF(Skills!C16=1,60+Inputs!$B$25+Inputs!$B$29,IF(Skills!C16=2,90+Inputs!$B$26+Inputs!$B$29,IF(Skills!C16=3,120+Inputs!$B$27+Inputs!$B$29,MAX(0,(Inputs!$B$3-100)*3)+Inputs!$B$28+Inputs!$B$29)))</f>
        <v/>
      </c>
      <c r="E2023">
        <f>INDEX(FactorTable!$B$2:$Y$301, MATCH(ROUND(MIN(300,MAX(1,D2023)),0), FactorTable!$A$2:$A$301,0), Skills!M16+1)</f>
        <v/>
      </c>
      <c r="F2023">
        <f>IF(Skills!N16=TRUE,(Skills!L16/10)*(E2023/1000),Skills!L16/10)+Skills!O16</f>
        <v/>
      </c>
      <c r="G2023" t="inlineStr"/>
      <c r="H2023" t="inlineStr"/>
      <c r="I2023" t="inlineStr">
        <is>
          <t>1</t>
        </is>
      </c>
      <c r="J2023" t="inlineStr"/>
      <c r="K2023" t="inlineStr"/>
      <c r="L2023" t="inlineStr"/>
      <c r="M2023" t="inlineStr"/>
      <c r="N2023" t="inlineStr"/>
      <c r="O2023" t="inlineStr"/>
      <c r="P2023" t="inlineStr"/>
      <c r="Q2023" t="inlineStr"/>
      <c r="R2023" t="inlineStr"/>
      <c r="S2023" t="inlineStr"/>
    </row>
    <row r="2024">
      <c r="A2024">
        <f>Skills!A17</f>
        <v/>
      </c>
      <c r="B2024">
        <f>Skills!B17</f>
        <v/>
      </c>
      <c r="C2024">
        <f>Inputs!$B$3&gt;=66</f>
        <v/>
      </c>
      <c r="D2024">
        <f>IF(Skills!C17=1,60+Inputs!$B$25+Inputs!$B$29,IF(Skills!C17=2,90+Inputs!$B$26+Inputs!$B$29,IF(Skills!C17=3,120+Inputs!$B$27+Inputs!$B$29,MAX(0,(Inputs!$B$3-100)*3)+Inputs!$B$28+Inputs!$B$29)))</f>
        <v/>
      </c>
      <c r="E2024">
        <f>INDEX(FactorTable!$B$2:$Y$301, MATCH(ROUND(MIN(300,MAX(1,D2024)),0), FactorTable!$A$2:$A$301,0), Skills!M17+1)</f>
        <v/>
      </c>
      <c r="F2024">
        <f>IF(Skills!N17=TRUE,(Skills!L17/10)*(E2024/1000),Skills!L17/10)+Skills!O17</f>
        <v/>
      </c>
      <c r="G2024">
        <f>Skills!G17*IF(Skills!H17&gt;0,Skills!I17/Skills!H17,1)</f>
        <v/>
      </c>
      <c r="H2024">
        <f>1-(1-Skills!J17/100)^Skills!K17</f>
        <v/>
      </c>
      <c r="I2024" t="inlineStr">
        <is>
          <t>1</t>
        </is>
      </c>
      <c r="J2024" t="inlineStr"/>
      <c r="K2024" t="inlineStr"/>
      <c r="L2024" t="inlineStr"/>
      <c r="M2024" t="inlineStr"/>
      <c r="N2024" t="inlineStr"/>
      <c r="O2024">
        <f>(1-Summary!$B$11)*T2024+Summary!$B$11*V2024</f>
        <v/>
      </c>
      <c r="P2024">
        <f>IF(B2048=0,0,O2024/B2048)</f>
        <v/>
      </c>
      <c r="Q2024" t="n">
        <v>0</v>
      </c>
      <c r="R2024" t="n">
        <v>0</v>
      </c>
      <c r="S2024">
        <f>IFERROR(O2024/N2024,0)</f>
        <v/>
      </c>
      <c r="T2024" t="n">
        <v>0</v>
      </c>
      <c r="V2024" t="n">
        <v>0</v>
      </c>
    </row>
    <row r="2025">
      <c r="A2025">
        <f>Skills!A18</f>
        <v/>
      </c>
      <c r="B2025">
        <f>Skills!B18</f>
        <v/>
      </c>
      <c r="C2025">
        <f>Inputs!$B$3&gt;=115</f>
        <v/>
      </c>
      <c r="D2025">
        <f>IF(Skills!C18=1,60+Inputs!$B$25+Inputs!$B$29,IF(Skills!C18=2,90+Inputs!$B$26+Inputs!$B$29,IF(Skills!C18=3,120+Inputs!$B$27+Inputs!$B$29,MAX(0,(Inputs!$B$3-100)*3)+Inputs!$B$28+Inputs!$B$29)))</f>
        <v/>
      </c>
      <c r="E2025">
        <f>INDEX(FactorTable!$B$2:$Y$301, MATCH(ROUND(MIN(300,MAX(1,D2025)),0), FactorTable!$A$2:$A$301,0), Skills!M18+1)</f>
        <v/>
      </c>
      <c r="F2025">
        <f>IF(Skills!N18=TRUE,(Skills!L18/10)*(E2025/1000),Skills!L18/10)+Skills!O18</f>
        <v/>
      </c>
      <c r="G2025">
        <f>Skills!G18*IF(Skills!H18&gt;0,Skills!I18/Skills!H18,1)</f>
        <v/>
      </c>
      <c r="H2025">
        <f>1-(1-Skills!J18/100)^Skills!K18</f>
        <v/>
      </c>
      <c r="I2025" t="inlineStr">
        <is>
          <t>1</t>
        </is>
      </c>
      <c r="J2025" t="inlineStr"/>
      <c r="K2025" t="inlineStr"/>
      <c r="L2025" t="inlineStr"/>
      <c r="M2025" t="inlineStr"/>
      <c r="N2025" t="inlineStr"/>
      <c r="O2025">
        <f>(1-Summary!$B$11)*T2025+Summary!$B$11*V2025</f>
        <v/>
      </c>
      <c r="P2025">
        <f>IF(B2048=0,0,O2025/B2048)</f>
        <v/>
      </c>
      <c r="Q2025">
        <f>IFERROR(1/(IF(Inputs!$B$38="pvp",15,MAX(0.1,Skills!D18-IF(Skills!E18=TRUE,Inputs!$B$32,0)))*(1-IF(AND(ArtifactsInput!$M$27,Inputs!$B$4="Chapter Hunt"),CHOOSE(ArtifactsInput!$N$27+1,20,24,28,32,36,40),0)/100)),0)</f>
        <v/>
      </c>
      <c r="R2025">
        <f>IF(AND(Inputs!$B$38&lt;&gt;"pvp",Inputs!$B$43&gt;0),IF(Inputs!$B$43&lt;=0,0,(INT(Inputs!$B$43/(IF(Inputs!$B$38="pvp",15,MAX(0.1,Skills!D18-IF(Skills!E18=TRUE,Inputs!$B$32,0)))*(1-IF(AND(ArtifactsInput!$M$27,Inputs!$B$4="Chapter Hunt"),CHOOSE(ArtifactsInput!$N$27+1,20,24,28,32,36,40),0)/100)))+1)),0)</f>
        <v/>
      </c>
      <c r="S2025">
        <f>IFERROR(O2025/N2025,0)</f>
        <v/>
      </c>
      <c r="T2025" t="n">
        <v>0</v>
      </c>
      <c r="V2025" t="n">
        <v>0</v>
      </c>
    </row>
    <row r="2026">
      <c r="A2026">
        <f>Skills!A19</f>
        <v/>
      </c>
      <c r="B2026">
        <f>Skills!B19</f>
        <v/>
      </c>
      <c r="C2026">
        <f>Inputs!$B$3&gt;=15</f>
        <v/>
      </c>
      <c r="D2026">
        <f>IF(Skills!C19=1,60+Inputs!$B$25+Inputs!$B$29,IF(Skills!C19=2,90+Inputs!$B$26+Inputs!$B$29,IF(Skills!C19=3,120+Inputs!$B$27+Inputs!$B$29,MAX(0,(Inputs!$B$3-100)*3)+Inputs!$B$28+Inputs!$B$29)))</f>
        <v/>
      </c>
      <c r="E2026">
        <f>INDEX(FactorTable!$B$2:$Y$301, MATCH(ROUND(MIN(300,MAX(1,D2026)),0), FactorTable!$A$2:$A$301,0), Skills!M19+1)</f>
        <v/>
      </c>
      <c r="F2026">
        <f>IF(Skills!N19=TRUE,(Skills!L19/10)*(E2026/1000),Skills!L19/10)+Skills!O19</f>
        <v/>
      </c>
      <c r="G2026">
        <f>Skills!G19*IF(Skills!H19&gt;0,Skills!I19/Skills!H19,1)</f>
        <v/>
      </c>
      <c r="H2026">
        <f>1-(1-Skills!J19/100)^Skills!K19</f>
        <v/>
      </c>
      <c r="I2026" t="inlineStr">
        <is>
          <t>1</t>
        </is>
      </c>
      <c r="J2026" t="inlineStr"/>
      <c r="K2026" t="inlineStr"/>
      <c r="L2026" t="inlineStr"/>
      <c r="M2026" t="inlineStr"/>
      <c r="N2026" t="inlineStr"/>
      <c r="O2026">
        <f>(1-Summary!$B$11)*T2026+Summary!$B$11*V2026</f>
        <v/>
      </c>
      <c r="P2026">
        <f>IF(B2048=0,0,O2026/B2048)</f>
        <v/>
      </c>
      <c r="Q2026" t="n">
        <v>0</v>
      </c>
      <c r="R2026" t="n">
        <v>0</v>
      </c>
      <c r="S2026">
        <f>IFERROR(O2026/N2026,0)</f>
        <v/>
      </c>
      <c r="T2026" t="n">
        <v>0</v>
      </c>
      <c r="V2026" t="n">
        <v>0</v>
      </c>
    </row>
    <row r="2027">
      <c r="A2027">
        <f>Skills!A20</f>
        <v/>
      </c>
      <c r="B2027">
        <f>Skills!B20</f>
        <v/>
      </c>
      <c r="C2027">
        <f>Inputs!$B$3&gt;=10</f>
        <v/>
      </c>
      <c r="D2027">
        <f>IF(Skills!C20=1,60+Inputs!$B$25+Inputs!$B$29,IF(Skills!C20=2,90+Inputs!$B$26+Inputs!$B$29,IF(Skills!C20=3,120+Inputs!$B$27+Inputs!$B$29,MAX(0,(Inputs!$B$3-100)*3)+Inputs!$B$28+Inputs!$B$29)))</f>
        <v/>
      </c>
      <c r="E2027">
        <f>INDEX(FactorTable!$B$2:$Y$301, MATCH(ROUND(MIN(300,MAX(1,D2027)),0), FactorTable!$A$2:$A$301,0), Skills!M20+1)</f>
        <v/>
      </c>
      <c r="F2027">
        <f>IF(Skills!N20=TRUE,(Skills!L20/10)*(E2027/1000),Skills!L20/10)+Skills!O20</f>
        <v/>
      </c>
      <c r="G2027">
        <f>Skills!G20*IF(Skills!H20&gt;0,Skills!I20/Skills!H20,1)</f>
        <v/>
      </c>
      <c r="H2027">
        <f>1-(1-Skills!J20/100)^Skills!K20</f>
        <v/>
      </c>
      <c r="I2027" t="inlineStr">
        <is>
          <t>1</t>
        </is>
      </c>
      <c r="J2027" t="inlineStr"/>
      <c r="K2027" t="inlineStr"/>
      <c r="L2027" t="inlineStr"/>
      <c r="M2027" t="inlineStr"/>
      <c r="N2027" t="inlineStr"/>
      <c r="O2027">
        <f>(1-Summary!$B$11)*T2027+Summary!$B$11*V2027</f>
        <v/>
      </c>
      <c r="P2027">
        <f>IF(B2048=0,0,O2027/B2048)</f>
        <v/>
      </c>
      <c r="Q2027" t="n">
        <v>0</v>
      </c>
      <c r="R2027" t="n">
        <v>0</v>
      </c>
      <c r="S2027">
        <f>IFERROR(O2027/N2027,0)</f>
        <v/>
      </c>
      <c r="T2027" t="n">
        <v>0</v>
      </c>
      <c r="V2027" t="n">
        <v>0</v>
      </c>
    </row>
    <row r="2028">
      <c r="A2028">
        <f>Skills!A21</f>
        <v/>
      </c>
      <c r="B2028">
        <f>Skills!B21</f>
        <v/>
      </c>
      <c r="C2028">
        <f>Inputs!$B$3&gt;=33</f>
        <v/>
      </c>
      <c r="D2028">
        <f>IF(Skills!C21=1,60+Inputs!$B$25+Inputs!$B$29,IF(Skills!C21=2,90+Inputs!$B$26+Inputs!$B$29,IF(Skills!C21=3,120+Inputs!$B$27+Inputs!$B$29,MAX(0,(Inputs!$B$3-100)*3)+Inputs!$B$28+Inputs!$B$29)))</f>
        <v/>
      </c>
      <c r="E2028">
        <f>INDEX(FactorTable!$B$2:$Y$301, MATCH(ROUND(MIN(300,MAX(1,D2028)),0), FactorTable!$A$2:$A$301,0), Skills!M21+1)</f>
        <v/>
      </c>
      <c r="F2028">
        <f>IF(Skills!N21=TRUE,(Skills!L21/10)*(E2028/1000),Skills!L21/10)+Skills!O21</f>
        <v/>
      </c>
      <c r="G2028">
        <f>Skills!G21*IF(Skills!H21&gt;0,Skills!I21/Skills!H21,1)</f>
        <v/>
      </c>
      <c r="H2028">
        <f>1-(1-Skills!J21/100)^Skills!K21</f>
        <v/>
      </c>
      <c r="I2028" t="inlineStr">
        <is>
          <t>1</t>
        </is>
      </c>
      <c r="J2028" t="inlineStr"/>
      <c r="K2028" t="inlineStr"/>
      <c r="L2028" t="inlineStr"/>
      <c r="M2028" t="inlineStr"/>
      <c r="N2028" t="inlineStr"/>
      <c r="O2028">
        <f>(1-Summary!$B$11)*T2028+Summary!$B$11*V2028</f>
        <v/>
      </c>
      <c r="P2028">
        <f>IF(B2048=0,0,O2028/B2048)</f>
        <v/>
      </c>
      <c r="Q2028" t="n">
        <v>0</v>
      </c>
      <c r="R2028" t="n">
        <v>0</v>
      </c>
      <c r="S2028">
        <f>IFERROR(O2028/N2028,0)</f>
        <v/>
      </c>
      <c r="T2028" t="n">
        <v>0</v>
      </c>
      <c r="V2028" t="n">
        <v>0</v>
      </c>
    </row>
    <row r="2029">
      <c r="A2029">
        <f>Skills!A22</f>
        <v/>
      </c>
      <c r="B2029">
        <f>Skills!B22</f>
        <v/>
      </c>
      <c r="C2029">
        <f>Inputs!$B$3&gt;=43</f>
        <v/>
      </c>
      <c r="D2029">
        <f>IF(Skills!C22=1,60+Inputs!$B$25+Inputs!$B$29,IF(Skills!C22=2,90+Inputs!$B$26+Inputs!$B$29,IF(Skills!C22=3,120+Inputs!$B$27+Inputs!$B$29,MAX(0,(Inputs!$B$3-100)*3)+Inputs!$B$28+Inputs!$B$29)))</f>
        <v/>
      </c>
      <c r="E2029">
        <f>INDEX(FactorTable!$B$2:$Y$301, MATCH(ROUND(MIN(300,MAX(1,D2029)),0), FactorTable!$A$2:$A$301,0), Skills!M22+1)</f>
        <v/>
      </c>
      <c r="F2029">
        <f>IF(Skills!N22=TRUE,(Skills!L22/10)*(E2029/1000),Skills!L22/10)+Skills!O22</f>
        <v/>
      </c>
      <c r="G2029">
        <f>Skills!G22*IF(Skills!H22&gt;0,Skills!I22/Skills!H22,1)</f>
        <v/>
      </c>
      <c r="H2029">
        <f>1-(1-Skills!J22/100)^Skills!K22</f>
        <v/>
      </c>
      <c r="I2029" t="inlineStr">
        <is>
          <t>1</t>
        </is>
      </c>
      <c r="J2029" t="inlineStr"/>
      <c r="K2029" t="inlineStr"/>
      <c r="L2029" t="inlineStr"/>
      <c r="M2029" t="inlineStr"/>
      <c r="N2029" t="inlineStr"/>
      <c r="O2029">
        <f>(1-Summary!$B$11)*T2029+Summary!$B$11*V2029</f>
        <v/>
      </c>
      <c r="P2029">
        <f>IF(B2048=0,0,O2029/B2048)</f>
        <v/>
      </c>
      <c r="Q2029" t="n">
        <v>0</v>
      </c>
      <c r="R2029" t="n">
        <v>0</v>
      </c>
      <c r="S2029">
        <f>IFERROR(O2029/N2029,0)</f>
        <v/>
      </c>
      <c r="T2029" t="n">
        <v>0</v>
      </c>
      <c r="V2029" t="n">
        <v>0</v>
      </c>
    </row>
    <row r="2030">
      <c r="A2030">
        <f>Skills!A23</f>
        <v/>
      </c>
      <c r="B2030">
        <f>Skills!B23</f>
        <v/>
      </c>
      <c r="C2030">
        <f>Inputs!$B$3&gt;=38</f>
        <v/>
      </c>
      <c r="D2030">
        <f>IF(Skills!C23=1,60+Inputs!$B$25+Inputs!$B$29,IF(Skills!C23=2,90+Inputs!$B$26+Inputs!$B$29,IF(Skills!C23=3,120+Inputs!$B$27+Inputs!$B$29,MAX(0,(Inputs!$B$3-100)*3)+Inputs!$B$28+Inputs!$B$29)))</f>
        <v/>
      </c>
      <c r="E2030">
        <f>INDEX(FactorTable!$B$2:$Y$301, MATCH(ROUND(MIN(300,MAX(1,D2030)),0), FactorTable!$A$2:$A$301,0), Skills!M23+1)</f>
        <v/>
      </c>
      <c r="F2030">
        <f>IF(Skills!N23=TRUE,(Skills!L23/10)*(E2030/1000),Skills!L23/10)+Skills!O23</f>
        <v/>
      </c>
      <c r="G2030">
        <f>Skills!G23*IF(Skills!H23&gt;0,Skills!I23/Skills!H23,1)</f>
        <v/>
      </c>
      <c r="H2030">
        <f>1-(1-Skills!J23/100)^Skills!K23</f>
        <v/>
      </c>
      <c r="I2030" t="inlineStr">
        <is>
          <t>1</t>
        </is>
      </c>
      <c r="J2030" t="inlineStr"/>
      <c r="K2030" t="inlineStr"/>
      <c r="L2030" t="inlineStr"/>
      <c r="M2030" t="inlineStr"/>
      <c r="N2030" t="inlineStr"/>
      <c r="O2030">
        <f>(1-Summary!$B$11)*T2030+Summary!$B$11*V2030</f>
        <v/>
      </c>
      <c r="P2030">
        <f>IF(B2048=0,0,O2030/B2048)</f>
        <v/>
      </c>
      <c r="Q2030" t="n">
        <v>0</v>
      </c>
      <c r="R2030" t="n">
        <v>0</v>
      </c>
      <c r="S2030">
        <f>IFERROR(O2030/N2030,0)</f>
        <v/>
      </c>
      <c r="T2030" t="n">
        <v>0</v>
      </c>
      <c r="V2030" t="n">
        <v>0</v>
      </c>
    </row>
    <row r="2031">
      <c r="A2031">
        <f>Skills!A24</f>
        <v/>
      </c>
      <c r="B2031">
        <f>Skills!B24</f>
        <v/>
      </c>
      <c r="C2031">
        <f>Inputs!$B$3&gt;=40</f>
        <v/>
      </c>
      <c r="D2031">
        <f>IF(Skills!C24=1,60+Inputs!$B$25+Inputs!$B$29,IF(Skills!C24=2,90+Inputs!$B$26+Inputs!$B$29,IF(Skills!C24=3,120+Inputs!$B$27+Inputs!$B$29,MAX(0,(Inputs!$B$3-100)*3)+Inputs!$B$28+Inputs!$B$29)))</f>
        <v/>
      </c>
      <c r="E2031">
        <f>INDEX(FactorTable!$B$2:$Y$301, MATCH(ROUND(MIN(300,MAX(1,D2031)),0), FactorTable!$A$2:$A$301,0), Skills!M24+1)</f>
        <v/>
      </c>
      <c r="F2031">
        <f>IF(Skills!N24=TRUE,(Skills!L24/10)*(E2031/1000),Skills!L24/10)+Skills!O24</f>
        <v/>
      </c>
      <c r="G2031">
        <f>Skills!G24*IF(Skills!H24&gt;0,Skills!I24/Skills!H24,1)</f>
        <v/>
      </c>
      <c r="H2031">
        <f>1-(1-Skills!J24/100)^Skills!K24</f>
        <v/>
      </c>
      <c r="I2031" t="inlineStr">
        <is>
          <t>1</t>
        </is>
      </c>
      <c r="J2031" t="inlineStr"/>
      <c r="K2031" t="inlineStr"/>
      <c r="L2031" t="inlineStr"/>
      <c r="M2031" t="inlineStr"/>
      <c r="N2031" t="inlineStr"/>
      <c r="O2031">
        <f>(1-Summary!$B$11)*T2031+Summary!$B$11*V2031</f>
        <v/>
      </c>
      <c r="P2031">
        <f>IF(B2048=0,0,O2031/B2048)</f>
        <v/>
      </c>
      <c r="Q2031" t="n">
        <v>0</v>
      </c>
      <c r="R2031" t="n">
        <v>0</v>
      </c>
      <c r="S2031">
        <f>IFERROR(O2031/N2031,0)</f>
        <v/>
      </c>
      <c r="T2031" t="n">
        <v>0</v>
      </c>
      <c r="V2031" t="n">
        <v>0</v>
      </c>
    </row>
    <row r="2032">
      <c r="A2032">
        <f>Skills!A25</f>
        <v/>
      </c>
      <c r="B2032">
        <f>Skills!B25</f>
        <v/>
      </c>
      <c r="C2032">
        <f>Inputs!$B$3&gt;=72</f>
        <v/>
      </c>
      <c r="D2032">
        <f>IF(Skills!C25=1,60+Inputs!$B$25+Inputs!$B$29,IF(Skills!C25=2,90+Inputs!$B$26+Inputs!$B$29,IF(Skills!C25=3,120+Inputs!$B$27+Inputs!$B$29,MAX(0,(Inputs!$B$3-100)*3)+Inputs!$B$28+Inputs!$B$29)))</f>
        <v/>
      </c>
      <c r="E2032">
        <f>INDEX(FactorTable!$B$2:$Y$301, MATCH(ROUND(MIN(300,MAX(1,D2032)),0), FactorTable!$A$2:$A$301,0), Skills!M25+1)</f>
        <v/>
      </c>
      <c r="F2032">
        <f>IF(Skills!N25=TRUE,(Skills!L25/10)*(E2032/1000),Skills!L25/10)+Skills!O25</f>
        <v/>
      </c>
      <c r="G2032">
        <f>Skills!G25*IF(Skills!H25&gt;0,Skills!I25/Skills!H25,1)</f>
        <v/>
      </c>
      <c r="H2032">
        <f>1-(1-Skills!J25/100)^Skills!K25</f>
        <v/>
      </c>
      <c r="I2032" t="inlineStr">
        <is>
          <t>1</t>
        </is>
      </c>
      <c r="J2032" t="inlineStr"/>
      <c r="K2032" t="inlineStr"/>
      <c r="L2032" t="inlineStr"/>
      <c r="M2032" t="inlineStr"/>
      <c r="N2032" t="inlineStr"/>
      <c r="O2032">
        <f>(1-Summary!$B$11)*T2032+Summary!$B$11*V2032</f>
        <v/>
      </c>
      <c r="P2032">
        <f>IF(B2048=0,0,O2032/B2048)</f>
        <v/>
      </c>
      <c r="Q2032" t="n">
        <v>0</v>
      </c>
      <c r="R2032" t="n">
        <v>0</v>
      </c>
      <c r="S2032">
        <f>IFERROR(O2032/N2032,0)</f>
        <v/>
      </c>
      <c r="T2032" t="n">
        <v>0</v>
      </c>
      <c r="V2032" t="n">
        <v>0</v>
      </c>
    </row>
    <row r="2033">
      <c r="A2033">
        <f>Skills!A26</f>
        <v/>
      </c>
      <c r="B2033">
        <f>Skills!B26</f>
        <v/>
      </c>
      <c r="C2033">
        <f>Inputs!$B$3&gt;=75</f>
        <v/>
      </c>
      <c r="D2033">
        <f>IF(Skills!C26=1,60+Inputs!$B$25+Inputs!$B$29,IF(Skills!C26=2,90+Inputs!$B$26+Inputs!$B$29,IF(Skills!C26=3,120+Inputs!$B$27+Inputs!$B$29,MAX(0,(Inputs!$B$3-100)*3)+Inputs!$B$28+Inputs!$B$29)))</f>
        <v/>
      </c>
      <c r="E2033">
        <f>INDEX(FactorTable!$B$2:$Y$301, MATCH(ROUND(MIN(300,MAX(1,D2033)),0), FactorTable!$A$2:$A$301,0), Skills!M26+1)</f>
        <v/>
      </c>
      <c r="F2033">
        <f>IF(Skills!N26=TRUE,(Skills!L26/10)*(E2033/1000),Skills!L26/10)+Skills!O26</f>
        <v/>
      </c>
      <c r="G2033">
        <f>Skills!G26*IF(Skills!H26&gt;0,Skills!I26/Skills!H26,1)</f>
        <v/>
      </c>
      <c r="H2033">
        <f>1-(1-Skills!J26/100)^Skills!K26</f>
        <v/>
      </c>
      <c r="I2033" t="inlineStr">
        <is>
          <t>1</t>
        </is>
      </c>
      <c r="J2033" t="inlineStr"/>
      <c r="K2033" t="inlineStr"/>
      <c r="L2033" t="inlineStr"/>
      <c r="M2033" t="inlineStr"/>
      <c r="N2033" t="inlineStr"/>
      <c r="O2033">
        <f>(1-Summary!$B$11)*T2033+Summary!$B$11*V2033</f>
        <v/>
      </c>
      <c r="P2033">
        <f>IF(B2048=0,0,O2033/B2048)</f>
        <v/>
      </c>
      <c r="Q2033" t="n">
        <v>0</v>
      </c>
      <c r="R2033" t="n">
        <v>0</v>
      </c>
      <c r="S2033">
        <f>IFERROR(O2033/N2033,0)</f>
        <v/>
      </c>
      <c r="T2033" t="n">
        <v>0</v>
      </c>
      <c r="V2033" t="n">
        <v>0</v>
      </c>
    </row>
    <row r="2034">
      <c r="A2034">
        <f>Skills!A27</f>
        <v/>
      </c>
      <c r="B2034">
        <f>Skills!B27</f>
        <v/>
      </c>
      <c r="C2034">
        <f>Inputs!$B$3&gt;=117</f>
        <v/>
      </c>
      <c r="D2034">
        <f>IF(Skills!C27=1,60+Inputs!$B$25+Inputs!$B$29,IF(Skills!C27=2,90+Inputs!$B$26+Inputs!$B$29,IF(Skills!C27=3,120+Inputs!$B$27+Inputs!$B$29,MAX(0,(Inputs!$B$3-100)*3)+Inputs!$B$28+Inputs!$B$29)))</f>
        <v/>
      </c>
      <c r="E2034">
        <f>INDEX(FactorTable!$B$2:$Y$301, MATCH(ROUND(MIN(300,MAX(1,D2034)),0), FactorTable!$A$2:$A$301,0), Skills!M27+1)</f>
        <v/>
      </c>
      <c r="F2034">
        <f>IF(Skills!N27=TRUE,(Skills!L27/10)*(E2034/1000),Skills!L27/10)+Skills!O27</f>
        <v/>
      </c>
      <c r="G2034">
        <f>Skills!G27*IF(Skills!H27&gt;0,Skills!I27/Skills!H27,1)</f>
        <v/>
      </c>
      <c r="H2034">
        <f>1-(1-Skills!J27/100)^Skills!K27</f>
        <v/>
      </c>
      <c r="I2034" t="inlineStr">
        <is>
          <t>1</t>
        </is>
      </c>
      <c r="J2034" t="inlineStr"/>
      <c r="K2034" t="inlineStr"/>
      <c r="L2034" t="inlineStr"/>
      <c r="M2034" t="inlineStr"/>
      <c r="N2034" t="inlineStr"/>
      <c r="O2034">
        <f>(1-Summary!$B$11)*T2034+Summary!$B$11*V2034</f>
        <v/>
      </c>
      <c r="P2034">
        <f>IF(B2048=0,0,O2034/B2048)</f>
        <v/>
      </c>
      <c r="Q2034" t="n">
        <v>0</v>
      </c>
      <c r="R2034" t="n">
        <v>0</v>
      </c>
      <c r="S2034">
        <f>IFERROR(O2034/N2034,0)</f>
        <v/>
      </c>
      <c r="T2034" t="n">
        <v>0</v>
      </c>
      <c r="V2034" t="n">
        <v>0</v>
      </c>
    </row>
    <row r="2035">
      <c r="A2035">
        <f>Skills!A28</f>
        <v/>
      </c>
      <c r="B2035">
        <f>Skills!B28</f>
        <v/>
      </c>
      <c r="C2035">
        <f>TRUE</f>
        <v/>
      </c>
      <c r="D2035">
        <f>IF(Skills!C28=1,60+Inputs!$B$25+Inputs!$B$29,IF(Skills!C28=2,90+Inputs!$B$26+Inputs!$B$29,IF(Skills!C28=3,120+Inputs!$B$27+Inputs!$B$29,MAX(0,(Inputs!$B$3-100)*3)+Inputs!$B$28+Inputs!$B$29)))</f>
        <v/>
      </c>
      <c r="E2035">
        <f>INDEX(FactorTable!$B$2:$Y$301, MATCH(ROUND(MIN(300,MAX(1,D2035)),0), FactorTable!$A$2:$A$301,0), Skills!M28+1)</f>
        <v/>
      </c>
      <c r="F2035">
        <f>IF(Skills!N28=TRUE,(Skills!L28/10)*(E2035/1000),Skills!L28/10)+Skills!O28</f>
        <v/>
      </c>
      <c r="G2035">
        <f>Skills!G28*IF(Skills!H28&gt;0,Skills!I28/Skills!H28,1)</f>
        <v/>
      </c>
      <c r="H2035">
        <f>1-(1-Skills!J28/100)^Skills!K28</f>
        <v/>
      </c>
      <c r="I2035" t="inlineStr">
        <is>
          <t>1</t>
        </is>
      </c>
      <c r="J2035" t="inlineStr"/>
      <c r="K2035" t="inlineStr"/>
      <c r="L2035" t="inlineStr"/>
      <c r="M2035" t="inlineStr"/>
      <c r="N2035" t="inlineStr"/>
      <c r="O2035">
        <f>(1-Summary!$B$11)*T2035+Summary!$B$11*V2035</f>
        <v/>
      </c>
      <c r="P2035">
        <f>IF(B2048=0,0,O2035/B2048)</f>
        <v/>
      </c>
      <c r="Q2035">
        <f>IFERROR(1/(IF(Inputs!$B$38="pvp",15,MAX(0.1,Skills!D28-IF(Skills!E28=TRUE,Inputs!$B$32,0)))*(1-IF(AND(ArtifactsInput!$M$27,Inputs!$B$4="Chapter Hunt"),CHOOSE(ArtifactsInput!$N$27+1,20,24,28,32,36,40),0)/100)),0)</f>
        <v/>
      </c>
      <c r="R2035">
        <f>IF(AND(Inputs!$B$38&lt;&gt;"pvp",Inputs!$B$43&gt;0),IF(Inputs!$B$43&lt;=0,0,(INT(Inputs!$B$43/(IF(Inputs!$B$38="pvp",15,MAX(0.1,Skills!D28-IF(Skills!E28=TRUE,Inputs!$B$32,0)))*(1-IF(AND(ArtifactsInput!$M$27,Inputs!$B$4="Chapter Hunt"),CHOOSE(ArtifactsInput!$N$27+1,20,24,28,32,36,40),0)/100)))+1)),0)</f>
        <v/>
      </c>
      <c r="S2035">
        <f>IFERROR(O2035/N2035,0)</f>
        <v/>
      </c>
      <c r="T2035" t="n">
        <v>0</v>
      </c>
      <c r="V2035" t="n">
        <v>0</v>
      </c>
    </row>
    <row r="2037">
      <c r="A2037" t="inlineStr">
        <is>
          <t>Attack% Bucket Multiplier</t>
        </is>
      </c>
      <c r="B2037">
        <f>(1+(((C2024=TRUE)*F2024*5/7)+((C2031=TRUE)*(F2031-Calc!F24))+(IF(ArtifactsInput!$M$21,CHOOSE(ArtifactsInput!$N$21+1,25,30,35,40,45,50)*(IF(OR(Inputs!$B$4="Chapter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38">
      <c r="A2038" t="inlineStr">
        <is>
          <t>Global Crit Rate Bonus %</t>
        </is>
      </c>
      <c r="B2038" t="n">
        <v>0</v>
      </c>
    </row>
    <row r="2039">
      <c r="A2039" t="inlineStr">
        <is>
          <t>Attack Speed Buff Bonus % (Nimble Feet, duty-cycle averaged)</t>
        </is>
      </c>
      <c r="B2039">
        <f>((C2035=TRUE)*F2035*IF(AND(Inputs!$B$38&lt;&gt;"pvp",Inputs!$B$43&gt;0),(((R2035-1)*(Skills!T28*(1+Inputs!$B$34/100))+MIN((Skills!T28*(1+Inputs!$B$34/100)),MAX(0,Inputs!$B$43-((R2035-1)*Skills!D28))))/Inputs!$B$43),IF(Inputs!$B$38="pvp",MIN((Skills!T28*(1+Inputs!$B$34/100)),15)/15,(Skills!T28*(1+Inputs!$B$34/100))/Skills!D28)))</f>
        <v/>
      </c>
    </row>
    <row r="2040">
      <c r="A2040" t="inlineStr">
        <is>
          <t>Actions Per Second</t>
        </is>
      </c>
      <c r="B2040">
        <f>1+MIN(150,150*(1-(1-(Inputs!$B$11+((C2027=TRUE)*(F2027-Calc!F20))+((C2028=TRUE)*(F2028-Calc!F21)))/150)*(1-B2039/150)))/100</f>
        <v/>
      </c>
    </row>
    <row r="2041">
      <c r="A2041" t="inlineStr">
        <is>
          <t>Skill + Buff Cast Rate</t>
        </is>
      </c>
      <c r="B2041">
        <f>IF(AND(Inputs!$B$38&lt;&gt;"pvp",Inputs!$B$43&gt;0),SUMPRODUCT((Skills!E2:E28=TRUE)*(C2009:C2035=TRUE)*R2009:R2035*Skills!F2:F28)/Inputs!$B$43,SUMPRODUCT((Skills!E2:E28=TRUE)*(C2009:C2035=TRUE)*Q2009:Q2035*Skills!F2:F28))</f>
        <v/>
      </c>
    </row>
    <row r="2042">
      <c r="A2042" t="inlineStr">
        <is>
          <t>Eight-Legs Easton Casts Per Second</t>
        </is>
      </c>
      <c r="B2042">
        <f>MAX(0,B2040-B2041)</f>
        <v/>
      </c>
    </row>
    <row r="2043">
      <c r="A2043" t="inlineStr">
        <is>
          <t>Global Critical Damage Bonus % (unused)</t>
        </is>
      </c>
      <c r="B2043" t="n">
        <v>0</v>
      </c>
    </row>
    <row r="2044">
      <c r="A2044" t="inlineStr">
        <is>
          <t>Global Final Damage Bonus % (Jolly Roger + Ahoy Mateys - Final Damage proc)</t>
        </is>
      </c>
      <c r="B2044">
        <f>((C2025=TRUE)*F2025*IF(AND(Inputs!$B$38&lt;&gt;"pvp",Inputs!$B$43&gt;0),(((R2025-1)*(Skills!T18*(1+Inputs!$B$34/100))+MIN((Skills!T18*(1+Inputs!$B$34/100)),MAX(0,Inputs!$B$43-((R2025-1)*Skills!D18))))/Inputs!$B$43),IF(Inputs!$B$38="pvp",MIN((Skills!T18*(1+Inputs!$B$34/100)),15)/15,(Skills!T18*(1+Inputs!$B$34/100))/Skills!D18)))+IF(Inputs!$B$3&gt;=122,20*IF(Inputs!$B$38="pvp",MIN((20*(1+Inputs!$B$34/100)),15)/15,(20*(1+Inputs!$B$34/100))/Skills!D4),0)</f>
        <v/>
      </c>
    </row>
    <row r="2045">
      <c r="A2045" t="inlineStr">
        <is>
          <t>Buff-Casting Startup Delay (s, fixed-duration only)</t>
        </is>
      </c>
      <c r="B2045">
        <f>IF(AND(Inputs!$B$38&lt;&gt;"pvp",Inputs!$B$43&gt;0),SUMPRODUCT((Skills!T2:T28&gt;0)*(Skills!E2:E28=TRUE)*(C2009:C2035=TRUE))/B2040,0)</f>
        <v/>
      </c>
    </row>
    <row r="2046">
      <c r="A2046" t="inlineStr">
        <is>
          <t>Boss-Only Total DPS (this block's swept value)</t>
        </is>
      </c>
      <c r="B2046">
        <f>SUM(T2009:T2035)</f>
        <v/>
      </c>
    </row>
    <row r="2047">
      <c r="A2047" t="inlineStr">
        <is>
          <t>Normal-Only Total DPS (this block's swept value)</t>
        </is>
      </c>
      <c r="B2047">
        <f>SUM(V2009:V2035)</f>
        <v/>
      </c>
    </row>
    <row r="2048">
      <c r="A2048" s="6" t="inlineStr">
        <is>
          <t>TOTAL DPS</t>
        </is>
      </c>
      <c r="B2048" s="6">
        <f>SUM(O2009:O2035)</f>
        <v/>
      </c>
    </row>
    <row r="2051">
      <c r="A2051" s="6" t="inlineStr">
        <is>
          <t>Stat: Fire Flower (Equip)</t>
        </is>
      </c>
    </row>
    <row r="2052">
      <c r="A2052" s="5" t="inlineStr">
        <is>
          <t>Key</t>
        </is>
      </c>
      <c r="B2052" s="5" t="inlineStr">
        <is>
          <t>Name</t>
        </is>
      </c>
      <c r="C2052" s="5" t="inlineStr">
        <is>
          <t>Unlocked</t>
        </is>
      </c>
      <c r="D2052" s="5" t="inlineStr">
        <is>
          <t>InputLevel</t>
        </is>
      </c>
      <c r="E2052" s="5" t="inlineStr">
        <is>
          <t>Factor</t>
        </is>
      </c>
      <c r="F2052" s="5" t="inlineStr">
        <is>
          <t>CoefficientPercent</t>
        </is>
      </c>
      <c r="G2052" s="5" t="inlineStr">
        <is>
          <t>EffectiveHits</t>
        </is>
      </c>
      <c r="H2052" s="5" t="inlineStr">
        <is>
          <t>ProcProbability</t>
        </is>
      </c>
      <c r="I2052" s="5" t="inlineStr">
        <is>
          <t>MapleHeroMultiplier</t>
        </is>
      </c>
      <c r="J2052" s="5" t="inlineStr">
        <is>
          <t>BaseDamage</t>
        </is>
      </c>
      <c r="K2052" s="5" t="inlineStr">
        <is>
          <t>BaseHitDamage</t>
        </is>
      </c>
      <c r="L2052" s="5" t="inlineStr">
        <is>
          <t>NonCritAvg</t>
        </is>
      </c>
      <c r="M2052" s="5" t="inlineStr">
        <is>
          <t>CritAvg</t>
        </is>
      </c>
      <c r="N2052" s="5" t="inlineStr">
        <is>
          <t>ExpectedDamage(perHit)</t>
        </is>
      </c>
      <c r="O2052" s="5" t="inlineStr">
        <is>
          <t>DPS</t>
        </is>
      </c>
      <c r="P2052" s="5" t="inlineStr">
        <is>
          <t>% of Total</t>
        </is>
      </c>
      <c r="Q2052" s="5" t="inlineStr">
        <is>
          <t>InvCooldown</t>
        </is>
      </c>
      <c r="R2052" s="5" t="inlineStr">
        <is>
          <t>CastsInFight</t>
        </is>
      </c>
      <c r="S2052" s="5" t="inlineStr">
        <is>
          <t>HitRate(perSec)</t>
        </is>
      </c>
      <c r="U2052" t="inlineStr">
        <is>
          <t>helpers</t>
        </is>
      </c>
    </row>
    <row r="2053">
      <c r="A2053">
        <f>Skills!A2</f>
        <v/>
      </c>
      <c r="B2053">
        <f>Skills!B2</f>
        <v/>
      </c>
      <c r="C2053">
        <f>Inputs!$B$3&gt;=100</f>
        <v/>
      </c>
      <c r="D2053" t="inlineStr"/>
      <c r="E2053" t="inlineStr"/>
      <c r="F2053">
        <f>U2055+Skills!O2</f>
        <v/>
      </c>
      <c r="G2053">
        <f>Skills!G2*IF(Skills!H2&gt;0,Skills!I2/Skills!H2,1)</f>
        <v/>
      </c>
      <c r="H2053">
        <f>1-(1-Skills!J2/100)^Skills!K2</f>
        <v/>
      </c>
      <c r="I2053" t="inlineStr">
        <is>
          <t>1</t>
        </is>
      </c>
      <c r="J2053">
        <f>((Inputs!$B$6*(1+Inputs!$B$7/100))+(((Inputs!$B$12*(1+Inputs!$B$13/100))-(Inputs!$B$12*(1+Inputs!$B$13/100)))+0.25*(Inputs!$B$14-Inputs!$B$14))*(1+Inputs!$B$7/100))*(F2053/100)</f>
        <v/>
      </c>
      <c r="K2053">
        <f>J2053*(1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2053)</f>
        <v/>
      </c>
      <c r="L2053">
        <f>K2053*(MIN(Inputs!$B$22+((C2073=TRUE)*(F2073-Calc!F22)),(Inputs!$B$23+0+(IF(ArtifactsInput!$M$15,CHOOSE(ArtifactsInput!$N$15+1,25,30,35,40,45,50)/100*(Inputs!$B$11-Inputs!$B$11),0))))/100+(Inputs!$B$23+0+(IF(ArtifactsInput!$M$15,CHOOSE(ArtifactsInput!$N$15+1,25,30,35,40,45,50)/100*(Inputs!$B$11-Inputs!$B$11),0)))/100)/2</f>
        <v/>
      </c>
      <c r="M2053">
        <f>L2053*(1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3">
        <f>L2053*(1-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2053*(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3">
        <f>(1-Summary!$B$11)*T2053+Summary!$B$11*V2053</f>
        <v/>
      </c>
      <c r="P2053">
        <f>IF(B2092=0,0,O2053/B2092)</f>
        <v/>
      </c>
      <c r="Q2053" t="n">
        <v>0</v>
      </c>
      <c r="R2053" t="n">
        <v>0</v>
      </c>
      <c r="S2053">
        <f>IFERROR(O2053/N2053,0)</f>
        <v/>
      </c>
      <c r="T2053">
        <f>IF(C2053,(Skills!G2*N2053*B2086)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2053*(1-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2053*(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2053*(1-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2053*(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3">
        <f>MAX(0,(Inputs!$B$3-100)*3)+Inputs!$B$28+Inputs!$B$29</f>
        <v/>
      </c>
      <c r="V2053">
        <f>IF(C2053,(Skills!G2*N2053*B2086)*IF(Inputs!$B$38="pvp",1,(1+(Inputs!$B$21+Skills!Q2+(IF(ArtifactsInput!$M$33,CHOOSE(ArtifactsInput!$N$33+1,30,36,42,48,54,60),0))+(IF(AND(ArtifactsInput!$M$35,Inputs!$B$4&lt;&gt;"Chapter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4">
      <c r="A2054">
        <f>Skills!A3</f>
        <v/>
      </c>
      <c r="B2054">
        <f>Skills!B3</f>
        <v/>
      </c>
      <c r="C2054">
        <f>Inputs!$B$3&gt;=35</f>
        <v/>
      </c>
      <c r="D2054">
        <f>IF(Skills!C3=1,60+Inputs!$B$25+Inputs!$B$29,IF(Skills!C3=2,90+Inputs!$B$26+Inputs!$B$29,IF(Skills!C3=3,120+Inputs!$B$27+Inputs!$B$29,MAX(0,(Inputs!$B$3-100)*3)+Inputs!$B$28+Inputs!$B$29)))</f>
        <v/>
      </c>
      <c r="E2054">
        <f>INDEX(FactorTable!$B$2:$Y$301, MATCH(ROUND(MIN(300,MAX(1,D2054)),0), FactorTable!$A$2:$A$301,0), Skills!M3+1)</f>
        <v/>
      </c>
      <c r="F2054">
        <f>IF(Skills!N3=TRUE,(Skills!L3/10)*(E2054/1000),Skills!L3/10)+Skills!O3</f>
        <v/>
      </c>
      <c r="G2054">
        <f>Skills!G3*IF(Skills!H3&gt;0,Skills!I3/Skills!H3,1)</f>
        <v/>
      </c>
      <c r="H2054">
        <f>1-(1-Skills!J3/100)^Skills!K3</f>
        <v/>
      </c>
      <c r="I2054" t="inlineStr">
        <is>
          <t>1</t>
        </is>
      </c>
      <c r="J2054">
        <f>((Inputs!$B$6*(1+Inputs!$B$7/100))+(((Inputs!$B$12*(1+Inputs!$B$13/100))-(Inputs!$B$12*(1+Inputs!$B$13/100)))+0.25*(Inputs!$B$14-Inputs!$B$14))*(1+Inputs!$B$7/100))*(F2054/100)</f>
        <v/>
      </c>
      <c r="K2054">
        <f>J2054*(1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2066=TRUE,F2066,0)/100)*(1+(IF(Skills!A3="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2054)</f>
        <v/>
      </c>
      <c r="L2054">
        <f>K2054*(MIN(Inputs!$B$22+((C2073=TRUE)*(F2073-Calc!F22)),(Inputs!$B$23+0+(IF(ArtifactsInput!$M$15,CHOOSE(ArtifactsInput!$N$15+1,25,30,35,40,45,50)/100*(Inputs!$B$11-Inputs!$B$11),0))))/100+(Inputs!$B$23+0+(IF(ArtifactsInput!$M$15,CHOOSE(ArtifactsInput!$N$15+1,25,30,35,40,45,50)/100*(Inputs!$B$11-Inputs!$B$11),0)))/100)/2</f>
        <v/>
      </c>
      <c r="M2054">
        <f>L2054*(1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4">
        <f>L2054*(1-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2054*(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4">
        <f>(1-Summary!$B$11)*T2054+Summary!$B$11*V2054</f>
        <v/>
      </c>
      <c r="P2054">
        <f>IF(B2092=0,0,O2054/B2092)</f>
        <v/>
      </c>
      <c r="Q2054">
        <f>IFERROR(1/(IF(Inputs!$B$38="pvp",15,MAX(0.1,Skills!D3-IF(Skills!E3=TRUE,Inputs!$B$32,0)))*(1-IF(AND(ArtifactsInput!$M$27,Inputs!$B$4="Chapter Hunt"),CHOOSE(ArtifactsInput!$N$27+1,20,24,28,32,36,40),0)/100)),0)</f>
        <v/>
      </c>
      <c r="R2054">
        <f>IF(AND(Inputs!$B$38&lt;&gt;"pvp",Inputs!$B$43&gt;0),IF(MAX(0,Inputs!$B$43-B2089)&lt;=0,0,(INT(MAX(0,Inputs!$B$43-B2089)/(IF(Inputs!$B$38="pvp",15,MAX(0.1,Skills!D3-IF(Skills!E3=TRUE,Inputs!$B$32,0)))*(1-IF(AND(ArtifactsInput!$M$27,Inputs!$B$4="Chapter Hunt"),CHOOSE(ArtifactsInput!$N$27+1,20,24,28,32,36,40),0)/100)))+1)),0)</f>
        <v/>
      </c>
      <c r="S2054">
        <f>IFERROR(O2054/N2054,0)</f>
        <v/>
      </c>
      <c r="T2054">
        <f>IF(C2054,(H2054*N2054*IF(AND(Inputs!$B$38&lt;&gt;"pvp",Inputs!$B$43&gt;0),((Skills!G3*((R2054-1)*IF(Skills!H3&gt;0,Skills!I3/Skills!H3,1)+IF(Skills!H3&gt;0,MIN(Skills!I3,MAX(0,MAX(0,Inputs!$B$43-B2089)-((R2054-1)*(IF(Inputs!$B$38="pvp",15,MAX(0.1,Skills!D3-IF(Skills!E3=TRUE,Inputs!$B$32,0)))*(1-IF(AND(ArtifactsInput!$M$27,Inputs!$B$4="Chapter Hunt"),CHOOSE(ArtifactsInput!$N$27+1,20,24,28,32,36,40),0)/100)))))/Skills!H3,1)))/Inputs!$B$43),G2054*Q2054)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2054*(1-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2054*(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2054*(1-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2054*(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4">
        <f>INDEX(FactorTable!$B$2:$Y$301, MATCH(ROUND(MIN(300,MAX(1,U2053)),0), FactorTable!$A$2:$A$301,0), 22)</f>
        <v/>
      </c>
      <c r="V2054">
        <f>IF(C2054,(H2054*N2054*IF(AND(Inputs!$B$38&lt;&gt;"pvp",Inputs!$B$43&gt;0),((Skills!G3*((R2054-1)*IF(Skills!H3&gt;0,Skills!I3/Skills!H3,1)+IF(Skills!H3&gt;0,MIN(Skills!I3,MAX(0,MAX(0,Inputs!$B$43-B2089)-((R2054-1)*(IF(Inputs!$B$38="pvp",15,MAX(0.1,Skills!D3-IF(Skills!E3=TRUE,Inputs!$B$32,0)))*(1-IF(AND(ArtifactsInput!$M$27,Inputs!$B$4="Chapter Hunt"),CHOOSE(ArtifactsInput!$N$27+1,20,24,28,32,36,40),0)/100)))))/Skills!H3,1)))/Inputs!$B$43),G2054*Q2054))*IF(Inputs!$B$38="pvp",1,(1+(Inputs!$B$21+Skills!Q3+(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5">
      <c r="A2055">
        <f>Skills!A4</f>
        <v/>
      </c>
      <c r="B2055">
        <f>Skills!B4</f>
        <v/>
      </c>
      <c r="C2055">
        <f>Inputs!$B$3&gt;=40</f>
        <v/>
      </c>
      <c r="D2055">
        <f>IF(Skills!C4=1,60+Inputs!$B$25+Inputs!$B$29,IF(Skills!C4=2,90+Inputs!$B$26+Inputs!$B$29,IF(Skills!C4=3,120+Inputs!$B$27+Inputs!$B$29,MAX(0,(Inputs!$B$3-100)*3)+Inputs!$B$28+Inputs!$B$29)))</f>
        <v/>
      </c>
      <c r="E2055">
        <f>INDEX(FactorTable!$B$2:$Y$301, MATCH(ROUND(MIN(300,MAX(1,D2055)),0), FactorTable!$A$2:$A$301,0), Skills!M4+1)</f>
        <v/>
      </c>
      <c r="F2055">
        <f>IF(Skills!N4=TRUE,(Skills!L4/10)*(E2055/1000),Skills!L4/10)+Skills!O4</f>
        <v/>
      </c>
      <c r="G2055">
        <f>Skills!G4*IF(Skills!H4&gt;0,Skills!I4/Skills!H4,1)</f>
        <v/>
      </c>
      <c r="H2055">
        <f>1-(1-Skills!J4/100)^Skills!K4</f>
        <v/>
      </c>
      <c r="I2055" t="inlineStr">
        <is>
          <t>1</t>
        </is>
      </c>
      <c r="J2055">
        <f>((Inputs!$B$6*(1+Inputs!$B$7/100))+(((Inputs!$B$12*(1+Inputs!$B$13/100))-(Inputs!$B$12*(1+Inputs!$B$13/100)))+0.25*(Inputs!$B$14-Inputs!$B$14))*(1+Inputs!$B$7/100))*(F2055/100)</f>
        <v/>
      </c>
      <c r="K2055">
        <f>J2055*(1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2067=TRUE,F2067,0)/100)*(1+(IF(Skills!A4="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2055)</f>
        <v/>
      </c>
      <c r="L2055">
        <f>K2055*(MIN(Inputs!$B$22+((C2073=TRUE)*(F2073-Calc!F22)),(Inputs!$B$23+0+(IF(ArtifactsInput!$M$15,CHOOSE(ArtifactsInput!$N$15+1,25,30,35,40,45,50)/100*(Inputs!$B$11-Inputs!$B$11),0))))/100+(Inputs!$B$23+0+(IF(ArtifactsInput!$M$15,CHOOSE(ArtifactsInput!$N$15+1,25,30,35,40,45,50)/100*(Inputs!$B$11-Inputs!$B$11),0)))/100)/2</f>
        <v/>
      </c>
      <c r="M2055">
        <f>L2055*(1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5">
        <f>L2055*(1-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2055*(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5">
        <f>(1-Summary!$B$11)*T2055+Summary!$B$11*V2055</f>
        <v/>
      </c>
      <c r="P2055">
        <f>IF(B2092=0,0,O2055/B2092)</f>
        <v/>
      </c>
      <c r="Q2055">
        <f>IFERROR(1/(IF(Inputs!$B$38="pvp",15,MAX(0.1,Skills!D4-IF(Skills!E4=TRUE,Inputs!$B$32,0)))*(1-IF(AND(ArtifactsInput!$M$27,Inputs!$B$4="Chapter Hunt"),CHOOSE(ArtifactsInput!$N$27+1,20,24,28,32,36,40),0)/100)),0)</f>
        <v/>
      </c>
      <c r="R2055">
        <f>IF(AND(Inputs!$B$38&lt;&gt;"pvp",Inputs!$B$43&gt;0),IF(MAX(0,Inputs!$B$43-B2089)&lt;=0,0,(INT(MAX(0,Inputs!$B$43-B2089)/(IF(Inputs!$B$38="pvp",15,MAX(0.1,Skills!D4-IF(Skills!E4=TRUE,Inputs!$B$32,0)))*(1-IF(AND(ArtifactsInput!$M$27,Inputs!$B$4="Chapter Hunt"),CHOOSE(ArtifactsInput!$N$27+1,20,24,28,32,36,40),0)/100)))+1)),0)</f>
        <v/>
      </c>
      <c r="S2055">
        <f>IFERROR(O2055/N2055,0)</f>
        <v/>
      </c>
      <c r="T2055">
        <f>IF(C2055,(H2055*N2055*IF(AND(Inputs!$B$38&lt;&gt;"pvp",Inputs!$B$43&gt;0),((Skills!G4*((R2055-1)*IF(Skills!H4&gt;0,Skills!I4/Skills!H4,1)+IF(Skills!H4&gt;0,MIN(Skills!I4,MAX(0,MAX(0,Inputs!$B$43-B2089)-((R2055-1)*(IF(Inputs!$B$38="pvp",15,MAX(0.1,Skills!D4-IF(Skills!E4=TRUE,Inputs!$B$32,0)))*(1-IF(AND(ArtifactsInput!$M$27,Inputs!$B$4="Chapter Hunt"),CHOOSE(ArtifactsInput!$N$27+1,20,24,28,32,36,40),0)/100)))))/Skills!H4,1)))/Inputs!$B$43),G2055*Q2055)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2055*(1-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2055*(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2055*(1-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2055*(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5">
        <f>290*U2054/1000</f>
        <v/>
      </c>
      <c r="V2055">
        <f>IF(C2055,(H2055*N2055*IF(AND(Inputs!$B$38&lt;&gt;"pvp",Inputs!$B$43&gt;0),((Skills!G4*((R2055-1)*IF(Skills!H4&gt;0,Skills!I4/Skills!H4,1)+IF(Skills!H4&gt;0,MIN(Skills!I4,MAX(0,MAX(0,Inputs!$B$43-B2089)-((R2055-1)*(IF(Inputs!$B$38="pvp",15,MAX(0.1,Skills!D4-IF(Skills!E4=TRUE,Inputs!$B$32,0)))*(1-IF(AND(ArtifactsInput!$M$27,Inputs!$B$4="Chapter Hunt"),CHOOSE(ArtifactsInput!$N$27+1,20,24,28,32,36,40),0)/100)))))/Skills!H4,1)))/Inputs!$B$43),G2055*Q2055))*IF(Inputs!$B$38="pvp",1,(1+(Inputs!$B$21+Skills!Q4+(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6">
      <c r="A2056">
        <f>Skills!A5</f>
        <v/>
      </c>
      <c r="B2056">
        <f>Skills!B5</f>
        <v/>
      </c>
      <c r="C2056">
        <f>Inputs!$B$3&gt;=45</f>
        <v/>
      </c>
      <c r="D2056">
        <f>IF(Skills!C5=1,60+Inputs!$B$25+Inputs!$B$29,IF(Skills!C5=2,90+Inputs!$B$26+Inputs!$B$29,IF(Skills!C5=3,120+Inputs!$B$27+Inputs!$B$29,MAX(0,(Inputs!$B$3-100)*3)+Inputs!$B$28+Inputs!$B$29)))</f>
        <v/>
      </c>
      <c r="E2056">
        <f>INDEX(FactorTable!$B$2:$Y$301, MATCH(ROUND(MIN(300,MAX(1,D2056)),0), FactorTable!$A$2:$A$301,0), Skills!M5+1)</f>
        <v/>
      </c>
      <c r="F2056">
        <f>IF(Skills!N5=TRUE,(Skills!L5/10)*(E2056/1000),Skills!L5/10)+Skills!O5</f>
        <v/>
      </c>
      <c r="G2056">
        <f>Skills!G5*IF(Skills!H5&gt;0,Skills!I5/Skills!H5,1)</f>
        <v/>
      </c>
      <c r="H2056">
        <f>1-(1-Skills!J5/100)^Skills!K5</f>
        <v/>
      </c>
      <c r="I2056" t="inlineStr">
        <is>
          <t>1</t>
        </is>
      </c>
      <c r="J2056">
        <f>((Inputs!$B$6*(1+Inputs!$B$7/100))+(((Inputs!$B$12*(1+Inputs!$B$13/100))-(Inputs!$B$12*(1+Inputs!$B$13/100)))+0.25*(Inputs!$B$14-Inputs!$B$14))*(1+Inputs!$B$7/100))*(F2056/100)</f>
        <v/>
      </c>
      <c r="K2056">
        <f>J2056*(1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2067=TRUE,F2067,0)/100)*(1+(IF(Skills!A5="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2056)</f>
        <v/>
      </c>
      <c r="L2056">
        <f>K2056*(MIN(Inputs!$B$22+((C2073=TRUE)*(F2073-Calc!F22)),(Inputs!$B$23+0+(IF(ArtifactsInput!$M$15,CHOOSE(ArtifactsInput!$N$15+1,25,30,35,40,45,50)/100*(Inputs!$B$11-Inputs!$B$11),0))))/100+(Inputs!$B$23+0+(IF(ArtifactsInput!$M$15,CHOOSE(ArtifactsInput!$N$15+1,25,30,35,40,45,50)/100*(Inputs!$B$11-Inputs!$B$11),0)))/100)/2</f>
        <v/>
      </c>
      <c r="M2056">
        <f>L2056*(1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6">
        <f>L2056*(1-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2056*(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6">
        <f>(1-Summary!$B$11)*T2056+Summary!$B$11*V2056</f>
        <v/>
      </c>
      <c r="P2056">
        <f>IF(B2092=0,0,O2056/B2092)</f>
        <v/>
      </c>
      <c r="Q2056">
        <f>IFERROR(1/(IF(Inputs!$B$38="pvp",15,MAX(0.1,Skills!D5-IF(Skills!E5=TRUE,Inputs!$B$32,0)))*(1-IF(AND(ArtifactsInput!$M$27,Inputs!$B$4="Chapter Hunt"),CHOOSE(ArtifactsInput!$N$27+1,20,24,28,32,36,40),0)/100)),0)</f>
        <v/>
      </c>
      <c r="R2056">
        <f>IF(AND(Inputs!$B$38&lt;&gt;"pvp",Inputs!$B$43&gt;0),IF(MAX(0,Inputs!$B$43-B2089)&lt;=0,0,(INT(MAX(0,Inputs!$B$43-B2089)/(IF(Inputs!$B$38="pvp",15,MAX(0.1,Skills!D5-IF(Skills!E5=TRUE,Inputs!$B$32,0)))*(1-IF(AND(ArtifactsInput!$M$27,Inputs!$B$4="Chapter Hunt"),CHOOSE(ArtifactsInput!$N$27+1,20,24,28,32,36,40),0)/100)))+1)),0)</f>
        <v/>
      </c>
      <c r="S2056">
        <f>IFERROR(O2056/N2056,0)</f>
        <v/>
      </c>
      <c r="T2056">
        <f>IF(C2056,(H2056*N2056*IF(AND(Inputs!$B$38&lt;&gt;"pvp",Inputs!$B$43&gt;0),((Skills!G5*((R2056-1)*IF(Skills!H5&gt;0,Skills!I5/Skills!H5,1)+IF(Skills!H5&gt;0,MIN(Skills!I5,MAX(0,MAX(0,Inputs!$B$43-B2089)-((R2056-1)*(IF(Inputs!$B$38="pvp",15,MAX(0.1,Skills!D5-IF(Skills!E5=TRUE,Inputs!$B$32,0)))*(1-IF(AND(ArtifactsInput!$M$27,Inputs!$B$4="Chapter Hunt"),CHOOSE(ArtifactsInput!$N$27+1,20,24,28,32,36,40),0)/100)))))/Skills!H5,1)))/Inputs!$B$43),G2056*Q2056)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2056*(1-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2056*(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2056*(1-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2056*(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6">
        <f>IF(C2056,(H2056*N2056*IF(AND(Inputs!$B$38&lt;&gt;"pvp",Inputs!$B$43&gt;0),((Skills!G5*((R2056-1)*IF(Skills!H5&gt;0,Skills!I5/Skills!H5,1)+IF(Skills!H5&gt;0,MIN(Skills!I5,MAX(0,MAX(0,Inputs!$B$43-B2089)-((R2056-1)*(IF(Inputs!$B$38="pvp",15,MAX(0.1,Skills!D5-IF(Skills!E5=TRUE,Inputs!$B$32,0)))*(1-IF(AND(ArtifactsInput!$M$27,Inputs!$B$4="Chapter Hunt"),CHOOSE(ArtifactsInput!$N$27+1,20,24,28,32,36,40),0)/100)))))/Skills!H5,1)))/Inputs!$B$43),G2056*Q2056))*IF(Inputs!$B$38="pvp",1,(1+(Inputs!$B$21+Skills!Q5+(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7">
      <c r="A2057">
        <f>Skills!A6</f>
        <v/>
      </c>
      <c r="B2057">
        <f>Skills!B6</f>
        <v/>
      </c>
      <c r="C2057">
        <f>Inputs!$B$3&gt;=63</f>
        <v/>
      </c>
      <c r="D2057">
        <f>IF(Skills!C6=1,60+Inputs!$B$25+Inputs!$B$29,IF(Skills!C6=2,90+Inputs!$B$26+Inputs!$B$29,IF(Skills!C6=3,120+Inputs!$B$27+Inputs!$B$29,MAX(0,(Inputs!$B$3-100)*3)+Inputs!$B$28+Inputs!$B$29)))</f>
        <v/>
      </c>
      <c r="E2057">
        <f>INDEX(FactorTable!$B$2:$Y$301, MATCH(ROUND(MIN(300,MAX(1,D2057)),0), FactorTable!$A$2:$A$301,0), Skills!M6+1)</f>
        <v/>
      </c>
      <c r="F2057">
        <f>IF(Skills!N6=TRUE,(Skills!L6/10)*(E2057/1000),Skills!L6/10)+Skills!O6</f>
        <v/>
      </c>
      <c r="G2057">
        <f>Skills!G6*IF(Skills!H6&gt;0,Skills!I6/Skills!H6,1)</f>
        <v/>
      </c>
      <c r="H2057">
        <f>1-(1-Skills!J6/100)^Skills!K6</f>
        <v/>
      </c>
      <c r="I2057" t="inlineStr">
        <is>
          <t>1</t>
        </is>
      </c>
      <c r="J2057">
        <f>((Inputs!$B$6*(1+Inputs!$B$7/100))+(((Inputs!$B$12*(1+Inputs!$B$13/100))-(Inputs!$B$12*(1+Inputs!$B$13/100)))+0.25*(Inputs!$B$14-Inputs!$B$14))*(1+Inputs!$B$7/100))*(F2057/100)</f>
        <v/>
      </c>
      <c r="K2057">
        <f>J2057*(1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2066=TRUE,F2066,0)/100)*(1+(IF(Skills!A6="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2057)</f>
        <v/>
      </c>
      <c r="L2057">
        <f>K2057*(MIN(Inputs!$B$22+((C2073=TRUE)*(F2073-Calc!F22)),(Inputs!$B$23+0+(IF(ArtifactsInput!$M$15,CHOOSE(ArtifactsInput!$N$15+1,25,30,35,40,45,50)/100*(Inputs!$B$11-Inputs!$B$11),0))))/100+(Inputs!$B$23+0+(IF(ArtifactsInput!$M$15,CHOOSE(ArtifactsInput!$N$15+1,25,30,35,40,45,50)/100*(Inputs!$B$11-Inputs!$B$11),0)))/100)/2</f>
        <v/>
      </c>
      <c r="M2057">
        <f>L2057*(1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7">
        <f>L2057*(1-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2057*(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7">
        <f>(1-Summary!$B$11)*T2057+Summary!$B$11*V2057</f>
        <v/>
      </c>
      <c r="P2057">
        <f>IF(B2092=0,0,O2057/B2092)</f>
        <v/>
      </c>
      <c r="Q2057">
        <f>IFERROR(1/(IF(Inputs!$B$38="pvp",15,MAX(0.1,Skills!D6-IF(Skills!E6=TRUE,Inputs!$B$32,0)))*(1-IF(AND(ArtifactsInput!$M$27,Inputs!$B$4="Chapter Hunt"),CHOOSE(ArtifactsInput!$N$27+1,20,24,28,32,36,40),0)/100)),0)</f>
        <v/>
      </c>
      <c r="R2057">
        <f>IF(AND(Inputs!$B$38&lt;&gt;"pvp",Inputs!$B$43&gt;0),IF(MAX(0,Inputs!$B$43-B2089)&lt;=0,0,(INT(MAX(0,Inputs!$B$43-B2089)/(IF(Inputs!$B$38="pvp",15,MAX(0.1,Skills!D6-IF(Skills!E6=TRUE,Inputs!$B$32,0)))*(1-IF(AND(ArtifactsInput!$M$27,Inputs!$B$4="Chapter Hunt"),CHOOSE(ArtifactsInput!$N$27+1,20,24,28,32,36,40),0)/100)))+1)),0)</f>
        <v/>
      </c>
      <c r="S2057">
        <f>IFERROR(O2057/N2057,0)</f>
        <v/>
      </c>
      <c r="T2057">
        <f>IF(C2057,(H2057*N2057*IF(AND(Inputs!$B$38&lt;&gt;"pvp",Inputs!$B$43&gt;0),((Skills!G6*((R2057-1)*IF(Skills!H6&gt;0,Skills!I6/Skills!H6,1)+IF(Skills!H6&gt;0,MIN(Skills!I6,MAX(0,MAX(0,Inputs!$B$43-B2089)-((R2057-1)*(IF(Inputs!$B$38="pvp",15,MAX(0.1,Skills!D6-IF(Skills!E6=TRUE,Inputs!$B$32,0)))*(1-IF(AND(ArtifactsInput!$M$27,Inputs!$B$4="Chapter Hunt"),CHOOSE(ArtifactsInput!$N$27+1,20,24,28,32,36,40),0)/100)))))/Skills!H6,1)))/Inputs!$B$43),G2057*Q2057)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2057*(1-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2057*(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2057*(1-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2057*(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7">
        <f>IF(C2057,(H2057*N2057*IF(AND(Inputs!$B$38&lt;&gt;"pvp",Inputs!$B$43&gt;0),((Skills!G6*((R2057-1)*IF(Skills!H6&gt;0,Skills!I6/Skills!H6,1)+IF(Skills!H6&gt;0,MIN(Skills!I6,MAX(0,MAX(0,Inputs!$B$43-B2089)-((R2057-1)*(IF(Inputs!$B$38="pvp",15,MAX(0.1,Skills!D6-IF(Skills!E6=TRUE,Inputs!$B$32,0)))*(1-IF(AND(ArtifactsInput!$M$27,Inputs!$B$4="Chapter Hunt"),CHOOSE(ArtifactsInput!$N$27+1,20,24,28,32,36,40),0)/100)))))/Skills!H6,1)))/Inputs!$B$43),G2057*Q2057))*IF(Inputs!$B$38="pvp",1,(1+(Inputs!$B$21+Skills!Q6+(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8">
      <c r="A2058">
        <f>Skills!A7</f>
        <v/>
      </c>
      <c r="B2058">
        <f>Skills!B7</f>
        <v/>
      </c>
      <c r="C2058">
        <f>Inputs!$B$3&gt;=66</f>
        <v/>
      </c>
      <c r="D2058">
        <f>IF(Skills!C7=1,60+Inputs!$B$25+Inputs!$B$29,IF(Skills!C7=2,90+Inputs!$B$26+Inputs!$B$29,IF(Skills!C7=3,120+Inputs!$B$27+Inputs!$B$29,MAX(0,(Inputs!$B$3-100)*3)+Inputs!$B$28+Inputs!$B$29)))</f>
        <v/>
      </c>
      <c r="E2058">
        <f>INDEX(FactorTable!$B$2:$Y$301, MATCH(ROUND(MIN(300,MAX(1,D2058)),0), FactorTable!$A$2:$A$301,0), Skills!M7+1)</f>
        <v/>
      </c>
      <c r="F2058">
        <f>IF(Skills!N7=TRUE,(Skills!L7/10)*(E2058/1000),Skills!L7/10)+Skills!O7</f>
        <v/>
      </c>
      <c r="G2058">
        <f>Skills!G7*IF(Skills!H7&gt;0,Skills!I7/Skills!H7,1)</f>
        <v/>
      </c>
      <c r="H2058">
        <f>1-(1-Skills!J7/100)^Skills!K7</f>
        <v/>
      </c>
      <c r="I2058" t="inlineStr">
        <is>
          <t>1</t>
        </is>
      </c>
      <c r="J2058">
        <f>((Inputs!$B$6*(1+Inputs!$B$7/100))+(((Inputs!$B$12*(1+Inputs!$B$13/100))-(Inputs!$B$12*(1+Inputs!$B$13/100)))+0.25*(Inputs!$B$14-Inputs!$B$14))*(1+Inputs!$B$7/100))*(F2058/100)</f>
        <v/>
      </c>
      <c r="K2058">
        <f>J2058*(1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2066=TRUE,F2066,0)/100)*(1+(IF(Skills!A7="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2058)</f>
        <v/>
      </c>
      <c r="L2058">
        <f>K2058*(MIN(Inputs!$B$22+((C2073=TRUE)*(F2073-Calc!F22)),(Inputs!$B$23+0+(IF(ArtifactsInput!$M$15,CHOOSE(ArtifactsInput!$N$15+1,25,30,35,40,45,50)/100*(Inputs!$B$11-Inputs!$B$11),0))))/100+(Inputs!$B$23+0+(IF(ArtifactsInput!$M$15,CHOOSE(ArtifactsInput!$N$15+1,25,30,35,40,45,50)/100*(Inputs!$B$11-Inputs!$B$11),0)))/100)/2</f>
        <v/>
      </c>
      <c r="M2058">
        <f>L2058*(1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8">
        <f>L2058*(1-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2058*(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8">
        <f>(1-Summary!$B$11)*T2058+Summary!$B$11*V2058</f>
        <v/>
      </c>
      <c r="P2058">
        <f>IF(B2092=0,0,O2058/B2092)</f>
        <v/>
      </c>
      <c r="Q2058">
        <f>IFERROR(1/(IF(Inputs!$B$38="pvp",15,MAX(0.1,Skills!D7-IF(Skills!E7=TRUE,Inputs!$B$32,0)))*(1-IF(AND(ArtifactsInput!$M$27,Inputs!$B$4="Chapter Hunt"),CHOOSE(ArtifactsInput!$N$27+1,20,24,28,32,36,40),0)/100)),0)</f>
        <v/>
      </c>
      <c r="R2058">
        <f>IF(AND(Inputs!$B$38&lt;&gt;"pvp",Inputs!$B$43&gt;0),IF(MAX(0,Inputs!$B$43-B2089)&lt;=0,0,(INT(MAX(0,Inputs!$B$43-B2089)/(IF(Inputs!$B$38="pvp",15,MAX(0.1,Skills!D7-IF(Skills!E7=TRUE,Inputs!$B$32,0)))*(1-IF(AND(ArtifactsInput!$M$27,Inputs!$B$4="Chapter Hunt"),CHOOSE(ArtifactsInput!$N$27+1,20,24,28,32,36,40),0)/100)))+1)),0)</f>
        <v/>
      </c>
      <c r="S2058">
        <f>IFERROR(O2058/N2058,0)</f>
        <v/>
      </c>
      <c r="T2058">
        <f>IF(C2058,(H2058*N2058*IF(AND(Inputs!$B$38&lt;&gt;"pvp",Inputs!$B$43&gt;0),((Skills!G7*((R2058-1)*IF(Skills!H7&gt;0,Skills!I7/Skills!H7,1)+IF(Skills!H7&gt;0,MIN(Skills!I7,MAX(0,MAX(0,Inputs!$B$43-B2089)-((R2058-1)*(IF(Inputs!$B$38="pvp",15,MAX(0.1,Skills!D7-IF(Skills!E7=TRUE,Inputs!$B$32,0)))*(1-IF(AND(ArtifactsInput!$M$27,Inputs!$B$4="Chapter Hunt"),CHOOSE(ArtifactsInput!$N$27+1,20,24,28,32,36,40),0)/100)))))/Skills!H7,1)))/Inputs!$B$43),G2058*Q2058)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2058*(1-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2058*(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2058*(1-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2058*(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8">
        <f>IF(C2058,(H2058*N2058*IF(AND(Inputs!$B$38&lt;&gt;"pvp",Inputs!$B$43&gt;0),((Skills!G7*((R2058-1)*IF(Skills!H7&gt;0,Skills!I7/Skills!H7,1)+IF(Skills!H7&gt;0,MIN(Skills!I7,MAX(0,MAX(0,Inputs!$B$43-B2089)-((R2058-1)*(IF(Inputs!$B$38="pvp",15,MAX(0.1,Skills!D7-IF(Skills!E7=TRUE,Inputs!$B$32,0)))*(1-IF(AND(ArtifactsInput!$M$27,Inputs!$B$4="Chapter Hunt"),CHOOSE(ArtifactsInput!$N$27+1,20,24,28,32,36,40),0)/100)))))/Skills!H7,1)))/Inputs!$B$43),G2058*Q2058))*IF(Inputs!$B$38="pvp",1,(1+(Inputs!$B$21+Skills!Q7+(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9">
      <c r="A2059">
        <f>Skills!A8</f>
        <v/>
      </c>
      <c r="B2059">
        <f>Skills!B8</f>
        <v/>
      </c>
      <c r="C2059">
        <f>Inputs!$B$3&gt;=100</f>
        <v/>
      </c>
      <c r="D2059">
        <f>IF(Skills!C8=1,60+Inputs!$B$25+Inputs!$B$29,IF(Skills!C8=2,90+Inputs!$B$26+Inputs!$B$29,IF(Skills!C8=3,120+Inputs!$B$27+Inputs!$B$29,MAX(0,(Inputs!$B$3-100)*3)+Inputs!$B$28+Inputs!$B$29)))</f>
        <v/>
      </c>
      <c r="E2059">
        <f>INDEX(FactorTable!$B$2:$Y$301, MATCH(ROUND(MIN(300,MAX(1,D2059)),0), FactorTable!$A$2:$A$301,0), Skills!M8+1)</f>
        <v/>
      </c>
      <c r="F2059">
        <f>IF(Skills!N8=TRUE,(Skills!L8/10)*(E2059/1000),Skills!L8/10)+Skills!O8</f>
        <v/>
      </c>
      <c r="G2059">
        <f>Skills!G8*IF(Skills!H8&gt;0,Skills!I8/Skills!H8,1)</f>
        <v/>
      </c>
      <c r="H2059">
        <f>1-(1-Skills!J8/100)^Skills!K8</f>
        <v/>
      </c>
      <c r="I2059" t="inlineStr">
        <is>
          <t>1</t>
        </is>
      </c>
      <c r="J2059">
        <f>((Inputs!$B$6*(1+Inputs!$B$7/100))+(((Inputs!$B$12*(1+Inputs!$B$13/100))-(Inputs!$B$12*(1+Inputs!$B$13/100)))+0.25*(Inputs!$B$14-Inputs!$B$14))*(1+Inputs!$B$7/100))*(F2059/100)</f>
        <v/>
      </c>
      <c r="K2059">
        <f>J2059*(1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2059)</f>
        <v/>
      </c>
      <c r="L2059">
        <f>K2059*(MIN(Inputs!$B$22+((C2073=TRUE)*(F2073-Calc!F22)),(Inputs!$B$23+0+(IF(ArtifactsInput!$M$15,CHOOSE(ArtifactsInput!$N$15+1,25,30,35,40,45,50)/100*(Inputs!$B$11-Inputs!$B$11),0))))/100+(Inputs!$B$23+0+(IF(ArtifactsInput!$M$15,CHOOSE(ArtifactsInput!$N$15+1,25,30,35,40,45,50)/100*(Inputs!$B$11-Inputs!$B$11),0)))/100)/2</f>
        <v/>
      </c>
      <c r="M2059">
        <f>L2059*(1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9">
        <f>L2059*(1-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2059*(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9">
        <f>(1-Summary!$B$11)*T2059+Summary!$B$11*V2059</f>
        <v/>
      </c>
      <c r="P2059">
        <f>IF(B2092=0,0,O2059/B2092)</f>
        <v/>
      </c>
      <c r="Q2059">
        <f>IFERROR(1/(IF(Inputs!$B$38="pvp",15,MAX(0.1,Skills!D8-IF(Skills!E8=TRUE,Inputs!$B$32,0)))*(1-IF(AND(ArtifactsInput!$M$27,Inputs!$B$4="Chapter Hunt"),CHOOSE(ArtifactsInput!$N$27+1,20,24,28,32,36,40),0)/100)),0)</f>
        <v/>
      </c>
      <c r="R2059">
        <f>IF(AND(Inputs!$B$38&lt;&gt;"pvp",Inputs!$B$43&gt;0),IF(MAX(0,Inputs!$B$43-B2089)&lt;=0,0,(INT(MAX(0,Inputs!$B$43-B2089)/(IF(Inputs!$B$38="pvp",15,MAX(0.1,Skills!D8-IF(Skills!E8=TRUE,Inputs!$B$32,0)))*(1-IF(AND(ArtifactsInput!$M$27,Inputs!$B$4="Chapter Hunt"),CHOOSE(ArtifactsInput!$N$27+1,20,24,28,32,36,40),0)/100)))+1)),0)</f>
        <v/>
      </c>
      <c r="S2059">
        <f>IFERROR(O2059/N2059,0)</f>
        <v/>
      </c>
      <c r="T2059">
        <f>IF(C2059,(H2059*N2059*IF(AND(Inputs!$B$38&lt;&gt;"pvp",Inputs!$B$43&gt;0),((Skills!G8*((R2059-1)*IF(Skills!H8&gt;0,Skills!I8/Skills!H8,1)+IF(Skills!H8&gt;0,MIN(Skills!I8,MAX(0,MAX(0,Inputs!$B$43-B2089)-((R2059-1)*(IF(Inputs!$B$38="pvp",15,MAX(0.1,Skills!D8-IF(Skills!E8=TRUE,Inputs!$B$32,0)))*(1-IF(AND(ArtifactsInput!$M$27,Inputs!$B$4="Chapter Hunt"),CHOOSE(ArtifactsInput!$N$27+1,20,24,28,32,36,40),0)/100)))))/Skills!H8,1)))/Inputs!$B$43),G2059*Q2059)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2059*(1-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2059*(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2059*(1-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2059*(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9">
        <f>IF(C2059,(H2059*N2059*IF(AND(Inputs!$B$38&lt;&gt;"pvp",Inputs!$B$43&gt;0),((Skills!G8*((R2059-1)*IF(Skills!H8&gt;0,Skills!I8/Skills!H8,1)+IF(Skills!H8&gt;0,MIN(Skills!I8,MAX(0,MAX(0,Inputs!$B$43-B2089)-((R2059-1)*(IF(Inputs!$B$38="pvp",15,MAX(0.1,Skills!D8-IF(Skills!E8=TRUE,Inputs!$B$32,0)))*(1-IF(AND(ArtifactsInput!$M$27,Inputs!$B$4="Chapter Hunt"),CHOOSE(ArtifactsInput!$N$27+1,20,24,28,32,36,40),0)/100)))))/Skills!H8,1)))/Inputs!$B$43),G2059*Q2059))*IF(Inputs!$B$38="pvp",1,(1+(Inputs!$B$21+Skills!Q8+(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0">
      <c r="A2060">
        <f>Skills!A9</f>
        <v/>
      </c>
      <c r="B2060">
        <f>Skills!B9</f>
        <v/>
      </c>
      <c r="C2060">
        <f>Inputs!$B$3&gt;=103</f>
        <v/>
      </c>
      <c r="D2060">
        <f>IF(Skills!C9=1,60+Inputs!$B$25+Inputs!$B$29,IF(Skills!C9=2,90+Inputs!$B$26+Inputs!$B$29,IF(Skills!C9=3,120+Inputs!$B$27+Inputs!$B$29,MAX(0,(Inputs!$B$3-100)*3)+Inputs!$B$28+Inputs!$B$29)))</f>
        <v/>
      </c>
      <c r="E2060">
        <f>INDEX(FactorTable!$B$2:$Y$301, MATCH(ROUND(MIN(300,MAX(1,D2060)),0), FactorTable!$A$2:$A$301,0), Skills!M9+1)</f>
        <v/>
      </c>
      <c r="F2060">
        <f>IF(Skills!N9=TRUE,(Skills!L9/10)*(E2060/1000),Skills!L9/10)+Skills!O9</f>
        <v/>
      </c>
      <c r="G2060">
        <f>Skills!G9*IF(Skills!H9&gt;0,Skills!I9/Skills!H9,1)</f>
        <v/>
      </c>
      <c r="H2060">
        <f>1-(1-Skills!J9/100)^Skills!K9</f>
        <v/>
      </c>
      <c r="I2060" t="inlineStr">
        <is>
          <t>1</t>
        </is>
      </c>
      <c r="J2060">
        <f>((Inputs!$B$6*(1+Inputs!$B$7/100))+(((Inputs!$B$12*(1+Inputs!$B$13/100))-(Inputs!$B$12*(1+Inputs!$B$13/100)))+0.25*(Inputs!$B$14-Inputs!$B$14))*(1+Inputs!$B$7/100))*(F2060/100)</f>
        <v/>
      </c>
      <c r="K2060">
        <f>J2060*(1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2060)</f>
        <v/>
      </c>
      <c r="L2060">
        <f>K2060*(MIN(Inputs!$B$22+((C2073=TRUE)*(F2073-Calc!F22)),(Inputs!$B$23+0+(IF(ArtifactsInput!$M$15,CHOOSE(ArtifactsInput!$N$15+1,25,30,35,40,45,50)/100*(Inputs!$B$11-Inputs!$B$11),0))))/100+(Inputs!$B$23+0+(IF(ArtifactsInput!$M$15,CHOOSE(ArtifactsInput!$N$15+1,25,30,35,40,45,50)/100*(Inputs!$B$11-Inputs!$B$11),0)))/100)/2</f>
        <v/>
      </c>
      <c r="M2060">
        <f>L2060*(1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0">
        <f>L2060*(1-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2060*(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0">
        <f>(1-Summary!$B$11)*T2060+Summary!$B$11*V2060</f>
        <v/>
      </c>
      <c r="P2060">
        <f>IF(B2092=0,0,O2060/B2092)</f>
        <v/>
      </c>
      <c r="Q2060">
        <f>IFERROR(1/(IF(Inputs!$B$38="pvp",15,MAX(0.1,Skills!D9-IF(Skills!E9=TRUE,Inputs!$B$32,0)))*(1-IF(AND(ArtifactsInput!$M$27,Inputs!$B$4="Chapter Hunt"),CHOOSE(ArtifactsInput!$N$27+1,20,24,28,32,36,40),0)/100)),0)</f>
        <v/>
      </c>
      <c r="R2060">
        <f>IF(AND(Inputs!$B$38&lt;&gt;"pvp",Inputs!$B$43&gt;0),IF(MAX(0,Inputs!$B$43-B2089)&lt;=0,0,(INT(MAX(0,Inputs!$B$43-B2089)/(IF(Inputs!$B$38="pvp",15,MAX(0.1,Skills!D9-IF(Skills!E9=TRUE,Inputs!$B$32,0)))*(1-IF(AND(ArtifactsInput!$M$27,Inputs!$B$4="Chapter Hunt"),CHOOSE(ArtifactsInput!$N$27+1,20,24,28,32,36,40),0)/100)))+1)),0)</f>
        <v/>
      </c>
      <c r="S2060">
        <f>IFERROR(O2060/N2060,0)</f>
        <v/>
      </c>
      <c r="T2060">
        <f>IF(C2060,(H2060*N2060*IF(AND(Inputs!$B$38&lt;&gt;"pvp",Inputs!$B$43&gt;0),((Skills!G9*((R2060-1)*IF(Skills!H9&gt;0,Skills!I9/Skills!H9,1)+IF(Skills!H9&gt;0,MIN(Skills!I9,MAX(0,MAX(0,Inputs!$B$43-B2089)-((R2060-1)*(IF(Inputs!$B$38="pvp",15,MAX(0.1,Skills!D9-IF(Skills!E9=TRUE,Inputs!$B$32,0)))*(1-IF(AND(ArtifactsInput!$M$27,Inputs!$B$4="Chapter Hunt"),CHOOSE(ArtifactsInput!$N$27+1,20,24,28,32,36,40),0)/100)))))/Skills!H9,1)))/Inputs!$B$43),G2060*Q2060)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2060*(1-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2060*(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2060*(1-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2060*(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0">
        <f>IF(C2060,(H2060*N2060*IF(AND(Inputs!$B$38&lt;&gt;"pvp",Inputs!$B$43&gt;0),((Skills!G9*((R2060-1)*IF(Skills!H9&gt;0,Skills!I9/Skills!H9,1)+IF(Skills!H9&gt;0,MIN(Skills!I9,MAX(0,MAX(0,Inputs!$B$43-B2089)-((R2060-1)*(IF(Inputs!$B$38="pvp",15,MAX(0.1,Skills!D9-IF(Skills!E9=TRUE,Inputs!$B$32,0)))*(1-IF(AND(ArtifactsInput!$M$27,Inputs!$B$4="Chapter Hunt"),CHOOSE(ArtifactsInput!$N$27+1,20,24,28,32,36,40),0)/100)))))/Skills!H9,1)))/Inputs!$B$43),G2060*Q2060))*IF(Inputs!$B$38="pvp",1,(1+(Inputs!$B$21+Skills!Q9+(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1">
      <c r="A2061">
        <f>Skills!A10</f>
        <v/>
      </c>
      <c r="B2061">
        <f>Skills!B10</f>
        <v/>
      </c>
      <c r="C2061">
        <f>Inputs!$B$3&gt;=113</f>
        <v/>
      </c>
      <c r="D2061">
        <f>IF(Skills!C10=1,60+Inputs!$B$25+Inputs!$B$29,IF(Skills!C10=2,90+Inputs!$B$26+Inputs!$B$29,IF(Skills!C10=3,120+Inputs!$B$27+Inputs!$B$29,MAX(0,(Inputs!$B$3-100)*3)+Inputs!$B$28+Inputs!$B$29)))</f>
        <v/>
      </c>
      <c r="E2061">
        <f>INDEX(FactorTable!$B$2:$Y$301, MATCH(ROUND(MIN(300,MAX(1,D2061)),0), FactorTable!$A$2:$A$301,0), Skills!M10+1)</f>
        <v/>
      </c>
      <c r="F2061">
        <f>IF(Skills!N10=TRUE,(Skills!L10/10)*(E2061/1000),Skills!L10/10)+Skills!O10</f>
        <v/>
      </c>
      <c r="G2061">
        <f>Skills!G10*IF(Skills!H10&gt;0,Skills!I10/Skills!H10,1)</f>
        <v/>
      </c>
      <c r="H2061">
        <f>1-(1-Skills!J10/100)^Skills!K10</f>
        <v/>
      </c>
      <c r="I2061" t="inlineStr">
        <is>
          <t>1</t>
        </is>
      </c>
      <c r="J2061">
        <f>((Inputs!$B$6*(1+Inputs!$B$7/100))+(((Inputs!$B$12*(1+Inputs!$B$13/100))-(Inputs!$B$12*(1+Inputs!$B$13/100)))+0.25*(Inputs!$B$14-Inputs!$B$14))*(1+Inputs!$B$7/100))*(F2061/100)</f>
        <v/>
      </c>
      <c r="K2061">
        <f>J2061*(1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2061)</f>
        <v/>
      </c>
      <c r="L2061">
        <f>K2061*(MIN(Inputs!$B$22+((C2073=TRUE)*(F2073-Calc!F22)),(Inputs!$B$23+0+(IF(ArtifactsInput!$M$15,CHOOSE(ArtifactsInput!$N$15+1,25,30,35,40,45,50)/100*(Inputs!$B$11-Inputs!$B$11),0))))/100+(Inputs!$B$23+0+(IF(ArtifactsInput!$M$15,CHOOSE(ArtifactsInput!$N$15+1,25,30,35,40,45,50)/100*(Inputs!$B$11-Inputs!$B$11),0)))/100)/2</f>
        <v/>
      </c>
      <c r="M2061">
        <f>L2061*(1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1">
        <f>L2061*(1-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1">
        <f>(1-Summary!$B$11)*T2061+Summary!$B$11*V2061</f>
        <v/>
      </c>
      <c r="P2061">
        <f>IF(B2092=0,0,O2061/B2092)</f>
        <v/>
      </c>
      <c r="Q2061">
        <f>IFERROR(1/(IF(Inputs!$B$38="pvp",15,MAX(0.1,Skills!D10-IF(Skills!E10=TRUE,Inputs!$B$32,0)))*(1-IF(AND(ArtifactsInput!$M$27,Inputs!$B$4="Chapter Hunt"),CHOOSE(ArtifactsInput!$N$27+1,20,24,28,32,36,40),0)/100)),0)</f>
        <v/>
      </c>
      <c r="R2061">
        <f>IF(AND(Inputs!$B$38&lt;&gt;"pvp",Inputs!$B$43&gt;0),IF(MAX(0,Inputs!$B$43-B2089)&lt;=0,0,(INT(MAX(0,Inputs!$B$43-B2089)/(IF(Inputs!$B$38="pvp",15,MAX(0.1,Skills!D10-IF(Skills!E10=TRUE,Inputs!$B$32,0)))*(1-IF(AND(ArtifactsInput!$M$27,Inputs!$B$4="Chapter Hunt"),CHOOSE(ArtifactsInput!$N$27+1,20,24,28,32,36,40),0)/100)))+1)),0)</f>
        <v/>
      </c>
      <c r="S2061">
        <f>IFERROR(O2061/N2061,0)</f>
        <v/>
      </c>
      <c r="T2061">
        <f>IF(C2061,(H2061*N2061*IF(AND(Inputs!$B$38&lt;&gt;"pvp",Inputs!$B$43&gt;0),((Skills!G10*((R2061-1)*IF(Skills!H10&gt;0,Skills!I10/Skills!H10,1)+IF(Skills!H10&gt;0,MIN(Skills!I10,MAX(0,MAX(0,Inputs!$B$43-B2089)-((R2061-1)*(IF(Inputs!$B$38="pvp",15,MAX(0.1,Skills!D10-IF(Skills!E10=TRUE,Inputs!$B$32,0)))*(1-IF(AND(ArtifactsInput!$M$27,Inputs!$B$4="Chapter Hunt"),CHOOSE(ArtifactsInput!$N$27+1,20,24,28,32,36,40),0)/100)))))/Skills!H10,1)))/Inputs!$B$43),G2061*Q2061)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2061*(1-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1">
        <f>IF(C2061,(H2061*N2061*IF(AND(Inputs!$B$38&lt;&gt;"pvp",Inputs!$B$43&gt;0),((Skills!G10*((R2061-1)*IF(Skills!H10&gt;0,Skills!I10/Skills!H10,1)+IF(Skills!H10&gt;0,MIN(Skills!I10,MAX(0,MAX(0,Inputs!$B$43-B2089)-((R2061-1)*(IF(Inputs!$B$38="pvp",15,MAX(0.1,Skills!D10-IF(Skills!E10=TRUE,Inputs!$B$32,0)))*(1-IF(AND(ArtifactsInput!$M$27,Inputs!$B$4="Chapter Hunt"),CHOOSE(ArtifactsInput!$N$27+1,20,24,28,32,36,40),0)/100)))))/Skills!H10,1)))/Inputs!$B$43),G2061*Q2061))*IF(Inputs!$B$38="pvp",1,(1+(Inputs!$B$21+Skills!Q10+(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2">
      <c r="A2062">
        <f>Skills!A11</f>
        <v/>
      </c>
      <c r="B2062">
        <f>Skills!B11</f>
        <v/>
      </c>
      <c r="C2062">
        <f>Inputs!$B$3&gt;=107</f>
        <v/>
      </c>
      <c r="D2062">
        <f>IF(Skills!C11=1,60+Inputs!$B$25+Inputs!$B$29,IF(Skills!C11=2,90+Inputs!$B$26+Inputs!$B$29,IF(Skills!C11=3,120+Inputs!$B$27+Inputs!$B$29,MAX(0,(Inputs!$B$3-100)*3)+Inputs!$B$28+Inputs!$B$29)))</f>
        <v/>
      </c>
      <c r="E2062">
        <f>INDEX(FactorTable!$B$2:$Y$301, MATCH(ROUND(MIN(300,MAX(1,D2062)),0), FactorTable!$A$2:$A$301,0), Skills!M11+1)</f>
        <v/>
      </c>
      <c r="F2062">
        <f>IF(Skills!N11=TRUE,(Skills!L11/10)*(E2062/1000),Skills!L11/10)+Skills!O11</f>
        <v/>
      </c>
      <c r="G2062">
        <f>Skills!G11*IF(Skills!H11&gt;0,Skills!I11/Skills!H11,1)</f>
        <v/>
      </c>
      <c r="H2062">
        <f>1-(1-Skills!J11/100)^Skills!K11</f>
        <v/>
      </c>
      <c r="I2062" t="inlineStr">
        <is>
          <t>1</t>
        </is>
      </c>
      <c r="J2062">
        <f>((Inputs!$B$6*(1+Inputs!$B$7/100))+(((Inputs!$B$12*(1+Inputs!$B$13/100))-(Inputs!$B$12*(1+Inputs!$B$13/100)))+0.25*(Inputs!$B$14-Inputs!$B$14))*(1+Inputs!$B$7/100))*(F2062/100)</f>
        <v/>
      </c>
      <c r="K2062">
        <f>J2062*(1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2062)</f>
        <v/>
      </c>
      <c r="L2062">
        <f>K2062*(MIN(Inputs!$B$22+((C2073=TRUE)*(F2073-Calc!F22)),(Inputs!$B$23+0+(IF(ArtifactsInput!$M$15,CHOOSE(ArtifactsInput!$N$15+1,25,30,35,40,45,50)/100*(Inputs!$B$11-Inputs!$B$11),0))))/100+(Inputs!$B$23+0+(IF(ArtifactsInput!$M$15,CHOOSE(ArtifactsInput!$N$15+1,25,30,35,40,45,50)/100*(Inputs!$B$11-Inputs!$B$11),0)))/100)/2</f>
        <v/>
      </c>
      <c r="M2062">
        <f>L2062*(1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2">
        <f>L2062*(1-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2062*(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2">
        <f>(1-Summary!$B$11)*T2062+Summary!$B$11*V2062</f>
        <v/>
      </c>
      <c r="P2062">
        <f>IF(B2092=0,0,O2062/B2092)</f>
        <v/>
      </c>
      <c r="Q2062">
        <f>IFERROR(1/(IF(Inputs!$B$38="pvp",15,MAX(0.1,Skills!D11-IF(Skills!E11=TRUE,Inputs!$B$32,0)))*(1-IF(AND(ArtifactsInput!$M$27,Inputs!$B$4="Chapter Hunt"),CHOOSE(ArtifactsInput!$N$27+1,20,24,28,32,36,40),0)/100)),0)</f>
        <v/>
      </c>
      <c r="R2062">
        <f>IF(AND(Inputs!$B$38&lt;&gt;"pvp",Inputs!$B$43&gt;0),IF(MAX(0,Inputs!$B$43-B2089)&lt;=0,0,(INT(MAX(0,Inputs!$B$43-B2089)/(IF(Inputs!$B$38="pvp",15,MAX(0.1,Skills!D11-IF(Skills!E11=TRUE,Inputs!$B$32,0)))*(1-IF(AND(ArtifactsInput!$M$27,Inputs!$B$4="Chapter Hunt"),CHOOSE(ArtifactsInput!$N$27+1,20,24,28,32,36,40),0)/100)))+1)),0)</f>
        <v/>
      </c>
      <c r="S2062">
        <f>IFERROR(O2062/N2062,0)</f>
        <v/>
      </c>
      <c r="T2062">
        <f>IF(C2062,(H2062*N2062*IF(AND(Inputs!$B$38&lt;&gt;"pvp",Inputs!$B$43&gt;0),((Skills!G11*((R2062-1)*IF(Skills!H11&gt;0,Skills!I11/Skills!H11,1)+IF(Skills!H11&gt;0,MIN(Skills!I11,MAX(0,MAX(0,Inputs!$B$43-B2089)-((R2062-1)*(IF(Inputs!$B$38="pvp",15,MAX(0.1,Skills!D11-IF(Skills!E11=TRUE,Inputs!$B$32,0)))*(1-IF(AND(ArtifactsInput!$M$27,Inputs!$B$4="Chapter Hunt"),CHOOSE(ArtifactsInput!$N$27+1,20,24,28,32,36,40),0)/100)))))/Skills!H11,1)))/Inputs!$B$43),G2062*Q2062)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2062*(1-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2062*(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2062*(1-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2062*(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2">
        <f>IF(C2062,(H2062*N2062*IF(AND(Inputs!$B$38&lt;&gt;"pvp",Inputs!$B$43&gt;0),((Skills!G11*((R2062-1)*IF(Skills!H11&gt;0,Skills!I11/Skills!H11,1)+IF(Skills!H11&gt;0,MIN(Skills!I11,MAX(0,MAX(0,Inputs!$B$43-B2089)-((R2062-1)*(IF(Inputs!$B$38="pvp",15,MAX(0.1,Skills!D11-IF(Skills!E11=TRUE,Inputs!$B$32,0)))*(1-IF(AND(ArtifactsInput!$M$27,Inputs!$B$4="Chapter Hunt"),CHOOSE(ArtifactsInput!$N$27+1,20,24,28,32,36,40),0)/100)))))/Skills!H11,1)))/Inputs!$B$43),G2062*Q2062))*IF(Inputs!$B$38="pvp",1,(1+(Inputs!$B$21+Skills!Q11+(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3">
      <c r="A2063">
        <f>Skills!A12</f>
        <v/>
      </c>
      <c r="B2063">
        <f>Skills!B12</f>
        <v/>
      </c>
      <c r="C2063">
        <f>Inputs!$B$3&gt;=110</f>
        <v/>
      </c>
      <c r="D2063">
        <f>IF(Skills!C12=1,60+Inputs!$B$25+Inputs!$B$29,IF(Skills!C12=2,90+Inputs!$B$26+Inputs!$B$29,IF(Skills!C12=3,120+Inputs!$B$27+Inputs!$B$29,MAX(0,(Inputs!$B$3-100)*3)+Inputs!$B$28+Inputs!$B$29)))</f>
        <v/>
      </c>
      <c r="E2063">
        <f>INDEX(FactorTable!$B$2:$Y$301, MATCH(ROUND(MIN(300,MAX(1,D2063)),0), FactorTable!$A$2:$A$301,0), Skills!M12+1)</f>
        <v/>
      </c>
      <c r="F2063">
        <f>IF(Skills!N12=TRUE,(Skills!L12/10)*(E2063/1000),Skills!L12/10)+Skills!O12</f>
        <v/>
      </c>
      <c r="G2063">
        <f>Skills!G12*IF(Skills!H12&gt;0,Skills!I12/Skills!H12,1)</f>
        <v/>
      </c>
      <c r="H2063">
        <f>1-(1-Skills!J12/100)^Skills!K12</f>
        <v/>
      </c>
      <c r="I2063" t="inlineStr">
        <is>
          <t>1</t>
        </is>
      </c>
      <c r="J2063">
        <f>((Inputs!$B$6*(1+Inputs!$B$7/100))+(((Inputs!$B$12*(1+Inputs!$B$13/100))-(Inputs!$B$12*(1+Inputs!$B$13/100)))+0.25*(Inputs!$B$14-Inputs!$B$14))*(1+Inputs!$B$7/100))*(F2063/100)</f>
        <v/>
      </c>
      <c r="K2063">
        <f>J2063*(1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2063)</f>
        <v/>
      </c>
      <c r="L2063">
        <f>K2063*(MIN(Inputs!$B$22+((C2073=TRUE)*(F2073-Calc!F22)),(Inputs!$B$23+0+(IF(ArtifactsInput!$M$15,CHOOSE(ArtifactsInput!$N$15+1,25,30,35,40,45,50)/100*(Inputs!$B$11-Inputs!$B$11),0))))/100+(Inputs!$B$23+0+(IF(ArtifactsInput!$M$15,CHOOSE(ArtifactsInput!$N$15+1,25,30,35,40,45,50)/100*(Inputs!$B$11-Inputs!$B$11),0)))/100)/2</f>
        <v/>
      </c>
      <c r="M2063">
        <f>L2063*(1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3">
        <f>L2063*(1-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2063*(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3">
        <f>(1-Summary!$B$11)*T2063+Summary!$B$11*V2063</f>
        <v/>
      </c>
      <c r="P2063">
        <f>IF(B2092=0,0,O2063/B2092)</f>
        <v/>
      </c>
      <c r="Q2063">
        <f>IFERROR(1/(IF(Inputs!$B$38="pvp",15,MAX(0.1,Skills!D12-IF(Skills!E12=TRUE,Inputs!$B$32,0)))*(1-IF(AND(ArtifactsInput!$M$27,Inputs!$B$4="Chapter Hunt"),CHOOSE(ArtifactsInput!$N$27+1,20,24,28,32,36,40),0)/100)),0)</f>
        <v/>
      </c>
      <c r="R2063">
        <f>IF(AND(Inputs!$B$38&lt;&gt;"pvp",Inputs!$B$43&gt;0),IF(MAX(0,Inputs!$B$43-B2089)&lt;=0,0,(INT(MAX(0,Inputs!$B$43-B2089)/(IF(Inputs!$B$38="pvp",15,MAX(0.1,Skills!D12-IF(Skills!E12=TRUE,Inputs!$B$32,0)))*(1-IF(AND(ArtifactsInput!$M$27,Inputs!$B$4="Chapter Hunt"),CHOOSE(ArtifactsInput!$N$27+1,20,24,28,32,36,40),0)/100)))+1)),0)</f>
        <v/>
      </c>
      <c r="S2063">
        <f>IFERROR(O2063/N2063,0)</f>
        <v/>
      </c>
      <c r="T2063">
        <f>IF(C2063,(H2063*N2063*IF(AND(Inputs!$B$38&lt;&gt;"pvp",Inputs!$B$43&gt;0),((Skills!G12*((R2063-1)*IF(Skills!H12&gt;0,Skills!I12/Skills!H12,1)+IF(Skills!H12&gt;0,MIN(Skills!I12,MAX(0,MAX(0,Inputs!$B$43-B2089)-((R2063-1)*(IF(Inputs!$B$38="pvp",15,MAX(0.1,Skills!D12-IF(Skills!E12=TRUE,Inputs!$B$32,0)))*(1-IF(AND(ArtifactsInput!$M$27,Inputs!$B$4="Chapter Hunt"),CHOOSE(ArtifactsInput!$N$27+1,20,24,28,32,36,40),0)/100)))))/Skills!H12,1)))/Inputs!$B$43),G2063*Q2063)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2063*(1-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2063*(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2063*(1-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2063*(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3">
        <f>IF(C2063,(H2063*N2063*IF(AND(Inputs!$B$38&lt;&gt;"pvp",Inputs!$B$43&gt;0),((Skills!G12*((R2063-1)*IF(Skills!H12&gt;0,Skills!I12/Skills!H12,1)+IF(Skills!H12&gt;0,MIN(Skills!I12,MAX(0,MAX(0,Inputs!$B$43-B2089)-((R2063-1)*(IF(Inputs!$B$38="pvp",15,MAX(0.1,Skills!D12-IF(Skills!E12=TRUE,Inputs!$B$32,0)))*(1-IF(AND(ArtifactsInput!$M$27,Inputs!$B$4="Chapter Hunt"),CHOOSE(ArtifactsInput!$N$27+1,20,24,28,32,36,40),0)/100)))))/Skills!H12,1)))/Inputs!$B$43),G2063*Q2063))*IF(Inputs!$B$38="pvp",1,(1+(Inputs!$B$21+Skills!Q12+(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12,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4">
      <c r="A2064">
        <f>Skills!A13</f>
        <v/>
      </c>
      <c r="B2064">
        <f>Skills!B13</f>
        <v/>
      </c>
      <c r="C2064">
        <f>Inputs!$B$3&gt;=110</f>
        <v/>
      </c>
      <c r="D2064">
        <f>IF(Skills!C13=1,60+Inputs!$B$25+Inputs!$B$29,IF(Skills!C13=2,90+Inputs!$B$26+Inputs!$B$29,IF(Skills!C13=3,120+Inputs!$B$27+Inputs!$B$29,MAX(0,(Inputs!$B$3-100)*3)+Inputs!$B$28+Inputs!$B$29)))</f>
        <v/>
      </c>
      <c r="E2064">
        <f>INDEX(FactorTable!$B$2:$Y$301, MATCH(ROUND(MIN(300,MAX(1,D2064)),0), FactorTable!$A$2:$A$301,0), Skills!M13+1)</f>
        <v/>
      </c>
      <c r="F2064">
        <f>IF(Skills!N13=TRUE,(Skills!L13/10)*(E2064/1000),Skills!L13/10)+Skills!O13</f>
        <v/>
      </c>
      <c r="G2064">
        <f>Skills!G13*IF(Skills!H13&gt;0,Skills!I13/Skills!H13,1)</f>
        <v/>
      </c>
      <c r="H2064">
        <f>1-(1-Skills!J13/100)^Skills!K13</f>
        <v/>
      </c>
      <c r="I2064" t="inlineStr">
        <is>
          <t>1</t>
        </is>
      </c>
      <c r="J2064">
        <f>((Inputs!$B$6*(1+Inputs!$B$7/100))+(((Inputs!$B$12*(1+Inputs!$B$13/100))-(Inputs!$B$12*(1+Inputs!$B$13/100)))+0.25*(Inputs!$B$14-Inputs!$B$14))*(1+Inputs!$B$7/100))*(F2064/100)</f>
        <v/>
      </c>
      <c r="K2064">
        <f>J2064*(1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2064)</f>
        <v/>
      </c>
      <c r="L2064">
        <f>K2064*(MIN(Inputs!$B$22+((C2073=TRUE)*(F2073-Calc!F22)),(Inputs!$B$23+0+(IF(ArtifactsInput!$M$15,CHOOSE(ArtifactsInput!$N$15+1,25,30,35,40,45,50)/100*(Inputs!$B$11-Inputs!$B$11),0))))/100+(Inputs!$B$23+0+(IF(ArtifactsInput!$M$15,CHOOSE(ArtifactsInput!$N$15+1,25,30,35,40,45,50)/100*(Inputs!$B$11-Inputs!$B$11),0)))/100)/2</f>
        <v/>
      </c>
      <c r="M2064">
        <f>L2064*(1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4">
        <f>L2064*(1-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2064*(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4">
        <f>(1-Summary!$B$11)*T2064+Summary!$B$11*V2064</f>
        <v/>
      </c>
      <c r="P2064">
        <f>IF(B2092=0,0,O2064/B2092)</f>
        <v/>
      </c>
      <c r="Q2064">
        <f>IFERROR(1/(IF(Inputs!$B$38="pvp",15,MAX(0.1,Skills!D13-IF(Skills!E13=TRUE,Inputs!$B$32,0)))*(1-IF(AND(ArtifactsInput!$M$27,Inputs!$B$4="Chapter Hunt"),CHOOSE(ArtifactsInput!$N$27+1,20,24,28,32,36,40),0)/100)),0)</f>
        <v/>
      </c>
      <c r="R2064">
        <f>IF(AND(Inputs!$B$38&lt;&gt;"pvp",Inputs!$B$43&gt;0),IF(MAX(0,Inputs!$B$43-B2089)&lt;=0,0,(INT(MAX(0,Inputs!$B$43-B2089)/(IF(Inputs!$B$38="pvp",15,MAX(0.1,Skills!D13-IF(Skills!E13=TRUE,Inputs!$B$32,0)))*(1-IF(AND(ArtifactsInput!$M$27,Inputs!$B$4="Chapter Hunt"),CHOOSE(ArtifactsInput!$N$27+1,20,24,28,32,36,40),0)/100)))+1)),0)</f>
        <v/>
      </c>
      <c r="S2064">
        <f>IFERROR(O2064/N2064,0)</f>
        <v/>
      </c>
      <c r="T2064">
        <f>IF(C2064,(H2064*N2064*IF(AND(Inputs!$B$38&lt;&gt;"pvp",Inputs!$B$43&gt;0),((Skills!G13*((R2064-1)*IF(Skills!H13&gt;0,Skills!I13/Skills!H13,1)+IF(Skills!H13&gt;0,MIN(Skills!I13,MAX(0,MAX(0,Inputs!$B$43-B2089)-((R2064-1)*(IF(Inputs!$B$38="pvp",15,MAX(0.1,Skills!D13-IF(Skills!E13=TRUE,Inputs!$B$32,0)))*(1-IF(AND(ArtifactsInput!$M$27,Inputs!$B$4="Chapter Hunt"),CHOOSE(ArtifactsInput!$N$27+1,20,24,28,32,36,40),0)/100)))))/Skills!H13,1)))/Inputs!$B$43),G2064*Q2064)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2064*(1-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2064*(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2064*(1-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2064*(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4">
        <f>IF(C2064,(H2064*N2064*IF(AND(Inputs!$B$38&lt;&gt;"pvp",Inputs!$B$43&gt;0),((Skills!G13*((R2064-1)*IF(Skills!H13&gt;0,Skills!I13/Skills!H13,1)+IF(Skills!H13&gt;0,MIN(Skills!I13,MAX(0,MAX(0,Inputs!$B$43-B2089)-((R2064-1)*(IF(Inputs!$B$38="pvp",15,MAX(0.1,Skills!D13-IF(Skills!E13=TRUE,Inputs!$B$32,0)))*(1-IF(AND(ArtifactsInput!$M$27,Inputs!$B$4="Chapter Hunt"),CHOOSE(ArtifactsInput!$N$27+1,20,24,28,32,36,40),0)/100)))))/Skills!H13,1)))/Inputs!$B$43),G2064*Q2064))*IF(Inputs!$B$38="pvp",1,(1+(Inputs!$B$21+Skills!Q13+(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13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5">
      <c r="A2065">
        <f>Skills!A14</f>
        <v/>
      </c>
      <c r="B2065">
        <f>Skills!B14</f>
        <v/>
      </c>
      <c r="C2065">
        <f>Inputs!$B$3&gt;=125</f>
        <v/>
      </c>
      <c r="D2065">
        <f>IF(Skills!C14=1,60+Inputs!$B$25+Inputs!$B$29,IF(Skills!C14=2,90+Inputs!$B$26+Inputs!$B$29,IF(Skills!C14=3,120+Inputs!$B$27+Inputs!$B$29,MAX(0,(Inputs!$B$3-100)*3)+Inputs!$B$28+Inputs!$B$29)))</f>
        <v/>
      </c>
      <c r="E2065">
        <f>INDEX(FactorTable!$B$2:$Y$301, MATCH(ROUND(MIN(300,MAX(1,D2065)),0), FactorTable!$A$2:$A$301,0), Skills!M14+1)</f>
        <v/>
      </c>
      <c r="F2065">
        <f>IF(Skills!N14=TRUE,(Skills!L14/10)*(E2065/1000),Skills!L14/10)+Skills!O14</f>
        <v/>
      </c>
      <c r="G2065">
        <f>Skills!G14*IF(Skills!H14&gt;0,Skills!I14/Skills!H14,1)</f>
        <v/>
      </c>
      <c r="H2065">
        <f>1-(1-Skills!J14/100)^Skills!K14</f>
        <v/>
      </c>
      <c r="I2065" t="inlineStr">
        <is>
          <t>1</t>
        </is>
      </c>
      <c r="J2065">
        <f>((Inputs!$B$6*(1+Inputs!$B$7/100))+(((Inputs!$B$12*(1+Inputs!$B$13/100))-(Inputs!$B$12*(1+Inputs!$B$13/100)))+0.25*(Inputs!$B$14-Inputs!$B$14))*(1+Inputs!$B$7/100))*(F2065/100)</f>
        <v/>
      </c>
      <c r="K2065">
        <f>J2065*(1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2065)</f>
        <v/>
      </c>
      <c r="L2065">
        <f>K2065*(MIN(Inputs!$B$22+((C2073=TRUE)*(F2073-Calc!F22)),(Inputs!$B$23+0+(IF(ArtifactsInput!$M$15,CHOOSE(ArtifactsInput!$N$15+1,25,30,35,40,45,50)/100*(Inputs!$B$11-Inputs!$B$11),0))))/100+(Inputs!$B$23+0+(IF(ArtifactsInput!$M$15,CHOOSE(ArtifactsInput!$N$15+1,25,30,35,40,45,50)/100*(Inputs!$B$11-Inputs!$B$11),0)))/100)/2</f>
        <v/>
      </c>
      <c r="M2065">
        <f>L2065*(1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5">
        <f>L2065*(1-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2065*(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5">
        <f>(1-Summary!$B$11)*T2065+Summary!$B$11*V2065</f>
        <v/>
      </c>
      <c r="P2065">
        <f>IF(B2092=0,0,O2065/B2092)</f>
        <v/>
      </c>
      <c r="Q2065" t="n">
        <v>0</v>
      </c>
      <c r="R2065" t="n">
        <v>0</v>
      </c>
      <c r="S2065">
        <f>IFERROR(O2065/N2065,0)</f>
        <v/>
      </c>
      <c r="T2065">
        <f>IF(C2065,(H2065*N2065*(B2086+IF(AND(Inputs!$B$38&lt;&gt;"pvp",Inputs!$B$43&gt;0),((Skills!G8*((R2059-1)*IF(Skills!H8&gt;0,Skills!I8/Skills!H8,1)+IF(Skills!H8&gt;0,MIN(Skills!I8,MAX(0,MAX(0,Inputs!$B$43-B2089)-((R2059-1)*(IF(Inputs!$B$38="pvp",15,MAX(0.1,Skills!D8-IF(Skills!E8=TRUE,Inputs!$B$32,0)))*(1-IF(AND(ArtifactsInput!$M$27,Inputs!$B$4="Chapter Hunt"),CHOOSE(ArtifactsInput!$N$27+1,20,24,28,32,36,40),0)/100)))))/Skills!H8,1)))/Inputs!$B$43),G2059*Q2059)+IF(AND(Inputs!$B$38&lt;&gt;"pvp",Inputs!$B$43&gt;0),((Skills!G11*((R2062-1)*IF(Skills!H11&gt;0,Skills!I11/Skills!H11,1)+IF(Skills!H11&gt;0,MIN(Skills!I11,MAX(0,MAX(0,Inputs!$B$43-B2089)-((R2062-1)*(IF(Inputs!$B$38="pvp",15,MAX(0.1,Skills!D11-IF(Skills!E11=TRUE,Inputs!$B$32,0)))*(1-IF(AND(ArtifactsInput!$M$27,Inputs!$B$4="Chapter Hunt"),CHOOSE(ArtifactsInput!$N$27+1,20,24,28,32,36,40),0)/100)))))/Skills!H11,1)))/Inputs!$B$43),G2062*Q2062)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2065*(1-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2065*(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2065*(1-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2065*(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5">
        <f>IF(C2065,(H2065*N2065*(B2086+IF(AND(Inputs!$B$38&lt;&gt;"pvp",Inputs!$B$43&gt;0),((Skills!G8*((R2059-1)*IF(Skills!H8&gt;0,Skills!I8/Skills!H8,1)+IF(Skills!H8&gt;0,MIN(Skills!I8,MAX(0,MAX(0,Inputs!$B$43-B2089)-((R2059-1)*(IF(Inputs!$B$38="pvp",15,MAX(0.1,Skills!D8-IF(Skills!E8=TRUE,Inputs!$B$32,0)))*(1-IF(AND(ArtifactsInput!$M$27,Inputs!$B$4="Chapter Hunt"),CHOOSE(ArtifactsInput!$N$27+1,20,24,28,32,36,40),0)/100)))))/Skills!H8,1)))/Inputs!$B$43),G2059*Q2059)+IF(AND(Inputs!$B$38&lt;&gt;"pvp",Inputs!$B$43&gt;0),((Skills!G11*((R2062-1)*IF(Skills!H11&gt;0,Skills!I11/Skills!H11,1)+IF(Skills!H11&gt;0,MIN(Skills!I11,MAX(0,MAX(0,Inputs!$B$43-B2089)-((R2062-1)*(IF(Inputs!$B$38="pvp",15,MAX(0.1,Skills!D11-IF(Skills!E11=TRUE,Inputs!$B$32,0)))*(1-IF(AND(ArtifactsInput!$M$27,Inputs!$B$4="Chapter Hunt"),CHOOSE(ArtifactsInput!$N$27+1,20,24,28,32,36,40),0)/100)))))/Skills!H11,1)))/Inputs!$B$43),G2062*Q2062)))*IF(Inputs!$B$38="pvp",1,(1+(Inputs!$B$21+Skills!Q14+(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14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6">
      <c r="A2066">
        <f>Skills!A15</f>
        <v/>
      </c>
      <c r="B2066">
        <f>Skills!B15</f>
        <v/>
      </c>
      <c r="C2066">
        <f>Inputs!$B$3&gt;=100</f>
        <v/>
      </c>
      <c r="D2066">
        <f>IF(Skills!C15=1,60+Inputs!$B$25+Inputs!$B$29,IF(Skills!C15=2,90+Inputs!$B$26+Inputs!$B$29,IF(Skills!C15=3,120+Inputs!$B$27+Inputs!$B$29,MAX(0,(Inputs!$B$3-100)*3)+Inputs!$B$28+Inputs!$B$29)))</f>
        <v/>
      </c>
      <c r="E2066">
        <f>INDEX(FactorTable!$B$2:$Y$301, MATCH(ROUND(MIN(300,MAX(1,D2066)),0), FactorTable!$A$2:$A$301,0), Skills!M15+1)</f>
        <v/>
      </c>
      <c r="F2066">
        <f>IF(Skills!N15=TRUE,(Skills!L15/10)*(E2066/1000),Skills!L15/10)+Skills!O15</f>
        <v/>
      </c>
      <c r="G2066" t="inlineStr"/>
      <c r="H2066" t="inlineStr"/>
      <c r="I2066" t="inlineStr">
        <is>
          <t>1</t>
        </is>
      </c>
      <c r="J2066" t="inlineStr"/>
      <c r="K2066" t="inlineStr"/>
      <c r="L2066" t="inlineStr"/>
      <c r="M2066" t="inlineStr"/>
      <c r="N2066" t="inlineStr"/>
      <c r="O2066" t="inlineStr"/>
      <c r="P2066" t="inlineStr"/>
      <c r="Q2066" t="inlineStr"/>
      <c r="R2066" t="inlineStr"/>
      <c r="S2066" t="inlineStr"/>
    </row>
    <row r="2067">
      <c r="A2067">
        <f>Skills!A16</f>
        <v/>
      </c>
      <c r="B2067">
        <f>Skills!B16</f>
        <v/>
      </c>
      <c r="C2067">
        <f>Inputs!$B$3&gt;=120</f>
        <v/>
      </c>
      <c r="D2067">
        <f>IF(Skills!C16=1,60+Inputs!$B$25+Inputs!$B$29,IF(Skills!C16=2,90+Inputs!$B$26+Inputs!$B$29,IF(Skills!C16=3,120+Inputs!$B$27+Inputs!$B$29,MAX(0,(Inputs!$B$3-100)*3)+Inputs!$B$28+Inputs!$B$29)))</f>
        <v/>
      </c>
      <c r="E2067">
        <f>INDEX(FactorTable!$B$2:$Y$301, MATCH(ROUND(MIN(300,MAX(1,D2067)),0), FactorTable!$A$2:$A$301,0), Skills!M16+1)</f>
        <v/>
      </c>
      <c r="F2067">
        <f>IF(Skills!N16=TRUE,(Skills!L16/10)*(E2067/1000),Skills!L16/10)+Skills!O16</f>
        <v/>
      </c>
      <c r="G2067" t="inlineStr"/>
      <c r="H2067" t="inlineStr"/>
      <c r="I2067" t="inlineStr">
        <is>
          <t>1</t>
        </is>
      </c>
      <c r="J2067" t="inlineStr"/>
      <c r="K2067" t="inlineStr"/>
      <c r="L2067" t="inlineStr"/>
      <c r="M2067" t="inlineStr"/>
      <c r="N2067" t="inlineStr"/>
      <c r="O2067" t="inlineStr"/>
      <c r="P2067" t="inlineStr"/>
      <c r="Q2067" t="inlineStr"/>
      <c r="R2067" t="inlineStr"/>
      <c r="S2067" t="inlineStr"/>
    </row>
    <row r="2068">
      <c r="A2068">
        <f>Skills!A17</f>
        <v/>
      </c>
      <c r="B2068">
        <f>Skills!B17</f>
        <v/>
      </c>
      <c r="C2068">
        <f>Inputs!$B$3&gt;=66</f>
        <v/>
      </c>
      <c r="D2068">
        <f>IF(Skills!C17=1,60+Inputs!$B$25+Inputs!$B$29,IF(Skills!C17=2,90+Inputs!$B$26+Inputs!$B$29,IF(Skills!C17=3,120+Inputs!$B$27+Inputs!$B$29,MAX(0,(Inputs!$B$3-100)*3)+Inputs!$B$28+Inputs!$B$29)))</f>
        <v/>
      </c>
      <c r="E2068">
        <f>INDEX(FactorTable!$B$2:$Y$301, MATCH(ROUND(MIN(300,MAX(1,D2068)),0), FactorTable!$A$2:$A$301,0), Skills!M17+1)</f>
        <v/>
      </c>
      <c r="F2068">
        <f>IF(Skills!N17=TRUE,(Skills!L17/10)*(E2068/1000),Skills!L17/10)+Skills!O17</f>
        <v/>
      </c>
      <c r="G2068">
        <f>Skills!G17*IF(Skills!H17&gt;0,Skills!I17/Skills!H17,1)</f>
        <v/>
      </c>
      <c r="H2068">
        <f>1-(1-Skills!J17/100)^Skills!K17</f>
        <v/>
      </c>
      <c r="I2068" t="inlineStr">
        <is>
          <t>1</t>
        </is>
      </c>
      <c r="J2068" t="inlineStr"/>
      <c r="K2068" t="inlineStr"/>
      <c r="L2068" t="inlineStr"/>
      <c r="M2068" t="inlineStr"/>
      <c r="N2068" t="inlineStr"/>
      <c r="O2068">
        <f>(1-Summary!$B$11)*T2068+Summary!$B$11*V2068</f>
        <v/>
      </c>
      <c r="P2068">
        <f>IF(B2092=0,0,O2068/B2092)</f>
        <v/>
      </c>
      <c r="Q2068" t="n">
        <v>0</v>
      </c>
      <c r="R2068" t="n">
        <v>0</v>
      </c>
      <c r="S2068">
        <f>IFERROR(O2068/N2068,0)</f>
        <v/>
      </c>
      <c r="T2068" t="n">
        <v>0</v>
      </c>
      <c r="V2068" t="n">
        <v>0</v>
      </c>
    </row>
    <row r="2069">
      <c r="A2069">
        <f>Skills!A18</f>
        <v/>
      </c>
      <c r="B2069">
        <f>Skills!B18</f>
        <v/>
      </c>
      <c r="C2069">
        <f>Inputs!$B$3&gt;=115</f>
        <v/>
      </c>
      <c r="D2069">
        <f>IF(Skills!C18=1,60+Inputs!$B$25+Inputs!$B$29,IF(Skills!C18=2,90+Inputs!$B$26+Inputs!$B$29,IF(Skills!C18=3,120+Inputs!$B$27+Inputs!$B$29,MAX(0,(Inputs!$B$3-100)*3)+Inputs!$B$28+Inputs!$B$29)))</f>
        <v/>
      </c>
      <c r="E2069">
        <f>INDEX(FactorTable!$B$2:$Y$301, MATCH(ROUND(MIN(300,MAX(1,D2069)),0), FactorTable!$A$2:$A$301,0), Skills!M18+1)</f>
        <v/>
      </c>
      <c r="F2069">
        <f>IF(Skills!N18=TRUE,(Skills!L18/10)*(E2069/1000),Skills!L18/10)+Skills!O18</f>
        <v/>
      </c>
      <c r="G2069">
        <f>Skills!G18*IF(Skills!H18&gt;0,Skills!I18/Skills!H18,1)</f>
        <v/>
      </c>
      <c r="H2069">
        <f>1-(1-Skills!J18/100)^Skills!K18</f>
        <v/>
      </c>
      <c r="I2069" t="inlineStr">
        <is>
          <t>1</t>
        </is>
      </c>
      <c r="J2069" t="inlineStr"/>
      <c r="K2069" t="inlineStr"/>
      <c r="L2069" t="inlineStr"/>
      <c r="M2069" t="inlineStr"/>
      <c r="N2069" t="inlineStr"/>
      <c r="O2069">
        <f>(1-Summary!$B$11)*T2069+Summary!$B$11*V2069</f>
        <v/>
      </c>
      <c r="P2069">
        <f>IF(B2092=0,0,O2069/B2092)</f>
        <v/>
      </c>
      <c r="Q2069">
        <f>IFERROR(1/(IF(Inputs!$B$38="pvp",15,MAX(0.1,Skills!D18-IF(Skills!E18=TRUE,Inputs!$B$32,0)))*(1-IF(AND(ArtifactsInput!$M$27,Inputs!$B$4="Chapter Hunt"),CHOOSE(ArtifactsInput!$N$27+1,20,24,28,32,36,40),0)/100)),0)</f>
        <v/>
      </c>
      <c r="R2069">
        <f>IF(AND(Inputs!$B$38&lt;&gt;"pvp",Inputs!$B$43&gt;0),IF(Inputs!$B$43&lt;=0,0,(INT(Inputs!$B$43/(IF(Inputs!$B$38="pvp",15,MAX(0.1,Skills!D18-IF(Skills!E18=TRUE,Inputs!$B$32,0)))*(1-IF(AND(ArtifactsInput!$M$27,Inputs!$B$4="Chapter Hunt"),CHOOSE(ArtifactsInput!$N$27+1,20,24,28,32,36,40),0)/100)))+1)),0)</f>
        <v/>
      </c>
      <c r="S2069">
        <f>IFERROR(O2069/N2069,0)</f>
        <v/>
      </c>
      <c r="T2069" t="n">
        <v>0</v>
      </c>
      <c r="V2069" t="n">
        <v>0</v>
      </c>
    </row>
    <row r="2070">
      <c r="A2070">
        <f>Skills!A19</f>
        <v/>
      </c>
      <c r="B2070">
        <f>Skills!B19</f>
        <v/>
      </c>
      <c r="C2070">
        <f>Inputs!$B$3&gt;=15</f>
        <v/>
      </c>
      <c r="D2070">
        <f>IF(Skills!C19=1,60+Inputs!$B$25+Inputs!$B$29,IF(Skills!C19=2,90+Inputs!$B$26+Inputs!$B$29,IF(Skills!C19=3,120+Inputs!$B$27+Inputs!$B$29,MAX(0,(Inputs!$B$3-100)*3)+Inputs!$B$28+Inputs!$B$29)))</f>
        <v/>
      </c>
      <c r="E2070">
        <f>INDEX(FactorTable!$B$2:$Y$301, MATCH(ROUND(MIN(300,MAX(1,D2070)),0), FactorTable!$A$2:$A$301,0), Skills!M19+1)</f>
        <v/>
      </c>
      <c r="F2070">
        <f>IF(Skills!N19=TRUE,(Skills!L19/10)*(E2070/1000),Skills!L19/10)+Skills!O19</f>
        <v/>
      </c>
      <c r="G2070">
        <f>Skills!G19*IF(Skills!H19&gt;0,Skills!I19/Skills!H19,1)</f>
        <v/>
      </c>
      <c r="H2070">
        <f>1-(1-Skills!J19/100)^Skills!K19</f>
        <v/>
      </c>
      <c r="I2070" t="inlineStr">
        <is>
          <t>1</t>
        </is>
      </c>
      <c r="J2070" t="inlineStr"/>
      <c r="K2070" t="inlineStr"/>
      <c r="L2070" t="inlineStr"/>
      <c r="M2070" t="inlineStr"/>
      <c r="N2070" t="inlineStr"/>
      <c r="O2070">
        <f>(1-Summary!$B$11)*T2070+Summary!$B$11*V2070</f>
        <v/>
      </c>
      <c r="P2070">
        <f>IF(B2092=0,0,O2070/B2092)</f>
        <v/>
      </c>
      <c r="Q2070" t="n">
        <v>0</v>
      </c>
      <c r="R2070" t="n">
        <v>0</v>
      </c>
      <c r="S2070">
        <f>IFERROR(O2070/N2070,0)</f>
        <v/>
      </c>
      <c r="T2070" t="n">
        <v>0</v>
      </c>
      <c r="V2070" t="n">
        <v>0</v>
      </c>
    </row>
    <row r="2071">
      <c r="A2071">
        <f>Skills!A20</f>
        <v/>
      </c>
      <c r="B2071">
        <f>Skills!B20</f>
        <v/>
      </c>
      <c r="C2071">
        <f>Inputs!$B$3&gt;=10</f>
        <v/>
      </c>
      <c r="D2071">
        <f>IF(Skills!C20=1,60+Inputs!$B$25+Inputs!$B$29,IF(Skills!C20=2,90+Inputs!$B$26+Inputs!$B$29,IF(Skills!C20=3,120+Inputs!$B$27+Inputs!$B$29,MAX(0,(Inputs!$B$3-100)*3)+Inputs!$B$28+Inputs!$B$29)))</f>
        <v/>
      </c>
      <c r="E2071">
        <f>INDEX(FactorTable!$B$2:$Y$301, MATCH(ROUND(MIN(300,MAX(1,D2071)),0), FactorTable!$A$2:$A$301,0), Skills!M20+1)</f>
        <v/>
      </c>
      <c r="F2071">
        <f>IF(Skills!N20=TRUE,(Skills!L20/10)*(E2071/1000),Skills!L20/10)+Skills!O20</f>
        <v/>
      </c>
      <c r="G2071">
        <f>Skills!G20*IF(Skills!H20&gt;0,Skills!I20/Skills!H20,1)</f>
        <v/>
      </c>
      <c r="H2071">
        <f>1-(1-Skills!J20/100)^Skills!K20</f>
        <v/>
      </c>
      <c r="I2071" t="inlineStr">
        <is>
          <t>1</t>
        </is>
      </c>
      <c r="J2071" t="inlineStr"/>
      <c r="K2071" t="inlineStr"/>
      <c r="L2071" t="inlineStr"/>
      <c r="M2071" t="inlineStr"/>
      <c r="N2071" t="inlineStr"/>
      <c r="O2071">
        <f>(1-Summary!$B$11)*T2071+Summary!$B$11*V2071</f>
        <v/>
      </c>
      <c r="P2071">
        <f>IF(B2092=0,0,O2071/B2092)</f>
        <v/>
      </c>
      <c r="Q2071" t="n">
        <v>0</v>
      </c>
      <c r="R2071" t="n">
        <v>0</v>
      </c>
      <c r="S2071">
        <f>IFERROR(O2071/N2071,0)</f>
        <v/>
      </c>
      <c r="T2071" t="n">
        <v>0</v>
      </c>
      <c r="V2071" t="n">
        <v>0</v>
      </c>
    </row>
    <row r="2072">
      <c r="A2072">
        <f>Skills!A21</f>
        <v/>
      </c>
      <c r="B2072">
        <f>Skills!B21</f>
        <v/>
      </c>
      <c r="C2072">
        <f>Inputs!$B$3&gt;=33</f>
        <v/>
      </c>
      <c r="D2072">
        <f>IF(Skills!C21=1,60+Inputs!$B$25+Inputs!$B$29,IF(Skills!C21=2,90+Inputs!$B$26+Inputs!$B$29,IF(Skills!C21=3,120+Inputs!$B$27+Inputs!$B$29,MAX(0,(Inputs!$B$3-100)*3)+Inputs!$B$28+Inputs!$B$29)))</f>
        <v/>
      </c>
      <c r="E2072">
        <f>INDEX(FactorTable!$B$2:$Y$301, MATCH(ROUND(MIN(300,MAX(1,D2072)),0), FactorTable!$A$2:$A$301,0), Skills!M21+1)</f>
        <v/>
      </c>
      <c r="F2072">
        <f>IF(Skills!N21=TRUE,(Skills!L21/10)*(E2072/1000),Skills!L21/10)+Skills!O21</f>
        <v/>
      </c>
      <c r="G2072">
        <f>Skills!G21*IF(Skills!H21&gt;0,Skills!I21/Skills!H21,1)</f>
        <v/>
      </c>
      <c r="H2072">
        <f>1-(1-Skills!J21/100)^Skills!K21</f>
        <v/>
      </c>
      <c r="I2072" t="inlineStr">
        <is>
          <t>1</t>
        </is>
      </c>
      <c r="J2072" t="inlineStr"/>
      <c r="K2072" t="inlineStr"/>
      <c r="L2072" t="inlineStr"/>
      <c r="M2072" t="inlineStr"/>
      <c r="N2072" t="inlineStr"/>
      <c r="O2072">
        <f>(1-Summary!$B$11)*T2072+Summary!$B$11*V2072</f>
        <v/>
      </c>
      <c r="P2072">
        <f>IF(B2092=0,0,O2072/B2092)</f>
        <v/>
      </c>
      <c r="Q2072" t="n">
        <v>0</v>
      </c>
      <c r="R2072" t="n">
        <v>0</v>
      </c>
      <c r="S2072">
        <f>IFERROR(O2072/N2072,0)</f>
        <v/>
      </c>
      <c r="T2072" t="n">
        <v>0</v>
      </c>
      <c r="V2072" t="n">
        <v>0</v>
      </c>
    </row>
    <row r="2073">
      <c r="A2073">
        <f>Skills!A22</f>
        <v/>
      </c>
      <c r="B2073">
        <f>Skills!B22</f>
        <v/>
      </c>
      <c r="C2073">
        <f>Inputs!$B$3&gt;=43</f>
        <v/>
      </c>
      <c r="D2073">
        <f>IF(Skills!C22=1,60+Inputs!$B$25+Inputs!$B$29,IF(Skills!C22=2,90+Inputs!$B$26+Inputs!$B$29,IF(Skills!C22=3,120+Inputs!$B$27+Inputs!$B$29,MAX(0,(Inputs!$B$3-100)*3)+Inputs!$B$28+Inputs!$B$29)))</f>
        <v/>
      </c>
      <c r="E2073">
        <f>INDEX(FactorTable!$B$2:$Y$301, MATCH(ROUND(MIN(300,MAX(1,D2073)),0), FactorTable!$A$2:$A$301,0), Skills!M22+1)</f>
        <v/>
      </c>
      <c r="F2073">
        <f>IF(Skills!N22=TRUE,(Skills!L22/10)*(E2073/1000),Skills!L22/10)+Skills!O22</f>
        <v/>
      </c>
      <c r="G2073">
        <f>Skills!G22*IF(Skills!H22&gt;0,Skills!I22/Skills!H22,1)</f>
        <v/>
      </c>
      <c r="H2073">
        <f>1-(1-Skills!J22/100)^Skills!K22</f>
        <v/>
      </c>
      <c r="I2073" t="inlineStr">
        <is>
          <t>1</t>
        </is>
      </c>
      <c r="J2073" t="inlineStr"/>
      <c r="K2073" t="inlineStr"/>
      <c r="L2073" t="inlineStr"/>
      <c r="M2073" t="inlineStr"/>
      <c r="N2073" t="inlineStr"/>
      <c r="O2073">
        <f>(1-Summary!$B$11)*T2073+Summary!$B$11*V2073</f>
        <v/>
      </c>
      <c r="P2073">
        <f>IF(B2092=0,0,O2073/B2092)</f>
        <v/>
      </c>
      <c r="Q2073" t="n">
        <v>0</v>
      </c>
      <c r="R2073" t="n">
        <v>0</v>
      </c>
      <c r="S2073">
        <f>IFERROR(O2073/N2073,0)</f>
        <v/>
      </c>
      <c r="T2073" t="n">
        <v>0</v>
      </c>
      <c r="V2073" t="n">
        <v>0</v>
      </c>
    </row>
    <row r="2074">
      <c r="A2074">
        <f>Skills!A23</f>
        <v/>
      </c>
      <c r="B2074">
        <f>Skills!B23</f>
        <v/>
      </c>
      <c r="C2074">
        <f>Inputs!$B$3&gt;=38</f>
        <v/>
      </c>
      <c r="D2074">
        <f>IF(Skills!C23=1,60+Inputs!$B$25+Inputs!$B$29,IF(Skills!C23=2,90+Inputs!$B$26+Inputs!$B$29,IF(Skills!C23=3,120+Inputs!$B$27+Inputs!$B$29,MAX(0,(Inputs!$B$3-100)*3)+Inputs!$B$28+Inputs!$B$29)))</f>
        <v/>
      </c>
      <c r="E2074">
        <f>INDEX(FactorTable!$B$2:$Y$301, MATCH(ROUND(MIN(300,MAX(1,D2074)),0), FactorTable!$A$2:$A$301,0), Skills!M23+1)</f>
        <v/>
      </c>
      <c r="F2074">
        <f>IF(Skills!N23=TRUE,(Skills!L23/10)*(E2074/1000),Skills!L23/10)+Skills!O23</f>
        <v/>
      </c>
      <c r="G2074">
        <f>Skills!G23*IF(Skills!H23&gt;0,Skills!I23/Skills!H23,1)</f>
        <v/>
      </c>
      <c r="H2074">
        <f>1-(1-Skills!J23/100)^Skills!K23</f>
        <v/>
      </c>
      <c r="I2074" t="inlineStr">
        <is>
          <t>1</t>
        </is>
      </c>
      <c r="J2074" t="inlineStr"/>
      <c r="K2074" t="inlineStr"/>
      <c r="L2074" t="inlineStr"/>
      <c r="M2074" t="inlineStr"/>
      <c r="N2074" t="inlineStr"/>
      <c r="O2074">
        <f>(1-Summary!$B$11)*T2074+Summary!$B$11*V2074</f>
        <v/>
      </c>
      <c r="P2074">
        <f>IF(B2092=0,0,O2074/B2092)</f>
        <v/>
      </c>
      <c r="Q2074" t="n">
        <v>0</v>
      </c>
      <c r="R2074" t="n">
        <v>0</v>
      </c>
      <c r="S2074">
        <f>IFERROR(O2074/N2074,0)</f>
        <v/>
      </c>
      <c r="T2074" t="n">
        <v>0</v>
      </c>
      <c r="V2074" t="n">
        <v>0</v>
      </c>
    </row>
    <row r="2075">
      <c r="A2075">
        <f>Skills!A24</f>
        <v/>
      </c>
      <c r="B2075">
        <f>Skills!B24</f>
        <v/>
      </c>
      <c r="C2075">
        <f>Inputs!$B$3&gt;=40</f>
        <v/>
      </c>
      <c r="D2075">
        <f>IF(Skills!C24=1,60+Inputs!$B$25+Inputs!$B$29,IF(Skills!C24=2,90+Inputs!$B$26+Inputs!$B$29,IF(Skills!C24=3,120+Inputs!$B$27+Inputs!$B$29,MAX(0,(Inputs!$B$3-100)*3)+Inputs!$B$28+Inputs!$B$29)))</f>
        <v/>
      </c>
      <c r="E2075">
        <f>INDEX(FactorTable!$B$2:$Y$301, MATCH(ROUND(MIN(300,MAX(1,D2075)),0), FactorTable!$A$2:$A$301,0), Skills!M24+1)</f>
        <v/>
      </c>
      <c r="F2075">
        <f>IF(Skills!N24=TRUE,(Skills!L24/10)*(E2075/1000),Skills!L24/10)+Skills!O24</f>
        <v/>
      </c>
      <c r="G2075">
        <f>Skills!G24*IF(Skills!H24&gt;0,Skills!I24/Skills!H24,1)</f>
        <v/>
      </c>
      <c r="H2075">
        <f>1-(1-Skills!J24/100)^Skills!K24</f>
        <v/>
      </c>
      <c r="I2075" t="inlineStr">
        <is>
          <t>1</t>
        </is>
      </c>
      <c r="J2075" t="inlineStr"/>
      <c r="K2075" t="inlineStr"/>
      <c r="L2075" t="inlineStr"/>
      <c r="M2075" t="inlineStr"/>
      <c r="N2075" t="inlineStr"/>
      <c r="O2075">
        <f>(1-Summary!$B$11)*T2075+Summary!$B$11*V2075</f>
        <v/>
      </c>
      <c r="P2075">
        <f>IF(B2092=0,0,O2075/B2092)</f>
        <v/>
      </c>
      <c r="Q2075" t="n">
        <v>0</v>
      </c>
      <c r="R2075" t="n">
        <v>0</v>
      </c>
      <c r="S2075">
        <f>IFERROR(O2075/N2075,0)</f>
        <v/>
      </c>
      <c r="T2075" t="n">
        <v>0</v>
      </c>
      <c r="V2075" t="n">
        <v>0</v>
      </c>
    </row>
    <row r="2076">
      <c r="A2076">
        <f>Skills!A25</f>
        <v/>
      </c>
      <c r="B2076">
        <f>Skills!B25</f>
        <v/>
      </c>
      <c r="C2076">
        <f>Inputs!$B$3&gt;=72</f>
        <v/>
      </c>
      <c r="D2076">
        <f>IF(Skills!C25=1,60+Inputs!$B$25+Inputs!$B$29,IF(Skills!C25=2,90+Inputs!$B$26+Inputs!$B$29,IF(Skills!C25=3,120+Inputs!$B$27+Inputs!$B$29,MAX(0,(Inputs!$B$3-100)*3)+Inputs!$B$28+Inputs!$B$29)))</f>
        <v/>
      </c>
      <c r="E2076">
        <f>INDEX(FactorTable!$B$2:$Y$301, MATCH(ROUND(MIN(300,MAX(1,D2076)),0), FactorTable!$A$2:$A$301,0), Skills!M25+1)</f>
        <v/>
      </c>
      <c r="F2076">
        <f>IF(Skills!N25=TRUE,(Skills!L25/10)*(E2076/1000),Skills!L25/10)+Skills!O25</f>
        <v/>
      </c>
      <c r="G2076">
        <f>Skills!G25*IF(Skills!H25&gt;0,Skills!I25/Skills!H25,1)</f>
        <v/>
      </c>
      <c r="H2076">
        <f>1-(1-Skills!J25/100)^Skills!K25</f>
        <v/>
      </c>
      <c r="I2076" t="inlineStr">
        <is>
          <t>1</t>
        </is>
      </c>
      <c r="J2076" t="inlineStr"/>
      <c r="K2076" t="inlineStr"/>
      <c r="L2076" t="inlineStr"/>
      <c r="M2076" t="inlineStr"/>
      <c r="N2076" t="inlineStr"/>
      <c r="O2076">
        <f>(1-Summary!$B$11)*T2076+Summary!$B$11*V2076</f>
        <v/>
      </c>
      <c r="P2076">
        <f>IF(B2092=0,0,O2076/B2092)</f>
        <v/>
      </c>
      <c r="Q2076" t="n">
        <v>0</v>
      </c>
      <c r="R2076" t="n">
        <v>0</v>
      </c>
      <c r="S2076">
        <f>IFERROR(O2076/N2076,0)</f>
        <v/>
      </c>
      <c r="T2076" t="n">
        <v>0</v>
      </c>
      <c r="V2076" t="n">
        <v>0</v>
      </c>
    </row>
    <row r="2077">
      <c r="A2077">
        <f>Skills!A26</f>
        <v/>
      </c>
      <c r="B2077">
        <f>Skills!B26</f>
        <v/>
      </c>
      <c r="C2077">
        <f>Inputs!$B$3&gt;=75</f>
        <v/>
      </c>
      <c r="D2077">
        <f>IF(Skills!C26=1,60+Inputs!$B$25+Inputs!$B$29,IF(Skills!C26=2,90+Inputs!$B$26+Inputs!$B$29,IF(Skills!C26=3,120+Inputs!$B$27+Inputs!$B$29,MAX(0,(Inputs!$B$3-100)*3)+Inputs!$B$28+Inputs!$B$29)))</f>
        <v/>
      </c>
      <c r="E2077">
        <f>INDEX(FactorTable!$B$2:$Y$301, MATCH(ROUND(MIN(300,MAX(1,D2077)),0), FactorTable!$A$2:$A$301,0), Skills!M26+1)</f>
        <v/>
      </c>
      <c r="F2077">
        <f>IF(Skills!N26=TRUE,(Skills!L26/10)*(E2077/1000),Skills!L26/10)+Skills!O26</f>
        <v/>
      </c>
      <c r="G2077">
        <f>Skills!G26*IF(Skills!H26&gt;0,Skills!I26/Skills!H26,1)</f>
        <v/>
      </c>
      <c r="H2077">
        <f>1-(1-Skills!J26/100)^Skills!K26</f>
        <v/>
      </c>
      <c r="I2077" t="inlineStr">
        <is>
          <t>1</t>
        </is>
      </c>
      <c r="J2077" t="inlineStr"/>
      <c r="K2077" t="inlineStr"/>
      <c r="L2077" t="inlineStr"/>
      <c r="M2077" t="inlineStr"/>
      <c r="N2077" t="inlineStr"/>
      <c r="O2077">
        <f>(1-Summary!$B$11)*T2077+Summary!$B$11*V2077</f>
        <v/>
      </c>
      <c r="P2077">
        <f>IF(B2092=0,0,O2077/B2092)</f>
        <v/>
      </c>
      <c r="Q2077" t="n">
        <v>0</v>
      </c>
      <c r="R2077" t="n">
        <v>0</v>
      </c>
      <c r="S2077">
        <f>IFERROR(O2077/N2077,0)</f>
        <v/>
      </c>
      <c r="T2077" t="n">
        <v>0</v>
      </c>
      <c r="V2077" t="n">
        <v>0</v>
      </c>
    </row>
    <row r="2078">
      <c r="A2078">
        <f>Skills!A27</f>
        <v/>
      </c>
      <c r="B2078">
        <f>Skills!B27</f>
        <v/>
      </c>
      <c r="C2078">
        <f>Inputs!$B$3&gt;=117</f>
        <v/>
      </c>
      <c r="D2078">
        <f>IF(Skills!C27=1,60+Inputs!$B$25+Inputs!$B$29,IF(Skills!C27=2,90+Inputs!$B$26+Inputs!$B$29,IF(Skills!C27=3,120+Inputs!$B$27+Inputs!$B$29,MAX(0,(Inputs!$B$3-100)*3)+Inputs!$B$28+Inputs!$B$29)))</f>
        <v/>
      </c>
      <c r="E2078">
        <f>INDEX(FactorTable!$B$2:$Y$301, MATCH(ROUND(MIN(300,MAX(1,D2078)),0), FactorTable!$A$2:$A$301,0), Skills!M27+1)</f>
        <v/>
      </c>
      <c r="F2078">
        <f>IF(Skills!N27=TRUE,(Skills!L27/10)*(E2078/1000),Skills!L27/10)+Skills!O27</f>
        <v/>
      </c>
      <c r="G2078">
        <f>Skills!G27*IF(Skills!H27&gt;0,Skills!I27/Skills!H27,1)</f>
        <v/>
      </c>
      <c r="H2078">
        <f>1-(1-Skills!J27/100)^Skills!K27</f>
        <v/>
      </c>
      <c r="I2078" t="inlineStr">
        <is>
          <t>1</t>
        </is>
      </c>
      <c r="J2078" t="inlineStr"/>
      <c r="K2078" t="inlineStr"/>
      <c r="L2078" t="inlineStr"/>
      <c r="M2078" t="inlineStr"/>
      <c r="N2078" t="inlineStr"/>
      <c r="O2078">
        <f>(1-Summary!$B$11)*T2078+Summary!$B$11*V2078</f>
        <v/>
      </c>
      <c r="P2078">
        <f>IF(B2092=0,0,O2078/B2092)</f>
        <v/>
      </c>
      <c r="Q2078" t="n">
        <v>0</v>
      </c>
      <c r="R2078" t="n">
        <v>0</v>
      </c>
      <c r="S2078">
        <f>IFERROR(O2078/N2078,0)</f>
        <v/>
      </c>
      <c r="T2078" t="n">
        <v>0</v>
      </c>
      <c r="V2078" t="n">
        <v>0</v>
      </c>
    </row>
    <row r="2079">
      <c r="A2079">
        <f>Skills!A28</f>
        <v/>
      </c>
      <c r="B2079">
        <f>Skills!B28</f>
        <v/>
      </c>
      <c r="C2079">
        <f>TRUE</f>
        <v/>
      </c>
      <c r="D2079">
        <f>IF(Skills!C28=1,60+Inputs!$B$25+Inputs!$B$29,IF(Skills!C28=2,90+Inputs!$B$26+Inputs!$B$29,IF(Skills!C28=3,120+Inputs!$B$27+Inputs!$B$29,MAX(0,(Inputs!$B$3-100)*3)+Inputs!$B$28+Inputs!$B$29)))</f>
        <v/>
      </c>
      <c r="E2079">
        <f>INDEX(FactorTable!$B$2:$Y$301, MATCH(ROUND(MIN(300,MAX(1,D2079)),0), FactorTable!$A$2:$A$301,0), Skills!M28+1)</f>
        <v/>
      </c>
      <c r="F2079">
        <f>IF(Skills!N28=TRUE,(Skills!L28/10)*(E2079/1000),Skills!L28/10)+Skills!O28</f>
        <v/>
      </c>
      <c r="G2079">
        <f>Skills!G28*IF(Skills!H28&gt;0,Skills!I28/Skills!H28,1)</f>
        <v/>
      </c>
      <c r="H2079">
        <f>1-(1-Skills!J28/100)^Skills!K28</f>
        <v/>
      </c>
      <c r="I2079" t="inlineStr">
        <is>
          <t>1</t>
        </is>
      </c>
      <c r="J2079" t="inlineStr"/>
      <c r="K2079" t="inlineStr"/>
      <c r="L2079" t="inlineStr"/>
      <c r="M2079" t="inlineStr"/>
      <c r="N2079" t="inlineStr"/>
      <c r="O2079">
        <f>(1-Summary!$B$11)*T2079+Summary!$B$11*V2079</f>
        <v/>
      </c>
      <c r="P2079">
        <f>IF(B2092=0,0,O2079/B2092)</f>
        <v/>
      </c>
      <c r="Q2079">
        <f>IFERROR(1/(IF(Inputs!$B$38="pvp",15,MAX(0.1,Skills!D28-IF(Skills!E28=TRUE,Inputs!$B$32,0)))*(1-IF(AND(ArtifactsInput!$M$27,Inputs!$B$4="Chapter Hunt"),CHOOSE(ArtifactsInput!$N$27+1,20,24,28,32,36,40),0)/100)),0)</f>
        <v/>
      </c>
      <c r="R2079">
        <f>IF(AND(Inputs!$B$38&lt;&gt;"pvp",Inputs!$B$43&gt;0),IF(Inputs!$B$43&lt;=0,0,(INT(Inputs!$B$43/(IF(Inputs!$B$38="pvp",15,MAX(0.1,Skills!D28-IF(Skills!E28=TRUE,Inputs!$B$32,0)))*(1-IF(AND(ArtifactsInput!$M$27,Inputs!$B$4="Chapter Hunt"),CHOOSE(ArtifactsInput!$N$27+1,20,24,28,32,36,40),0)/100)))+1)),0)</f>
        <v/>
      </c>
      <c r="S2079">
        <f>IFERROR(O2079/N2079,0)</f>
        <v/>
      </c>
      <c r="T2079" t="n">
        <v>0</v>
      </c>
      <c r="V2079" t="n">
        <v>0</v>
      </c>
    </row>
    <row r="2081">
      <c r="A2081" t="inlineStr">
        <is>
          <t>Attack% Bucket Multiplier</t>
        </is>
      </c>
      <c r="B2081">
        <f>(1+(((C2068=TRUE)*F2068*5/7)+((C2075=TRUE)*(F2075-Calc!F24))+(IF(ArtifactsInput!$M$21,CHOOSE(ArtifactsInput!$N$21+1,25,30,35,40,45,50)*(IF(OR(Inputs!$B$4="Chapter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82">
      <c r="A2082" t="inlineStr">
        <is>
          <t>Global Crit Rate Bonus %</t>
        </is>
      </c>
      <c r="B2082" t="n">
        <v>0</v>
      </c>
    </row>
    <row r="2083">
      <c r="A2083" t="inlineStr">
        <is>
          <t>Attack Speed Buff Bonus % (Nimble Feet, duty-cycle averaged)</t>
        </is>
      </c>
      <c r="B2083">
        <f>((C2079=TRUE)*F2079*IF(AND(Inputs!$B$38&lt;&gt;"pvp",Inputs!$B$43&gt;0),(((R2079-1)*(Skills!T28*(1+Inputs!$B$34/100))+MIN((Skills!T28*(1+Inputs!$B$34/100)),MAX(0,Inputs!$B$43-((R2079-1)*Skills!D28))))/Inputs!$B$43),IF(Inputs!$B$38="pvp",MIN((Skills!T28*(1+Inputs!$B$34/100)),15)/15,(Skills!T28*(1+Inputs!$B$34/100))/Skills!D28)))</f>
        <v/>
      </c>
    </row>
    <row r="2084">
      <c r="A2084" t="inlineStr">
        <is>
          <t>Actions Per Second</t>
        </is>
      </c>
      <c r="B2084">
        <f>1+MIN(150,150*(1-(1-(Inputs!$B$11+((C2071=TRUE)*(F2071-Calc!F20))+((C2072=TRUE)*(F2072-Calc!F21)))/150)*(1-B2083/150)))/100</f>
        <v/>
      </c>
    </row>
    <row r="2085">
      <c r="A2085" t="inlineStr">
        <is>
          <t>Skill + Buff Cast Rate</t>
        </is>
      </c>
      <c r="B2085">
        <f>IF(AND(Inputs!$B$38&lt;&gt;"pvp",Inputs!$B$43&gt;0),SUMPRODUCT((Skills!E2:E28=TRUE)*(C2053:C2079=TRUE)*R2053:R2079*Skills!F2:F28)/Inputs!$B$43,SUMPRODUCT((Skills!E2:E28=TRUE)*(C2053:C2079=TRUE)*Q2053:Q2079*Skills!F2:F28))</f>
        <v/>
      </c>
    </row>
    <row r="2086">
      <c r="A2086" t="inlineStr">
        <is>
          <t>Eight-Legs Easton Casts Per Second</t>
        </is>
      </c>
      <c r="B2086">
        <f>MAX(0,B2084-B2085)</f>
        <v/>
      </c>
    </row>
    <row r="2087">
      <c r="A2087" t="inlineStr">
        <is>
          <t>Global Critical Damage Bonus % (unused)</t>
        </is>
      </c>
      <c r="B2087" t="n">
        <v>0</v>
      </c>
    </row>
    <row r="2088">
      <c r="A2088" t="inlineStr">
        <is>
          <t>Global Final Damage Bonus % (Jolly Roger + Ahoy Mateys - Final Damage proc)</t>
        </is>
      </c>
      <c r="B2088">
        <f>((C2069=TRUE)*F2069*IF(AND(Inputs!$B$38&lt;&gt;"pvp",Inputs!$B$43&gt;0),(((R2069-1)*(Skills!T18*(1+Inputs!$B$34/100))+MIN((Skills!T18*(1+Inputs!$B$34/100)),MAX(0,Inputs!$B$43-((R2069-1)*Skills!D18))))/Inputs!$B$43),IF(Inputs!$B$38="pvp",MIN((Skills!T18*(1+Inputs!$B$34/100)),15)/15,(Skills!T18*(1+Inputs!$B$34/100))/Skills!D18)))+IF(Inputs!$B$3&gt;=122,20*IF(Inputs!$B$38="pvp",MIN((20*(1+Inputs!$B$34/100)),15)/15,(20*(1+Inputs!$B$34/100))/Skills!D4),0)</f>
        <v/>
      </c>
    </row>
    <row r="2089">
      <c r="A2089" t="inlineStr">
        <is>
          <t>Buff-Casting Startup Delay (s, fixed-duration only)</t>
        </is>
      </c>
      <c r="B2089">
        <f>IF(AND(Inputs!$B$38&lt;&gt;"pvp",Inputs!$B$43&gt;0),SUMPRODUCT((Skills!T2:T28&gt;0)*(Skills!E2:E28=TRUE)*(C2053:C2079=TRUE))/B2084,0)</f>
        <v/>
      </c>
    </row>
    <row r="2090">
      <c r="A2090" t="inlineStr">
        <is>
          <t>Boss-Only Total DPS (this block's swept value)</t>
        </is>
      </c>
      <c r="B2090">
        <f>SUM(T2053:T2079)</f>
        <v/>
      </c>
    </row>
    <row r="2091">
      <c r="A2091" t="inlineStr">
        <is>
          <t>Normal-Only Total DPS (this block's swept value)</t>
        </is>
      </c>
      <c r="B2091">
        <f>SUM(V2053:V2079)</f>
        <v/>
      </c>
    </row>
    <row r="2092">
      <c r="A2092" s="6" t="inlineStr">
        <is>
          <t>TOTAL DPS</t>
        </is>
      </c>
      <c r="B2092" s="6">
        <f>SUM(O2053:O2079)</f>
        <v/>
      </c>
    </row>
    <row r="2095">
      <c r="A2095" s="6" t="inlineStr">
        <is>
          <t>Stat: Soul Contract (Equip)</t>
        </is>
      </c>
    </row>
    <row r="2096">
      <c r="A2096" s="5" t="inlineStr">
        <is>
          <t>Key</t>
        </is>
      </c>
      <c r="B2096" s="5" t="inlineStr">
        <is>
          <t>Name</t>
        </is>
      </c>
      <c r="C2096" s="5" t="inlineStr">
        <is>
          <t>Unlocked</t>
        </is>
      </c>
      <c r="D2096" s="5" t="inlineStr">
        <is>
          <t>InputLevel</t>
        </is>
      </c>
      <c r="E2096" s="5" t="inlineStr">
        <is>
          <t>Factor</t>
        </is>
      </c>
      <c r="F2096" s="5" t="inlineStr">
        <is>
          <t>CoefficientPercent</t>
        </is>
      </c>
      <c r="G2096" s="5" t="inlineStr">
        <is>
          <t>EffectiveHits</t>
        </is>
      </c>
      <c r="H2096" s="5" t="inlineStr">
        <is>
          <t>ProcProbability</t>
        </is>
      </c>
      <c r="I2096" s="5" t="inlineStr">
        <is>
          <t>MapleHeroMultiplier</t>
        </is>
      </c>
      <c r="J2096" s="5" t="inlineStr">
        <is>
          <t>BaseDamage</t>
        </is>
      </c>
      <c r="K2096" s="5" t="inlineStr">
        <is>
          <t>BaseHitDamage</t>
        </is>
      </c>
      <c r="L2096" s="5" t="inlineStr">
        <is>
          <t>NonCritAvg</t>
        </is>
      </c>
      <c r="M2096" s="5" t="inlineStr">
        <is>
          <t>CritAvg</t>
        </is>
      </c>
      <c r="N2096" s="5" t="inlineStr">
        <is>
          <t>ExpectedDamage(perHit)</t>
        </is>
      </c>
      <c r="O2096" s="5" t="inlineStr">
        <is>
          <t>DPS</t>
        </is>
      </c>
      <c r="P2096" s="5" t="inlineStr">
        <is>
          <t>% of Total</t>
        </is>
      </c>
      <c r="Q2096" s="5" t="inlineStr">
        <is>
          <t>InvCooldown</t>
        </is>
      </c>
      <c r="R2096" s="5" t="inlineStr">
        <is>
          <t>CastsInFight</t>
        </is>
      </c>
      <c r="S2096" s="5" t="inlineStr">
        <is>
          <t>HitRate(perSec)</t>
        </is>
      </c>
      <c r="U2096" t="inlineStr">
        <is>
          <t>helpers</t>
        </is>
      </c>
    </row>
    <row r="2097">
      <c r="A2097">
        <f>Skills!A2</f>
        <v/>
      </c>
      <c r="B2097">
        <f>Skills!B2</f>
        <v/>
      </c>
      <c r="C2097">
        <f>Inputs!$B$3&gt;=100</f>
        <v/>
      </c>
      <c r="D2097" t="inlineStr"/>
      <c r="E2097" t="inlineStr"/>
      <c r="F2097">
        <f>U2099+Skills!O2</f>
        <v/>
      </c>
      <c r="G2097">
        <f>Skills!G2*IF(Skills!H2&gt;0,Skills!I2/Skills!H2,1)</f>
        <v/>
      </c>
      <c r="H2097">
        <f>1-(1-Skills!J2/100)^Skills!K2</f>
        <v/>
      </c>
      <c r="I2097" t="inlineStr">
        <is>
          <t>1</t>
        </is>
      </c>
      <c r="J2097">
        <f>((Inputs!$B$6*(1+Inputs!$B$7/100))+(((Inputs!$B$12*(1+Inputs!$B$13/100))-(Inputs!$B$12*(1+Inputs!$B$13/100)))+0.25*(Inputs!$B$14-Inputs!$B$14))*(1+Inputs!$B$7/100))*(F2097/100)</f>
        <v/>
      </c>
      <c r="K2097">
        <f>J2097*(1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2097)</f>
        <v/>
      </c>
      <c r="L2097">
        <f>K2097*(MIN(Inputs!$B$22+((C2117=TRUE)*(F2117-Calc!F22)),(Inputs!$B$23+0+(IF(ArtifactsInput!$M$15,CHOOSE(ArtifactsInput!$N$15+1,25,30,35,40,45,50)/100*(Inputs!$B$11-Inputs!$B$11),0))))/100+(Inputs!$B$23+0+(IF(ArtifactsInput!$M$15,CHOOSE(ArtifactsInput!$N$15+1,25,30,35,40,45,50)/100*(Inputs!$B$11-Inputs!$B$11),0)))/100)/2</f>
        <v/>
      </c>
      <c r="M2097">
        <f>L2097*(1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7">
        <f>L2097*(1-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2097*(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7">
        <f>(1-Summary!$B$11)*T2097+Summary!$B$11*V2097</f>
        <v/>
      </c>
      <c r="P2097">
        <f>IF(B2136=0,0,O2097/B2136)</f>
        <v/>
      </c>
      <c r="Q2097" t="n">
        <v>0</v>
      </c>
      <c r="R2097" t="n">
        <v>0</v>
      </c>
      <c r="S2097">
        <f>IFERROR(O2097/N2097,0)</f>
        <v/>
      </c>
      <c r="T2097">
        <f>IF(C2097,(Skills!G2*N2097*B2130)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2097*(1-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2097*(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2097*(1-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2097*(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7">
        <f>MAX(0,(Inputs!$B$3-100)*3)+Inputs!$B$28+Inputs!$B$29</f>
        <v/>
      </c>
      <c r="V2097">
        <f>IF(C2097,(Skills!G2*N2097*B2130)*IF(Inputs!$B$38="pvp",1,(1+(Inputs!$B$21+Skills!Q2+(IF(ArtifactsInput!$M$33,CHOOSE(ArtifactsInput!$N$33+1,30,36,42,48,54,60),0))+(IF(AND(ArtifactsInput!$M$35,Inputs!$B$4&lt;&gt;"Chapter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8">
      <c r="A2098">
        <f>Skills!A3</f>
        <v/>
      </c>
      <c r="B2098">
        <f>Skills!B3</f>
        <v/>
      </c>
      <c r="C2098">
        <f>Inputs!$B$3&gt;=35</f>
        <v/>
      </c>
      <c r="D2098">
        <f>IF(Skills!C3=1,60+Inputs!$B$25+Inputs!$B$29,IF(Skills!C3=2,90+Inputs!$B$26+Inputs!$B$29,IF(Skills!C3=3,120+Inputs!$B$27+Inputs!$B$29,MAX(0,(Inputs!$B$3-100)*3)+Inputs!$B$28+Inputs!$B$29)))</f>
        <v/>
      </c>
      <c r="E2098">
        <f>INDEX(FactorTable!$B$2:$Y$301, MATCH(ROUND(MIN(300,MAX(1,D2098)),0), FactorTable!$A$2:$A$301,0), Skills!M3+1)</f>
        <v/>
      </c>
      <c r="F2098">
        <f>IF(Skills!N3=TRUE,(Skills!L3/10)*(E2098/1000),Skills!L3/10)+Skills!O3</f>
        <v/>
      </c>
      <c r="G2098">
        <f>Skills!G3*IF(Skills!H3&gt;0,Skills!I3/Skills!H3,1)</f>
        <v/>
      </c>
      <c r="H2098">
        <f>1-(1-Skills!J3/100)^Skills!K3</f>
        <v/>
      </c>
      <c r="I2098" t="inlineStr">
        <is>
          <t>1</t>
        </is>
      </c>
      <c r="J2098">
        <f>((Inputs!$B$6*(1+Inputs!$B$7/100))+(((Inputs!$B$12*(1+Inputs!$B$13/100))-(Inputs!$B$12*(1+Inputs!$B$13/100)))+0.25*(Inputs!$B$14-Inputs!$B$14))*(1+Inputs!$B$7/100))*(F2098/100)</f>
        <v/>
      </c>
      <c r="K2098">
        <f>J2098*(1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2110=TRUE,F2110,0)/100)*(1+(IF(Skills!A3="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2098)</f>
        <v/>
      </c>
      <c r="L2098">
        <f>K2098*(MIN(Inputs!$B$22+((C2117=TRUE)*(F2117-Calc!F22)),(Inputs!$B$23+0+(IF(ArtifactsInput!$M$15,CHOOSE(ArtifactsInput!$N$15+1,25,30,35,40,45,50)/100*(Inputs!$B$11-Inputs!$B$11),0))))/100+(Inputs!$B$23+0+(IF(ArtifactsInput!$M$15,CHOOSE(ArtifactsInput!$N$15+1,25,30,35,40,45,50)/100*(Inputs!$B$11-Inputs!$B$11),0)))/100)/2</f>
        <v/>
      </c>
      <c r="M2098">
        <f>L2098*(1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8">
        <f>L2098*(1-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2098*(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8">
        <f>(1-Summary!$B$11)*T2098+Summary!$B$11*V2098</f>
        <v/>
      </c>
      <c r="P2098">
        <f>IF(B2136=0,0,O2098/B2136)</f>
        <v/>
      </c>
      <c r="Q2098">
        <f>IFERROR(1/(IF(Inputs!$B$38="pvp",15,MAX(0.1,Skills!D3-IF(Skills!E3=TRUE,Inputs!$B$32,0)))*(1-IF(AND(IF(ArtifactsInput!$M$27,FALSE,TRUE),Inputs!$B$4="Chapter Hunt"),CHOOSE(ArtifactsInput!$N$27+1,20,24,28,32,36,40),0)/100)),0)</f>
        <v/>
      </c>
      <c r="R2098">
        <f>IF(AND(Inputs!$B$38&lt;&gt;"pvp",Inputs!$B$43&gt;0),IF(MAX(0,Inputs!$B$43-B2133)&lt;=0,0,(INT(MAX(0,Inputs!$B$43-B2133)/(IF(Inputs!$B$38="pvp",15,MAX(0.1,Skills!D3-IF(Skills!E3=TRUE,Inputs!$B$32,0)))*(1-IF(AND(IF(ArtifactsInput!$M$27,FALSE,TRUE),Inputs!$B$4="Chapter Hunt"),CHOOSE(ArtifactsInput!$N$27+1,20,24,28,32,36,40),0)/100)))+1)),0)</f>
        <v/>
      </c>
      <c r="S2098">
        <f>IFERROR(O2098/N2098,0)</f>
        <v/>
      </c>
      <c r="T2098">
        <f>IF(C2098,(H2098*N2098*IF(AND(Inputs!$B$38&lt;&gt;"pvp",Inputs!$B$43&gt;0),((Skills!G3*((R2098-1)*IF(Skills!H3&gt;0,Skills!I3/Skills!H3,1)+IF(Skills!H3&gt;0,MIN(Skills!I3,MAX(0,MAX(0,Inputs!$B$43-B2133)-((R2098-1)*(IF(Inputs!$B$38="pvp",15,MAX(0.1,Skills!D3-IF(Skills!E3=TRUE,Inputs!$B$32,0)))*(1-IF(AND(IF(ArtifactsInput!$M$27,FALSE,TRUE),Inputs!$B$4="Chapter Hunt"),CHOOSE(ArtifactsInput!$N$27+1,20,24,28,32,36,40),0)/100)))))/Skills!H3,1)))/Inputs!$B$43),G2098*Q2098)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2098*(1-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2098*(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2098*(1-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2098*(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8">
        <f>INDEX(FactorTable!$B$2:$Y$301, MATCH(ROUND(MIN(300,MAX(1,U2097)),0), FactorTable!$A$2:$A$301,0), 22)</f>
        <v/>
      </c>
      <c r="V2098">
        <f>IF(C2098,(H2098*N2098*IF(AND(Inputs!$B$38&lt;&gt;"pvp",Inputs!$B$43&gt;0),((Skills!G3*((R2098-1)*IF(Skills!H3&gt;0,Skills!I3/Skills!H3,1)+IF(Skills!H3&gt;0,MIN(Skills!I3,MAX(0,MAX(0,Inputs!$B$43-B2133)-((R2098-1)*(IF(Inputs!$B$38="pvp",15,MAX(0.1,Skills!D3-IF(Skills!E3=TRUE,Inputs!$B$32,0)))*(1-IF(AND(IF(ArtifactsInput!$M$27,FALSE,TRUE),Inputs!$B$4="Chapter Hunt"),CHOOSE(ArtifactsInput!$N$27+1,20,24,28,32,36,40),0)/100)))))/Skills!H3,1)))/Inputs!$B$43),G2098*Q2098))*IF(Inputs!$B$38="pvp",1,(1+(Inputs!$B$21+Skills!Q3+(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9">
      <c r="A2099">
        <f>Skills!A4</f>
        <v/>
      </c>
      <c r="B2099">
        <f>Skills!B4</f>
        <v/>
      </c>
      <c r="C2099">
        <f>Inputs!$B$3&gt;=40</f>
        <v/>
      </c>
      <c r="D2099">
        <f>IF(Skills!C4=1,60+Inputs!$B$25+Inputs!$B$29,IF(Skills!C4=2,90+Inputs!$B$26+Inputs!$B$29,IF(Skills!C4=3,120+Inputs!$B$27+Inputs!$B$29,MAX(0,(Inputs!$B$3-100)*3)+Inputs!$B$28+Inputs!$B$29)))</f>
        <v/>
      </c>
      <c r="E2099">
        <f>INDEX(FactorTable!$B$2:$Y$301, MATCH(ROUND(MIN(300,MAX(1,D2099)),0), FactorTable!$A$2:$A$301,0), Skills!M4+1)</f>
        <v/>
      </c>
      <c r="F2099">
        <f>IF(Skills!N4=TRUE,(Skills!L4/10)*(E2099/1000),Skills!L4/10)+Skills!O4</f>
        <v/>
      </c>
      <c r="G2099">
        <f>Skills!G4*IF(Skills!H4&gt;0,Skills!I4/Skills!H4,1)</f>
        <v/>
      </c>
      <c r="H2099">
        <f>1-(1-Skills!J4/100)^Skills!K4</f>
        <v/>
      </c>
      <c r="I2099" t="inlineStr">
        <is>
          <t>1</t>
        </is>
      </c>
      <c r="J2099">
        <f>((Inputs!$B$6*(1+Inputs!$B$7/100))+(((Inputs!$B$12*(1+Inputs!$B$13/100))-(Inputs!$B$12*(1+Inputs!$B$13/100)))+0.25*(Inputs!$B$14-Inputs!$B$14))*(1+Inputs!$B$7/100))*(F2099/100)</f>
        <v/>
      </c>
      <c r="K2099">
        <f>J2099*(1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2111=TRUE,F2111,0)/100)*(1+(IF(Skills!A4="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2099)</f>
        <v/>
      </c>
      <c r="L2099">
        <f>K2099*(MIN(Inputs!$B$22+((C2117=TRUE)*(F2117-Calc!F22)),(Inputs!$B$23+0+(IF(ArtifactsInput!$M$15,CHOOSE(ArtifactsInput!$N$15+1,25,30,35,40,45,50)/100*(Inputs!$B$11-Inputs!$B$11),0))))/100+(Inputs!$B$23+0+(IF(ArtifactsInput!$M$15,CHOOSE(ArtifactsInput!$N$15+1,25,30,35,40,45,50)/100*(Inputs!$B$11-Inputs!$B$11),0)))/100)/2</f>
        <v/>
      </c>
      <c r="M2099">
        <f>L2099*(1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9">
        <f>L2099*(1-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2099*(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9">
        <f>(1-Summary!$B$11)*T2099+Summary!$B$11*V2099</f>
        <v/>
      </c>
      <c r="P2099">
        <f>IF(B2136=0,0,O2099/B2136)</f>
        <v/>
      </c>
      <c r="Q2099">
        <f>IFERROR(1/(IF(Inputs!$B$38="pvp",15,MAX(0.1,Skills!D4-IF(Skills!E4=TRUE,Inputs!$B$32,0)))*(1-IF(AND(IF(ArtifactsInput!$M$27,FALSE,TRUE),Inputs!$B$4="Chapter Hunt"),CHOOSE(ArtifactsInput!$N$27+1,20,24,28,32,36,40),0)/100)),0)</f>
        <v/>
      </c>
      <c r="R2099">
        <f>IF(AND(Inputs!$B$38&lt;&gt;"pvp",Inputs!$B$43&gt;0),IF(MAX(0,Inputs!$B$43-B2133)&lt;=0,0,(INT(MAX(0,Inputs!$B$43-B2133)/(IF(Inputs!$B$38="pvp",15,MAX(0.1,Skills!D4-IF(Skills!E4=TRUE,Inputs!$B$32,0)))*(1-IF(AND(IF(ArtifactsInput!$M$27,FALSE,TRUE),Inputs!$B$4="Chapter Hunt"),CHOOSE(ArtifactsInput!$N$27+1,20,24,28,32,36,40),0)/100)))+1)),0)</f>
        <v/>
      </c>
      <c r="S2099">
        <f>IFERROR(O2099/N2099,0)</f>
        <v/>
      </c>
      <c r="T2099">
        <f>IF(C2099,(H2099*N2099*IF(AND(Inputs!$B$38&lt;&gt;"pvp",Inputs!$B$43&gt;0),((Skills!G4*((R2099-1)*IF(Skills!H4&gt;0,Skills!I4/Skills!H4,1)+IF(Skills!H4&gt;0,MIN(Skills!I4,MAX(0,MAX(0,Inputs!$B$43-B2133)-((R2099-1)*(IF(Inputs!$B$38="pvp",15,MAX(0.1,Skills!D4-IF(Skills!E4=TRUE,Inputs!$B$32,0)))*(1-IF(AND(IF(ArtifactsInput!$M$27,FALSE,TRUE),Inputs!$B$4="Chapter Hunt"),CHOOSE(ArtifactsInput!$N$27+1,20,24,28,32,36,40),0)/100)))))/Skills!H4,1)))/Inputs!$B$43),G2099*Q2099)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2099*(1-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2099*(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2099*(1-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2099*(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9">
        <f>290*U2098/1000</f>
        <v/>
      </c>
      <c r="V2099">
        <f>IF(C2099,(H2099*N2099*IF(AND(Inputs!$B$38&lt;&gt;"pvp",Inputs!$B$43&gt;0),((Skills!G4*((R2099-1)*IF(Skills!H4&gt;0,Skills!I4/Skills!H4,1)+IF(Skills!H4&gt;0,MIN(Skills!I4,MAX(0,MAX(0,Inputs!$B$43-B2133)-((R2099-1)*(IF(Inputs!$B$38="pvp",15,MAX(0.1,Skills!D4-IF(Skills!E4=TRUE,Inputs!$B$32,0)))*(1-IF(AND(IF(ArtifactsInput!$M$27,FALSE,TRUE),Inputs!$B$4="Chapter Hunt"),CHOOSE(ArtifactsInput!$N$27+1,20,24,28,32,36,40),0)/100)))))/Skills!H4,1)))/Inputs!$B$43),G2099*Q2099))*IF(Inputs!$B$38="pvp",1,(1+(Inputs!$B$21+Skills!Q4+(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0">
      <c r="A2100">
        <f>Skills!A5</f>
        <v/>
      </c>
      <c r="B2100">
        <f>Skills!B5</f>
        <v/>
      </c>
      <c r="C2100">
        <f>Inputs!$B$3&gt;=45</f>
        <v/>
      </c>
      <c r="D2100">
        <f>IF(Skills!C5=1,60+Inputs!$B$25+Inputs!$B$29,IF(Skills!C5=2,90+Inputs!$B$26+Inputs!$B$29,IF(Skills!C5=3,120+Inputs!$B$27+Inputs!$B$29,MAX(0,(Inputs!$B$3-100)*3)+Inputs!$B$28+Inputs!$B$29)))</f>
        <v/>
      </c>
      <c r="E2100">
        <f>INDEX(FactorTable!$B$2:$Y$301, MATCH(ROUND(MIN(300,MAX(1,D2100)),0), FactorTable!$A$2:$A$301,0), Skills!M5+1)</f>
        <v/>
      </c>
      <c r="F2100">
        <f>IF(Skills!N5=TRUE,(Skills!L5/10)*(E2100/1000),Skills!L5/10)+Skills!O5</f>
        <v/>
      </c>
      <c r="G2100">
        <f>Skills!G5*IF(Skills!H5&gt;0,Skills!I5/Skills!H5,1)</f>
        <v/>
      </c>
      <c r="H2100">
        <f>1-(1-Skills!J5/100)^Skills!K5</f>
        <v/>
      </c>
      <c r="I2100" t="inlineStr">
        <is>
          <t>1</t>
        </is>
      </c>
      <c r="J2100">
        <f>((Inputs!$B$6*(1+Inputs!$B$7/100))+(((Inputs!$B$12*(1+Inputs!$B$13/100))-(Inputs!$B$12*(1+Inputs!$B$13/100)))+0.25*(Inputs!$B$14-Inputs!$B$14))*(1+Inputs!$B$7/100))*(F2100/100)</f>
        <v/>
      </c>
      <c r="K2100">
        <f>J2100*(1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2111=TRUE,F2111,0)/100)*(1+(IF(Skills!A5="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2100)</f>
        <v/>
      </c>
      <c r="L2100">
        <f>K2100*(MIN(Inputs!$B$22+((C2117=TRUE)*(F2117-Calc!F22)),(Inputs!$B$23+0+(IF(ArtifactsInput!$M$15,CHOOSE(ArtifactsInput!$N$15+1,25,30,35,40,45,50)/100*(Inputs!$B$11-Inputs!$B$11),0))))/100+(Inputs!$B$23+0+(IF(ArtifactsInput!$M$15,CHOOSE(ArtifactsInput!$N$15+1,25,30,35,40,45,50)/100*(Inputs!$B$11-Inputs!$B$11),0)))/100)/2</f>
        <v/>
      </c>
      <c r="M2100">
        <f>L2100*(1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0">
        <f>L2100*(1-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2100*(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0">
        <f>(1-Summary!$B$11)*T2100+Summary!$B$11*V2100</f>
        <v/>
      </c>
      <c r="P2100">
        <f>IF(B2136=0,0,O2100/B2136)</f>
        <v/>
      </c>
      <c r="Q2100">
        <f>IFERROR(1/(IF(Inputs!$B$38="pvp",15,MAX(0.1,Skills!D5-IF(Skills!E5=TRUE,Inputs!$B$32,0)))*(1-IF(AND(IF(ArtifactsInput!$M$27,FALSE,TRUE),Inputs!$B$4="Chapter Hunt"),CHOOSE(ArtifactsInput!$N$27+1,20,24,28,32,36,40),0)/100)),0)</f>
        <v/>
      </c>
      <c r="R2100">
        <f>IF(AND(Inputs!$B$38&lt;&gt;"pvp",Inputs!$B$43&gt;0),IF(MAX(0,Inputs!$B$43-B2133)&lt;=0,0,(INT(MAX(0,Inputs!$B$43-B2133)/(IF(Inputs!$B$38="pvp",15,MAX(0.1,Skills!D5-IF(Skills!E5=TRUE,Inputs!$B$32,0)))*(1-IF(AND(IF(ArtifactsInput!$M$27,FALSE,TRUE),Inputs!$B$4="Chapter Hunt"),CHOOSE(ArtifactsInput!$N$27+1,20,24,28,32,36,40),0)/100)))+1)),0)</f>
        <v/>
      </c>
      <c r="S2100">
        <f>IFERROR(O2100/N2100,0)</f>
        <v/>
      </c>
      <c r="T2100">
        <f>IF(C2100,(H2100*N2100*IF(AND(Inputs!$B$38&lt;&gt;"pvp",Inputs!$B$43&gt;0),((Skills!G5*((R2100-1)*IF(Skills!H5&gt;0,Skills!I5/Skills!H5,1)+IF(Skills!H5&gt;0,MIN(Skills!I5,MAX(0,MAX(0,Inputs!$B$43-B2133)-((R2100-1)*(IF(Inputs!$B$38="pvp",15,MAX(0.1,Skills!D5-IF(Skills!E5=TRUE,Inputs!$B$32,0)))*(1-IF(AND(IF(ArtifactsInput!$M$27,FALSE,TRUE),Inputs!$B$4="Chapter Hunt"),CHOOSE(ArtifactsInput!$N$27+1,20,24,28,32,36,40),0)/100)))))/Skills!H5,1)))/Inputs!$B$43),G2100*Q2100)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2100*(1-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2100*(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2100*(1-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2100*(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0">
        <f>IF(C2100,(H2100*N2100*IF(AND(Inputs!$B$38&lt;&gt;"pvp",Inputs!$B$43&gt;0),((Skills!G5*((R2100-1)*IF(Skills!H5&gt;0,Skills!I5/Skills!H5,1)+IF(Skills!H5&gt;0,MIN(Skills!I5,MAX(0,MAX(0,Inputs!$B$43-B2133)-((R2100-1)*(IF(Inputs!$B$38="pvp",15,MAX(0.1,Skills!D5-IF(Skills!E5=TRUE,Inputs!$B$32,0)))*(1-IF(AND(IF(ArtifactsInput!$M$27,FALSE,TRUE),Inputs!$B$4="Chapter Hunt"),CHOOSE(ArtifactsInput!$N$27+1,20,24,28,32,36,40),0)/100)))))/Skills!H5,1)))/Inputs!$B$43),G2100*Q2100))*IF(Inputs!$B$38="pvp",1,(1+(Inputs!$B$21+Skills!Q5+(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1">
      <c r="A2101">
        <f>Skills!A6</f>
        <v/>
      </c>
      <c r="B2101">
        <f>Skills!B6</f>
        <v/>
      </c>
      <c r="C2101">
        <f>Inputs!$B$3&gt;=63</f>
        <v/>
      </c>
      <c r="D2101">
        <f>IF(Skills!C6=1,60+Inputs!$B$25+Inputs!$B$29,IF(Skills!C6=2,90+Inputs!$B$26+Inputs!$B$29,IF(Skills!C6=3,120+Inputs!$B$27+Inputs!$B$29,MAX(0,(Inputs!$B$3-100)*3)+Inputs!$B$28+Inputs!$B$29)))</f>
        <v/>
      </c>
      <c r="E2101">
        <f>INDEX(FactorTable!$B$2:$Y$301, MATCH(ROUND(MIN(300,MAX(1,D2101)),0), FactorTable!$A$2:$A$301,0), Skills!M6+1)</f>
        <v/>
      </c>
      <c r="F2101">
        <f>IF(Skills!N6=TRUE,(Skills!L6/10)*(E2101/1000),Skills!L6/10)+Skills!O6</f>
        <v/>
      </c>
      <c r="G2101">
        <f>Skills!G6*IF(Skills!H6&gt;0,Skills!I6/Skills!H6,1)</f>
        <v/>
      </c>
      <c r="H2101">
        <f>1-(1-Skills!J6/100)^Skills!K6</f>
        <v/>
      </c>
      <c r="I2101" t="inlineStr">
        <is>
          <t>1</t>
        </is>
      </c>
      <c r="J2101">
        <f>((Inputs!$B$6*(1+Inputs!$B$7/100))+(((Inputs!$B$12*(1+Inputs!$B$13/100))-(Inputs!$B$12*(1+Inputs!$B$13/100)))+0.25*(Inputs!$B$14-Inputs!$B$14))*(1+Inputs!$B$7/100))*(F2101/100)</f>
        <v/>
      </c>
      <c r="K2101">
        <f>J2101*(1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2110=TRUE,F2110,0)/100)*(1+(IF(Skills!A6="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2101)</f>
        <v/>
      </c>
      <c r="L2101">
        <f>K2101*(MIN(Inputs!$B$22+((C2117=TRUE)*(F2117-Calc!F22)),(Inputs!$B$23+0+(IF(ArtifactsInput!$M$15,CHOOSE(ArtifactsInput!$N$15+1,25,30,35,40,45,50)/100*(Inputs!$B$11-Inputs!$B$11),0))))/100+(Inputs!$B$23+0+(IF(ArtifactsInput!$M$15,CHOOSE(ArtifactsInput!$N$15+1,25,30,35,40,45,50)/100*(Inputs!$B$11-Inputs!$B$11),0)))/100)/2</f>
        <v/>
      </c>
      <c r="M2101">
        <f>L2101*(1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1">
        <f>L2101*(1-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1">
        <f>(1-Summary!$B$11)*T2101+Summary!$B$11*V2101</f>
        <v/>
      </c>
      <c r="P2101">
        <f>IF(B2136=0,0,O2101/B2136)</f>
        <v/>
      </c>
      <c r="Q2101">
        <f>IFERROR(1/(IF(Inputs!$B$38="pvp",15,MAX(0.1,Skills!D6-IF(Skills!E6=TRUE,Inputs!$B$32,0)))*(1-IF(AND(IF(ArtifactsInput!$M$27,FALSE,TRUE),Inputs!$B$4="Chapter Hunt"),CHOOSE(ArtifactsInput!$N$27+1,20,24,28,32,36,40),0)/100)),0)</f>
        <v/>
      </c>
      <c r="R2101">
        <f>IF(AND(Inputs!$B$38&lt;&gt;"pvp",Inputs!$B$43&gt;0),IF(MAX(0,Inputs!$B$43-B2133)&lt;=0,0,(INT(MAX(0,Inputs!$B$43-B2133)/(IF(Inputs!$B$38="pvp",15,MAX(0.1,Skills!D6-IF(Skills!E6=TRUE,Inputs!$B$32,0)))*(1-IF(AND(IF(ArtifactsInput!$M$27,FALSE,TRUE),Inputs!$B$4="Chapter Hunt"),CHOOSE(ArtifactsInput!$N$27+1,20,24,28,32,36,40),0)/100)))+1)),0)</f>
        <v/>
      </c>
      <c r="S2101">
        <f>IFERROR(O2101/N2101,0)</f>
        <v/>
      </c>
      <c r="T2101">
        <f>IF(C2101,(H2101*N2101*IF(AND(Inputs!$B$38&lt;&gt;"pvp",Inputs!$B$43&gt;0),((Skills!G6*((R2101-1)*IF(Skills!H6&gt;0,Skills!I6/Skills!H6,1)+IF(Skills!H6&gt;0,MIN(Skills!I6,MAX(0,MAX(0,Inputs!$B$43-B2133)-((R2101-1)*(IF(Inputs!$B$38="pvp",15,MAX(0.1,Skills!D6-IF(Skills!E6=TRUE,Inputs!$B$32,0)))*(1-IF(AND(IF(ArtifactsInput!$M$27,FALSE,TRUE),Inputs!$B$4="Chapter Hunt"),CHOOSE(ArtifactsInput!$N$27+1,20,24,28,32,36,40),0)/100)))))/Skills!H6,1)))/Inputs!$B$43),G2101*Q2101)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2101*(1-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1">
        <f>IF(C2101,(H2101*N2101*IF(AND(Inputs!$B$38&lt;&gt;"pvp",Inputs!$B$43&gt;0),((Skills!G6*((R2101-1)*IF(Skills!H6&gt;0,Skills!I6/Skills!H6,1)+IF(Skills!H6&gt;0,MIN(Skills!I6,MAX(0,MAX(0,Inputs!$B$43-B2133)-((R2101-1)*(IF(Inputs!$B$38="pvp",15,MAX(0.1,Skills!D6-IF(Skills!E6=TRUE,Inputs!$B$32,0)))*(1-IF(AND(IF(ArtifactsInput!$M$27,FALSE,TRUE),Inputs!$B$4="Chapter Hunt"),CHOOSE(ArtifactsInput!$N$27+1,20,24,28,32,36,40),0)/100)))))/Skills!H6,1)))/Inputs!$B$43),G2101*Q2101))*IF(Inputs!$B$38="pvp",1,(1+(Inputs!$B$21+Skills!Q6+(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2">
      <c r="A2102">
        <f>Skills!A7</f>
        <v/>
      </c>
      <c r="B2102">
        <f>Skills!B7</f>
        <v/>
      </c>
      <c r="C2102">
        <f>Inputs!$B$3&gt;=66</f>
        <v/>
      </c>
      <c r="D2102">
        <f>IF(Skills!C7=1,60+Inputs!$B$25+Inputs!$B$29,IF(Skills!C7=2,90+Inputs!$B$26+Inputs!$B$29,IF(Skills!C7=3,120+Inputs!$B$27+Inputs!$B$29,MAX(0,(Inputs!$B$3-100)*3)+Inputs!$B$28+Inputs!$B$29)))</f>
        <v/>
      </c>
      <c r="E2102">
        <f>INDEX(FactorTable!$B$2:$Y$301, MATCH(ROUND(MIN(300,MAX(1,D2102)),0), FactorTable!$A$2:$A$301,0), Skills!M7+1)</f>
        <v/>
      </c>
      <c r="F2102">
        <f>IF(Skills!N7=TRUE,(Skills!L7/10)*(E2102/1000),Skills!L7/10)+Skills!O7</f>
        <v/>
      </c>
      <c r="G2102">
        <f>Skills!G7*IF(Skills!H7&gt;0,Skills!I7/Skills!H7,1)</f>
        <v/>
      </c>
      <c r="H2102">
        <f>1-(1-Skills!J7/100)^Skills!K7</f>
        <v/>
      </c>
      <c r="I2102" t="inlineStr">
        <is>
          <t>1</t>
        </is>
      </c>
      <c r="J2102">
        <f>((Inputs!$B$6*(1+Inputs!$B$7/100))+(((Inputs!$B$12*(1+Inputs!$B$13/100))-(Inputs!$B$12*(1+Inputs!$B$13/100)))+0.25*(Inputs!$B$14-Inputs!$B$14))*(1+Inputs!$B$7/100))*(F2102/100)</f>
        <v/>
      </c>
      <c r="K2102">
        <f>J2102*(1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2110=TRUE,F2110,0)/100)*(1+(IF(Skills!A7="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2102)</f>
        <v/>
      </c>
      <c r="L2102">
        <f>K2102*(MIN(Inputs!$B$22+((C2117=TRUE)*(F2117-Calc!F22)),(Inputs!$B$23+0+(IF(ArtifactsInput!$M$15,CHOOSE(ArtifactsInput!$N$15+1,25,30,35,40,45,50)/100*(Inputs!$B$11-Inputs!$B$11),0))))/100+(Inputs!$B$23+0+(IF(ArtifactsInput!$M$15,CHOOSE(ArtifactsInput!$N$15+1,25,30,35,40,45,50)/100*(Inputs!$B$11-Inputs!$B$11),0)))/100)/2</f>
        <v/>
      </c>
      <c r="M2102">
        <f>L2102*(1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2">
        <f>L2102*(1-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2102*(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2">
        <f>(1-Summary!$B$11)*T2102+Summary!$B$11*V2102</f>
        <v/>
      </c>
      <c r="P2102">
        <f>IF(B2136=0,0,O2102/B2136)</f>
        <v/>
      </c>
      <c r="Q2102">
        <f>IFERROR(1/(IF(Inputs!$B$38="pvp",15,MAX(0.1,Skills!D7-IF(Skills!E7=TRUE,Inputs!$B$32,0)))*(1-IF(AND(IF(ArtifactsInput!$M$27,FALSE,TRUE),Inputs!$B$4="Chapter Hunt"),CHOOSE(ArtifactsInput!$N$27+1,20,24,28,32,36,40),0)/100)),0)</f>
        <v/>
      </c>
      <c r="R2102">
        <f>IF(AND(Inputs!$B$38&lt;&gt;"pvp",Inputs!$B$43&gt;0),IF(MAX(0,Inputs!$B$43-B2133)&lt;=0,0,(INT(MAX(0,Inputs!$B$43-B2133)/(IF(Inputs!$B$38="pvp",15,MAX(0.1,Skills!D7-IF(Skills!E7=TRUE,Inputs!$B$32,0)))*(1-IF(AND(IF(ArtifactsInput!$M$27,FALSE,TRUE),Inputs!$B$4="Chapter Hunt"),CHOOSE(ArtifactsInput!$N$27+1,20,24,28,32,36,40),0)/100)))+1)),0)</f>
        <v/>
      </c>
      <c r="S2102">
        <f>IFERROR(O2102/N2102,0)</f>
        <v/>
      </c>
      <c r="T2102">
        <f>IF(C2102,(H2102*N2102*IF(AND(Inputs!$B$38&lt;&gt;"pvp",Inputs!$B$43&gt;0),((Skills!G7*((R2102-1)*IF(Skills!H7&gt;0,Skills!I7/Skills!H7,1)+IF(Skills!H7&gt;0,MIN(Skills!I7,MAX(0,MAX(0,Inputs!$B$43-B2133)-((R2102-1)*(IF(Inputs!$B$38="pvp",15,MAX(0.1,Skills!D7-IF(Skills!E7=TRUE,Inputs!$B$32,0)))*(1-IF(AND(IF(ArtifactsInput!$M$27,FALSE,TRUE),Inputs!$B$4="Chapter Hunt"),CHOOSE(ArtifactsInput!$N$27+1,20,24,28,32,36,40),0)/100)))))/Skills!H7,1)))/Inputs!$B$43),G2102*Q2102)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2102*(1-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2102*(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2102*(1-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2102*(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2">
        <f>IF(C2102,(H2102*N2102*IF(AND(Inputs!$B$38&lt;&gt;"pvp",Inputs!$B$43&gt;0),((Skills!G7*((R2102-1)*IF(Skills!H7&gt;0,Skills!I7/Skills!H7,1)+IF(Skills!H7&gt;0,MIN(Skills!I7,MAX(0,MAX(0,Inputs!$B$43-B2133)-((R2102-1)*(IF(Inputs!$B$38="pvp",15,MAX(0.1,Skills!D7-IF(Skills!E7=TRUE,Inputs!$B$32,0)))*(1-IF(AND(IF(ArtifactsInput!$M$27,FALSE,TRUE),Inputs!$B$4="Chapter Hunt"),CHOOSE(ArtifactsInput!$N$27+1,20,24,28,32,36,40),0)/100)))))/Skills!H7,1)))/Inputs!$B$43),G2102*Q2102))*IF(Inputs!$B$38="pvp",1,(1+(Inputs!$B$21+Skills!Q7+(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3">
      <c r="A2103">
        <f>Skills!A8</f>
        <v/>
      </c>
      <c r="B2103">
        <f>Skills!B8</f>
        <v/>
      </c>
      <c r="C2103">
        <f>Inputs!$B$3&gt;=100</f>
        <v/>
      </c>
      <c r="D2103">
        <f>IF(Skills!C8=1,60+Inputs!$B$25+Inputs!$B$29,IF(Skills!C8=2,90+Inputs!$B$26+Inputs!$B$29,IF(Skills!C8=3,120+Inputs!$B$27+Inputs!$B$29,MAX(0,(Inputs!$B$3-100)*3)+Inputs!$B$28+Inputs!$B$29)))</f>
        <v/>
      </c>
      <c r="E2103">
        <f>INDEX(FactorTable!$B$2:$Y$301, MATCH(ROUND(MIN(300,MAX(1,D2103)),0), FactorTable!$A$2:$A$301,0), Skills!M8+1)</f>
        <v/>
      </c>
      <c r="F2103">
        <f>IF(Skills!N8=TRUE,(Skills!L8/10)*(E2103/1000),Skills!L8/10)+Skills!O8</f>
        <v/>
      </c>
      <c r="G2103">
        <f>Skills!G8*IF(Skills!H8&gt;0,Skills!I8/Skills!H8,1)</f>
        <v/>
      </c>
      <c r="H2103">
        <f>1-(1-Skills!J8/100)^Skills!K8</f>
        <v/>
      </c>
      <c r="I2103" t="inlineStr">
        <is>
          <t>1</t>
        </is>
      </c>
      <c r="J2103">
        <f>((Inputs!$B$6*(1+Inputs!$B$7/100))+(((Inputs!$B$12*(1+Inputs!$B$13/100))-(Inputs!$B$12*(1+Inputs!$B$13/100)))+0.25*(Inputs!$B$14-Inputs!$B$14))*(1+Inputs!$B$7/100))*(F2103/100)</f>
        <v/>
      </c>
      <c r="K2103">
        <f>J2103*(1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2103)</f>
        <v/>
      </c>
      <c r="L2103">
        <f>K2103*(MIN(Inputs!$B$22+((C2117=TRUE)*(F2117-Calc!F22)),(Inputs!$B$23+0+(IF(ArtifactsInput!$M$15,CHOOSE(ArtifactsInput!$N$15+1,25,30,35,40,45,50)/100*(Inputs!$B$11-Inputs!$B$11),0))))/100+(Inputs!$B$23+0+(IF(ArtifactsInput!$M$15,CHOOSE(ArtifactsInput!$N$15+1,25,30,35,40,45,50)/100*(Inputs!$B$11-Inputs!$B$11),0)))/100)/2</f>
        <v/>
      </c>
      <c r="M2103">
        <f>L2103*(1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3">
        <f>L2103*(1-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2103*(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3">
        <f>(1-Summary!$B$11)*T2103+Summary!$B$11*V2103</f>
        <v/>
      </c>
      <c r="P2103">
        <f>IF(B2136=0,0,O2103/B2136)</f>
        <v/>
      </c>
      <c r="Q2103">
        <f>IFERROR(1/(IF(Inputs!$B$38="pvp",15,MAX(0.1,Skills!D8-IF(Skills!E8=TRUE,Inputs!$B$32,0)))*(1-IF(AND(IF(ArtifactsInput!$M$27,FALSE,TRUE),Inputs!$B$4="Chapter Hunt"),CHOOSE(ArtifactsInput!$N$27+1,20,24,28,32,36,40),0)/100)),0)</f>
        <v/>
      </c>
      <c r="R2103">
        <f>IF(AND(Inputs!$B$38&lt;&gt;"pvp",Inputs!$B$43&gt;0),IF(MAX(0,Inputs!$B$43-B2133)&lt;=0,0,(INT(MAX(0,Inputs!$B$43-B2133)/(IF(Inputs!$B$38="pvp",15,MAX(0.1,Skills!D8-IF(Skills!E8=TRUE,Inputs!$B$32,0)))*(1-IF(AND(IF(ArtifactsInput!$M$27,FALSE,TRUE),Inputs!$B$4="Chapter Hunt"),CHOOSE(ArtifactsInput!$N$27+1,20,24,28,32,36,40),0)/100)))+1)),0)</f>
        <v/>
      </c>
      <c r="S2103">
        <f>IFERROR(O2103/N2103,0)</f>
        <v/>
      </c>
      <c r="T2103">
        <f>IF(C2103,(H2103*N2103*IF(AND(Inputs!$B$38&lt;&gt;"pvp",Inputs!$B$43&gt;0),((Skills!G8*((R2103-1)*IF(Skills!H8&gt;0,Skills!I8/Skills!H8,1)+IF(Skills!H8&gt;0,MIN(Skills!I8,MAX(0,MAX(0,Inputs!$B$43-B2133)-((R2103-1)*(IF(Inputs!$B$38="pvp",15,MAX(0.1,Skills!D8-IF(Skills!E8=TRUE,Inputs!$B$32,0)))*(1-IF(AND(IF(ArtifactsInput!$M$27,FALSE,TRUE),Inputs!$B$4="Chapter Hunt"),CHOOSE(ArtifactsInput!$N$27+1,20,24,28,32,36,40),0)/100)))))/Skills!H8,1)))/Inputs!$B$43),G2103*Q2103)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2103*(1-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2103*(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2103*(1-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2103*(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3">
        <f>IF(C2103,(H2103*N2103*IF(AND(Inputs!$B$38&lt;&gt;"pvp",Inputs!$B$43&gt;0),((Skills!G8*((R2103-1)*IF(Skills!H8&gt;0,Skills!I8/Skills!H8,1)+IF(Skills!H8&gt;0,MIN(Skills!I8,MAX(0,MAX(0,Inputs!$B$43-B2133)-((R2103-1)*(IF(Inputs!$B$38="pvp",15,MAX(0.1,Skills!D8-IF(Skills!E8=TRUE,Inputs!$B$32,0)))*(1-IF(AND(IF(ArtifactsInput!$M$27,FALSE,TRUE),Inputs!$B$4="Chapter Hunt"),CHOOSE(ArtifactsInput!$N$27+1,20,24,28,32,36,40),0)/100)))))/Skills!H8,1)))/Inputs!$B$43),G2103*Q2103))*IF(Inputs!$B$38="pvp",1,(1+(Inputs!$B$21+Skills!Q8+(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4">
      <c r="A2104">
        <f>Skills!A9</f>
        <v/>
      </c>
      <c r="B2104">
        <f>Skills!B9</f>
        <v/>
      </c>
      <c r="C2104">
        <f>Inputs!$B$3&gt;=103</f>
        <v/>
      </c>
      <c r="D2104">
        <f>IF(Skills!C9=1,60+Inputs!$B$25+Inputs!$B$29,IF(Skills!C9=2,90+Inputs!$B$26+Inputs!$B$29,IF(Skills!C9=3,120+Inputs!$B$27+Inputs!$B$29,MAX(0,(Inputs!$B$3-100)*3)+Inputs!$B$28+Inputs!$B$29)))</f>
        <v/>
      </c>
      <c r="E2104">
        <f>INDEX(FactorTable!$B$2:$Y$301, MATCH(ROUND(MIN(300,MAX(1,D2104)),0), FactorTable!$A$2:$A$301,0), Skills!M9+1)</f>
        <v/>
      </c>
      <c r="F2104">
        <f>IF(Skills!N9=TRUE,(Skills!L9/10)*(E2104/1000),Skills!L9/10)+Skills!O9</f>
        <v/>
      </c>
      <c r="G2104">
        <f>Skills!G9*IF(Skills!H9&gt;0,Skills!I9/Skills!H9,1)</f>
        <v/>
      </c>
      <c r="H2104">
        <f>1-(1-Skills!J9/100)^Skills!K9</f>
        <v/>
      </c>
      <c r="I2104" t="inlineStr">
        <is>
          <t>1</t>
        </is>
      </c>
      <c r="J2104">
        <f>((Inputs!$B$6*(1+Inputs!$B$7/100))+(((Inputs!$B$12*(1+Inputs!$B$13/100))-(Inputs!$B$12*(1+Inputs!$B$13/100)))+0.25*(Inputs!$B$14-Inputs!$B$14))*(1+Inputs!$B$7/100))*(F2104/100)</f>
        <v/>
      </c>
      <c r="K2104">
        <f>J2104*(1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2104)</f>
        <v/>
      </c>
      <c r="L2104">
        <f>K2104*(MIN(Inputs!$B$22+((C2117=TRUE)*(F2117-Calc!F22)),(Inputs!$B$23+0+(IF(ArtifactsInput!$M$15,CHOOSE(ArtifactsInput!$N$15+1,25,30,35,40,45,50)/100*(Inputs!$B$11-Inputs!$B$11),0))))/100+(Inputs!$B$23+0+(IF(ArtifactsInput!$M$15,CHOOSE(ArtifactsInput!$N$15+1,25,30,35,40,45,50)/100*(Inputs!$B$11-Inputs!$B$11),0)))/100)/2</f>
        <v/>
      </c>
      <c r="M2104">
        <f>L2104*(1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4">
        <f>L2104*(1-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2104*(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4">
        <f>(1-Summary!$B$11)*T2104+Summary!$B$11*V2104</f>
        <v/>
      </c>
      <c r="P2104">
        <f>IF(B2136=0,0,O2104/B2136)</f>
        <v/>
      </c>
      <c r="Q2104">
        <f>IFERROR(1/(IF(Inputs!$B$38="pvp",15,MAX(0.1,Skills!D9-IF(Skills!E9=TRUE,Inputs!$B$32,0)))*(1-IF(AND(IF(ArtifactsInput!$M$27,FALSE,TRUE),Inputs!$B$4="Chapter Hunt"),CHOOSE(ArtifactsInput!$N$27+1,20,24,28,32,36,40),0)/100)),0)</f>
        <v/>
      </c>
      <c r="R2104">
        <f>IF(AND(Inputs!$B$38&lt;&gt;"pvp",Inputs!$B$43&gt;0),IF(MAX(0,Inputs!$B$43-B2133)&lt;=0,0,(INT(MAX(0,Inputs!$B$43-B2133)/(IF(Inputs!$B$38="pvp",15,MAX(0.1,Skills!D9-IF(Skills!E9=TRUE,Inputs!$B$32,0)))*(1-IF(AND(IF(ArtifactsInput!$M$27,FALSE,TRUE),Inputs!$B$4="Chapter Hunt"),CHOOSE(ArtifactsInput!$N$27+1,20,24,28,32,36,40),0)/100)))+1)),0)</f>
        <v/>
      </c>
      <c r="S2104">
        <f>IFERROR(O2104/N2104,0)</f>
        <v/>
      </c>
      <c r="T2104">
        <f>IF(C2104,(H2104*N2104*IF(AND(Inputs!$B$38&lt;&gt;"pvp",Inputs!$B$43&gt;0),((Skills!G9*((R2104-1)*IF(Skills!H9&gt;0,Skills!I9/Skills!H9,1)+IF(Skills!H9&gt;0,MIN(Skills!I9,MAX(0,MAX(0,Inputs!$B$43-B2133)-((R2104-1)*(IF(Inputs!$B$38="pvp",15,MAX(0.1,Skills!D9-IF(Skills!E9=TRUE,Inputs!$B$32,0)))*(1-IF(AND(IF(ArtifactsInput!$M$27,FALSE,TRUE),Inputs!$B$4="Chapter Hunt"),CHOOSE(ArtifactsInput!$N$27+1,20,24,28,32,36,40),0)/100)))))/Skills!H9,1)))/Inputs!$B$43),G2104*Q2104)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2104*(1-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2104*(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2104*(1-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2104*(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4">
        <f>IF(C2104,(H2104*N2104*IF(AND(Inputs!$B$38&lt;&gt;"pvp",Inputs!$B$43&gt;0),((Skills!G9*((R2104-1)*IF(Skills!H9&gt;0,Skills!I9/Skills!H9,1)+IF(Skills!H9&gt;0,MIN(Skills!I9,MAX(0,MAX(0,Inputs!$B$43-B2133)-((R2104-1)*(IF(Inputs!$B$38="pvp",15,MAX(0.1,Skills!D9-IF(Skills!E9=TRUE,Inputs!$B$32,0)))*(1-IF(AND(IF(ArtifactsInput!$M$27,FALSE,TRUE),Inputs!$B$4="Chapter Hunt"),CHOOSE(ArtifactsInput!$N$27+1,20,24,28,32,36,40),0)/100)))))/Skills!H9,1)))/Inputs!$B$43),G2104*Q2104))*IF(Inputs!$B$38="pvp",1,(1+(Inputs!$B$21+Skills!Q9+(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5">
      <c r="A2105">
        <f>Skills!A10</f>
        <v/>
      </c>
      <c r="B2105">
        <f>Skills!B10</f>
        <v/>
      </c>
      <c r="C2105">
        <f>Inputs!$B$3&gt;=113</f>
        <v/>
      </c>
      <c r="D2105">
        <f>IF(Skills!C10=1,60+Inputs!$B$25+Inputs!$B$29,IF(Skills!C10=2,90+Inputs!$B$26+Inputs!$B$29,IF(Skills!C10=3,120+Inputs!$B$27+Inputs!$B$29,MAX(0,(Inputs!$B$3-100)*3)+Inputs!$B$28+Inputs!$B$29)))</f>
        <v/>
      </c>
      <c r="E2105">
        <f>INDEX(FactorTable!$B$2:$Y$301, MATCH(ROUND(MIN(300,MAX(1,D2105)),0), FactorTable!$A$2:$A$301,0), Skills!M10+1)</f>
        <v/>
      </c>
      <c r="F2105">
        <f>IF(Skills!N10=TRUE,(Skills!L10/10)*(E2105/1000),Skills!L10/10)+Skills!O10</f>
        <v/>
      </c>
      <c r="G2105">
        <f>Skills!G10*IF(Skills!H10&gt;0,Skills!I10/Skills!H10,1)</f>
        <v/>
      </c>
      <c r="H2105">
        <f>1-(1-Skills!J10/100)^Skills!K10</f>
        <v/>
      </c>
      <c r="I2105" t="inlineStr">
        <is>
          <t>1</t>
        </is>
      </c>
      <c r="J2105">
        <f>((Inputs!$B$6*(1+Inputs!$B$7/100))+(((Inputs!$B$12*(1+Inputs!$B$13/100))-(Inputs!$B$12*(1+Inputs!$B$13/100)))+0.25*(Inputs!$B$14-Inputs!$B$14))*(1+Inputs!$B$7/100))*(F2105/100)</f>
        <v/>
      </c>
      <c r="K2105">
        <f>J2105*(1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2105)</f>
        <v/>
      </c>
      <c r="L2105">
        <f>K2105*(MIN(Inputs!$B$22+((C2117=TRUE)*(F2117-Calc!F22)),(Inputs!$B$23+0+(IF(ArtifactsInput!$M$15,CHOOSE(ArtifactsInput!$N$15+1,25,30,35,40,45,50)/100*(Inputs!$B$11-Inputs!$B$11),0))))/100+(Inputs!$B$23+0+(IF(ArtifactsInput!$M$15,CHOOSE(ArtifactsInput!$N$15+1,25,30,35,40,45,50)/100*(Inputs!$B$11-Inputs!$B$11),0)))/100)/2</f>
        <v/>
      </c>
      <c r="M2105">
        <f>L2105*(1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5">
        <f>L2105*(1-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2105*(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5">
        <f>(1-Summary!$B$11)*T2105+Summary!$B$11*V2105</f>
        <v/>
      </c>
      <c r="P2105">
        <f>IF(B2136=0,0,O2105/B2136)</f>
        <v/>
      </c>
      <c r="Q2105">
        <f>IFERROR(1/(IF(Inputs!$B$38="pvp",15,MAX(0.1,Skills!D10-IF(Skills!E10=TRUE,Inputs!$B$32,0)))*(1-IF(AND(IF(ArtifactsInput!$M$27,FALSE,TRUE),Inputs!$B$4="Chapter Hunt"),CHOOSE(ArtifactsInput!$N$27+1,20,24,28,32,36,40),0)/100)),0)</f>
        <v/>
      </c>
      <c r="R2105">
        <f>IF(AND(Inputs!$B$38&lt;&gt;"pvp",Inputs!$B$43&gt;0),IF(MAX(0,Inputs!$B$43-B2133)&lt;=0,0,(INT(MAX(0,Inputs!$B$43-B2133)/(IF(Inputs!$B$38="pvp",15,MAX(0.1,Skills!D10-IF(Skills!E10=TRUE,Inputs!$B$32,0)))*(1-IF(AND(IF(ArtifactsInput!$M$27,FALSE,TRUE),Inputs!$B$4="Chapter Hunt"),CHOOSE(ArtifactsInput!$N$27+1,20,24,28,32,36,40),0)/100)))+1)),0)</f>
        <v/>
      </c>
      <c r="S2105">
        <f>IFERROR(O2105/N2105,0)</f>
        <v/>
      </c>
      <c r="T2105">
        <f>IF(C2105,(H2105*N2105*IF(AND(Inputs!$B$38&lt;&gt;"pvp",Inputs!$B$43&gt;0),((Skills!G10*((R2105-1)*IF(Skills!H10&gt;0,Skills!I10/Skills!H10,1)+IF(Skills!H10&gt;0,MIN(Skills!I10,MAX(0,MAX(0,Inputs!$B$43-B2133)-((R2105-1)*(IF(Inputs!$B$38="pvp",15,MAX(0.1,Skills!D10-IF(Skills!E10=TRUE,Inputs!$B$32,0)))*(1-IF(AND(IF(ArtifactsInput!$M$27,FALSE,TRUE),Inputs!$B$4="Chapter Hunt"),CHOOSE(ArtifactsInput!$N$27+1,20,24,28,32,36,40),0)/100)))))/Skills!H10,1)))/Inputs!$B$43),G2105*Q2105)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2105*(1-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2105*(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2105*(1-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2105*(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5">
        <f>IF(C2105,(H2105*N2105*IF(AND(Inputs!$B$38&lt;&gt;"pvp",Inputs!$B$43&gt;0),((Skills!G10*((R2105-1)*IF(Skills!H10&gt;0,Skills!I10/Skills!H10,1)+IF(Skills!H10&gt;0,MIN(Skills!I10,MAX(0,MAX(0,Inputs!$B$43-B2133)-((R2105-1)*(IF(Inputs!$B$38="pvp",15,MAX(0.1,Skills!D10-IF(Skills!E10=TRUE,Inputs!$B$32,0)))*(1-IF(AND(IF(ArtifactsInput!$M$27,FALSE,TRUE),Inputs!$B$4="Chapter Hunt"),CHOOSE(ArtifactsInput!$N$27+1,20,24,28,32,36,40),0)/100)))))/Skills!H10,1)))/Inputs!$B$43),G2105*Q2105))*IF(Inputs!$B$38="pvp",1,(1+(Inputs!$B$21+Skills!Q10+(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6">
      <c r="A2106">
        <f>Skills!A11</f>
        <v/>
      </c>
      <c r="B2106">
        <f>Skills!B11</f>
        <v/>
      </c>
      <c r="C2106">
        <f>Inputs!$B$3&gt;=107</f>
        <v/>
      </c>
      <c r="D2106">
        <f>IF(Skills!C11=1,60+Inputs!$B$25+Inputs!$B$29,IF(Skills!C11=2,90+Inputs!$B$26+Inputs!$B$29,IF(Skills!C11=3,120+Inputs!$B$27+Inputs!$B$29,MAX(0,(Inputs!$B$3-100)*3)+Inputs!$B$28+Inputs!$B$29)))</f>
        <v/>
      </c>
      <c r="E2106">
        <f>INDEX(FactorTable!$B$2:$Y$301, MATCH(ROUND(MIN(300,MAX(1,D2106)),0), FactorTable!$A$2:$A$301,0), Skills!M11+1)</f>
        <v/>
      </c>
      <c r="F2106">
        <f>IF(Skills!N11=TRUE,(Skills!L11/10)*(E2106/1000),Skills!L11/10)+Skills!O11</f>
        <v/>
      </c>
      <c r="G2106">
        <f>Skills!G11*IF(Skills!H11&gt;0,Skills!I11/Skills!H11,1)</f>
        <v/>
      </c>
      <c r="H2106">
        <f>1-(1-Skills!J11/100)^Skills!K11</f>
        <v/>
      </c>
      <c r="I2106" t="inlineStr">
        <is>
          <t>1</t>
        </is>
      </c>
      <c r="J2106">
        <f>((Inputs!$B$6*(1+Inputs!$B$7/100))+(((Inputs!$B$12*(1+Inputs!$B$13/100))-(Inputs!$B$12*(1+Inputs!$B$13/100)))+0.25*(Inputs!$B$14-Inputs!$B$14))*(1+Inputs!$B$7/100))*(F2106/100)</f>
        <v/>
      </c>
      <c r="K2106">
        <f>J2106*(1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2106)</f>
        <v/>
      </c>
      <c r="L2106">
        <f>K2106*(MIN(Inputs!$B$22+((C2117=TRUE)*(F2117-Calc!F22)),(Inputs!$B$23+0+(IF(ArtifactsInput!$M$15,CHOOSE(ArtifactsInput!$N$15+1,25,30,35,40,45,50)/100*(Inputs!$B$11-Inputs!$B$11),0))))/100+(Inputs!$B$23+0+(IF(ArtifactsInput!$M$15,CHOOSE(ArtifactsInput!$N$15+1,25,30,35,40,45,50)/100*(Inputs!$B$11-Inputs!$B$11),0)))/100)/2</f>
        <v/>
      </c>
      <c r="M2106">
        <f>L2106*(1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6">
        <f>L2106*(1-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2106*(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6">
        <f>(1-Summary!$B$11)*T2106+Summary!$B$11*V2106</f>
        <v/>
      </c>
      <c r="P2106">
        <f>IF(B2136=0,0,O2106/B2136)</f>
        <v/>
      </c>
      <c r="Q2106">
        <f>IFERROR(1/(IF(Inputs!$B$38="pvp",15,MAX(0.1,Skills!D11-IF(Skills!E11=TRUE,Inputs!$B$32,0)))*(1-IF(AND(IF(ArtifactsInput!$M$27,FALSE,TRUE),Inputs!$B$4="Chapter Hunt"),CHOOSE(ArtifactsInput!$N$27+1,20,24,28,32,36,40),0)/100)),0)</f>
        <v/>
      </c>
      <c r="R2106">
        <f>IF(AND(Inputs!$B$38&lt;&gt;"pvp",Inputs!$B$43&gt;0),IF(MAX(0,Inputs!$B$43-B2133)&lt;=0,0,(INT(MAX(0,Inputs!$B$43-B2133)/(IF(Inputs!$B$38="pvp",15,MAX(0.1,Skills!D11-IF(Skills!E11=TRUE,Inputs!$B$32,0)))*(1-IF(AND(IF(ArtifactsInput!$M$27,FALSE,TRUE),Inputs!$B$4="Chapter Hunt"),CHOOSE(ArtifactsInput!$N$27+1,20,24,28,32,36,40),0)/100)))+1)),0)</f>
        <v/>
      </c>
      <c r="S2106">
        <f>IFERROR(O2106/N2106,0)</f>
        <v/>
      </c>
      <c r="T2106">
        <f>IF(C2106,(H2106*N2106*IF(AND(Inputs!$B$38&lt;&gt;"pvp",Inputs!$B$43&gt;0),((Skills!G11*((R2106-1)*IF(Skills!H11&gt;0,Skills!I11/Skills!H11,1)+IF(Skills!H11&gt;0,MIN(Skills!I11,MAX(0,MAX(0,Inputs!$B$43-B2133)-((R2106-1)*(IF(Inputs!$B$38="pvp",15,MAX(0.1,Skills!D11-IF(Skills!E11=TRUE,Inputs!$B$32,0)))*(1-IF(AND(IF(ArtifactsInput!$M$27,FALSE,TRUE),Inputs!$B$4="Chapter Hunt"),CHOOSE(ArtifactsInput!$N$27+1,20,24,28,32,36,40),0)/100)))))/Skills!H11,1)))/Inputs!$B$43),G2106*Q2106)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2106*(1-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2106*(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2106*(1-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2106*(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6">
        <f>IF(C2106,(H2106*N2106*IF(AND(Inputs!$B$38&lt;&gt;"pvp",Inputs!$B$43&gt;0),((Skills!G11*((R2106-1)*IF(Skills!H11&gt;0,Skills!I11/Skills!H11,1)+IF(Skills!H11&gt;0,MIN(Skills!I11,MAX(0,MAX(0,Inputs!$B$43-B2133)-((R2106-1)*(IF(Inputs!$B$38="pvp",15,MAX(0.1,Skills!D11-IF(Skills!E11=TRUE,Inputs!$B$32,0)))*(1-IF(AND(IF(ArtifactsInput!$M$27,FALSE,TRUE),Inputs!$B$4="Chapter Hunt"),CHOOSE(ArtifactsInput!$N$27+1,20,24,28,32,36,40),0)/100)))))/Skills!H11,1)))/Inputs!$B$43),G2106*Q2106))*IF(Inputs!$B$38="pvp",1,(1+(Inputs!$B$21+Skills!Q11+(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7">
      <c r="A2107">
        <f>Skills!A12</f>
        <v/>
      </c>
      <c r="B2107">
        <f>Skills!B12</f>
        <v/>
      </c>
      <c r="C2107">
        <f>Inputs!$B$3&gt;=110</f>
        <v/>
      </c>
      <c r="D2107">
        <f>IF(Skills!C12=1,60+Inputs!$B$25+Inputs!$B$29,IF(Skills!C12=2,90+Inputs!$B$26+Inputs!$B$29,IF(Skills!C12=3,120+Inputs!$B$27+Inputs!$B$29,MAX(0,(Inputs!$B$3-100)*3)+Inputs!$B$28+Inputs!$B$29)))</f>
        <v/>
      </c>
      <c r="E2107">
        <f>INDEX(FactorTable!$B$2:$Y$301, MATCH(ROUND(MIN(300,MAX(1,D2107)),0), FactorTable!$A$2:$A$301,0), Skills!M12+1)</f>
        <v/>
      </c>
      <c r="F2107">
        <f>IF(Skills!N12=TRUE,(Skills!L12/10)*(E2107/1000),Skills!L12/10)+Skills!O12</f>
        <v/>
      </c>
      <c r="G2107">
        <f>Skills!G12*IF(Skills!H12&gt;0,Skills!I12/Skills!H12,1)</f>
        <v/>
      </c>
      <c r="H2107">
        <f>1-(1-Skills!J12/100)^Skills!K12</f>
        <v/>
      </c>
      <c r="I2107" t="inlineStr">
        <is>
          <t>1</t>
        </is>
      </c>
      <c r="J2107">
        <f>((Inputs!$B$6*(1+Inputs!$B$7/100))+(((Inputs!$B$12*(1+Inputs!$B$13/100))-(Inputs!$B$12*(1+Inputs!$B$13/100)))+0.25*(Inputs!$B$14-Inputs!$B$14))*(1+Inputs!$B$7/100))*(F2107/100)</f>
        <v/>
      </c>
      <c r="K2107">
        <f>J2107*(1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2107)</f>
        <v/>
      </c>
      <c r="L2107">
        <f>K2107*(MIN(Inputs!$B$22+((C2117=TRUE)*(F2117-Calc!F22)),(Inputs!$B$23+0+(IF(ArtifactsInput!$M$15,CHOOSE(ArtifactsInput!$N$15+1,25,30,35,40,45,50)/100*(Inputs!$B$11-Inputs!$B$11),0))))/100+(Inputs!$B$23+0+(IF(ArtifactsInput!$M$15,CHOOSE(ArtifactsInput!$N$15+1,25,30,35,40,45,50)/100*(Inputs!$B$11-Inputs!$B$11),0)))/100)/2</f>
        <v/>
      </c>
      <c r="M2107">
        <f>L2107*(1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7">
        <f>L2107*(1-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2107*(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7">
        <f>(1-Summary!$B$11)*T2107+Summary!$B$11*V2107</f>
        <v/>
      </c>
      <c r="P2107">
        <f>IF(B2136=0,0,O2107/B2136)</f>
        <v/>
      </c>
      <c r="Q2107">
        <f>IFERROR(1/(IF(Inputs!$B$38="pvp",15,MAX(0.1,Skills!D12-IF(Skills!E12=TRUE,Inputs!$B$32,0)))*(1-IF(AND(IF(ArtifactsInput!$M$27,FALSE,TRUE),Inputs!$B$4="Chapter Hunt"),CHOOSE(ArtifactsInput!$N$27+1,20,24,28,32,36,40),0)/100)),0)</f>
        <v/>
      </c>
      <c r="R2107">
        <f>IF(AND(Inputs!$B$38&lt;&gt;"pvp",Inputs!$B$43&gt;0),IF(MAX(0,Inputs!$B$43-B2133)&lt;=0,0,(INT(MAX(0,Inputs!$B$43-B2133)/(IF(Inputs!$B$38="pvp",15,MAX(0.1,Skills!D12-IF(Skills!E12=TRUE,Inputs!$B$32,0)))*(1-IF(AND(IF(ArtifactsInput!$M$27,FALSE,TRUE),Inputs!$B$4="Chapter Hunt"),CHOOSE(ArtifactsInput!$N$27+1,20,24,28,32,36,40),0)/100)))+1)),0)</f>
        <v/>
      </c>
      <c r="S2107">
        <f>IFERROR(O2107/N2107,0)</f>
        <v/>
      </c>
      <c r="T2107">
        <f>IF(C2107,(H2107*N2107*IF(AND(Inputs!$B$38&lt;&gt;"pvp",Inputs!$B$43&gt;0),((Skills!G12*((R2107-1)*IF(Skills!H12&gt;0,Skills!I12/Skills!H12,1)+IF(Skills!H12&gt;0,MIN(Skills!I12,MAX(0,MAX(0,Inputs!$B$43-B2133)-((R2107-1)*(IF(Inputs!$B$38="pvp",15,MAX(0.1,Skills!D12-IF(Skills!E12=TRUE,Inputs!$B$32,0)))*(1-IF(AND(IF(ArtifactsInput!$M$27,FALSE,TRUE),Inputs!$B$4="Chapter Hunt"),CHOOSE(ArtifactsInput!$N$27+1,20,24,28,32,36,40),0)/100)))))/Skills!H12,1)))/Inputs!$B$43),G2107*Q2107)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2107*(1-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2107*(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2107*(1-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2107*(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7">
        <f>IF(C2107,(H2107*N2107*IF(AND(Inputs!$B$38&lt;&gt;"pvp",Inputs!$B$43&gt;0),((Skills!G12*((R2107-1)*IF(Skills!H12&gt;0,Skills!I12/Skills!H12,1)+IF(Skills!H12&gt;0,MIN(Skills!I12,MAX(0,MAX(0,Inputs!$B$43-B2133)-((R2107-1)*(IF(Inputs!$B$38="pvp",15,MAX(0.1,Skills!D12-IF(Skills!E12=TRUE,Inputs!$B$32,0)))*(1-IF(AND(IF(ArtifactsInput!$M$27,FALSE,TRUE),Inputs!$B$4="Chapter Hunt"),CHOOSE(ArtifactsInput!$N$27+1,20,24,28,32,36,40),0)/100)))))/Skills!H12,1)))/Inputs!$B$43),G2107*Q2107))*IF(Inputs!$B$38="pvp",1,(1+(Inputs!$B$21+Skills!Q12+(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8">
      <c r="A2108">
        <f>Skills!A13</f>
        <v/>
      </c>
      <c r="B2108">
        <f>Skills!B13</f>
        <v/>
      </c>
      <c r="C2108">
        <f>Inputs!$B$3&gt;=110</f>
        <v/>
      </c>
      <c r="D2108">
        <f>IF(Skills!C13=1,60+Inputs!$B$25+Inputs!$B$29,IF(Skills!C13=2,90+Inputs!$B$26+Inputs!$B$29,IF(Skills!C13=3,120+Inputs!$B$27+Inputs!$B$29,MAX(0,(Inputs!$B$3-100)*3)+Inputs!$B$28+Inputs!$B$29)))</f>
        <v/>
      </c>
      <c r="E2108">
        <f>INDEX(FactorTable!$B$2:$Y$301, MATCH(ROUND(MIN(300,MAX(1,D2108)),0), FactorTable!$A$2:$A$301,0), Skills!M13+1)</f>
        <v/>
      </c>
      <c r="F2108">
        <f>IF(Skills!N13=TRUE,(Skills!L13/10)*(E2108/1000),Skills!L13/10)+Skills!O13</f>
        <v/>
      </c>
      <c r="G2108">
        <f>Skills!G13*IF(Skills!H13&gt;0,Skills!I13/Skills!H13,1)</f>
        <v/>
      </c>
      <c r="H2108">
        <f>1-(1-Skills!J13/100)^Skills!K13</f>
        <v/>
      </c>
      <c r="I2108" t="inlineStr">
        <is>
          <t>1</t>
        </is>
      </c>
      <c r="J2108">
        <f>((Inputs!$B$6*(1+Inputs!$B$7/100))+(((Inputs!$B$12*(1+Inputs!$B$13/100))-(Inputs!$B$12*(1+Inputs!$B$13/100)))+0.25*(Inputs!$B$14-Inputs!$B$14))*(1+Inputs!$B$7/100))*(F2108/100)</f>
        <v/>
      </c>
      <c r="K2108">
        <f>J2108*(1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2108)</f>
        <v/>
      </c>
      <c r="L2108">
        <f>K2108*(MIN(Inputs!$B$22+((C2117=TRUE)*(F2117-Calc!F22)),(Inputs!$B$23+0+(IF(ArtifactsInput!$M$15,CHOOSE(ArtifactsInput!$N$15+1,25,30,35,40,45,50)/100*(Inputs!$B$11-Inputs!$B$11),0))))/100+(Inputs!$B$23+0+(IF(ArtifactsInput!$M$15,CHOOSE(ArtifactsInput!$N$15+1,25,30,35,40,45,50)/100*(Inputs!$B$11-Inputs!$B$11),0)))/100)/2</f>
        <v/>
      </c>
      <c r="M2108">
        <f>L2108*(1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8">
        <f>L2108*(1-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2108*(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8">
        <f>(1-Summary!$B$11)*T2108+Summary!$B$11*V2108</f>
        <v/>
      </c>
      <c r="P2108">
        <f>IF(B2136=0,0,O2108/B2136)</f>
        <v/>
      </c>
      <c r="Q2108">
        <f>IFERROR(1/(IF(Inputs!$B$38="pvp",15,MAX(0.1,Skills!D13-IF(Skills!E13=TRUE,Inputs!$B$32,0)))*(1-IF(AND(IF(ArtifactsInput!$M$27,FALSE,TRUE),Inputs!$B$4="Chapter Hunt"),CHOOSE(ArtifactsInput!$N$27+1,20,24,28,32,36,40),0)/100)),0)</f>
        <v/>
      </c>
      <c r="R2108">
        <f>IF(AND(Inputs!$B$38&lt;&gt;"pvp",Inputs!$B$43&gt;0),IF(MAX(0,Inputs!$B$43-B2133)&lt;=0,0,(INT(MAX(0,Inputs!$B$43-B2133)/(IF(Inputs!$B$38="pvp",15,MAX(0.1,Skills!D13-IF(Skills!E13=TRUE,Inputs!$B$32,0)))*(1-IF(AND(IF(ArtifactsInput!$M$27,FALSE,TRUE),Inputs!$B$4="Chapter Hunt"),CHOOSE(ArtifactsInput!$N$27+1,20,24,28,32,36,40),0)/100)))+1)),0)</f>
        <v/>
      </c>
      <c r="S2108">
        <f>IFERROR(O2108/N2108,0)</f>
        <v/>
      </c>
      <c r="T2108">
        <f>IF(C2108,(H2108*N2108*IF(AND(Inputs!$B$38&lt;&gt;"pvp",Inputs!$B$43&gt;0),((Skills!G13*((R2108-1)*IF(Skills!H13&gt;0,Skills!I13/Skills!H13,1)+IF(Skills!H13&gt;0,MIN(Skills!I13,MAX(0,MAX(0,Inputs!$B$43-B2133)-((R2108-1)*(IF(Inputs!$B$38="pvp",15,MAX(0.1,Skills!D13-IF(Skills!E13=TRUE,Inputs!$B$32,0)))*(1-IF(AND(IF(ArtifactsInput!$M$27,FALSE,TRUE),Inputs!$B$4="Chapter Hunt"),CHOOSE(ArtifactsInput!$N$27+1,20,24,28,32,36,40),0)/100)))))/Skills!H13,1)))/Inputs!$B$43),G2108*Q2108)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2108*(1-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2108*(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2108*(1-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2108*(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8">
        <f>IF(C2108,(H2108*N2108*IF(AND(Inputs!$B$38&lt;&gt;"pvp",Inputs!$B$43&gt;0),((Skills!G13*((R2108-1)*IF(Skills!H13&gt;0,Skills!I13/Skills!H13,1)+IF(Skills!H13&gt;0,MIN(Skills!I13,MAX(0,MAX(0,Inputs!$B$43-B2133)-((R2108-1)*(IF(Inputs!$B$38="pvp",15,MAX(0.1,Skills!D13-IF(Skills!E13=TRUE,Inputs!$B$32,0)))*(1-IF(AND(IF(ArtifactsInput!$M$27,FALSE,TRUE),Inputs!$B$4="Chapter Hunt"),CHOOSE(ArtifactsInput!$N$27+1,20,24,28,32,36,40),0)/100)))))/Skills!H13,1)))/Inputs!$B$43),G2108*Q2108))*IF(Inputs!$B$38="pvp",1,(1+(Inputs!$B$21+Skills!Q13+(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9">
      <c r="A2109">
        <f>Skills!A14</f>
        <v/>
      </c>
      <c r="B2109">
        <f>Skills!B14</f>
        <v/>
      </c>
      <c r="C2109">
        <f>Inputs!$B$3&gt;=125</f>
        <v/>
      </c>
      <c r="D2109">
        <f>IF(Skills!C14=1,60+Inputs!$B$25+Inputs!$B$29,IF(Skills!C14=2,90+Inputs!$B$26+Inputs!$B$29,IF(Skills!C14=3,120+Inputs!$B$27+Inputs!$B$29,MAX(0,(Inputs!$B$3-100)*3)+Inputs!$B$28+Inputs!$B$29)))</f>
        <v/>
      </c>
      <c r="E2109">
        <f>INDEX(FactorTable!$B$2:$Y$301, MATCH(ROUND(MIN(300,MAX(1,D2109)),0), FactorTable!$A$2:$A$301,0), Skills!M14+1)</f>
        <v/>
      </c>
      <c r="F2109">
        <f>IF(Skills!N14=TRUE,(Skills!L14/10)*(E2109/1000),Skills!L14/10)+Skills!O14</f>
        <v/>
      </c>
      <c r="G2109">
        <f>Skills!G14*IF(Skills!H14&gt;0,Skills!I14/Skills!H14,1)</f>
        <v/>
      </c>
      <c r="H2109">
        <f>1-(1-Skills!J14/100)^Skills!K14</f>
        <v/>
      </c>
      <c r="I2109" t="inlineStr">
        <is>
          <t>1</t>
        </is>
      </c>
      <c r="J2109">
        <f>((Inputs!$B$6*(1+Inputs!$B$7/100))+(((Inputs!$B$12*(1+Inputs!$B$13/100))-(Inputs!$B$12*(1+Inputs!$B$13/100)))+0.25*(Inputs!$B$14-Inputs!$B$14))*(1+Inputs!$B$7/100))*(F2109/100)</f>
        <v/>
      </c>
      <c r="K2109">
        <f>J2109*(1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2109)</f>
        <v/>
      </c>
      <c r="L2109">
        <f>K2109*(MIN(Inputs!$B$22+((C2117=TRUE)*(F2117-Calc!F22)),(Inputs!$B$23+0+(IF(ArtifactsInput!$M$15,CHOOSE(ArtifactsInput!$N$15+1,25,30,35,40,45,50)/100*(Inputs!$B$11-Inputs!$B$11),0))))/100+(Inputs!$B$23+0+(IF(ArtifactsInput!$M$15,CHOOSE(ArtifactsInput!$N$15+1,25,30,35,40,45,50)/100*(Inputs!$B$11-Inputs!$B$11),0)))/100)/2</f>
        <v/>
      </c>
      <c r="M2109">
        <f>L2109*(1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9">
        <f>L2109*(1-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2109*(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9">
        <f>(1-Summary!$B$11)*T2109+Summary!$B$11*V2109</f>
        <v/>
      </c>
      <c r="P2109">
        <f>IF(B2136=0,0,O2109/B2136)</f>
        <v/>
      </c>
      <c r="Q2109" t="n">
        <v>0</v>
      </c>
      <c r="R2109" t="n">
        <v>0</v>
      </c>
      <c r="S2109">
        <f>IFERROR(O2109/N2109,0)</f>
        <v/>
      </c>
      <c r="T2109">
        <f>IF(C2109,(H2109*N2109*(B2130+IF(AND(Inputs!$B$38&lt;&gt;"pvp",Inputs!$B$43&gt;0),((Skills!G8*((R2103-1)*IF(Skills!H8&gt;0,Skills!I8/Skills!H8,1)+IF(Skills!H8&gt;0,MIN(Skills!I8,MAX(0,MAX(0,Inputs!$B$43-B2133)-((R2103-1)*(IF(Inputs!$B$38="pvp",15,MAX(0.1,Skills!D8-IF(Skills!E8=TRUE,Inputs!$B$32,0)))*(1-IF(AND(IF(ArtifactsInput!$M$27,FALSE,TRUE),Inputs!$B$4="Chapter Hunt"),CHOOSE(ArtifactsInput!$N$27+1,20,24,28,32,36,40),0)/100)))))/Skills!H8,1)))/Inputs!$B$43),G2103*Q2103)+IF(AND(Inputs!$B$38&lt;&gt;"pvp",Inputs!$B$43&gt;0),((Skills!G11*((R2106-1)*IF(Skills!H11&gt;0,Skills!I11/Skills!H11,1)+IF(Skills!H11&gt;0,MIN(Skills!I11,MAX(0,MAX(0,Inputs!$B$43-B2133)-((R2106-1)*(IF(Inputs!$B$38="pvp",15,MAX(0.1,Skills!D11-IF(Skills!E11=TRUE,Inputs!$B$32,0)))*(1-IF(AND(IF(ArtifactsInput!$M$27,FALSE,TRUE),Inputs!$B$4="Chapter Hunt"),CHOOSE(ArtifactsInput!$N$27+1,20,24,28,32,36,40),0)/100)))))/Skills!H11,1)))/Inputs!$B$43),G2106*Q2106)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2109*(1-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2109*(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2109*(1-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2109*(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9">
        <f>IF(C2109,(H2109*N2109*(B2130+IF(AND(Inputs!$B$38&lt;&gt;"pvp",Inputs!$B$43&gt;0),((Skills!G8*((R2103-1)*IF(Skills!H8&gt;0,Skills!I8/Skills!H8,1)+IF(Skills!H8&gt;0,MIN(Skills!I8,MAX(0,MAX(0,Inputs!$B$43-B2133)-((R2103-1)*(IF(Inputs!$B$38="pvp",15,MAX(0.1,Skills!D8-IF(Skills!E8=TRUE,Inputs!$B$32,0)))*(1-IF(AND(IF(ArtifactsInput!$M$27,FALSE,TRUE),Inputs!$B$4="Chapter Hunt"),CHOOSE(ArtifactsInput!$N$27+1,20,24,28,32,36,40),0)/100)))))/Skills!H8,1)))/Inputs!$B$43),G2103*Q2103)+IF(AND(Inputs!$B$38&lt;&gt;"pvp",Inputs!$B$43&gt;0),((Skills!G11*((R2106-1)*IF(Skills!H11&gt;0,Skills!I11/Skills!H11,1)+IF(Skills!H11&gt;0,MIN(Skills!I11,MAX(0,MAX(0,Inputs!$B$43-B2133)-((R2106-1)*(IF(Inputs!$B$38="pvp",15,MAX(0.1,Skills!D11-IF(Skills!E11=TRUE,Inputs!$B$32,0)))*(1-IF(AND(IF(ArtifactsInput!$M$27,FALSE,TRUE),Inputs!$B$4="Chapter Hunt"),CHOOSE(ArtifactsInput!$N$27+1,20,24,28,32,36,40),0)/100)))))/Skills!H11,1)))/Inputs!$B$43),G2106*Q2106)))*IF(Inputs!$B$38="pvp",1,(1+(Inputs!$B$21+Skills!Q14+(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0">
      <c r="A2110">
        <f>Skills!A15</f>
        <v/>
      </c>
      <c r="B2110">
        <f>Skills!B15</f>
        <v/>
      </c>
      <c r="C2110">
        <f>Inputs!$B$3&gt;=100</f>
        <v/>
      </c>
      <c r="D2110">
        <f>IF(Skills!C15=1,60+Inputs!$B$25+Inputs!$B$29,IF(Skills!C15=2,90+Inputs!$B$26+Inputs!$B$29,IF(Skills!C15=3,120+Inputs!$B$27+Inputs!$B$29,MAX(0,(Inputs!$B$3-100)*3)+Inputs!$B$28+Inputs!$B$29)))</f>
        <v/>
      </c>
      <c r="E2110">
        <f>INDEX(FactorTable!$B$2:$Y$301, MATCH(ROUND(MIN(300,MAX(1,D2110)),0), FactorTable!$A$2:$A$301,0), Skills!M15+1)</f>
        <v/>
      </c>
      <c r="F2110">
        <f>IF(Skills!N15=TRUE,(Skills!L15/10)*(E2110/1000),Skills!L15/10)+Skills!O15</f>
        <v/>
      </c>
      <c r="G2110" t="inlineStr"/>
      <c r="H2110" t="inlineStr"/>
      <c r="I2110" t="inlineStr">
        <is>
          <t>1</t>
        </is>
      </c>
      <c r="J2110" t="inlineStr"/>
      <c r="K2110" t="inlineStr"/>
      <c r="L2110" t="inlineStr"/>
      <c r="M2110" t="inlineStr"/>
      <c r="N2110" t="inlineStr"/>
      <c r="O2110" t="inlineStr"/>
      <c r="P2110" t="inlineStr"/>
      <c r="Q2110" t="inlineStr"/>
      <c r="R2110" t="inlineStr"/>
      <c r="S2110" t="inlineStr"/>
    </row>
    <row r="2111">
      <c r="A2111">
        <f>Skills!A16</f>
        <v/>
      </c>
      <c r="B2111">
        <f>Skills!B16</f>
        <v/>
      </c>
      <c r="C2111">
        <f>Inputs!$B$3&gt;=120</f>
        <v/>
      </c>
      <c r="D2111">
        <f>IF(Skills!C16=1,60+Inputs!$B$25+Inputs!$B$29,IF(Skills!C16=2,90+Inputs!$B$26+Inputs!$B$29,IF(Skills!C16=3,120+Inputs!$B$27+Inputs!$B$29,MAX(0,(Inputs!$B$3-100)*3)+Inputs!$B$28+Inputs!$B$29)))</f>
        <v/>
      </c>
      <c r="E2111">
        <f>INDEX(FactorTable!$B$2:$Y$301, MATCH(ROUND(MIN(300,MAX(1,D2111)),0), FactorTable!$A$2:$A$301,0), Skills!M16+1)</f>
        <v/>
      </c>
      <c r="F2111">
        <f>IF(Skills!N16=TRUE,(Skills!L16/10)*(E2111/1000),Skills!L16/10)+Skills!O16</f>
        <v/>
      </c>
      <c r="G2111" t="inlineStr"/>
      <c r="H2111" t="inlineStr"/>
      <c r="I2111" t="inlineStr">
        <is>
          <t>1</t>
        </is>
      </c>
      <c r="J2111" t="inlineStr"/>
      <c r="K2111" t="inlineStr"/>
      <c r="L2111" t="inlineStr"/>
      <c r="M2111" t="inlineStr"/>
      <c r="N2111" t="inlineStr"/>
      <c r="O2111" t="inlineStr"/>
      <c r="P2111" t="inlineStr"/>
      <c r="Q2111" t="inlineStr"/>
      <c r="R2111" t="inlineStr"/>
      <c r="S2111" t="inlineStr"/>
    </row>
    <row r="2112">
      <c r="A2112">
        <f>Skills!A17</f>
        <v/>
      </c>
      <c r="B2112">
        <f>Skills!B17</f>
        <v/>
      </c>
      <c r="C2112">
        <f>Inputs!$B$3&gt;=66</f>
        <v/>
      </c>
      <c r="D2112">
        <f>IF(Skills!C17=1,60+Inputs!$B$25+Inputs!$B$29,IF(Skills!C17=2,90+Inputs!$B$26+Inputs!$B$29,IF(Skills!C17=3,120+Inputs!$B$27+Inputs!$B$29,MAX(0,(Inputs!$B$3-100)*3)+Inputs!$B$28+Inputs!$B$29)))</f>
        <v/>
      </c>
      <c r="E2112">
        <f>INDEX(FactorTable!$B$2:$Y$301, MATCH(ROUND(MIN(300,MAX(1,D2112)),0), FactorTable!$A$2:$A$301,0), Skills!M17+1)</f>
        <v/>
      </c>
      <c r="F2112">
        <f>IF(Skills!N17=TRUE,(Skills!L17/10)*(E2112/1000),Skills!L17/10)+Skills!O17</f>
        <v/>
      </c>
      <c r="G2112">
        <f>Skills!G17*IF(Skills!H17&gt;0,Skills!I17/Skills!H17,1)</f>
        <v/>
      </c>
      <c r="H2112">
        <f>1-(1-Skills!J17/100)^Skills!K17</f>
        <v/>
      </c>
      <c r="I2112" t="inlineStr">
        <is>
          <t>1</t>
        </is>
      </c>
      <c r="J2112" t="inlineStr"/>
      <c r="K2112" t="inlineStr"/>
      <c r="L2112" t="inlineStr"/>
      <c r="M2112" t="inlineStr"/>
      <c r="N2112" t="inlineStr"/>
      <c r="O2112">
        <f>(1-Summary!$B$11)*T2112+Summary!$B$11*V2112</f>
        <v/>
      </c>
      <c r="P2112">
        <f>IF(B2136=0,0,O2112/B2136)</f>
        <v/>
      </c>
      <c r="Q2112" t="n">
        <v>0</v>
      </c>
      <c r="R2112" t="n">
        <v>0</v>
      </c>
      <c r="S2112">
        <f>IFERROR(O2112/N2112,0)</f>
        <v/>
      </c>
      <c r="T2112" t="n">
        <v>0</v>
      </c>
      <c r="V2112" t="n">
        <v>0</v>
      </c>
    </row>
    <row r="2113">
      <c r="A2113">
        <f>Skills!A18</f>
        <v/>
      </c>
      <c r="B2113">
        <f>Skills!B18</f>
        <v/>
      </c>
      <c r="C2113">
        <f>Inputs!$B$3&gt;=115</f>
        <v/>
      </c>
      <c r="D2113">
        <f>IF(Skills!C18=1,60+Inputs!$B$25+Inputs!$B$29,IF(Skills!C18=2,90+Inputs!$B$26+Inputs!$B$29,IF(Skills!C18=3,120+Inputs!$B$27+Inputs!$B$29,MAX(0,(Inputs!$B$3-100)*3)+Inputs!$B$28+Inputs!$B$29)))</f>
        <v/>
      </c>
      <c r="E2113">
        <f>INDEX(FactorTable!$B$2:$Y$301, MATCH(ROUND(MIN(300,MAX(1,D2113)),0), FactorTable!$A$2:$A$301,0), Skills!M18+1)</f>
        <v/>
      </c>
      <c r="F2113">
        <f>IF(Skills!N18=TRUE,(Skills!L18/10)*(E2113/1000),Skills!L18/10)+Skills!O18</f>
        <v/>
      </c>
      <c r="G2113">
        <f>Skills!G18*IF(Skills!H18&gt;0,Skills!I18/Skills!H18,1)</f>
        <v/>
      </c>
      <c r="H2113">
        <f>1-(1-Skills!J18/100)^Skills!K18</f>
        <v/>
      </c>
      <c r="I2113" t="inlineStr">
        <is>
          <t>1</t>
        </is>
      </c>
      <c r="J2113" t="inlineStr"/>
      <c r="K2113" t="inlineStr"/>
      <c r="L2113" t="inlineStr"/>
      <c r="M2113" t="inlineStr"/>
      <c r="N2113" t="inlineStr"/>
      <c r="O2113">
        <f>(1-Summary!$B$11)*T2113+Summary!$B$11*V2113</f>
        <v/>
      </c>
      <c r="P2113">
        <f>IF(B2136=0,0,O2113/B2136)</f>
        <v/>
      </c>
      <c r="Q2113">
        <f>IFERROR(1/(IF(Inputs!$B$38="pvp",15,MAX(0.1,Skills!D18-IF(Skills!E18=TRUE,Inputs!$B$32,0)))*(1-IF(AND(IF(ArtifactsInput!$M$27,FALSE,TRUE),Inputs!$B$4="Chapter Hunt"),CHOOSE(ArtifactsInput!$N$27+1,20,24,28,32,36,40),0)/100)),0)</f>
        <v/>
      </c>
      <c r="R2113">
        <f>IF(AND(Inputs!$B$38&lt;&gt;"pvp",Inputs!$B$43&gt;0),IF(Inputs!$B$43&lt;=0,0,(INT(Inputs!$B$43/(IF(Inputs!$B$38="pvp",15,MAX(0.1,Skills!D18-IF(Skills!E18=TRUE,Inputs!$B$32,0)))*(1-IF(AND(IF(ArtifactsInput!$M$27,FALSE,TRUE),Inputs!$B$4="Chapter Hunt"),CHOOSE(ArtifactsInput!$N$27+1,20,24,28,32,36,40),0)/100)))+1)),0)</f>
        <v/>
      </c>
      <c r="S2113">
        <f>IFERROR(O2113/N2113,0)</f>
        <v/>
      </c>
      <c r="T2113" t="n">
        <v>0</v>
      </c>
      <c r="V2113" t="n">
        <v>0</v>
      </c>
    </row>
    <row r="2114">
      <c r="A2114">
        <f>Skills!A19</f>
        <v/>
      </c>
      <c r="B2114">
        <f>Skills!B19</f>
        <v/>
      </c>
      <c r="C2114">
        <f>Inputs!$B$3&gt;=15</f>
        <v/>
      </c>
      <c r="D2114">
        <f>IF(Skills!C19=1,60+Inputs!$B$25+Inputs!$B$29,IF(Skills!C19=2,90+Inputs!$B$26+Inputs!$B$29,IF(Skills!C19=3,120+Inputs!$B$27+Inputs!$B$29,MAX(0,(Inputs!$B$3-100)*3)+Inputs!$B$28+Inputs!$B$29)))</f>
        <v/>
      </c>
      <c r="E2114">
        <f>INDEX(FactorTable!$B$2:$Y$301, MATCH(ROUND(MIN(300,MAX(1,D2114)),0), FactorTable!$A$2:$A$301,0), Skills!M19+1)</f>
        <v/>
      </c>
      <c r="F2114">
        <f>IF(Skills!N19=TRUE,(Skills!L19/10)*(E2114/1000),Skills!L19/10)+Skills!O19</f>
        <v/>
      </c>
      <c r="G2114">
        <f>Skills!G19*IF(Skills!H19&gt;0,Skills!I19/Skills!H19,1)</f>
        <v/>
      </c>
      <c r="H2114">
        <f>1-(1-Skills!J19/100)^Skills!K19</f>
        <v/>
      </c>
      <c r="I2114" t="inlineStr">
        <is>
          <t>1</t>
        </is>
      </c>
      <c r="J2114" t="inlineStr"/>
      <c r="K2114" t="inlineStr"/>
      <c r="L2114" t="inlineStr"/>
      <c r="M2114" t="inlineStr"/>
      <c r="N2114" t="inlineStr"/>
      <c r="O2114">
        <f>(1-Summary!$B$11)*T2114+Summary!$B$11*V2114</f>
        <v/>
      </c>
      <c r="P2114">
        <f>IF(B2136=0,0,O2114/B2136)</f>
        <v/>
      </c>
      <c r="Q2114" t="n">
        <v>0</v>
      </c>
      <c r="R2114" t="n">
        <v>0</v>
      </c>
      <c r="S2114">
        <f>IFERROR(O2114/N2114,0)</f>
        <v/>
      </c>
      <c r="T2114" t="n">
        <v>0</v>
      </c>
      <c r="V2114" t="n">
        <v>0</v>
      </c>
    </row>
    <row r="2115">
      <c r="A2115">
        <f>Skills!A20</f>
        <v/>
      </c>
      <c r="B2115">
        <f>Skills!B20</f>
        <v/>
      </c>
      <c r="C2115">
        <f>Inputs!$B$3&gt;=10</f>
        <v/>
      </c>
      <c r="D2115">
        <f>IF(Skills!C20=1,60+Inputs!$B$25+Inputs!$B$29,IF(Skills!C20=2,90+Inputs!$B$26+Inputs!$B$29,IF(Skills!C20=3,120+Inputs!$B$27+Inputs!$B$29,MAX(0,(Inputs!$B$3-100)*3)+Inputs!$B$28+Inputs!$B$29)))</f>
        <v/>
      </c>
      <c r="E2115">
        <f>INDEX(FactorTable!$B$2:$Y$301, MATCH(ROUND(MIN(300,MAX(1,D2115)),0), FactorTable!$A$2:$A$301,0), Skills!M20+1)</f>
        <v/>
      </c>
      <c r="F2115">
        <f>IF(Skills!N20=TRUE,(Skills!L20/10)*(E2115/1000),Skills!L20/10)+Skills!O20</f>
        <v/>
      </c>
      <c r="G2115">
        <f>Skills!G20*IF(Skills!H20&gt;0,Skills!I20/Skills!H20,1)</f>
        <v/>
      </c>
      <c r="H2115">
        <f>1-(1-Skills!J20/100)^Skills!K20</f>
        <v/>
      </c>
      <c r="I2115" t="inlineStr">
        <is>
          <t>1</t>
        </is>
      </c>
      <c r="J2115" t="inlineStr"/>
      <c r="K2115" t="inlineStr"/>
      <c r="L2115" t="inlineStr"/>
      <c r="M2115" t="inlineStr"/>
      <c r="N2115" t="inlineStr"/>
      <c r="O2115">
        <f>(1-Summary!$B$11)*T2115+Summary!$B$11*V2115</f>
        <v/>
      </c>
      <c r="P2115">
        <f>IF(B2136=0,0,O2115/B2136)</f>
        <v/>
      </c>
      <c r="Q2115" t="n">
        <v>0</v>
      </c>
      <c r="R2115" t="n">
        <v>0</v>
      </c>
      <c r="S2115">
        <f>IFERROR(O2115/N2115,0)</f>
        <v/>
      </c>
      <c r="T2115" t="n">
        <v>0</v>
      </c>
      <c r="V2115" t="n">
        <v>0</v>
      </c>
    </row>
    <row r="2116">
      <c r="A2116">
        <f>Skills!A21</f>
        <v/>
      </c>
      <c r="B2116">
        <f>Skills!B21</f>
        <v/>
      </c>
      <c r="C2116">
        <f>Inputs!$B$3&gt;=33</f>
        <v/>
      </c>
      <c r="D2116">
        <f>IF(Skills!C21=1,60+Inputs!$B$25+Inputs!$B$29,IF(Skills!C21=2,90+Inputs!$B$26+Inputs!$B$29,IF(Skills!C21=3,120+Inputs!$B$27+Inputs!$B$29,MAX(0,(Inputs!$B$3-100)*3)+Inputs!$B$28+Inputs!$B$29)))</f>
        <v/>
      </c>
      <c r="E2116">
        <f>INDEX(FactorTable!$B$2:$Y$301, MATCH(ROUND(MIN(300,MAX(1,D2116)),0), FactorTable!$A$2:$A$301,0), Skills!M21+1)</f>
        <v/>
      </c>
      <c r="F2116">
        <f>IF(Skills!N21=TRUE,(Skills!L21/10)*(E2116/1000),Skills!L21/10)+Skills!O21</f>
        <v/>
      </c>
      <c r="G2116">
        <f>Skills!G21*IF(Skills!H21&gt;0,Skills!I21/Skills!H21,1)</f>
        <v/>
      </c>
      <c r="H2116">
        <f>1-(1-Skills!J21/100)^Skills!K21</f>
        <v/>
      </c>
      <c r="I2116" t="inlineStr">
        <is>
          <t>1</t>
        </is>
      </c>
      <c r="J2116" t="inlineStr"/>
      <c r="K2116" t="inlineStr"/>
      <c r="L2116" t="inlineStr"/>
      <c r="M2116" t="inlineStr"/>
      <c r="N2116" t="inlineStr"/>
      <c r="O2116">
        <f>(1-Summary!$B$11)*T2116+Summary!$B$11*V2116</f>
        <v/>
      </c>
      <c r="P2116">
        <f>IF(B2136=0,0,O2116/B2136)</f>
        <v/>
      </c>
      <c r="Q2116" t="n">
        <v>0</v>
      </c>
      <c r="R2116" t="n">
        <v>0</v>
      </c>
      <c r="S2116">
        <f>IFERROR(O2116/N2116,0)</f>
        <v/>
      </c>
      <c r="T2116" t="n">
        <v>0</v>
      </c>
      <c r="V2116" t="n">
        <v>0</v>
      </c>
    </row>
    <row r="2117">
      <c r="A2117">
        <f>Skills!A22</f>
        <v/>
      </c>
      <c r="B2117">
        <f>Skills!B22</f>
        <v/>
      </c>
      <c r="C2117">
        <f>Inputs!$B$3&gt;=43</f>
        <v/>
      </c>
      <c r="D2117">
        <f>IF(Skills!C22=1,60+Inputs!$B$25+Inputs!$B$29,IF(Skills!C22=2,90+Inputs!$B$26+Inputs!$B$29,IF(Skills!C22=3,120+Inputs!$B$27+Inputs!$B$29,MAX(0,(Inputs!$B$3-100)*3)+Inputs!$B$28+Inputs!$B$29)))</f>
        <v/>
      </c>
      <c r="E2117">
        <f>INDEX(FactorTable!$B$2:$Y$301, MATCH(ROUND(MIN(300,MAX(1,D2117)),0), FactorTable!$A$2:$A$301,0), Skills!M22+1)</f>
        <v/>
      </c>
      <c r="F2117">
        <f>IF(Skills!N22=TRUE,(Skills!L22/10)*(E2117/1000),Skills!L22/10)+Skills!O22</f>
        <v/>
      </c>
      <c r="G2117">
        <f>Skills!G22*IF(Skills!H22&gt;0,Skills!I22/Skills!H22,1)</f>
        <v/>
      </c>
      <c r="H2117">
        <f>1-(1-Skills!J22/100)^Skills!K22</f>
        <v/>
      </c>
      <c r="I2117" t="inlineStr">
        <is>
          <t>1</t>
        </is>
      </c>
      <c r="J2117" t="inlineStr"/>
      <c r="K2117" t="inlineStr"/>
      <c r="L2117" t="inlineStr"/>
      <c r="M2117" t="inlineStr"/>
      <c r="N2117" t="inlineStr"/>
      <c r="O2117">
        <f>(1-Summary!$B$11)*T2117+Summary!$B$11*V2117</f>
        <v/>
      </c>
      <c r="P2117">
        <f>IF(B2136=0,0,O2117/B2136)</f>
        <v/>
      </c>
      <c r="Q2117" t="n">
        <v>0</v>
      </c>
      <c r="R2117" t="n">
        <v>0</v>
      </c>
      <c r="S2117">
        <f>IFERROR(O2117/N2117,0)</f>
        <v/>
      </c>
      <c r="T2117" t="n">
        <v>0</v>
      </c>
      <c r="V2117" t="n">
        <v>0</v>
      </c>
    </row>
    <row r="2118">
      <c r="A2118">
        <f>Skills!A23</f>
        <v/>
      </c>
      <c r="B2118">
        <f>Skills!B23</f>
        <v/>
      </c>
      <c r="C2118">
        <f>Inputs!$B$3&gt;=38</f>
        <v/>
      </c>
      <c r="D2118">
        <f>IF(Skills!C23=1,60+Inputs!$B$25+Inputs!$B$29,IF(Skills!C23=2,90+Inputs!$B$26+Inputs!$B$29,IF(Skills!C23=3,120+Inputs!$B$27+Inputs!$B$29,MAX(0,(Inputs!$B$3-100)*3)+Inputs!$B$28+Inputs!$B$29)))</f>
        <v/>
      </c>
      <c r="E2118">
        <f>INDEX(FactorTable!$B$2:$Y$301, MATCH(ROUND(MIN(300,MAX(1,D2118)),0), FactorTable!$A$2:$A$301,0), Skills!M23+1)</f>
        <v/>
      </c>
      <c r="F2118">
        <f>IF(Skills!N23=TRUE,(Skills!L23/10)*(E2118/1000),Skills!L23/10)+Skills!O23</f>
        <v/>
      </c>
      <c r="G2118">
        <f>Skills!G23*IF(Skills!H23&gt;0,Skills!I23/Skills!H23,1)</f>
        <v/>
      </c>
      <c r="H2118">
        <f>1-(1-Skills!J23/100)^Skills!K23</f>
        <v/>
      </c>
      <c r="I2118" t="inlineStr">
        <is>
          <t>1</t>
        </is>
      </c>
      <c r="J2118" t="inlineStr"/>
      <c r="K2118" t="inlineStr"/>
      <c r="L2118" t="inlineStr"/>
      <c r="M2118" t="inlineStr"/>
      <c r="N2118" t="inlineStr"/>
      <c r="O2118">
        <f>(1-Summary!$B$11)*T2118+Summary!$B$11*V2118</f>
        <v/>
      </c>
      <c r="P2118">
        <f>IF(B2136=0,0,O2118/B2136)</f>
        <v/>
      </c>
      <c r="Q2118" t="n">
        <v>0</v>
      </c>
      <c r="R2118" t="n">
        <v>0</v>
      </c>
      <c r="S2118">
        <f>IFERROR(O2118/N2118,0)</f>
        <v/>
      </c>
      <c r="T2118" t="n">
        <v>0</v>
      </c>
      <c r="V2118" t="n">
        <v>0</v>
      </c>
    </row>
    <row r="2119">
      <c r="A2119">
        <f>Skills!A24</f>
        <v/>
      </c>
      <c r="B2119">
        <f>Skills!B24</f>
        <v/>
      </c>
      <c r="C2119">
        <f>Inputs!$B$3&gt;=40</f>
        <v/>
      </c>
      <c r="D2119">
        <f>IF(Skills!C24=1,60+Inputs!$B$25+Inputs!$B$29,IF(Skills!C24=2,90+Inputs!$B$26+Inputs!$B$29,IF(Skills!C24=3,120+Inputs!$B$27+Inputs!$B$29,MAX(0,(Inputs!$B$3-100)*3)+Inputs!$B$28+Inputs!$B$29)))</f>
        <v/>
      </c>
      <c r="E2119">
        <f>INDEX(FactorTable!$B$2:$Y$301, MATCH(ROUND(MIN(300,MAX(1,D2119)),0), FactorTable!$A$2:$A$301,0), Skills!M24+1)</f>
        <v/>
      </c>
      <c r="F2119">
        <f>IF(Skills!N24=TRUE,(Skills!L24/10)*(E2119/1000),Skills!L24/10)+Skills!O24</f>
        <v/>
      </c>
      <c r="G2119">
        <f>Skills!G24*IF(Skills!H24&gt;0,Skills!I24/Skills!H24,1)</f>
        <v/>
      </c>
      <c r="H2119">
        <f>1-(1-Skills!J24/100)^Skills!K24</f>
        <v/>
      </c>
      <c r="I2119" t="inlineStr">
        <is>
          <t>1</t>
        </is>
      </c>
      <c r="J2119" t="inlineStr"/>
      <c r="K2119" t="inlineStr"/>
      <c r="L2119" t="inlineStr"/>
      <c r="M2119" t="inlineStr"/>
      <c r="N2119" t="inlineStr"/>
      <c r="O2119">
        <f>(1-Summary!$B$11)*T2119+Summary!$B$11*V2119</f>
        <v/>
      </c>
      <c r="P2119">
        <f>IF(B2136=0,0,O2119/B2136)</f>
        <v/>
      </c>
      <c r="Q2119" t="n">
        <v>0</v>
      </c>
      <c r="R2119" t="n">
        <v>0</v>
      </c>
      <c r="S2119">
        <f>IFERROR(O2119/N2119,0)</f>
        <v/>
      </c>
      <c r="T2119" t="n">
        <v>0</v>
      </c>
      <c r="V2119" t="n">
        <v>0</v>
      </c>
    </row>
    <row r="2120">
      <c r="A2120">
        <f>Skills!A25</f>
        <v/>
      </c>
      <c r="B2120">
        <f>Skills!B25</f>
        <v/>
      </c>
      <c r="C2120">
        <f>Inputs!$B$3&gt;=72</f>
        <v/>
      </c>
      <c r="D2120">
        <f>IF(Skills!C25=1,60+Inputs!$B$25+Inputs!$B$29,IF(Skills!C25=2,90+Inputs!$B$26+Inputs!$B$29,IF(Skills!C25=3,120+Inputs!$B$27+Inputs!$B$29,MAX(0,(Inputs!$B$3-100)*3)+Inputs!$B$28+Inputs!$B$29)))</f>
        <v/>
      </c>
      <c r="E2120">
        <f>INDEX(FactorTable!$B$2:$Y$301, MATCH(ROUND(MIN(300,MAX(1,D2120)),0), FactorTable!$A$2:$A$301,0), Skills!M25+1)</f>
        <v/>
      </c>
      <c r="F2120">
        <f>IF(Skills!N25=TRUE,(Skills!L25/10)*(E2120/1000),Skills!L25/10)+Skills!O25</f>
        <v/>
      </c>
      <c r="G2120">
        <f>Skills!G25*IF(Skills!H25&gt;0,Skills!I25/Skills!H25,1)</f>
        <v/>
      </c>
      <c r="H2120">
        <f>1-(1-Skills!J25/100)^Skills!K25</f>
        <v/>
      </c>
      <c r="I2120" t="inlineStr">
        <is>
          <t>1</t>
        </is>
      </c>
      <c r="J2120" t="inlineStr"/>
      <c r="K2120" t="inlineStr"/>
      <c r="L2120" t="inlineStr"/>
      <c r="M2120" t="inlineStr"/>
      <c r="N2120" t="inlineStr"/>
      <c r="O2120">
        <f>(1-Summary!$B$11)*T2120+Summary!$B$11*V2120</f>
        <v/>
      </c>
      <c r="P2120">
        <f>IF(B2136=0,0,O2120/B2136)</f>
        <v/>
      </c>
      <c r="Q2120" t="n">
        <v>0</v>
      </c>
      <c r="R2120" t="n">
        <v>0</v>
      </c>
      <c r="S2120">
        <f>IFERROR(O2120/N2120,0)</f>
        <v/>
      </c>
      <c r="T2120" t="n">
        <v>0</v>
      </c>
      <c r="V2120" t="n">
        <v>0</v>
      </c>
    </row>
    <row r="2121">
      <c r="A2121">
        <f>Skills!A26</f>
        <v/>
      </c>
      <c r="B2121">
        <f>Skills!B26</f>
        <v/>
      </c>
      <c r="C2121">
        <f>Inputs!$B$3&gt;=75</f>
        <v/>
      </c>
      <c r="D2121">
        <f>IF(Skills!C26=1,60+Inputs!$B$25+Inputs!$B$29,IF(Skills!C26=2,90+Inputs!$B$26+Inputs!$B$29,IF(Skills!C26=3,120+Inputs!$B$27+Inputs!$B$29,MAX(0,(Inputs!$B$3-100)*3)+Inputs!$B$28+Inputs!$B$29)))</f>
        <v/>
      </c>
      <c r="E2121">
        <f>INDEX(FactorTable!$B$2:$Y$301, MATCH(ROUND(MIN(300,MAX(1,D2121)),0), FactorTable!$A$2:$A$301,0), Skills!M26+1)</f>
        <v/>
      </c>
      <c r="F2121">
        <f>IF(Skills!N26=TRUE,(Skills!L26/10)*(E2121/1000),Skills!L26/10)+Skills!O26</f>
        <v/>
      </c>
      <c r="G2121">
        <f>Skills!G26*IF(Skills!H26&gt;0,Skills!I26/Skills!H26,1)</f>
        <v/>
      </c>
      <c r="H2121">
        <f>1-(1-Skills!J26/100)^Skills!K26</f>
        <v/>
      </c>
      <c r="I2121" t="inlineStr">
        <is>
          <t>1</t>
        </is>
      </c>
      <c r="J2121" t="inlineStr"/>
      <c r="K2121" t="inlineStr"/>
      <c r="L2121" t="inlineStr"/>
      <c r="M2121" t="inlineStr"/>
      <c r="N2121" t="inlineStr"/>
      <c r="O2121">
        <f>(1-Summary!$B$11)*T2121+Summary!$B$11*V2121</f>
        <v/>
      </c>
      <c r="P2121">
        <f>IF(B2136=0,0,O2121/B2136)</f>
        <v/>
      </c>
      <c r="Q2121" t="n">
        <v>0</v>
      </c>
      <c r="R2121" t="n">
        <v>0</v>
      </c>
      <c r="S2121">
        <f>IFERROR(O2121/N2121,0)</f>
        <v/>
      </c>
      <c r="T2121" t="n">
        <v>0</v>
      </c>
      <c r="V2121" t="n">
        <v>0</v>
      </c>
    </row>
    <row r="2122">
      <c r="A2122">
        <f>Skills!A27</f>
        <v/>
      </c>
      <c r="B2122">
        <f>Skills!B27</f>
        <v/>
      </c>
      <c r="C2122">
        <f>Inputs!$B$3&gt;=117</f>
        <v/>
      </c>
      <c r="D2122">
        <f>IF(Skills!C27=1,60+Inputs!$B$25+Inputs!$B$29,IF(Skills!C27=2,90+Inputs!$B$26+Inputs!$B$29,IF(Skills!C27=3,120+Inputs!$B$27+Inputs!$B$29,MAX(0,(Inputs!$B$3-100)*3)+Inputs!$B$28+Inputs!$B$29)))</f>
        <v/>
      </c>
      <c r="E2122">
        <f>INDEX(FactorTable!$B$2:$Y$301, MATCH(ROUND(MIN(300,MAX(1,D2122)),0), FactorTable!$A$2:$A$301,0), Skills!M27+1)</f>
        <v/>
      </c>
      <c r="F2122">
        <f>IF(Skills!N27=TRUE,(Skills!L27/10)*(E2122/1000),Skills!L27/10)+Skills!O27</f>
        <v/>
      </c>
      <c r="G2122">
        <f>Skills!G27*IF(Skills!H27&gt;0,Skills!I27/Skills!H27,1)</f>
        <v/>
      </c>
      <c r="H2122">
        <f>1-(1-Skills!J27/100)^Skills!K27</f>
        <v/>
      </c>
      <c r="I2122" t="inlineStr">
        <is>
          <t>1</t>
        </is>
      </c>
      <c r="J2122" t="inlineStr"/>
      <c r="K2122" t="inlineStr"/>
      <c r="L2122" t="inlineStr"/>
      <c r="M2122" t="inlineStr"/>
      <c r="N2122" t="inlineStr"/>
      <c r="O2122">
        <f>(1-Summary!$B$11)*T2122+Summary!$B$11*V2122</f>
        <v/>
      </c>
      <c r="P2122">
        <f>IF(B2136=0,0,O2122/B2136)</f>
        <v/>
      </c>
      <c r="Q2122" t="n">
        <v>0</v>
      </c>
      <c r="R2122" t="n">
        <v>0</v>
      </c>
      <c r="S2122">
        <f>IFERROR(O2122/N2122,0)</f>
        <v/>
      </c>
      <c r="T2122" t="n">
        <v>0</v>
      </c>
      <c r="V2122" t="n">
        <v>0</v>
      </c>
    </row>
    <row r="2123">
      <c r="A2123">
        <f>Skills!A28</f>
        <v/>
      </c>
      <c r="B2123">
        <f>Skills!B28</f>
        <v/>
      </c>
      <c r="C2123">
        <f>TRUE</f>
        <v/>
      </c>
      <c r="D2123">
        <f>IF(Skills!C28=1,60+Inputs!$B$25+Inputs!$B$29,IF(Skills!C28=2,90+Inputs!$B$26+Inputs!$B$29,IF(Skills!C28=3,120+Inputs!$B$27+Inputs!$B$29,MAX(0,(Inputs!$B$3-100)*3)+Inputs!$B$28+Inputs!$B$29)))</f>
        <v/>
      </c>
      <c r="E2123">
        <f>INDEX(FactorTable!$B$2:$Y$301, MATCH(ROUND(MIN(300,MAX(1,D2123)),0), FactorTable!$A$2:$A$301,0), Skills!M28+1)</f>
        <v/>
      </c>
      <c r="F2123">
        <f>IF(Skills!N28=TRUE,(Skills!L28/10)*(E2123/1000),Skills!L28/10)+Skills!O28</f>
        <v/>
      </c>
      <c r="G2123">
        <f>Skills!G28*IF(Skills!H28&gt;0,Skills!I28/Skills!H28,1)</f>
        <v/>
      </c>
      <c r="H2123">
        <f>1-(1-Skills!J28/100)^Skills!K28</f>
        <v/>
      </c>
      <c r="I2123" t="inlineStr">
        <is>
          <t>1</t>
        </is>
      </c>
      <c r="J2123" t="inlineStr"/>
      <c r="K2123" t="inlineStr"/>
      <c r="L2123" t="inlineStr"/>
      <c r="M2123" t="inlineStr"/>
      <c r="N2123" t="inlineStr"/>
      <c r="O2123">
        <f>(1-Summary!$B$11)*T2123+Summary!$B$11*V2123</f>
        <v/>
      </c>
      <c r="P2123">
        <f>IF(B2136=0,0,O2123/B2136)</f>
        <v/>
      </c>
      <c r="Q2123">
        <f>IFERROR(1/(IF(Inputs!$B$38="pvp",15,MAX(0.1,Skills!D28-IF(Skills!E28=TRUE,Inputs!$B$32,0)))*(1-IF(AND(IF(ArtifactsInput!$M$27,FALSE,TRUE),Inputs!$B$4="Chapter Hunt"),CHOOSE(ArtifactsInput!$N$27+1,20,24,28,32,36,40),0)/100)),0)</f>
        <v/>
      </c>
      <c r="R2123">
        <f>IF(AND(Inputs!$B$38&lt;&gt;"pvp",Inputs!$B$43&gt;0),IF(Inputs!$B$43&lt;=0,0,(INT(Inputs!$B$43/(IF(Inputs!$B$38="pvp",15,MAX(0.1,Skills!D28-IF(Skills!E28=TRUE,Inputs!$B$32,0)))*(1-IF(AND(IF(ArtifactsInput!$M$27,FALSE,TRUE),Inputs!$B$4="Chapter Hunt"),CHOOSE(ArtifactsInput!$N$27+1,20,24,28,32,36,40),0)/100)))+1)),0)</f>
        <v/>
      </c>
      <c r="S2123">
        <f>IFERROR(O2123/N2123,0)</f>
        <v/>
      </c>
      <c r="T2123" t="n">
        <v>0</v>
      </c>
      <c r="V2123" t="n">
        <v>0</v>
      </c>
    </row>
    <row r="2125">
      <c r="A2125" t="inlineStr">
        <is>
          <t>Attack% Bucket Multiplier</t>
        </is>
      </c>
      <c r="B2125">
        <f>(1+(((C2112=TRUE)*F2112*5/7)+((C2119=TRUE)*(F2119-Calc!F24))+(IF(ArtifactsInput!$M$21,CHOOSE(ArtifactsInput!$N$21+1,25,30,35,40,45,50)*(IF(OR(Inputs!$B$4="Chapter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26">
      <c r="A2126" t="inlineStr">
        <is>
          <t>Global Crit Rate Bonus %</t>
        </is>
      </c>
      <c r="B2126" t="n">
        <v>0</v>
      </c>
    </row>
    <row r="2127">
      <c r="A2127" t="inlineStr">
        <is>
          <t>Attack Speed Buff Bonus % (Nimble Feet, duty-cycle averaged)</t>
        </is>
      </c>
      <c r="B2127">
        <f>((C2123=TRUE)*F2123*IF(AND(Inputs!$B$38&lt;&gt;"pvp",Inputs!$B$43&gt;0),(((R2123-1)*(Skills!T28*(1+Inputs!$B$34/100))+MIN((Skills!T28*(1+Inputs!$B$34/100)),MAX(0,Inputs!$B$43-((R2123-1)*Skills!D28))))/Inputs!$B$43),IF(Inputs!$B$38="pvp",MIN((Skills!T28*(1+Inputs!$B$34/100)),15)/15,(Skills!T28*(1+Inputs!$B$34/100))/Skills!D28)))</f>
        <v/>
      </c>
    </row>
    <row r="2128">
      <c r="A2128" t="inlineStr">
        <is>
          <t>Actions Per Second</t>
        </is>
      </c>
      <c r="B2128">
        <f>1+MIN(150,150*(1-(1-(Inputs!$B$11+((C2115=TRUE)*(F2115-Calc!F20))+((C2116=TRUE)*(F2116-Calc!F21)))/150)*(1-B2127/150)))/100</f>
        <v/>
      </c>
    </row>
    <row r="2129">
      <c r="A2129" t="inlineStr">
        <is>
          <t>Skill + Buff Cast Rate</t>
        </is>
      </c>
      <c r="B2129">
        <f>IF(AND(Inputs!$B$38&lt;&gt;"pvp",Inputs!$B$43&gt;0),SUMPRODUCT((Skills!E2:E28=TRUE)*(C2097:C2123=TRUE)*R2097:R2123*Skills!F2:F28)/Inputs!$B$43,SUMPRODUCT((Skills!E2:E28=TRUE)*(C2097:C2123=TRUE)*Q2097:Q2123*Skills!F2:F28))</f>
        <v/>
      </c>
    </row>
    <row r="2130">
      <c r="A2130" t="inlineStr">
        <is>
          <t>Eight-Legs Easton Casts Per Second</t>
        </is>
      </c>
      <c r="B2130">
        <f>MAX(0,B2128-B2129)</f>
        <v/>
      </c>
    </row>
    <row r="2131">
      <c r="A2131" t="inlineStr">
        <is>
          <t>Global Critical Damage Bonus % (unused)</t>
        </is>
      </c>
      <c r="B2131" t="n">
        <v>0</v>
      </c>
    </row>
    <row r="2132">
      <c r="A2132" t="inlineStr">
        <is>
          <t>Global Final Damage Bonus % (Jolly Roger + Ahoy Mateys - Final Damage proc)</t>
        </is>
      </c>
      <c r="B2132">
        <f>((C2113=TRUE)*F2113*IF(AND(Inputs!$B$38&lt;&gt;"pvp",Inputs!$B$43&gt;0),(((R2113-1)*(Skills!T18*(1+Inputs!$B$34/100))+MIN((Skills!T18*(1+Inputs!$B$34/100)),MAX(0,Inputs!$B$43-((R2113-1)*Skills!D18))))/Inputs!$B$43),IF(Inputs!$B$38="pvp",MIN((Skills!T18*(1+Inputs!$B$34/100)),15)/15,(Skills!T18*(1+Inputs!$B$34/100))/Skills!D18)))+IF(Inputs!$B$3&gt;=122,20*IF(Inputs!$B$38="pvp",MIN((20*(1+Inputs!$B$34/100)),15)/15,(20*(1+Inputs!$B$34/100))/Skills!D4),0)</f>
        <v/>
      </c>
    </row>
    <row r="2133">
      <c r="A2133" t="inlineStr">
        <is>
          <t>Buff-Casting Startup Delay (s, fixed-duration only)</t>
        </is>
      </c>
      <c r="B2133">
        <f>IF(AND(Inputs!$B$38&lt;&gt;"pvp",Inputs!$B$43&gt;0),SUMPRODUCT((Skills!T2:T28&gt;0)*(Skills!E2:E28=TRUE)*(C2097:C2123=TRUE))/B2128,0)</f>
        <v/>
      </c>
    </row>
    <row r="2134">
      <c r="A2134" t="inlineStr">
        <is>
          <t>Boss-Only Total DPS (this block's swept value)</t>
        </is>
      </c>
      <c r="B2134">
        <f>SUM(T2097:T2123)</f>
        <v/>
      </c>
    </row>
    <row r="2135">
      <c r="A2135" t="inlineStr">
        <is>
          <t>Normal-Only Total DPS (this block's swept value)</t>
        </is>
      </c>
      <c r="B2135">
        <f>SUM(V2097:V2123)</f>
        <v/>
      </c>
    </row>
    <row r="2136">
      <c r="A2136" s="6" t="inlineStr">
        <is>
          <t>TOTAL DPS</t>
        </is>
      </c>
      <c r="B2136" s="6">
        <f>SUM(O2097:O2123)</f>
        <v/>
      </c>
    </row>
    <row r="2139">
      <c r="A2139" s="6" t="inlineStr">
        <is>
          <t>Stat: Lit Lamp (Equip)</t>
        </is>
      </c>
    </row>
    <row r="2140">
      <c r="A2140" s="5" t="inlineStr">
        <is>
          <t>Key</t>
        </is>
      </c>
      <c r="B2140" s="5" t="inlineStr">
        <is>
          <t>Name</t>
        </is>
      </c>
      <c r="C2140" s="5" t="inlineStr">
        <is>
          <t>Unlocked</t>
        </is>
      </c>
      <c r="D2140" s="5" t="inlineStr">
        <is>
          <t>InputLevel</t>
        </is>
      </c>
      <c r="E2140" s="5" t="inlineStr">
        <is>
          <t>Factor</t>
        </is>
      </c>
      <c r="F2140" s="5" t="inlineStr">
        <is>
          <t>CoefficientPercent</t>
        </is>
      </c>
      <c r="G2140" s="5" t="inlineStr">
        <is>
          <t>EffectiveHits</t>
        </is>
      </c>
      <c r="H2140" s="5" t="inlineStr">
        <is>
          <t>ProcProbability</t>
        </is>
      </c>
      <c r="I2140" s="5" t="inlineStr">
        <is>
          <t>MapleHeroMultiplier</t>
        </is>
      </c>
      <c r="J2140" s="5" t="inlineStr">
        <is>
          <t>BaseDamage</t>
        </is>
      </c>
      <c r="K2140" s="5" t="inlineStr">
        <is>
          <t>BaseHitDamage</t>
        </is>
      </c>
      <c r="L2140" s="5" t="inlineStr">
        <is>
          <t>NonCritAvg</t>
        </is>
      </c>
      <c r="M2140" s="5" t="inlineStr">
        <is>
          <t>CritAvg</t>
        </is>
      </c>
      <c r="N2140" s="5" t="inlineStr">
        <is>
          <t>ExpectedDamage(perHit)</t>
        </is>
      </c>
      <c r="O2140" s="5" t="inlineStr">
        <is>
          <t>DPS</t>
        </is>
      </c>
      <c r="P2140" s="5" t="inlineStr">
        <is>
          <t>% of Total</t>
        </is>
      </c>
      <c r="Q2140" s="5" t="inlineStr">
        <is>
          <t>InvCooldown</t>
        </is>
      </c>
      <c r="R2140" s="5" t="inlineStr">
        <is>
          <t>CastsInFight</t>
        </is>
      </c>
      <c r="S2140" s="5" t="inlineStr">
        <is>
          <t>HitRate(perSec)</t>
        </is>
      </c>
      <c r="U2140" t="inlineStr">
        <is>
          <t>helpers</t>
        </is>
      </c>
    </row>
    <row r="2141">
      <c r="A2141">
        <f>Skills!A2</f>
        <v/>
      </c>
      <c r="B2141">
        <f>Skills!B2</f>
        <v/>
      </c>
      <c r="C2141">
        <f>Inputs!$B$3&gt;=100</f>
        <v/>
      </c>
      <c r="D2141" t="inlineStr"/>
      <c r="E2141" t="inlineStr"/>
      <c r="F2141">
        <f>U2143+Skills!O2</f>
        <v/>
      </c>
      <c r="G2141">
        <f>Skills!G2*IF(Skills!H2&gt;0,Skills!I2/Skills!H2,1)</f>
        <v/>
      </c>
      <c r="H2141">
        <f>1-(1-Skills!J2/100)^Skills!K2</f>
        <v/>
      </c>
      <c r="I2141" t="inlineStr">
        <is>
          <t>1</t>
        </is>
      </c>
      <c r="J2141">
        <f>((Inputs!$B$6*(1+Inputs!$B$7/100))+(((Inputs!$B$12*(1+Inputs!$B$13/100))-(Inputs!$B$12*(1+Inputs!$B$13/100)))+0.25*(Inputs!$B$14-Inputs!$B$14))*(1+Inputs!$B$7/100))*(F2141/100)</f>
        <v/>
      </c>
      <c r="K2141">
        <f>J2141*(1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2141)</f>
        <v/>
      </c>
      <c r="L2141">
        <f>K2141*(MIN(Inputs!$B$22+((C2161=TRUE)*(F2161-Calc!F22)),(Inputs!$B$23+0+(IF(ArtifactsInput!$M$15,CHOOSE(ArtifactsInput!$N$15+1,25,30,35,40,45,50)/100*(Inputs!$B$11-Inputs!$B$11),0))))/100+(Inputs!$B$23+0+(IF(ArtifactsInput!$M$15,CHOOSE(ArtifactsInput!$N$15+1,25,30,35,40,45,50)/100*(Inputs!$B$11-Inputs!$B$11),0)))/100)/2</f>
        <v/>
      </c>
      <c r="M2141">
        <f>L2141*(1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1">
        <f>L2141*(1-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1">
        <f>(1-Summary!$B$11)*T2141+Summary!$B$11*V2141</f>
        <v/>
      </c>
      <c r="P2141">
        <f>IF(B2180=0,0,O2141/B2180)</f>
        <v/>
      </c>
      <c r="Q2141" t="n">
        <v>0</v>
      </c>
      <c r="R2141" t="n">
        <v>0</v>
      </c>
      <c r="S2141">
        <f>IFERROR(O2141/N2141,0)</f>
        <v/>
      </c>
      <c r="T2141">
        <f>IF(C2141,(Skills!G2*N2141*B2174)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2141*(1-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2141*(1-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1">
        <f>MAX(0,(Inputs!$B$3-100)*3)+Inputs!$B$28+Inputs!$B$29</f>
        <v/>
      </c>
      <c r="V2141">
        <f>IF(C2141,(Skills!G2*N2141*B2174)*IF(Inputs!$B$38="pvp",1,(1+(Inputs!$B$21+Skills!Q2+(IF(ArtifactsInput!$M$33,CHOOSE(ArtifactsInput!$N$33+1,30,36,42,48,54,60),0))+(IF(AND(ArtifactsInput!$M$35,Inputs!$B$4&lt;&gt;"Chapter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2">
      <c r="A2142">
        <f>Skills!A3</f>
        <v/>
      </c>
      <c r="B2142">
        <f>Skills!B3</f>
        <v/>
      </c>
      <c r="C2142">
        <f>Inputs!$B$3&gt;=35</f>
        <v/>
      </c>
      <c r="D2142">
        <f>IF(Skills!C3=1,60+Inputs!$B$25+Inputs!$B$29,IF(Skills!C3=2,90+Inputs!$B$26+Inputs!$B$29,IF(Skills!C3=3,120+Inputs!$B$27+Inputs!$B$29,MAX(0,(Inputs!$B$3-100)*3)+Inputs!$B$28+Inputs!$B$29)))</f>
        <v/>
      </c>
      <c r="E2142">
        <f>INDEX(FactorTable!$B$2:$Y$301, MATCH(ROUND(MIN(300,MAX(1,D2142)),0), FactorTable!$A$2:$A$301,0), Skills!M3+1)</f>
        <v/>
      </c>
      <c r="F2142">
        <f>IF(Skills!N3=TRUE,(Skills!L3/10)*(E2142/1000),Skills!L3/10)+Skills!O3</f>
        <v/>
      </c>
      <c r="G2142">
        <f>Skills!G3*IF(Skills!H3&gt;0,Skills!I3/Skills!H3,1)</f>
        <v/>
      </c>
      <c r="H2142">
        <f>1-(1-Skills!J3/100)^Skills!K3</f>
        <v/>
      </c>
      <c r="I2142" t="inlineStr">
        <is>
          <t>1</t>
        </is>
      </c>
      <c r="J2142">
        <f>((Inputs!$B$6*(1+Inputs!$B$7/100))+(((Inputs!$B$12*(1+Inputs!$B$13/100))-(Inputs!$B$12*(1+Inputs!$B$13/100)))+0.25*(Inputs!$B$14-Inputs!$B$14))*(1+Inputs!$B$7/100))*(F2142/100)</f>
        <v/>
      </c>
      <c r="K2142">
        <f>J2142*(1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2154=TRUE,F2154,0)/100)*(1+(IF(Skills!A3="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2142)</f>
        <v/>
      </c>
      <c r="L2142">
        <f>K2142*(MIN(Inputs!$B$22+((C2161=TRUE)*(F2161-Calc!F22)),(Inputs!$B$23+0+(IF(ArtifactsInput!$M$15,CHOOSE(ArtifactsInput!$N$15+1,25,30,35,40,45,50)/100*(Inputs!$B$11-Inputs!$B$11),0))))/100+(Inputs!$B$23+0+(IF(ArtifactsInput!$M$15,CHOOSE(ArtifactsInput!$N$15+1,25,30,35,40,45,50)/100*(Inputs!$B$11-Inputs!$B$11),0)))/100)/2</f>
        <v/>
      </c>
      <c r="M2142">
        <f>L2142*(1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2">
        <f>L2142*(1-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2142*(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2">
        <f>(1-Summary!$B$11)*T2142+Summary!$B$11*V2142</f>
        <v/>
      </c>
      <c r="P2142">
        <f>IF(B2180=0,0,O2142/B2180)</f>
        <v/>
      </c>
      <c r="Q2142">
        <f>IFERROR(1/(IF(Inputs!$B$38="pvp",15,MAX(0.1,Skills!D3-IF(Skills!E3=TRUE,Inputs!$B$32,0)))*(1-IF(AND(ArtifactsInput!$M$27,Inputs!$B$4="Chapter Hunt"),CHOOSE(ArtifactsInput!$N$27+1,20,24,28,32,36,40),0)/100)),0)</f>
        <v/>
      </c>
      <c r="R2142">
        <f>IF(AND(Inputs!$B$38&lt;&gt;"pvp",Inputs!$B$43&gt;0),IF(MAX(0,Inputs!$B$43-B2177)&lt;=0,0,(INT(MAX(0,Inputs!$B$43-B2177)/(IF(Inputs!$B$38="pvp",15,MAX(0.1,Skills!D3-IF(Skills!E3=TRUE,Inputs!$B$32,0)))*(1-IF(AND(ArtifactsInput!$M$27,Inputs!$B$4="Chapter Hunt"),CHOOSE(ArtifactsInput!$N$27+1,20,24,28,32,36,40),0)/100)))+1)),0)</f>
        <v/>
      </c>
      <c r="S2142">
        <f>IFERROR(O2142/N2142,0)</f>
        <v/>
      </c>
      <c r="T2142">
        <f>IF(C2142,(H2142*N2142*IF(AND(Inputs!$B$38&lt;&gt;"pvp",Inputs!$B$43&gt;0),((Skills!G3*((R2142-1)*IF(Skills!H3&gt;0,Skills!I3/Skills!H3,1)+IF(Skills!H3&gt;0,MIN(Skills!I3,MAX(0,MAX(0,Inputs!$B$43-B2177)-((R2142-1)*(IF(Inputs!$B$38="pvp",15,MAX(0.1,Skills!D3-IF(Skills!E3=TRUE,Inputs!$B$32,0)))*(1-IF(AND(ArtifactsInput!$M$27,Inputs!$B$4="Chapter Hunt"),CHOOSE(ArtifactsInput!$N$27+1,20,24,28,32,36,40),0)/100)))))/Skills!H3,1)))/Inputs!$B$43),G2142*Q2142)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2142*(1-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2142*(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2142*(1-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2142*(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2">
        <f>INDEX(FactorTable!$B$2:$Y$301, MATCH(ROUND(MIN(300,MAX(1,U2141)),0), FactorTable!$A$2:$A$301,0), 22)</f>
        <v/>
      </c>
      <c r="V2142">
        <f>IF(C2142,(H2142*N2142*IF(AND(Inputs!$B$38&lt;&gt;"pvp",Inputs!$B$43&gt;0),((Skills!G3*((R2142-1)*IF(Skills!H3&gt;0,Skills!I3/Skills!H3,1)+IF(Skills!H3&gt;0,MIN(Skills!I3,MAX(0,MAX(0,Inputs!$B$43-B2177)-((R2142-1)*(IF(Inputs!$B$38="pvp",15,MAX(0.1,Skills!D3-IF(Skills!E3=TRUE,Inputs!$B$32,0)))*(1-IF(AND(ArtifactsInput!$M$27,Inputs!$B$4="Chapter Hunt"),CHOOSE(ArtifactsInput!$N$27+1,20,24,28,32,36,40),0)/100)))))/Skills!H3,1)))/Inputs!$B$43),G2142*Q2142))*IF(Inputs!$B$38="pvp",1,(1+(Inputs!$B$21+Skills!Q3+(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3">
      <c r="A2143">
        <f>Skills!A4</f>
        <v/>
      </c>
      <c r="B2143">
        <f>Skills!B4</f>
        <v/>
      </c>
      <c r="C2143">
        <f>Inputs!$B$3&gt;=40</f>
        <v/>
      </c>
      <c r="D2143">
        <f>IF(Skills!C4=1,60+Inputs!$B$25+Inputs!$B$29,IF(Skills!C4=2,90+Inputs!$B$26+Inputs!$B$29,IF(Skills!C4=3,120+Inputs!$B$27+Inputs!$B$29,MAX(0,(Inputs!$B$3-100)*3)+Inputs!$B$28+Inputs!$B$29)))</f>
        <v/>
      </c>
      <c r="E2143">
        <f>INDEX(FactorTable!$B$2:$Y$301, MATCH(ROUND(MIN(300,MAX(1,D2143)),0), FactorTable!$A$2:$A$301,0), Skills!M4+1)</f>
        <v/>
      </c>
      <c r="F2143">
        <f>IF(Skills!N4=TRUE,(Skills!L4/10)*(E2143/1000),Skills!L4/10)+Skills!O4</f>
        <v/>
      </c>
      <c r="G2143">
        <f>Skills!G4*IF(Skills!H4&gt;0,Skills!I4/Skills!H4,1)</f>
        <v/>
      </c>
      <c r="H2143">
        <f>1-(1-Skills!J4/100)^Skills!K4</f>
        <v/>
      </c>
      <c r="I2143" t="inlineStr">
        <is>
          <t>1</t>
        </is>
      </c>
      <c r="J2143">
        <f>((Inputs!$B$6*(1+Inputs!$B$7/100))+(((Inputs!$B$12*(1+Inputs!$B$13/100))-(Inputs!$B$12*(1+Inputs!$B$13/100)))+0.25*(Inputs!$B$14-Inputs!$B$14))*(1+Inputs!$B$7/100))*(F2143/100)</f>
        <v/>
      </c>
      <c r="K2143">
        <f>J2143*(1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2155=TRUE,F2155,0)/100)*(1+(IF(Skills!A4="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2143)</f>
        <v/>
      </c>
      <c r="L2143">
        <f>K2143*(MIN(Inputs!$B$22+((C2161=TRUE)*(F2161-Calc!F22)),(Inputs!$B$23+0+(IF(ArtifactsInput!$M$15,CHOOSE(ArtifactsInput!$N$15+1,25,30,35,40,45,50)/100*(Inputs!$B$11-Inputs!$B$11),0))))/100+(Inputs!$B$23+0+(IF(ArtifactsInput!$M$15,CHOOSE(ArtifactsInput!$N$15+1,25,30,35,40,45,50)/100*(Inputs!$B$11-Inputs!$B$11),0)))/100)/2</f>
        <v/>
      </c>
      <c r="M2143">
        <f>L2143*(1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3">
        <f>L2143*(1-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2143*(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3">
        <f>(1-Summary!$B$11)*T2143+Summary!$B$11*V2143</f>
        <v/>
      </c>
      <c r="P2143">
        <f>IF(B2180=0,0,O2143/B2180)</f>
        <v/>
      </c>
      <c r="Q2143">
        <f>IFERROR(1/(IF(Inputs!$B$38="pvp",15,MAX(0.1,Skills!D4-IF(Skills!E4=TRUE,Inputs!$B$32,0)))*(1-IF(AND(ArtifactsInput!$M$27,Inputs!$B$4="Chapter Hunt"),CHOOSE(ArtifactsInput!$N$27+1,20,24,28,32,36,40),0)/100)),0)</f>
        <v/>
      </c>
      <c r="R2143">
        <f>IF(AND(Inputs!$B$38&lt;&gt;"pvp",Inputs!$B$43&gt;0),IF(MAX(0,Inputs!$B$43-B2177)&lt;=0,0,(INT(MAX(0,Inputs!$B$43-B2177)/(IF(Inputs!$B$38="pvp",15,MAX(0.1,Skills!D4-IF(Skills!E4=TRUE,Inputs!$B$32,0)))*(1-IF(AND(ArtifactsInput!$M$27,Inputs!$B$4="Chapter Hunt"),CHOOSE(ArtifactsInput!$N$27+1,20,24,28,32,36,40),0)/100)))+1)),0)</f>
        <v/>
      </c>
      <c r="S2143">
        <f>IFERROR(O2143/N2143,0)</f>
        <v/>
      </c>
      <c r="T2143">
        <f>IF(C2143,(H2143*N2143*IF(AND(Inputs!$B$38&lt;&gt;"pvp",Inputs!$B$43&gt;0),((Skills!G4*((R2143-1)*IF(Skills!H4&gt;0,Skills!I4/Skills!H4,1)+IF(Skills!H4&gt;0,MIN(Skills!I4,MAX(0,MAX(0,Inputs!$B$43-B2177)-((R2143-1)*(IF(Inputs!$B$38="pvp",15,MAX(0.1,Skills!D4-IF(Skills!E4=TRUE,Inputs!$B$32,0)))*(1-IF(AND(ArtifactsInput!$M$27,Inputs!$B$4="Chapter Hunt"),CHOOSE(ArtifactsInput!$N$27+1,20,24,28,32,36,40),0)/100)))))/Skills!H4,1)))/Inputs!$B$43),G2143*Q2143)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2143*(1-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2143*(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2143*(1-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2143*(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3">
        <f>290*U2142/1000</f>
        <v/>
      </c>
      <c r="V2143">
        <f>IF(C2143,(H2143*N2143*IF(AND(Inputs!$B$38&lt;&gt;"pvp",Inputs!$B$43&gt;0),((Skills!G4*((R2143-1)*IF(Skills!H4&gt;0,Skills!I4/Skills!H4,1)+IF(Skills!H4&gt;0,MIN(Skills!I4,MAX(0,MAX(0,Inputs!$B$43-B2177)-((R2143-1)*(IF(Inputs!$B$38="pvp",15,MAX(0.1,Skills!D4-IF(Skills!E4=TRUE,Inputs!$B$32,0)))*(1-IF(AND(ArtifactsInput!$M$27,Inputs!$B$4="Chapter Hunt"),CHOOSE(ArtifactsInput!$N$27+1,20,24,28,32,36,40),0)/100)))))/Skills!H4,1)))/Inputs!$B$43),G2143*Q2143))*IF(Inputs!$B$38="pvp",1,(1+(Inputs!$B$21+Skills!Q4+(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4">
      <c r="A2144">
        <f>Skills!A5</f>
        <v/>
      </c>
      <c r="B2144">
        <f>Skills!B5</f>
        <v/>
      </c>
      <c r="C2144">
        <f>Inputs!$B$3&gt;=45</f>
        <v/>
      </c>
      <c r="D2144">
        <f>IF(Skills!C5=1,60+Inputs!$B$25+Inputs!$B$29,IF(Skills!C5=2,90+Inputs!$B$26+Inputs!$B$29,IF(Skills!C5=3,120+Inputs!$B$27+Inputs!$B$29,MAX(0,(Inputs!$B$3-100)*3)+Inputs!$B$28+Inputs!$B$29)))</f>
        <v/>
      </c>
      <c r="E2144">
        <f>INDEX(FactorTable!$B$2:$Y$301, MATCH(ROUND(MIN(300,MAX(1,D2144)),0), FactorTable!$A$2:$A$301,0), Skills!M5+1)</f>
        <v/>
      </c>
      <c r="F2144">
        <f>IF(Skills!N5=TRUE,(Skills!L5/10)*(E2144/1000),Skills!L5/10)+Skills!O5</f>
        <v/>
      </c>
      <c r="G2144">
        <f>Skills!G5*IF(Skills!H5&gt;0,Skills!I5/Skills!H5,1)</f>
        <v/>
      </c>
      <c r="H2144">
        <f>1-(1-Skills!J5/100)^Skills!K5</f>
        <v/>
      </c>
      <c r="I2144" t="inlineStr">
        <is>
          <t>1</t>
        </is>
      </c>
      <c r="J2144">
        <f>((Inputs!$B$6*(1+Inputs!$B$7/100))+(((Inputs!$B$12*(1+Inputs!$B$13/100))-(Inputs!$B$12*(1+Inputs!$B$13/100)))+0.25*(Inputs!$B$14-Inputs!$B$14))*(1+Inputs!$B$7/100))*(F2144/100)</f>
        <v/>
      </c>
      <c r="K2144">
        <f>J2144*(1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2155=TRUE,F2155,0)/100)*(1+(IF(Skills!A5="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2144)</f>
        <v/>
      </c>
      <c r="L2144">
        <f>K2144*(MIN(Inputs!$B$22+((C2161=TRUE)*(F2161-Calc!F22)),(Inputs!$B$23+0+(IF(ArtifactsInput!$M$15,CHOOSE(ArtifactsInput!$N$15+1,25,30,35,40,45,50)/100*(Inputs!$B$11-Inputs!$B$11),0))))/100+(Inputs!$B$23+0+(IF(ArtifactsInput!$M$15,CHOOSE(ArtifactsInput!$N$15+1,25,30,35,40,45,50)/100*(Inputs!$B$11-Inputs!$B$11),0)))/100)/2</f>
        <v/>
      </c>
      <c r="M2144">
        <f>L2144*(1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4">
        <f>L2144*(1-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2144*(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4">
        <f>(1-Summary!$B$11)*T2144+Summary!$B$11*V2144</f>
        <v/>
      </c>
      <c r="P2144">
        <f>IF(B2180=0,0,O2144/B2180)</f>
        <v/>
      </c>
      <c r="Q2144">
        <f>IFERROR(1/(IF(Inputs!$B$38="pvp",15,MAX(0.1,Skills!D5-IF(Skills!E5=TRUE,Inputs!$B$32,0)))*(1-IF(AND(ArtifactsInput!$M$27,Inputs!$B$4="Chapter Hunt"),CHOOSE(ArtifactsInput!$N$27+1,20,24,28,32,36,40),0)/100)),0)</f>
        <v/>
      </c>
      <c r="R2144">
        <f>IF(AND(Inputs!$B$38&lt;&gt;"pvp",Inputs!$B$43&gt;0),IF(MAX(0,Inputs!$B$43-B2177)&lt;=0,0,(INT(MAX(0,Inputs!$B$43-B2177)/(IF(Inputs!$B$38="pvp",15,MAX(0.1,Skills!D5-IF(Skills!E5=TRUE,Inputs!$B$32,0)))*(1-IF(AND(ArtifactsInput!$M$27,Inputs!$B$4="Chapter Hunt"),CHOOSE(ArtifactsInput!$N$27+1,20,24,28,32,36,40),0)/100)))+1)),0)</f>
        <v/>
      </c>
      <c r="S2144">
        <f>IFERROR(O2144/N2144,0)</f>
        <v/>
      </c>
      <c r="T2144">
        <f>IF(C2144,(H2144*N2144*IF(AND(Inputs!$B$38&lt;&gt;"pvp",Inputs!$B$43&gt;0),((Skills!G5*((R2144-1)*IF(Skills!H5&gt;0,Skills!I5/Skills!H5,1)+IF(Skills!H5&gt;0,MIN(Skills!I5,MAX(0,MAX(0,Inputs!$B$43-B2177)-((R2144-1)*(IF(Inputs!$B$38="pvp",15,MAX(0.1,Skills!D5-IF(Skills!E5=TRUE,Inputs!$B$32,0)))*(1-IF(AND(ArtifactsInput!$M$27,Inputs!$B$4="Chapter Hunt"),CHOOSE(ArtifactsInput!$N$27+1,20,24,28,32,36,40),0)/100)))))/Skills!H5,1)))/Inputs!$B$43),G2144*Q2144)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2144*(1-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2144*(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2144*(1-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2144*(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4">
        <f>IF(C2144,(H2144*N2144*IF(AND(Inputs!$B$38&lt;&gt;"pvp",Inputs!$B$43&gt;0),((Skills!G5*((R2144-1)*IF(Skills!H5&gt;0,Skills!I5/Skills!H5,1)+IF(Skills!H5&gt;0,MIN(Skills!I5,MAX(0,MAX(0,Inputs!$B$43-B2177)-((R2144-1)*(IF(Inputs!$B$38="pvp",15,MAX(0.1,Skills!D5-IF(Skills!E5=TRUE,Inputs!$B$32,0)))*(1-IF(AND(ArtifactsInput!$M$27,Inputs!$B$4="Chapter Hunt"),CHOOSE(ArtifactsInput!$N$27+1,20,24,28,32,36,40),0)/100)))))/Skills!H5,1)))/Inputs!$B$43),G2144*Q2144))*IF(Inputs!$B$38="pvp",1,(1+(Inputs!$B$21+Skills!Q5+(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5">
      <c r="A2145">
        <f>Skills!A6</f>
        <v/>
      </c>
      <c r="B2145">
        <f>Skills!B6</f>
        <v/>
      </c>
      <c r="C2145">
        <f>Inputs!$B$3&gt;=63</f>
        <v/>
      </c>
      <c r="D2145">
        <f>IF(Skills!C6=1,60+Inputs!$B$25+Inputs!$B$29,IF(Skills!C6=2,90+Inputs!$B$26+Inputs!$B$29,IF(Skills!C6=3,120+Inputs!$B$27+Inputs!$B$29,MAX(0,(Inputs!$B$3-100)*3)+Inputs!$B$28+Inputs!$B$29)))</f>
        <v/>
      </c>
      <c r="E2145">
        <f>INDEX(FactorTable!$B$2:$Y$301, MATCH(ROUND(MIN(300,MAX(1,D2145)),0), FactorTable!$A$2:$A$301,0), Skills!M6+1)</f>
        <v/>
      </c>
      <c r="F2145">
        <f>IF(Skills!N6=TRUE,(Skills!L6/10)*(E2145/1000),Skills!L6/10)+Skills!O6</f>
        <v/>
      </c>
      <c r="G2145">
        <f>Skills!G6*IF(Skills!H6&gt;0,Skills!I6/Skills!H6,1)</f>
        <v/>
      </c>
      <c r="H2145">
        <f>1-(1-Skills!J6/100)^Skills!K6</f>
        <v/>
      </c>
      <c r="I2145" t="inlineStr">
        <is>
          <t>1</t>
        </is>
      </c>
      <c r="J2145">
        <f>((Inputs!$B$6*(1+Inputs!$B$7/100))+(((Inputs!$B$12*(1+Inputs!$B$13/100))-(Inputs!$B$12*(1+Inputs!$B$13/100)))+0.25*(Inputs!$B$14-Inputs!$B$14))*(1+Inputs!$B$7/100))*(F2145/100)</f>
        <v/>
      </c>
      <c r="K2145">
        <f>J2145*(1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2154=TRUE,F2154,0)/100)*(1+(IF(Skills!A6="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2145)</f>
        <v/>
      </c>
      <c r="L2145">
        <f>K2145*(MIN(Inputs!$B$22+((C2161=TRUE)*(F2161-Calc!F22)),(Inputs!$B$23+0+(IF(ArtifactsInput!$M$15,CHOOSE(ArtifactsInput!$N$15+1,25,30,35,40,45,50)/100*(Inputs!$B$11-Inputs!$B$11),0))))/100+(Inputs!$B$23+0+(IF(ArtifactsInput!$M$15,CHOOSE(ArtifactsInput!$N$15+1,25,30,35,40,45,50)/100*(Inputs!$B$11-Inputs!$B$11),0)))/100)/2</f>
        <v/>
      </c>
      <c r="M2145">
        <f>L2145*(1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5">
        <f>L2145*(1-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2145*(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5">
        <f>(1-Summary!$B$11)*T2145+Summary!$B$11*V2145</f>
        <v/>
      </c>
      <c r="P2145">
        <f>IF(B2180=0,0,O2145/B2180)</f>
        <v/>
      </c>
      <c r="Q2145">
        <f>IFERROR(1/(IF(Inputs!$B$38="pvp",15,MAX(0.1,Skills!D6-IF(Skills!E6=TRUE,Inputs!$B$32,0)))*(1-IF(AND(ArtifactsInput!$M$27,Inputs!$B$4="Chapter Hunt"),CHOOSE(ArtifactsInput!$N$27+1,20,24,28,32,36,40),0)/100)),0)</f>
        <v/>
      </c>
      <c r="R2145">
        <f>IF(AND(Inputs!$B$38&lt;&gt;"pvp",Inputs!$B$43&gt;0),IF(MAX(0,Inputs!$B$43-B2177)&lt;=0,0,(INT(MAX(0,Inputs!$B$43-B2177)/(IF(Inputs!$B$38="pvp",15,MAX(0.1,Skills!D6-IF(Skills!E6=TRUE,Inputs!$B$32,0)))*(1-IF(AND(ArtifactsInput!$M$27,Inputs!$B$4="Chapter Hunt"),CHOOSE(ArtifactsInput!$N$27+1,20,24,28,32,36,40),0)/100)))+1)),0)</f>
        <v/>
      </c>
      <c r="S2145">
        <f>IFERROR(O2145/N2145,0)</f>
        <v/>
      </c>
      <c r="T2145">
        <f>IF(C2145,(H2145*N2145*IF(AND(Inputs!$B$38&lt;&gt;"pvp",Inputs!$B$43&gt;0),((Skills!G6*((R2145-1)*IF(Skills!H6&gt;0,Skills!I6/Skills!H6,1)+IF(Skills!H6&gt;0,MIN(Skills!I6,MAX(0,MAX(0,Inputs!$B$43-B2177)-((R2145-1)*(IF(Inputs!$B$38="pvp",15,MAX(0.1,Skills!D6-IF(Skills!E6=TRUE,Inputs!$B$32,0)))*(1-IF(AND(ArtifactsInput!$M$27,Inputs!$B$4="Chapter Hunt"),CHOOSE(ArtifactsInput!$N$27+1,20,24,28,32,36,40),0)/100)))))/Skills!H6,1)))/Inputs!$B$43),G2145*Q2145)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2145*(1-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2145*(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2145*(1-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2145*(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5">
        <f>IF(C2145,(H2145*N2145*IF(AND(Inputs!$B$38&lt;&gt;"pvp",Inputs!$B$43&gt;0),((Skills!G6*((R2145-1)*IF(Skills!H6&gt;0,Skills!I6/Skills!H6,1)+IF(Skills!H6&gt;0,MIN(Skills!I6,MAX(0,MAX(0,Inputs!$B$43-B2177)-((R2145-1)*(IF(Inputs!$B$38="pvp",15,MAX(0.1,Skills!D6-IF(Skills!E6=TRUE,Inputs!$B$32,0)))*(1-IF(AND(ArtifactsInput!$M$27,Inputs!$B$4="Chapter Hunt"),CHOOSE(ArtifactsInput!$N$27+1,20,24,28,32,36,40),0)/100)))))/Skills!H6,1)))/Inputs!$B$43),G2145*Q2145))*IF(Inputs!$B$38="pvp",1,(1+(Inputs!$B$21+Skills!Q6+(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6">
      <c r="A2146">
        <f>Skills!A7</f>
        <v/>
      </c>
      <c r="B2146">
        <f>Skills!B7</f>
        <v/>
      </c>
      <c r="C2146">
        <f>Inputs!$B$3&gt;=66</f>
        <v/>
      </c>
      <c r="D2146">
        <f>IF(Skills!C7=1,60+Inputs!$B$25+Inputs!$B$29,IF(Skills!C7=2,90+Inputs!$B$26+Inputs!$B$29,IF(Skills!C7=3,120+Inputs!$B$27+Inputs!$B$29,MAX(0,(Inputs!$B$3-100)*3)+Inputs!$B$28+Inputs!$B$29)))</f>
        <v/>
      </c>
      <c r="E2146">
        <f>INDEX(FactorTable!$B$2:$Y$301, MATCH(ROUND(MIN(300,MAX(1,D2146)),0), FactorTable!$A$2:$A$301,0), Skills!M7+1)</f>
        <v/>
      </c>
      <c r="F2146">
        <f>IF(Skills!N7=TRUE,(Skills!L7/10)*(E2146/1000),Skills!L7/10)+Skills!O7</f>
        <v/>
      </c>
      <c r="G2146">
        <f>Skills!G7*IF(Skills!H7&gt;0,Skills!I7/Skills!H7,1)</f>
        <v/>
      </c>
      <c r="H2146">
        <f>1-(1-Skills!J7/100)^Skills!K7</f>
        <v/>
      </c>
      <c r="I2146" t="inlineStr">
        <is>
          <t>1</t>
        </is>
      </c>
      <c r="J2146">
        <f>((Inputs!$B$6*(1+Inputs!$B$7/100))+(((Inputs!$B$12*(1+Inputs!$B$13/100))-(Inputs!$B$12*(1+Inputs!$B$13/100)))+0.25*(Inputs!$B$14-Inputs!$B$14))*(1+Inputs!$B$7/100))*(F2146/100)</f>
        <v/>
      </c>
      <c r="K2146">
        <f>J2146*(1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2154=TRUE,F2154,0)/100)*(1+(IF(Skills!A7="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2146)</f>
        <v/>
      </c>
      <c r="L2146">
        <f>K2146*(MIN(Inputs!$B$22+((C2161=TRUE)*(F2161-Calc!F22)),(Inputs!$B$23+0+(IF(ArtifactsInput!$M$15,CHOOSE(ArtifactsInput!$N$15+1,25,30,35,40,45,50)/100*(Inputs!$B$11-Inputs!$B$11),0))))/100+(Inputs!$B$23+0+(IF(ArtifactsInput!$M$15,CHOOSE(ArtifactsInput!$N$15+1,25,30,35,40,45,50)/100*(Inputs!$B$11-Inputs!$B$11),0)))/100)/2</f>
        <v/>
      </c>
      <c r="M2146">
        <f>L2146*(1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6">
        <f>L2146*(1-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2146*(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6">
        <f>(1-Summary!$B$11)*T2146+Summary!$B$11*V2146</f>
        <v/>
      </c>
      <c r="P2146">
        <f>IF(B2180=0,0,O2146/B2180)</f>
        <v/>
      </c>
      <c r="Q2146">
        <f>IFERROR(1/(IF(Inputs!$B$38="pvp",15,MAX(0.1,Skills!D7-IF(Skills!E7=TRUE,Inputs!$B$32,0)))*(1-IF(AND(ArtifactsInput!$M$27,Inputs!$B$4="Chapter Hunt"),CHOOSE(ArtifactsInput!$N$27+1,20,24,28,32,36,40),0)/100)),0)</f>
        <v/>
      </c>
      <c r="R2146">
        <f>IF(AND(Inputs!$B$38&lt;&gt;"pvp",Inputs!$B$43&gt;0),IF(MAX(0,Inputs!$B$43-B2177)&lt;=0,0,(INT(MAX(0,Inputs!$B$43-B2177)/(IF(Inputs!$B$38="pvp",15,MAX(0.1,Skills!D7-IF(Skills!E7=TRUE,Inputs!$B$32,0)))*(1-IF(AND(ArtifactsInput!$M$27,Inputs!$B$4="Chapter Hunt"),CHOOSE(ArtifactsInput!$N$27+1,20,24,28,32,36,40),0)/100)))+1)),0)</f>
        <v/>
      </c>
      <c r="S2146">
        <f>IFERROR(O2146/N2146,0)</f>
        <v/>
      </c>
      <c r="T2146">
        <f>IF(C2146,(H2146*N2146*IF(AND(Inputs!$B$38&lt;&gt;"pvp",Inputs!$B$43&gt;0),((Skills!G7*((R2146-1)*IF(Skills!H7&gt;0,Skills!I7/Skills!H7,1)+IF(Skills!H7&gt;0,MIN(Skills!I7,MAX(0,MAX(0,Inputs!$B$43-B2177)-((R2146-1)*(IF(Inputs!$B$38="pvp",15,MAX(0.1,Skills!D7-IF(Skills!E7=TRUE,Inputs!$B$32,0)))*(1-IF(AND(ArtifactsInput!$M$27,Inputs!$B$4="Chapter Hunt"),CHOOSE(ArtifactsInput!$N$27+1,20,24,28,32,36,40),0)/100)))))/Skills!H7,1)))/Inputs!$B$43),G2146*Q2146)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2146*(1-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2146*(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2146*(1-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2146*(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6">
        <f>IF(C2146,(H2146*N2146*IF(AND(Inputs!$B$38&lt;&gt;"pvp",Inputs!$B$43&gt;0),((Skills!G7*((R2146-1)*IF(Skills!H7&gt;0,Skills!I7/Skills!H7,1)+IF(Skills!H7&gt;0,MIN(Skills!I7,MAX(0,MAX(0,Inputs!$B$43-B2177)-((R2146-1)*(IF(Inputs!$B$38="pvp",15,MAX(0.1,Skills!D7-IF(Skills!E7=TRUE,Inputs!$B$32,0)))*(1-IF(AND(ArtifactsInput!$M$27,Inputs!$B$4="Chapter Hunt"),CHOOSE(ArtifactsInput!$N$27+1,20,24,28,32,36,40),0)/100)))))/Skills!H7,1)))/Inputs!$B$43),G2146*Q2146))*IF(Inputs!$B$38="pvp",1,(1+(Inputs!$B$21+Skills!Q7+(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7">
      <c r="A2147">
        <f>Skills!A8</f>
        <v/>
      </c>
      <c r="B2147">
        <f>Skills!B8</f>
        <v/>
      </c>
      <c r="C2147">
        <f>Inputs!$B$3&gt;=100</f>
        <v/>
      </c>
      <c r="D2147">
        <f>IF(Skills!C8=1,60+Inputs!$B$25+Inputs!$B$29,IF(Skills!C8=2,90+Inputs!$B$26+Inputs!$B$29,IF(Skills!C8=3,120+Inputs!$B$27+Inputs!$B$29,MAX(0,(Inputs!$B$3-100)*3)+Inputs!$B$28+Inputs!$B$29)))</f>
        <v/>
      </c>
      <c r="E2147">
        <f>INDEX(FactorTable!$B$2:$Y$301, MATCH(ROUND(MIN(300,MAX(1,D2147)),0), FactorTable!$A$2:$A$301,0), Skills!M8+1)</f>
        <v/>
      </c>
      <c r="F2147">
        <f>IF(Skills!N8=TRUE,(Skills!L8/10)*(E2147/1000),Skills!L8/10)+Skills!O8</f>
        <v/>
      </c>
      <c r="G2147">
        <f>Skills!G8*IF(Skills!H8&gt;0,Skills!I8/Skills!H8,1)</f>
        <v/>
      </c>
      <c r="H2147">
        <f>1-(1-Skills!J8/100)^Skills!K8</f>
        <v/>
      </c>
      <c r="I2147" t="inlineStr">
        <is>
          <t>1</t>
        </is>
      </c>
      <c r="J2147">
        <f>((Inputs!$B$6*(1+Inputs!$B$7/100))+(((Inputs!$B$12*(1+Inputs!$B$13/100))-(Inputs!$B$12*(1+Inputs!$B$13/100)))+0.25*(Inputs!$B$14-Inputs!$B$14))*(1+Inputs!$B$7/100))*(F2147/100)</f>
        <v/>
      </c>
      <c r="K2147">
        <f>J2147*(1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2147)</f>
        <v/>
      </c>
      <c r="L2147">
        <f>K2147*(MIN(Inputs!$B$22+((C2161=TRUE)*(F2161-Calc!F22)),(Inputs!$B$23+0+(IF(ArtifactsInput!$M$15,CHOOSE(ArtifactsInput!$N$15+1,25,30,35,40,45,50)/100*(Inputs!$B$11-Inputs!$B$11),0))))/100+(Inputs!$B$23+0+(IF(ArtifactsInput!$M$15,CHOOSE(ArtifactsInput!$N$15+1,25,30,35,40,45,50)/100*(Inputs!$B$11-Inputs!$B$11),0)))/100)/2</f>
        <v/>
      </c>
      <c r="M2147">
        <f>L2147*(1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7">
        <f>L2147*(1-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2147*(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7">
        <f>(1-Summary!$B$11)*T2147+Summary!$B$11*V2147</f>
        <v/>
      </c>
      <c r="P2147">
        <f>IF(B2180=0,0,O2147/B2180)</f>
        <v/>
      </c>
      <c r="Q2147">
        <f>IFERROR(1/(IF(Inputs!$B$38="pvp",15,MAX(0.1,Skills!D8-IF(Skills!E8=TRUE,Inputs!$B$32,0)))*(1-IF(AND(ArtifactsInput!$M$27,Inputs!$B$4="Chapter Hunt"),CHOOSE(ArtifactsInput!$N$27+1,20,24,28,32,36,40),0)/100)),0)</f>
        <v/>
      </c>
      <c r="R2147">
        <f>IF(AND(Inputs!$B$38&lt;&gt;"pvp",Inputs!$B$43&gt;0),IF(MAX(0,Inputs!$B$43-B2177)&lt;=0,0,(INT(MAX(0,Inputs!$B$43-B2177)/(IF(Inputs!$B$38="pvp",15,MAX(0.1,Skills!D8-IF(Skills!E8=TRUE,Inputs!$B$32,0)))*(1-IF(AND(ArtifactsInput!$M$27,Inputs!$B$4="Chapter Hunt"),CHOOSE(ArtifactsInput!$N$27+1,20,24,28,32,36,40),0)/100)))+1)),0)</f>
        <v/>
      </c>
      <c r="S2147">
        <f>IFERROR(O2147/N2147,0)</f>
        <v/>
      </c>
      <c r="T2147">
        <f>IF(C2147,(H2147*N2147*IF(AND(Inputs!$B$38&lt;&gt;"pvp",Inputs!$B$43&gt;0),((Skills!G8*((R2147-1)*IF(Skills!H8&gt;0,Skills!I8/Skills!H8,1)+IF(Skills!H8&gt;0,MIN(Skills!I8,MAX(0,MAX(0,Inputs!$B$43-B2177)-((R2147-1)*(IF(Inputs!$B$38="pvp",15,MAX(0.1,Skills!D8-IF(Skills!E8=TRUE,Inputs!$B$32,0)))*(1-IF(AND(ArtifactsInput!$M$27,Inputs!$B$4="Chapter Hunt"),CHOOSE(ArtifactsInput!$N$27+1,20,24,28,32,36,40),0)/100)))))/Skills!H8,1)))/Inputs!$B$43),G2147*Q2147)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2147*(1-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2147*(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2147*(1-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2147*(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7">
        <f>IF(C2147,(H2147*N2147*IF(AND(Inputs!$B$38&lt;&gt;"pvp",Inputs!$B$43&gt;0),((Skills!G8*((R2147-1)*IF(Skills!H8&gt;0,Skills!I8/Skills!H8,1)+IF(Skills!H8&gt;0,MIN(Skills!I8,MAX(0,MAX(0,Inputs!$B$43-B2177)-((R2147-1)*(IF(Inputs!$B$38="pvp",15,MAX(0.1,Skills!D8-IF(Skills!E8=TRUE,Inputs!$B$32,0)))*(1-IF(AND(ArtifactsInput!$M$27,Inputs!$B$4="Chapter Hunt"),CHOOSE(ArtifactsInput!$N$27+1,20,24,28,32,36,40),0)/100)))))/Skills!H8,1)))/Inputs!$B$43),G2147*Q2147))*IF(Inputs!$B$38="pvp",1,(1+(Inputs!$B$21+Skills!Q8+(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8">
      <c r="A2148">
        <f>Skills!A9</f>
        <v/>
      </c>
      <c r="B2148">
        <f>Skills!B9</f>
        <v/>
      </c>
      <c r="C2148">
        <f>Inputs!$B$3&gt;=103</f>
        <v/>
      </c>
      <c r="D2148">
        <f>IF(Skills!C9=1,60+Inputs!$B$25+Inputs!$B$29,IF(Skills!C9=2,90+Inputs!$B$26+Inputs!$B$29,IF(Skills!C9=3,120+Inputs!$B$27+Inputs!$B$29,MAX(0,(Inputs!$B$3-100)*3)+Inputs!$B$28+Inputs!$B$29)))</f>
        <v/>
      </c>
      <c r="E2148">
        <f>INDEX(FactorTable!$B$2:$Y$301, MATCH(ROUND(MIN(300,MAX(1,D2148)),0), FactorTable!$A$2:$A$301,0), Skills!M9+1)</f>
        <v/>
      </c>
      <c r="F2148">
        <f>IF(Skills!N9=TRUE,(Skills!L9/10)*(E2148/1000),Skills!L9/10)+Skills!O9</f>
        <v/>
      </c>
      <c r="G2148">
        <f>Skills!G9*IF(Skills!H9&gt;0,Skills!I9/Skills!H9,1)</f>
        <v/>
      </c>
      <c r="H2148">
        <f>1-(1-Skills!J9/100)^Skills!K9</f>
        <v/>
      </c>
      <c r="I2148" t="inlineStr">
        <is>
          <t>1</t>
        </is>
      </c>
      <c r="J2148">
        <f>((Inputs!$B$6*(1+Inputs!$B$7/100))+(((Inputs!$B$12*(1+Inputs!$B$13/100))-(Inputs!$B$12*(1+Inputs!$B$13/100)))+0.25*(Inputs!$B$14-Inputs!$B$14))*(1+Inputs!$B$7/100))*(F2148/100)</f>
        <v/>
      </c>
      <c r="K2148">
        <f>J2148*(1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2148)</f>
        <v/>
      </c>
      <c r="L2148">
        <f>K2148*(MIN(Inputs!$B$22+((C2161=TRUE)*(F2161-Calc!F22)),(Inputs!$B$23+0+(IF(ArtifactsInput!$M$15,CHOOSE(ArtifactsInput!$N$15+1,25,30,35,40,45,50)/100*(Inputs!$B$11-Inputs!$B$11),0))))/100+(Inputs!$B$23+0+(IF(ArtifactsInput!$M$15,CHOOSE(ArtifactsInput!$N$15+1,25,30,35,40,45,50)/100*(Inputs!$B$11-Inputs!$B$11),0)))/100)/2</f>
        <v/>
      </c>
      <c r="M2148">
        <f>L2148*(1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8">
        <f>L2148*(1-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2148*(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8">
        <f>(1-Summary!$B$11)*T2148+Summary!$B$11*V2148</f>
        <v/>
      </c>
      <c r="P2148">
        <f>IF(B2180=0,0,O2148/B2180)</f>
        <v/>
      </c>
      <c r="Q2148">
        <f>IFERROR(1/(IF(Inputs!$B$38="pvp",15,MAX(0.1,Skills!D9-IF(Skills!E9=TRUE,Inputs!$B$32,0)))*(1-IF(AND(ArtifactsInput!$M$27,Inputs!$B$4="Chapter Hunt"),CHOOSE(ArtifactsInput!$N$27+1,20,24,28,32,36,40),0)/100)),0)</f>
        <v/>
      </c>
      <c r="R2148">
        <f>IF(AND(Inputs!$B$38&lt;&gt;"pvp",Inputs!$B$43&gt;0),IF(MAX(0,Inputs!$B$43-B2177)&lt;=0,0,(INT(MAX(0,Inputs!$B$43-B2177)/(IF(Inputs!$B$38="pvp",15,MAX(0.1,Skills!D9-IF(Skills!E9=TRUE,Inputs!$B$32,0)))*(1-IF(AND(ArtifactsInput!$M$27,Inputs!$B$4="Chapter Hunt"),CHOOSE(ArtifactsInput!$N$27+1,20,24,28,32,36,40),0)/100)))+1)),0)</f>
        <v/>
      </c>
      <c r="S2148">
        <f>IFERROR(O2148/N2148,0)</f>
        <v/>
      </c>
      <c r="T2148">
        <f>IF(C2148,(H2148*N2148*IF(AND(Inputs!$B$38&lt;&gt;"pvp",Inputs!$B$43&gt;0),((Skills!G9*((R2148-1)*IF(Skills!H9&gt;0,Skills!I9/Skills!H9,1)+IF(Skills!H9&gt;0,MIN(Skills!I9,MAX(0,MAX(0,Inputs!$B$43-B2177)-((R2148-1)*(IF(Inputs!$B$38="pvp",15,MAX(0.1,Skills!D9-IF(Skills!E9=TRUE,Inputs!$B$32,0)))*(1-IF(AND(ArtifactsInput!$M$27,Inputs!$B$4="Chapter Hunt"),CHOOSE(ArtifactsInput!$N$27+1,20,24,28,32,36,40),0)/100)))))/Skills!H9,1)))/Inputs!$B$43),G2148*Q2148)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2148*(1-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2148*(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2148*(1-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2148*(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8">
        <f>IF(C2148,(H2148*N2148*IF(AND(Inputs!$B$38&lt;&gt;"pvp",Inputs!$B$43&gt;0),((Skills!G9*((R2148-1)*IF(Skills!H9&gt;0,Skills!I9/Skills!H9,1)+IF(Skills!H9&gt;0,MIN(Skills!I9,MAX(0,MAX(0,Inputs!$B$43-B2177)-((R2148-1)*(IF(Inputs!$B$38="pvp",15,MAX(0.1,Skills!D9-IF(Skills!E9=TRUE,Inputs!$B$32,0)))*(1-IF(AND(ArtifactsInput!$M$27,Inputs!$B$4="Chapter Hunt"),CHOOSE(ArtifactsInput!$N$27+1,20,24,28,32,36,40),0)/100)))))/Skills!H9,1)))/Inputs!$B$43),G2148*Q2148))*IF(Inputs!$B$38="pvp",1,(1+(Inputs!$B$21+Skills!Q9+(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9">
      <c r="A2149">
        <f>Skills!A10</f>
        <v/>
      </c>
      <c r="B2149">
        <f>Skills!B10</f>
        <v/>
      </c>
      <c r="C2149">
        <f>Inputs!$B$3&gt;=113</f>
        <v/>
      </c>
      <c r="D2149">
        <f>IF(Skills!C10=1,60+Inputs!$B$25+Inputs!$B$29,IF(Skills!C10=2,90+Inputs!$B$26+Inputs!$B$29,IF(Skills!C10=3,120+Inputs!$B$27+Inputs!$B$29,MAX(0,(Inputs!$B$3-100)*3)+Inputs!$B$28+Inputs!$B$29)))</f>
        <v/>
      </c>
      <c r="E2149">
        <f>INDEX(FactorTable!$B$2:$Y$301, MATCH(ROUND(MIN(300,MAX(1,D2149)),0), FactorTable!$A$2:$A$301,0), Skills!M10+1)</f>
        <v/>
      </c>
      <c r="F2149">
        <f>IF(Skills!N10=TRUE,(Skills!L10/10)*(E2149/1000),Skills!L10/10)+Skills!O10</f>
        <v/>
      </c>
      <c r="G2149">
        <f>Skills!G10*IF(Skills!H10&gt;0,Skills!I10/Skills!H10,1)</f>
        <v/>
      </c>
      <c r="H2149">
        <f>1-(1-Skills!J10/100)^Skills!K10</f>
        <v/>
      </c>
      <c r="I2149" t="inlineStr">
        <is>
          <t>1</t>
        </is>
      </c>
      <c r="J2149">
        <f>((Inputs!$B$6*(1+Inputs!$B$7/100))+(((Inputs!$B$12*(1+Inputs!$B$13/100))-(Inputs!$B$12*(1+Inputs!$B$13/100)))+0.25*(Inputs!$B$14-Inputs!$B$14))*(1+Inputs!$B$7/100))*(F2149/100)</f>
        <v/>
      </c>
      <c r="K2149">
        <f>J2149*(1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2149)</f>
        <v/>
      </c>
      <c r="L2149">
        <f>K2149*(MIN(Inputs!$B$22+((C2161=TRUE)*(F2161-Calc!F22)),(Inputs!$B$23+0+(IF(ArtifactsInput!$M$15,CHOOSE(ArtifactsInput!$N$15+1,25,30,35,40,45,50)/100*(Inputs!$B$11-Inputs!$B$11),0))))/100+(Inputs!$B$23+0+(IF(ArtifactsInput!$M$15,CHOOSE(ArtifactsInput!$N$15+1,25,30,35,40,45,50)/100*(Inputs!$B$11-Inputs!$B$11),0)))/100)/2</f>
        <v/>
      </c>
      <c r="M2149">
        <f>L2149*(1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9">
        <f>L2149*(1-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2149*(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9">
        <f>(1-Summary!$B$11)*T2149+Summary!$B$11*V2149</f>
        <v/>
      </c>
      <c r="P2149">
        <f>IF(B2180=0,0,O2149/B2180)</f>
        <v/>
      </c>
      <c r="Q2149">
        <f>IFERROR(1/(IF(Inputs!$B$38="pvp",15,MAX(0.1,Skills!D10-IF(Skills!E10=TRUE,Inputs!$B$32,0)))*(1-IF(AND(ArtifactsInput!$M$27,Inputs!$B$4="Chapter Hunt"),CHOOSE(ArtifactsInput!$N$27+1,20,24,28,32,36,40),0)/100)),0)</f>
        <v/>
      </c>
      <c r="R2149">
        <f>IF(AND(Inputs!$B$38&lt;&gt;"pvp",Inputs!$B$43&gt;0),IF(MAX(0,Inputs!$B$43-B2177)&lt;=0,0,(INT(MAX(0,Inputs!$B$43-B2177)/(IF(Inputs!$B$38="pvp",15,MAX(0.1,Skills!D10-IF(Skills!E10=TRUE,Inputs!$B$32,0)))*(1-IF(AND(ArtifactsInput!$M$27,Inputs!$B$4="Chapter Hunt"),CHOOSE(ArtifactsInput!$N$27+1,20,24,28,32,36,40),0)/100)))+1)),0)</f>
        <v/>
      </c>
      <c r="S2149">
        <f>IFERROR(O2149/N2149,0)</f>
        <v/>
      </c>
      <c r="T2149">
        <f>IF(C2149,(H2149*N2149*IF(AND(Inputs!$B$38&lt;&gt;"pvp",Inputs!$B$43&gt;0),((Skills!G10*((R2149-1)*IF(Skills!H10&gt;0,Skills!I10/Skills!H10,1)+IF(Skills!H10&gt;0,MIN(Skills!I10,MAX(0,MAX(0,Inputs!$B$43-B2177)-((R2149-1)*(IF(Inputs!$B$38="pvp",15,MAX(0.1,Skills!D10-IF(Skills!E10=TRUE,Inputs!$B$32,0)))*(1-IF(AND(ArtifactsInput!$M$27,Inputs!$B$4="Chapter Hunt"),CHOOSE(ArtifactsInput!$N$27+1,20,24,28,32,36,40),0)/100)))))/Skills!H10,1)))/Inputs!$B$43),G2149*Q2149)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2149*(1-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2149*(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2149*(1-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2149*(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9">
        <f>IF(C2149,(H2149*N2149*IF(AND(Inputs!$B$38&lt;&gt;"pvp",Inputs!$B$43&gt;0),((Skills!G10*((R2149-1)*IF(Skills!H10&gt;0,Skills!I10/Skills!H10,1)+IF(Skills!H10&gt;0,MIN(Skills!I10,MAX(0,MAX(0,Inputs!$B$43-B2177)-((R2149-1)*(IF(Inputs!$B$38="pvp",15,MAX(0.1,Skills!D10-IF(Skills!E10=TRUE,Inputs!$B$32,0)))*(1-IF(AND(ArtifactsInput!$M$27,Inputs!$B$4="Chapter Hunt"),CHOOSE(ArtifactsInput!$N$27+1,20,24,28,32,36,40),0)/100)))))/Skills!H10,1)))/Inputs!$B$43),G2149*Q2149))*IF(Inputs!$B$38="pvp",1,(1+(Inputs!$B$21+Skills!Q10+(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0">
      <c r="A2150">
        <f>Skills!A11</f>
        <v/>
      </c>
      <c r="B2150">
        <f>Skills!B11</f>
        <v/>
      </c>
      <c r="C2150">
        <f>Inputs!$B$3&gt;=107</f>
        <v/>
      </c>
      <c r="D2150">
        <f>IF(Skills!C11=1,60+Inputs!$B$25+Inputs!$B$29,IF(Skills!C11=2,90+Inputs!$B$26+Inputs!$B$29,IF(Skills!C11=3,120+Inputs!$B$27+Inputs!$B$29,MAX(0,(Inputs!$B$3-100)*3)+Inputs!$B$28+Inputs!$B$29)))</f>
        <v/>
      </c>
      <c r="E2150">
        <f>INDEX(FactorTable!$B$2:$Y$301, MATCH(ROUND(MIN(300,MAX(1,D2150)),0), FactorTable!$A$2:$A$301,0), Skills!M11+1)</f>
        <v/>
      </c>
      <c r="F2150">
        <f>IF(Skills!N11=TRUE,(Skills!L11/10)*(E2150/1000),Skills!L11/10)+Skills!O11</f>
        <v/>
      </c>
      <c r="G2150">
        <f>Skills!G11*IF(Skills!H11&gt;0,Skills!I11/Skills!H11,1)</f>
        <v/>
      </c>
      <c r="H2150">
        <f>1-(1-Skills!J11/100)^Skills!K11</f>
        <v/>
      </c>
      <c r="I2150" t="inlineStr">
        <is>
          <t>1</t>
        </is>
      </c>
      <c r="J2150">
        <f>((Inputs!$B$6*(1+Inputs!$B$7/100))+(((Inputs!$B$12*(1+Inputs!$B$13/100))-(Inputs!$B$12*(1+Inputs!$B$13/100)))+0.25*(Inputs!$B$14-Inputs!$B$14))*(1+Inputs!$B$7/100))*(F2150/100)</f>
        <v/>
      </c>
      <c r="K2150">
        <f>J2150*(1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2150)</f>
        <v/>
      </c>
      <c r="L2150">
        <f>K2150*(MIN(Inputs!$B$22+((C2161=TRUE)*(F2161-Calc!F22)),(Inputs!$B$23+0+(IF(ArtifactsInput!$M$15,CHOOSE(ArtifactsInput!$N$15+1,25,30,35,40,45,50)/100*(Inputs!$B$11-Inputs!$B$11),0))))/100+(Inputs!$B$23+0+(IF(ArtifactsInput!$M$15,CHOOSE(ArtifactsInput!$N$15+1,25,30,35,40,45,50)/100*(Inputs!$B$11-Inputs!$B$11),0)))/100)/2</f>
        <v/>
      </c>
      <c r="M2150">
        <f>L2150*(1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0">
        <f>L2150*(1-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2150*(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0">
        <f>(1-Summary!$B$11)*T2150+Summary!$B$11*V2150</f>
        <v/>
      </c>
      <c r="P2150">
        <f>IF(B2180=0,0,O2150/B2180)</f>
        <v/>
      </c>
      <c r="Q2150">
        <f>IFERROR(1/(IF(Inputs!$B$38="pvp",15,MAX(0.1,Skills!D11-IF(Skills!E11=TRUE,Inputs!$B$32,0)))*(1-IF(AND(ArtifactsInput!$M$27,Inputs!$B$4="Chapter Hunt"),CHOOSE(ArtifactsInput!$N$27+1,20,24,28,32,36,40),0)/100)),0)</f>
        <v/>
      </c>
      <c r="R2150">
        <f>IF(AND(Inputs!$B$38&lt;&gt;"pvp",Inputs!$B$43&gt;0),IF(MAX(0,Inputs!$B$43-B2177)&lt;=0,0,(INT(MAX(0,Inputs!$B$43-B2177)/(IF(Inputs!$B$38="pvp",15,MAX(0.1,Skills!D11-IF(Skills!E11=TRUE,Inputs!$B$32,0)))*(1-IF(AND(ArtifactsInput!$M$27,Inputs!$B$4="Chapter Hunt"),CHOOSE(ArtifactsInput!$N$27+1,20,24,28,32,36,40),0)/100)))+1)),0)</f>
        <v/>
      </c>
      <c r="S2150">
        <f>IFERROR(O2150/N2150,0)</f>
        <v/>
      </c>
      <c r="T2150">
        <f>IF(C2150,(H2150*N2150*IF(AND(Inputs!$B$38&lt;&gt;"pvp",Inputs!$B$43&gt;0),((Skills!G11*((R2150-1)*IF(Skills!H11&gt;0,Skills!I11/Skills!H11,1)+IF(Skills!H11&gt;0,MIN(Skills!I11,MAX(0,MAX(0,Inputs!$B$43-B2177)-((R2150-1)*(IF(Inputs!$B$38="pvp",15,MAX(0.1,Skills!D11-IF(Skills!E11=TRUE,Inputs!$B$32,0)))*(1-IF(AND(ArtifactsInput!$M$27,Inputs!$B$4="Chapter Hunt"),CHOOSE(ArtifactsInput!$N$27+1,20,24,28,32,36,40),0)/100)))))/Skills!H11,1)))/Inputs!$B$43),G2150*Q2150)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2150*(1-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2150*(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2150*(1-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2150*(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0">
        <f>IF(C2150,(H2150*N2150*IF(AND(Inputs!$B$38&lt;&gt;"pvp",Inputs!$B$43&gt;0),((Skills!G11*((R2150-1)*IF(Skills!H11&gt;0,Skills!I11/Skills!H11,1)+IF(Skills!H11&gt;0,MIN(Skills!I11,MAX(0,MAX(0,Inputs!$B$43-B2177)-((R2150-1)*(IF(Inputs!$B$38="pvp",15,MAX(0.1,Skills!D11-IF(Skills!E11=TRUE,Inputs!$B$32,0)))*(1-IF(AND(ArtifactsInput!$M$27,Inputs!$B$4="Chapter Hunt"),CHOOSE(ArtifactsInput!$N$27+1,20,24,28,32,36,40),0)/100)))))/Skills!H11,1)))/Inputs!$B$43),G2150*Q2150))*IF(Inputs!$B$38="pvp",1,(1+(Inputs!$B$21+Skills!Q11+(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1">
      <c r="A2151">
        <f>Skills!A12</f>
        <v/>
      </c>
      <c r="B2151">
        <f>Skills!B12</f>
        <v/>
      </c>
      <c r="C2151">
        <f>Inputs!$B$3&gt;=110</f>
        <v/>
      </c>
      <c r="D2151">
        <f>IF(Skills!C12=1,60+Inputs!$B$25+Inputs!$B$29,IF(Skills!C12=2,90+Inputs!$B$26+Inputs!$B$29,IF(Skills!C12=3,120+Inputs!$B$27+Inputs!$B$29,MAX(0,(Inputs!$B$3-100)*3)+Inputs!$B$28+Inputs!$B$29)))</f>
        <v/>
      </c>
      <c r="E2151">
        <f>INDEX(FactorTable!$B$2:$Y$301, MATCH(ROUND(MIN(300,MAX(1,D2151)),0), FactorTable!$A$2:$A$301,0), Skills!M12+1)</f>
        <v/>
      </c>
      <c r="F2151">
        <f>IF(Skills!N12=TRUE,(Skills!L12/10)*(E2151/1000),Skills!L12/10)+Skills!O12</f>
        <v/>
      </c>
      <c r="G2151">
        <f>Skills!G12*IF(Skills!H12&gt;0,Skills!I12/Skills!H12,1)</f>
        <v/>
      </c>
      <c r="H2151">
        <f>1-(1-Skills!J12/100)^Skills!K12</f>
        <v/>
      </c>
      <c r="I2151" t="inlineStr">
        <is>
          <t>1</t>
        </is>
      </c>
      <c r="J2151">
        <f>((Inputs!$B$6*(1+Inputs!$B$7/100))+(((Inputs!$B$12*(1+Inputs!$B$13/100))-(Inputs!$B$12*(1+Inputs!$B$13/100)))+0.25*(Inputs!$B$14-Inputs!$B$14))*(1+Inputs!$B$7/100))*(F2151/100)</f>
        <v/>
      </c>
      <c r="K2151">
        <f>J2151*(1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2151)</f>
        <v/>
      </c>
      <c r="L2151">
        <f>K2151*(MIN(Inputs!$B$22+((C2161=TRUE)*(F2161-Calc!F22)),(Inputs!$B$23+0+(IF(ArtifactsInput!$M$15,CHOOSE(ArtifactsInput!$N$15+1,25,30,35,40,45,50)/100*(Inputs!$B$11-Inputs!$B$11),0))))/100+(Inputs!$B$23+0+(IF(ArtifactsInput!$M$15,CHOOSE(ArtifactsInput!$N$15+1,25,30,35,40,45,50)/100*(Inputs!$B$11-Inputs!$B$11),0)))/100)/2</f>
        <v/>
      </c>
      <c r="M2151">
        <f>L2151*(1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1">
        <f>L2151*(1-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1">
        <f>(1-Summary!$B$11)*T2151+Summary!$B$11*V2151</f>
        <v/>
      </c>
      <c r="P2151">
        <f>IF(B2180=0,0,O2151/B2180)</f>
        <v/>
      </c>
      <c r="Q2151">
        <f>IFERROR(1/(IF(Inputs!$B$38="pvp",15,MAX(0.1,Skills!D12-IF(Skills!E12=TRUE,Inputs!$B$32,0)))*(1-IF(AND(ArtifactsInput!$M$27,Inputs!$B$4="Chapter Hunt"),CHOOSE(ArtifactsInput!$N$27+1,20,24,28,32,36,40),0)/100)),0)</f>
        <v/>
      </c>
      <c r="R2151">
        <f>IF(AND(Inputs!$B$38&lt;&gt;"pvp",Inputs!$B$43&gt;0),IF(MAX(0,Inputs!$B$43-B2177)&lt;=0,0,(INT(MAX(0,Inputs!$B$43-B2177)/(IF(Inputs!$B$38="pvp",15,MAX(0.1,Skills!D12-IF(Skills!E12=TRUE,Inputs!$B$32,0)))*(1-IF(AND(ArtifactsInput!$M$27,Inputs!$B$4="Chapter Hunt"),CHOOSE(ArtifactsInput!$N$27+1,20,24,28,32,36,40),0)/100)))+1)),0)</f>
        <v/>
      </c>
      <c r="S2151">
        <f>IFERROR(O2151/N2151,0)</f>
        <v/>
      </c>
      <c r="T2151">
        <f>IF(C2151,(H2151*N2151*IF(AND(Inputs!$B$38&lt;&gt;"pvp",Inputs!$B$43&gt;0),((Skills!G12*((R2151-1)*IF(Skills!H12&gt;0,Skills!I12/Skills!H12,1)+IF(Skills!H12&gt;0,MIN(Skills!I12,MAX(0,MAX(0,Inputs!$B$43-B2177)-((R2151-1)*(IF(Inputs!$B$38="pvp",15,MAX(0.1,Skills!D12-IF(Skills!E12=TRUE,Inputs!$B$32,0)))*(1-IF(AND(ArtifactsInput!$M$27,Inputs!$B$4="Chapter Hunt"),CHOOSE(ArtifactsInput!$N$27+1,20,24,28,32,36,40),0)/100)))))/Skills!H12,1)))/Inputs!$B$43),G2151*Q2151)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2151*(1-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1">
        <f>IF(C2151,(H2151*N2151*IF(AND(Inputs!$B$38&lt;&gt;"pvp",Inputs!$B$43&gt;0),((Skills!G12*((R2151-1)*IF(Skills!H12&gt;0,Skills!I12/Skills!H12,1)+IF(Skills!H12&gt;0,MIN(Skills!I12,MAX(0,MAX(0,Inputs!$B$43-B2177)-((R2151-1)*(IF(Inputs!$B$38="pvp",15,MAX(0.1,Skills!D12-IF(Skills!E12=TRUE,Inputs!$B$32,0)))*(1-IF(AND(ArtifactsInput!$M$27,Inputs!$B$4="Chapter Hunt"),CHOOSE(ArtifactsInput!$N$27+1,20,24,28,32,36,40),0)/100)))))/Skills!H12,1)))/Inputs!$B$43),G2151*Q2151))*IF(Inputs!$B$38="pvp",1,(1+(Inputs!$B$21+Skills!Q12+(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2">
      <c r="A2152">
        <f>Skills!A13</f>
        <v/>
      </c>
      <c r="B2152">
        <f>Skills!B13</f>
        <v/>
      </c>
      <c r="C2152">
        <f>Inputs!$B$3&gt;=110</f>
        <v/>
      </c>
      <c r="D2152">
        <f>IF(Skills!C13=1,60+Inputs!$B$25+Inputs!$B$29,IF(Skills!C13=2,90+Inputs!$B$26+Inputs!$B$29,IF(Skills!C13=3,120+Inputs!$B$27+Inputs!$B$29,MAX(0,(Inputs!$B$3-100)*3)+Inputs!$B$28+Inputs!$B$29)))</f>
        <v/>
      </c>
      <c r="E2152">
        <f>INDEX(FactorTable!$B$2:$Y$301, MATCH(ROUND(MIN(300,MAX(1,D2152)),0), FactorTable!$A$2:$A$301,0), Skills!M13+1)</f>
        <v/>
      </c>
      <c r="F2152">
        <f>IF(Skills!N13=TRUE,(Skills!L13/10)*(E2152/1000),Skills!L13/10)+Skills!O13</f>
        <v/>
      </c>
      <c r="G2152">
        <f>Skills!G13*IF(Skills!H13&gt;0,Skills!I13/Skills!H13,1)</f>
        <v/>
      </c>
      <c r="H2152">
        <f>1-(1-Skills!J13/100)^Skills!K13</f>
        <v/>
      </c>
      <c r="I2152" t="inlineStr">
        <is>
          <t>1</t>
        </is>
      </c>
      <c r="J2152">
        <f>((Inputs!$B$6*(1+Inputs!$B$7/100))+(((Inputs!$B$12*(1+Inputs!$B$13/100))-(Inputs!$B$12*(1+Inputs!$B$13/100)))+0.25*(Inputs!$B$14-Inputs!$B$14))*(1+Inputs!$B$7/100))*(F2152/100)</f>
        <v/>
      </c>
      <c r="K2152">
        <f>J2152*(1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2152)</f>
        <v/>
      </c>
      <c r="L2152">
        <f>K2152*(MIN(Inputs!$B$22+((C2161=TRUE)*(F2161-Calc!F22)),(Inputs!$B$23+0+(IF(ArtifactsInput!$M$15,CHOOSE(ArtifactsInput!$N$15+1,25,30,35,40,45,50)/100*(Inputs!$B$11-Inputs!$B$11),0))))/100+(Inputs!$B$23+0+(IF(ArtifactsInput!$M$15,CHOOSE(ArtifactsInput!$N$15+1,25,30,35,40,45,50)/100*(Inputs!$B$11-Inputs!$B$11),0)))/100)/2</f>
        <v/>
      </c>
      <c r="M2152">
        <f>L2152*(1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2">
        <f>L2152*(1-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2152*(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2">
        <f>(1-Summary!$B$11)*T2152+Summary!$B$11*V2152</f>
        <v/>
      </c>
      <c r="P2152">
        <f>IF(B2180=0,0,O2152/B2180)</f>
        <v/>
      </c>
      <c r="Q2152">
        <f>IFERROR(1/(IF(Inputs!$B$38="pvp",15,MAX(0.1,Skills!D13-IF(Skills!E13=TRUE,Inputs!$B$32,0)))*(1-IF(AND(ArtifactsInput!$M$27,Inputs!$B$4="Chapter Hunt"),CHOOSE(ArtifactsInput!$N$27+1,20,24,28,32,36,40),0)/100)),0)</f>
        <v/>
      </c>
      <c r="R2152">
        <f>IF(AND(Inputs!$B$38&lt;&gt;"pvp",Inputs!$B$43&gt;0),IF(MAX(0,Inputs!$B$43-B2177)&lt;=0,0,(INT(MAX(0,Inputs!$B$43-B2177)/(IF(Inputs!$B$38="pvp",15,MAX(0.1,Skills!D13-IF(Skills!E13=TRUE,Inputs!$B$32,0)))*(1-IF(AND(ArtifactsInput!$M$27,Inputs!$B$4="Chapter Hunt"),CHOOSE(ArtifactsInput!$N$27+1,20,24,28,32,36,40),0)/100)))+1)),0)</f>
        <v/>
      </c>
      <c r="S2152">
        <f>IFERROR(O2152/N2152,0)</f>
        <v/>
      </c>
      <c r="T2152">
        <f>IF(C2152,(H2152*N2152*IF(AND(Inputs!$B$38&lt;&gt;"pvp",Inputs!$B$43&gt;0),((Skills!G13*((R2152-1)*IF(Skills!H13&gt;0,Skills!I13/Skills!H13,1)+IF(Skills!H13&gt;0,MIN(Skills!I13,MAX(0,MAX(0,Inputs!$B$43-B2177)-((R2152-1)*(IF(Inputs!$B$38="pvp",15,MAX(0.1,Skills!D13-IF(Skills!E13=TRUE,Inputs!$B$32,0)))*(1-IF(AND(ArtifactsInput!$M$27,Inputs!$B$4="Chapter Hunt"),CHOOSE(ArtifactsInput!$N$27+1,20,24,28,32,36,40),0)/100)))))/Skills!H13,1)))/Inputs!$B$43),G2152*Q2152)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2152*(1-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2152*(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2152*(1-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2152*(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2">
        <f>IF(C2152,(H2152*N2152*IF(AND(Inputs!$B$38&lt;&gt;"pvp",Inputs!$B$43&gt;0),((Skills!G13*((R2152-1)*IF(Skills!H13&gt;0,Skills!I13/Skills!H13,1)+IF(Skills!H13&gt;0,MIN(Skills!I13,MAX(0,MAX(0,Inputs!$B$43-B2177)-((R2152-1)*(IF(Inputs!$B$38="pvp",15,MAX(0.1,Skills!D13-IF(Skills!E13=TRUE,Inputs!$B$32,0)))*(1-IF(AND(ArtifactsInput!$M$27,Inputs!$B$4="Chapter Hunt"),CHOOSE(ArtifactsInput!$N$27+1,20,24,28,32,36,40),0)/100)))))/Skills!H13,1)))/Inputs!$B$43),G2152*Q2152))*IF(Inputs!$B$38="pvp",1,(1+(Inputs!$B$21+Skills!Q13+(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3">
      <c r="A2153">
        <f>Skills!A14</f>
        <v/>
      </c>
      <c r="B2153">
        <f>Skills!B14</f>
        <v/>
      </c>
      <c r="C2153">
        <f>Inputs!$B$3&gt;=125</f>
        <v/>
      </c>
      <c r="D2153">
        <f>IF(Skills!C14=1,60+Inputs!$B$25+Inputs!$B$29,IF(Skills!C14=2,90+Inputs!$B$26+Inputs!$B$29,IF(Skills!C14=3,120+Inputs!$B$27+Inputs!$B$29,MAX(0,(Inputs!$B$3-100)*3)+Inputs!$B$28+Inputs!$B$29)))</f>
        <v/>
      </c>
      <c r="E2153">
        <f>INDEX(FactorTable!$B$2:$Y$301, MATCH(ROUND(MIN(300,MAX(1,D2153)),0), FactorTable!$A$2:$A$301,0), Skills!M14+1)</f>
        <v/>
      </c>
      <c r="F2153">
        <f>IF(Skills!N14=TRUE,(Skills!L14/10)*(E2153/1000),Skills!L14/10)+Skills!O14</f>
        <v/>
      </c>
      <c r="G2153">
        <f>Skills!G14*IF(Skills!H14&gt;0,Skills!I14/Skills!H14,1)</f>
        <v/>
      </c>
      <c r="H2153">
        <f>1-(1-Skills!J14/100)^Skills!K14</f>
        <v/>
      </c>
      <c r="I2153" t="inlineStr">
        <is>
          <t>1</t>
        </is>
      </c>
      <c r="J2153">
        <f>((Inputs!$B$6*(1+Inputs!$B$7/100))+(((Inputs!$B$12*(1+Inputs!$B$13/100))-(Inputs!$B$12*(1+Inputs!$B$13/100)))+0.25*(Inputs!$B$14-Inputs!$B$14))*(1+Inputs!$B$7/100))*(F2153/100)</f>
        <v/>
      </c>
      <c r="K2153">
        <f>J2153*(1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2153)</f>
        <v/>
      </c>
      <c r="L2153">
        <f>K2153*(MIN(Inputs!$B$22+((C2161=TRUE)*(F2161-Calc!F22)),(Inputs!$B$23+0+(IF(ArtifactsInput!$M$15,CHOOSE(ArtifactsInput!$N$15+1,25,30,35,40,45,50)/100*(Inputs!$B$11-Inputs!$B$11),0))))/100+(Inputs!$B$23+0+(IF(ArtifactsInput!$M$15,CHOOSE(ArtifactsInput!$N$15+1,25,30,35,40,45,50)/100*(Inputs!$B$11-Inputs!$B$11),0)))/100)/2</f>
        <v/>
      </c>
      <c r="M2153">
        <f>L2153*(1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3">
        <f>L2153*(1-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2153*(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3">
        <f>(1-Summary!$B$11)*T2153+Summary!$B$11*V2153</f>
        <v/>
      </c>
      <c r="P2153">
        <f>IF(B2180=0,0,O2153/B2180)</f>
        <v/>
      </c>
      <c r="Q2153" t="n">
        <v>0</v>
      </c>
      <c r="R2153" t="n">
        <v>0</v>
      </c>
      <c r="S2153">
        <f>IFERROR(O2153/N2153,0)</f>
        <v/>
      </c>
      <c r="T2153">
        <f>IF(C2153,(H2153*N2153*(B2174+IF(AND(Inputs!$B$38&lt;&gt;"pvp",Inputs!$B$43&gt;0),((Skills!G8*((R2147-1)*IF(Skills!H8&gt;0,Skills!I8/Skills!H8,1)+IF(Skills!H8&gt;0,MIN(Skills!I8,MAX(0,MAX(0,Inputs!$B$43-B2177)-((R2147-1)*(IF(Inputs!$B$38="pvp",15,MAX(0.1,Skills!D8-IF(Skills!E8=TRUE,Inputs!$B$32,0)))*(1-IF(AND(ArtifactsInput!$M$27,Inputs!$B$4="Chapter Hunt"),CHOOSE(ArtifactsInput!$N$27+1,20,24,28,32,36,40),0)/100)))))/Skills!H8,1)))/Inputs!$B$43),G2147*Q2147)+IF(AND(Inputs!$B$38&lt;&gt;"pvp",Inputs!$B$43&gt;0),((Skills!G11*((R2150-1)*IF(Skills!H11&gt;0,Skills!I11/Skills!H11,1)+IF(Skills!H11&gt;0,MIN(Skills!I11,MAX(0,MAX(0,Inputs!$B$43-B2177)-((R2150-1)*(IF(Inputs!$B$38="pvp",15,MAX(0.1,Skills!D11-IF(Skills!E11=TRUE,Inputs!$B$32,0)))*(1-IF(AND(ArtifactsInput!$M$27,Inputs!$B$4="Chapter Hunt"),CHOOSE(ArtifactsInput!$N$27+1,20,24,28,32,36,40),0)/100)))))/Skills!H11,1)))/Inputs!$B$43),G2150*Q2150)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2153*(1-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2153*(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2153*(1-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2153*(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3">
        <f>IF(C2153,(H2153*N2153*(B2174+IF(AND(Inputs!$B$38&lt;&gt;"pvp",Inputs!$B$43&gt;0),((Skills!G8*((R2147-1)*IF(Skills!H8&gt;0,Skills!I8/Skills!H8,1)+IF(Skills!H8&gt;0,MIN(Skills!I8,MAX(0,MAX(0,Inputs!$B$43-B2177)-((R2147-1)*(IF(Inputs!$B$38="pvp",15,MAX(0.1,Skills!D8-IF(Skills!E8=TRUE,Inputs!$B$32,0)))*(1-IF(AND(ArtifactsInput!$M$27,Inputs!$B$4="Chapter Hunt"),CHOOSE(ArtifactsInput!$N$27+1,20,24,28,32,36,40),0)/100)))))/Skills!H8,1)))/Inputs!$B$43),G2147*Q2147)+IF(AND(Inputs!$B$38&lt;&gt;"pvp",Inputs!$B$43&gt;0),((Skills!G11*((R2150-1)*IF(Skills!H11&gt;0,Skills!I11/Skills!H11,1)+IF(Skills!H11&gt;0,MIN(Skills!I11,MAX(0,MAX(0,Inputs!$B$43-B2177)-((R2150-1)*(IF(Inputs!$B$38="pvp",15,MAX(0.1,Skills!D11-IF(Skills!E11=TRUE,Inputs!$B$32,0)))*(1-IF(AND(ArtifactsInput!$M$27,Inputs!$B$4="Chapter Hunt"),CHOOSE(ArtifactsInput!$N$27+1,20,24,28,32,36,40),0)/100)))))/Skills!H11,1)))/Inputs!$B$43),G2150*Q2150)))*IF(Inputs!$B$38="pvp",1,(1+(Inputs!$B$21+Skills!Q14+(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4">
      <c r="A2154">
        <f>Skills!A15</f>
        <v/>
      </c>
      <c r="B2154">
        <f>Skills!B15</f>
        <v/>
      </c>
      <c r="C2154">
        <f>Inputs!$B$3&gt;=100</f>
        <v/>
      </c>
      <c r="D2154">
        <f>IF(Skills!C15=1,60+Inputs!$B$25+Inputs!$B$29,IF(Skills!C15=2,90+Inputs!$B$26+Inputs!$B$29,IF(Skills!C15=3,120+Inputs!$B$27+Inputs!$B$29,MAX(0,(Inputs!$B$3-100)*3)+Inputs!$B$28+Inputs!$B$29)))</f>
        <v/>
      </c>
      <c r="E2154">
        <f>INDEX(FactorTable!$B$2:$Y$301, MATCH(ROUND(MIN(300,MAX(1,D2154)),0), FactorTable!$A$2:$A$301,0), Skills!M15+1)</f>
        <v/>
      </c>
      <c r="F2154">
        <f>IF(Skills!N15=TRUE,(Skills!L15/10)*(E2154/1000),Skills!L15/10)+Skills!O15</f>
        <v/>
      </c>
      <c r="G2154" t="inlineStr"/>
      <c r="H2154" t="inlineStr"/>
      <c r="I2154" t="inlineStr">
        <is>
          <t>1</t>
        </is>
      </c>
      <c r="J2154" t="inlineStr"/>
      <c r="K2154" t="inlineStr"/>
      <c r="L2154" t="inlineStr"/>
      <c r="M2154" t="inlineStr"/>
      <c r="N2154" t="inlineStr"/>
      <c r="O2154" t="inlineStr"/>
      <c r="P2154" t="inlineStr"/>
      <c r="Q2154" t="inlineStr"/>
      <c r="R2154" t="inlineStr"/>
      <c r="S2154" t="inlineStr"/>
    </row>
    <row r="2155">
      <c r="A2155">
        <f>Skills!A16</f>
        <v/>
      </c>
      <c r="B2155">
        <f>Skills!B16</f>
        <v/>
      </c>
      <c r="C2155">
        <f>Inputs!$B$3&gt;=120</f>
        <v/>
      </c>
      <c r="D2155">
        <f>IF(Skills!C16=1,60+Inputs!$B$25+Inputs!$B$29,IF(Skills!C16=2,90+Inputs!$B$26+Inputs!$B$29,IF(Skills!C16=3,120+Inputs!$B$27+Inputs!$B$29,MAX(0,(Inputs!$B$3-100)*3)+Inputs!$B$28+Inputs!$B$29)))</f>
        <v/>
      </c>
      <c r="E2155">
        <f>INDEX(FactorTable!$B$2:$Y$301, MATCH(ROUND(MIN(300,MAX(1,D2155)),0), FactorTable!$A$2:$A$301,0), Skills!M16+1)</f>
        <v/>
      </c>
      <c r="F2155">
        <f>IF(Skills!N16=TRUE,(Skills!L16/10)*(E2155/1000),Skills!L16/10)+Skills!O16</f>
        <v/>
      </c>
      <c r="G2155" t="inlineStr"/>
      <c r="H2155" t="inlineStr"/>
      <c r="I2155" t="inlineStr">
        <is>
          <t>1</t>
        </is>
      </c>
      <c r="J2155" t="inlineStr"/>
      <c r="K2155" t="inlineStr"/>
      <c r="L2155" t="inlineStr"/>
      <c r="M2155" t="inlineStr"/>
      <c r="N2155" t="inlineStr"/>
      <c r="O2155" t="inlineStr"/>
      <c r="P2155" t="inlineStr"/>
      <c r="Q2155" t="inlineStr"/>
      <c r="R2155" t="inlineStr"/>
      <c r="S2155" t="inlineStr"/>
    </row>
    <row r="2156">
      <c r="A2156">
        <f>Skills!A17</f>
        <v/>
      </c>
      <c r="B2156">
        <f>Skills!B17</f>
        <v/>
      </c>
      <c r="C2156">
        <f>Inputs!$B$3&gt;=66</f>
        <v/>
      </c>
      <c r="D2156">
        <f>IF(Skills!C17=1,60+Inputs!$B$25+Inputs!$B$29,IF(Skills!C17=2,90+Inputs!$B$26+Inputs!$B$29,IF(Skills!C17=3,120+Inputs!$B$27+Inputs!$B$29,MAX(0,(Inputs!$B$3-100)*3)+Inputs!$B$28+Inputs!$B$29)))</f>
        <v/>
      </c>
      <c r="E2156">
        <f>INDEX(FactorTable!$B$2:$Y$301, MATCH(ROUND(MIN(300,MAX(1,D2156)),0), FactorTable!$A$2:$A$301,0), Skills!M17+1)</f>
        <v/>
      </c>
      <c r="F2156">
        <f>IF(Skills!N17=TRUE,(Skills!L17/10)*(E2156/1000),Skills!L17/10)+Skills!O17</f>
        <v/>
      </c>
      <c r="G2156">
        <f>Skills!G17*IF(Skills!H17&gt;0,Skills!I17/Skills!H17,1)</f>
        <v/>
      </c>
      <c r="H2156">
        <f>1-(1-Skills!J17/100)^Skills!K17</f>
        <v/>
      </c>
      <c r="I2156" t="inlineStr">
        <is>
          <t>1</t>
        </is>
      </c>
      <c r="J2156" t="inlineStr"/>
      <c r="K2156" t="inlineStr"/>
      <c r="L2156" t="inlineStr"/>
      <c r="M2156" t="inlineStr"/>
      <c r="N2156" t="inlineStr"/>
      <c r="O2156">
        <f>(1-Summary!$B$11)*T2156+Summary!$B$11*V2156</f>
        <v/>
      </c>
      <c r="P2156">
        <f>IF(B2180=0,0,O2156/B2180)</f>
        <v/>
      </c>
      <c r="Q2156" t="n">
        <v>0</v>
      </c>
      <c r="R2156" t="n">
        <v>0</v>
      </c>
      <c r="S2156">
        <f>IFERROR(O2156/N2156,0)</f>
        <v/>
      </c>
      <c r="T2156" t="n">
        <v>0</v>
      </c>
      <c r="V2156" t="n">
        <v>0</v>
      </c>
    </row>
    <row r="2157">
      <c r="A2157">
        <f>Skills!A18</f>
        <v/>
      </c>
      <c r="B2157">
        <f>Skills!B18</f>
        <v/>
      </c>
      <c r="C2157">
        <f>Inputs!$B$3&gt;=115</f>
        <v/>
      </c>
      <c r="D2157">
        <f>IF(Skills!C18=1,60+Inputs!$B$25+Inputs!$B$29,IF(Skills!C18=2,90+Inputs!$B$26+Inputs!$B$29,IF(Skills!C18=3,120+Inputs!$B$27+Inputs!$B$29,MAX(0,(Inputs!$B$3-100)*3)+Inputs!$B$28+Inputs!$B$29)))</f>
        <v/>
      </c>
      <c r="E2157">
        <f>INDEX(FactorTable!$B$2:$Y$301, MATCH(ROUND(MIN(300,MAX(1,D2157)),0), FactorTable!$A$2:$A$301,0), Skills!M18+1)</f>
        <v/>
      </c>
      <c r="F2157">
        <f>IF(Skills!N18=TRUE,(Skills!L18/10)*(E2157/1000),Skills!L18/10)+Skills!O18</f>
        <v/>
      </c>
      <c r="G2157">
        <f>Skills!G18*IF(Skills!H18&gt;0,Skills!I18/Skills!H18,1)</f>
        <v/>
      </c>
      <c r="H2157">
        <f>1-(1-Skills!J18/100)^Skills!K18</f>
        <v/>
      </c>
      <c r="I2157" t="inlineStr">
        <is>
          <t>1</t>
        </is>
      </c>
      <c r="J2157" t="inlineStr"/>
      <c r="K2157" t="inlineStr"/>
      <c r="L2157" t="inlineStr"/>
      <c r="M2157" t="inlineStr"/>
      <c r="N2157" t="inlineStr"/>
      <c r="O2157">
        <f>(1-Summary!$B$11)*T2157+Summary!$B$11*V2157</f>
        <v/>
      </c>
      <c r="P2157">
        <f>IF(B2180=0,0,O2157/B2180)</f>
        <v/>
      </c>
      <c r="Q2157">
        <f>IFERROR(1/(IF(Inputs!$B$38="pvp",15,MAX(0.1,Skills!D18-IF(Skills!E18=TRUE,Inputs!$B$32,0)))*(1-IF(AND(ArtifactsInput!$M$27,Inputs!$B$4="Chapter Hunt"),CHOOSE(ArtifactsInput!$N$27+1,20,24,28,32,36,40),0)/100)),0)</f>
        <v/>
      </c>
      <c r="R2157">
        <f>IF(AND(Inputs!$B$38&lt;&gt;"pvp",Inputs!$B$43&gt;0),IF(Inputs!$B$43&lt;=0,0,(INT(Inputs!$B$43/(IF(Inputs!$B$38="pvp",15,MAX(0.1,Skills!D18-IF(Skills!E18=TRUE,Inputs!$B$32,0)))*(1-IF(AND(ArtifactsInput!$M$27,Inputs!$B$4="Chapter Hunt"),CHOOSE(ArtifactsInput!$N$27+1,20,24,28,32,36,40),0)/100)))+1)),0)</f>
        <v/>
      </c>
      <c r="S2157">
        <f>IFERROR(O2157/N2157,0)</f>
        <v/>
      </c>
      <c r="T2157" t="n">
        <v>0</v>
      </c>
      <c r="V2157" t="n">
        <v>0</v>
      </c>
    </row>
    <row r="2158">
      <c r="A2158">
        <f>Skills!A19</f>
        <v/>
      </c>
      <c r="B2158">
        <f>Skills!B19</f>
        <v/>
      </c>
      <c r="C2158">
        <f>Inputs!$B$3&gt;=15</f>
        <v/>
      </c>
      <c r="D2158">
        <f>IF(Skills!C19=1,60+Inputs!$B$25+Inputs!$B$29,IF(Skills!C19=2,90+Inputs!$B$26+Inputs!$B$29,IF(Skills!C19=3,120+Inputs!$B$27+Inputs!$B$29,MAX(0,(Inputs!$B$3-100)*3)+Inputs!$B$28+Inputs!$B$29)))</f>
        <v/>
      </c>
      <c r="E2158">
        <f>INDEX(FactorTable!$B$2:$Y$301, MATCH(ROUND(MIN(300,MAX(1,D2158)),0), FactorTable!$A$2:$A$301,0), Skills!M19+1)</f>
        <v/>
      </c>
      <c r="F2158">
        <f>IF(Skills!N19=TRUE,(Skills!L19/10)*(E2158/1000),Skills!L19/10)+Skills!O19</f>
        <v/>
      </c>
      <c r="G2158">
        <f>Skills!G19*IF(Skills!H19&gt;0,Skills!I19/Skills!H19,1)</f>
        <v/>
      </c>
      <c r="H2158">
        <f>1-(1-Skills!J19/100)^Skills!K19</f>
        <v/>
      </c>
      <c r="I2158" t="inlineStr">
        <is>
          <t>1</t>
        </is>
      </c>
      <c r="J2158" t="inlineStr"/>
      <c r="K2158" t="inlineStr"/>
      <c r="L2158" t="inlineStr"/>
      <c r="M2158" t="inlineStr"/>
      <c r="N2158" t="inlineStr"/>
      <c r="O2158">
        <f>(1-Summary!$B$11)*T2158+Summary!$B$11*V2158</f>
        <v/>
      </c>
      <c r="P2158">
        <f>IF(B2180=0,0,O2158/B2180)</f>
        <v/>
      </c>
      <c r="Q2158" t="n">
        <v>0</v>
      </c>
      <c r="R2158" t="n">
        <v>0</v>
      </c>
      <c r="S2158">
        <f>IFERROR(O2158/N2158,0)</f>
        <v/>
      </c>
      <c r="T2158" t="n">
        <v>0</v>
      </c>
      <c r="V2158" t="n">
        <v>0</v>
      </c>
    </row>
    <row r="2159">
      <c r="A2159">
        <f>Skills!A20</f>
        <v/>
      </c>
      <c r="B2159">
        <f>Skills!B20</f>
        <v/>
      </c>
      <c r="C2159">
        <f>Inputs!$B$3&gt;=10</f>
        <v/>
      </c>
      <c r="D2159">
        <f>IF(Skills!C20=1,60+Inputs!$B$25+Inputs!$B$29,IF(Skills!C20=2,90+Inputs!$B$26+Inputs!$B$29,IF(Skills!C20=3,120+Inputs!$B$27+Inputs!$B$29,MAX(0,(Inputs!$B$3-100)*3)+Inputs!$B$28+Inputs!$B$29)))</f>
        <v/>
      </c>
      <c r="E2159">
        <f>INDEX(FactorTable!$B$2:$Y$301, MATCH(ROUND(MIN(300,MAX(1,D2159)),0), FactorTable!$A$2:$A$301,0), Skills!M20+1)</f>
        <v/>
      </c>
      <c r="F2159">
        <f>IF(Skills!N20=TRUE,(Skills!L20/10)*(E2159/1000),Skills!L20/10)+Skills!O20</f>
        <v/>
      </c>
      <c r="G2159">
        <f>Skills!G20*IF(Skills!H20&gt;0,Skills!I20/Skills!H20,1)</f>
        <v/>
      </c>
      <c r="H2159">
        <f>1-(1-Skills!J20/100)^Skills!K20</f>
        <v/>
      </c>
      <c r="I2159" t="inlineStr">
        <is>
          <t>1</t>
        </is>
      </c>
      <c r="J2159" t="inlineStr"/>
      <c r="K2159" t="inlineStr"/>
      <c r="L2159" t="inlineStr"/>
      <c r="M2159" t="inlineStr"/>
      <c r="N2159" t="inlineStr"/>
      <c r="O2159">
        <f>(1-Summary!$B$11)*T2159+Summary!$B$11*V2159</f>
        <v/>
      </c>
      <c r="P2159">
        <f>IF(B2180=0,0,O2159/B2180)</f>
        <v/>
      </c>
      <c r="Q2159" t="n">
        <v>0</v>
      </c>
      <c r="R2159" t="n">
        <v>0</v>
      </c>
      <c r="S2159">
        <f>IFERROR(O2159/N2159,0)</f>
        <v/>
      </c>
      <c r="T2159" t="n">
        <v>0</v>
      </c>
      <c r="V2159" t="n">
        <v>0</v>
      </c>
    </row>
    <row r="2160">
      <c r="A2160">
        <f>Skills!A21</f>
        <v/>
      </c>
      <c r="B2160">
        <f>Skills!B21</f>
        <v/>
      </c>
      <c r="C2160">
        <f>Inputs!$B$3&gt;=33</f>
        <v/>
      </c>
      <c r="D2160">
        <f>IF(Skills!C21=1,60+Inputs!$B$25+Inputs!$B$29,IF(Skills!C21=2,90+Inputs!$B$26+Inputs!$B$29,IF(Skills!C21=3,120+Inputs!$B$27+Inputs!$B$29,MAX(0,(Inputs!$B$3-100)*3)+Inputs!$B$28+Inputs!$B$29)))</f>
        <v/>
      </c>
      <c r="E2160">
        <f>INDEX(FactorTable!$B$2:$Y$301, MATCH(ROUND(MIN(300,MAX(1,D2160)),0), FactorTable!$A$2:$A$301,0), Skills!M21+1)</f>
        <v/>
      </c>
      <c r="F2160">
        <f>IF(Skills!N21=TRUE,(Skills!L21/10)*(E2160/1000),Skills!L21/10)+Skills!O21</f>
        <v/>
      </c>
      <c r="G2160">
        <f>Skills!G21*IF(Skills!H21&gt;0,Skills!I21/Skills!H21,1)</f>
        <v/>
      </c>
      <c r="H2160">
        <f>1-(1-Skills!J21/100)^Skills!K21</f>
        <v/>
      </c>
      <c r="I2160" t="inlineStr">
        <is>
          <t>1</t>
        </is>
      </c>
      <c r="J2160" t="inlineStr"/>
      <c r="K2160" t="inlineStr"/>
      <c r="L2160" t="inlineStr"/>
      <c r="M2160" t="inlineStr"/>
      <c r="N2160" t="inlineStr"/>
      <c r="O2160">
        <f>(1-Summary!$B$11)*T2160+Summary!$B$11*V2160</f>
        <v/>
      </c>
      <c r="P2160">
        <f>IF(B2180=0,0,O2160/B2180)</f>
        <v/>
      </c>
      <c r="Q2160" t="n">
        <v>0</v>
      </c>
      <c r="R2160" t="n">
        <v>0</v>
      </c>
      <c r="S2160">
        <f>IFERROR(O2160/N2160,0)</f>
        <v/>
      </c>
      <c r="T2160" t="n">
        <v>0</v>
      </c>
      <c r="V2160" t="n">
        <v>0</v>
      </c>
    </row>
    <row r="2161">
      <c r="A2161">
        <f>Skills!A22</f>
        <v/>
      </c>
      <c r="B2161">
        <f>Skills!B22</f>
        <v/>
      </c>
      <c r="C2161">
        <f>Inputs!$B$3&gt;=43</f>
        <v/>
      </c>
      <c r="D2161">
        <f>IF(Skills!C22=1,60+Inputs!$B$25+Inputs!$B$29,IF(Skills!C22=2,90+Inputs!$B$26+Inputs!$B$29,IF(Skills!C22=3,120+Inputs!$B$27+Inputs!$B$29,MAX(0,(Inputs!$B$3-100)*3)+Inputs!$B$28+Inputs!$B$29)))</f>
        <v/>
      </c>
      <c r="E2161">
        <f>INDEX(FactorTable!$B$2:$Y$301, MATCH(ROUND(MIN(300,MAX(1,D2161)),0), FactorTable!$A$2:$A$301,0), Skills!M22+1)</f>
        <v/>
      </c>
      <c r="F2161">
        <f>IF(Skills!N22=TRUE,(Skills!L22/10)*(E2161/1000),Skills!L22/10)+Skills!O22</f>
        <v/>
      </c>
      <c r="G2161">
        <f>Skills!G22*IF(Skills!H22&gt;0,Skills!I22/Skills!H22,1)</f>
        <v/>
      </c>
      <c r="H2161">
        <f>1-(1-Skills!J22/100)^Skills!K22</f>
        <v/>
      </c>
      <c r="I2161" t="inlineStr">
        <is>
          <t>1</t>
        </is>
      </c>
      <c r="J2161" t="inlineStr"/>
      <c r="K2161" t="inlineStr"/>
      <c r="L2161" t="inlineStr"/>
      <c r="M2161" t="inlineStr"/>
      <c r="N2161" t="inlineStr"/>
      <c r="O2161">
        <f>(1-Summary!$B$11)*T2161+Summary!$B$11*V2161</f>
        <v/>
      </c>
      <c r="P2161">
        <f>IF(B2180=0,0,O2161/B2180)</f>
        <v/>
      </c>
      <c r="Q2161" t="n">
        <v>0</v>
      </c>
      <c r="R2161" t="n">
        <v>0</v>
      </c>
      <c r="S2161">
        <f>IFERROR(O2161/N2161,0)</f>
        <v/>
      </c>
      <c r="T2161" t="n">
        <v>0</v>
      </c>
      <c r="V2161" t="n">
        <v>0</v>
      </c>
    </row>
    <row r="2162">
      <c r="A2162">
        <f>Skills!A23</f>
        <v/>
      </c>
      <c r="B2162">
        <f>Skills!B23</f>
        <v/>
      </c>
      <c r="C2162">
        <f>Inputs!$B$3&gt;=38</f>
        <v/>
      </c>
      <c r="D2162">
        <f>IF(Skills!C23=1,60+Inputs!$B$25+Inputs!$B$29,IF(Skills!C23=2,90+Inputs!$B$26+Inputs!$B$29,IF(Skills!C23=3,120+Inputs!$B$27+Inputs!$B$29,MAX(0,(Inputs!$B$3-100)*3)+Inputs!$B$28+Inputs!$B$29)))</f>
        <v/>
      </c>
      <c r="E2162">
        <f>INDEX(FactorTable!$B$2:$Y$301, MATCH(ROUND(MIN(300,MAX(1,D2162)),0), FactorTable!$A$2:$A$301,0), Skills!M23+1)</f>
        <v/>
      </c>
      <c r="F2162">
        <f>IF(Skills!N23=TRUE,(Skills!L23/10)*(E2162/1000),Skills!L23/10)+Skills!O23</f>
        <v/>
      </c>
      <c r="G2162">
        <f>Skills!G23*IF(Skills!H23&gt;0,Skills!I23/Skills!H23,1)</f>
        <v/>
      </c>
      <c r="H2162">
        <f>1-(1-Skills!J23/100)^Skills!K23</f>
        <v/>
      </c>
      <c r="I2162" t="inlineStr">
        <is>
          <t>1</t>
        </is>
      </c>
      <c r="J2162" t="inlineStr"/>
      <c r="K2162" t="inlineStr"/>
      <c r="L2162" t="inlineStr"/>
      <c r="M2162" t="inlineStr"/>
      <c r="N2162" t="inlineStr"/>
      <c r="O2162">
        <f>(1-Summary!$B$11)*T2162+Summary!$B$11*V2162</f>
        <v/>
      </c>
      <c r="P2162">
        <f>IF(B2180=0,0,O2162/B2180)</f>
        <v/>
      </c>
      <c r="Q2162" t="n">
        <v>0</v>
      </c>
      <c r="R2162" t="n">
        <v>0</v>
      </c>
      <c r="S2162">
        <f>IFERROR(O2162/N2162,0)</f>
        <v/>
      </c>
      <c r="T2162" t="n">
        <v>0</v>
      </c>
      <c r="V2162" t="n">
        <v>0</v>
      </c>
    </row>
    <row r="2163">
      <c r="A2163">
        <f>Skills!A24</f>
        <v/>
      </c>
      <c r="B2163">
        <f>Skills!B24</f>
        <v/>
      </c>
      <c r="C2163">
        <f>Inputs!$B$3&gt;=40</f>
        <v/>
      </c>
      <c r="D2163">
        <f>IF(Skills!C24=1,60+Inputs!$B$25+Inputs!$B$29,IF(Skills!C24=2,90+Inputs!$B$26+Inputs!$B$29,IF(Skills!C24=3,120+Inputs!$B$27+Inputs!$B$29,MAX(0,(Inputs!$B$3-100)*3)+Inputs!$B$28+Inputs!$B$29)))</f>
        <v/>
      </c>
      <c r="E2163">
        <f>INDEX(FactorTable!$B$2:$Y$301, MATCH(ROUND(MIN(300,MAX(1,D2163)),0), FactorTable!$A$2:$A$301,0), Skills!M24+1)</f>
        <v/>
      </c>
      <c r="F2163">
        <f>IF(Skills!N24=TRUE,(Skills!L24/10)*(E2163/1000),Skills!L24/10)+Skills!O24</f>
        <v/>
      </c>
      <c r="G2163">
        <f>Skills!G24*IF(Skills!H24&gt;0,Skills!I24/Skills!H24,1)</f>
        <v/>
      </c>
      <c r="H2163">
        <f>1-(1-Skills!J24/100)^Skills!K24</f>
        <v/>
      </c>
      <c r="I2163" t="inlineStr">
        <is>
          <t>1</t>
        </is>
      </c>
      <c r="J2163" t="inlineStr"/>
      <c r="K2163" t="inlineStr"/>
      <c r="L2163" t="inlineStr"/>
      <c r="M2163" t="inlineStr"/>
      <c r="N2163" t="inlineStr"/>
      <c r="O2163">
        <f>(1-Summary!$B$11)*T2163+Summary!$B$11*V2163</f>
        <v/>
      </c>
      <c r="P2163">
        <f>IF(B2180=0,0,O2163/B2180)</f>
        <v/>
      </c>
      <c r="Q2163" t="n">
        <v>0</v>
      </c>
      <c r="R2163" t="n">
        <v>0</v>
      </c>
      <c r="S2163">
        <f>IFERROR(O2163/N2163,0)</f>
        <v/>
      </c>
      <c r="T2163" t="n">
        <v>0</v>
      </c>
      <c r="V2163" t="n">
        <v>0</v>
      </c>
    </row>
    <row r="2164">
      <c r="A2164">
        <f>Skills!A25</f>
        <v/>
      </c>
      <c r="B2164">
        <f>Skills!B25</f>
        <v/>
      </c>
      <c r="C2164">
        <f>Inputs!$B$3&gt;=72</f>
        <v/>
      </c>
      <c r="D2164">
        <f>IF(Skills!C25=1,60+Inputs!$B$25+Inputs!$B$29,IF(Skills!C25=2,90+Inputs!$B$26+Inputs!$B$29,IF(Skills!C25=3,120+Inputs!$B$27+Inputs!$B$29,MAX(0,(Inputs!$B$3-100)*3)+Inputs!$B$28+Inputs!$B$29)))</f>
        <v/>
      </c>
      <c r="E2164">
        <f>INDEX(FactorTable!$B$2:$Y$301, MATCH(ROUND(MIN(300,MAX(1,D2164)),0), FactorTable!$A$2:$A$301,0), Skills!M25+1)</f>
        <v/>
      </c>
      <c r="F2164">
        <f>IF(Skills!N25=TRUE,(Skills!L25/10)*(E2164/1000),Skills!L25/10)+Skills!O25</f>
        <v/>
      </c>
      <c r="G2164">
        <f>Skills!G25*IF(Skills!H25&gt;0,Skills!I25/Skills!H25,1)</f>
        <v/>
      </c>
      <c r="H2164">
        <f>1-(1-Skills!J25/100)^Skills!K25</f>
        <v/>
      </c>
      <c r="I2164" t="inlineStr">
        <is>
          <t>1</t>
        </is>
      </c>
      <c r="J2164" t="inlineStr"/>
      <c r="K2164" t="inlineStr"/>
      <c r="L2164" t="inlineStr"/>
      <c r="M2164" t="inlineStr"/>
      <c r="N2164" t="inlineStr"/>
      <c r="O2164">
        <f>(1-Summary!$B$11)*T2164+Summary!$B$11*V2164</f>
        <v/>
      </c>
      <c r="P2164">
        <f>IF(B2180=0,0,O2164/B2180)</f>
        <v/>
      </c>
      <c r="Q2164" t="n">
        <v>0</v>
      </c>
      <c r="R2164" t="n">
        <v>0</v>
      </c>
      <c r="S2164">
        <f>IFERROR(O2164/N2164,0)</f>
        <v/>
      </c>
      <c r="T2164" t="n">
        <v>0</v>
      </c>
      <c r="V2164" t="n">
        <v>0</v>
      </c>
    </row>
    <row r="2165">
      <c r="A2165">
        <f>Skills!A26</f>
        <v/>
      </c>
      <c r="B2165">
        <f>Skills!B26</f>
        <v/>
      </c>
      <c r="C2165">
        <f>Inputs!$B$3&gt;=75</f>
        <v/>
      </c>
      <c r="D2165">
        <f>IF(Skills!C26=1,60+Inputs!$B$25+Inputs!$B$29,IF(Skills!C26=2,90+Inputs!$B$26+Inputs!$B$29,IF(Skills!C26=3,120+Inputs!$B$27+Inputs!$B$29,MAX(0,(Inputs!$B$3-100)*3)+Inputs!$B$28+Inputs!$B$29)))</f>
        <v/>
      </c>
      <c r="E2165">
        <f>INDEX(FactorTable!$B$2:$Y$301, MATCH(ROUND(MIN(300,MAX(1,D2165)),0), FactorTable!$A$2:$A$301,0), Skills!M26+1)</f>
        <v/>
      </c>
      <c r="F2165">
        <f>IF(Skills!N26=TRUE,(Skills!L26/10)*(E2165/1000),Skills!L26/10)+Skills!O26</f>
        <v/>
      </c>
      <c r="G2165">
        <f>Skills!G26*IF(Skills!H26&gt;0,Skills!I26/Skills!H26,1)</f>
        <v/>
      </c>
      <c r="H2165">
        <f>1-(1-Skills!J26/100)^Skills!K26</f>
        <v/>
      </c>
      <c r="I2165" t="inlineStr">
        <is>
          <t>1</t>
        </is>
      </c>
      <c r="J2165" t="inlineStr"/>
      <c r="K2165" t="inlineStr"/>
      <c r="L2165" t="inlineStr"/>
      <c r="M2165" t="inlineStr"/>
      <c r="N2165" t="inlineStr"/>
      <c r="O2165">
        <f>(1-Summary!$B$11)*T2165+Summary!$B$11*V2165</f>
        <v/>
      </c>
      <c r="P2165">
        <f>IF(B2180=0,0,O2165/B2180)</f>
        <v/>
      </c>
      <c r="Q2165" t="n">
        <v>0</v>
      </c>
      <c r="R2165" t="n">
        <v>0</v>
      </c>
      <c r="S2165">
        <f>IFERROR(O2165/N2165,0)</f>
        <v/>
      </c>
      <c r="T2165" t="n">
        <v>0</v>
      </c>
      <c r="V2165" t="n">
        <v>0</v>
      </c>
    </row>
    <row r="2166">
      <c r="A2166">
        <f>Skills!A27</f>
        <v/>
      </c>
      <c r="B2166">
        <f>Skills!B27</f>
        <v/>
      </c>
      <c r="C2166">
        <f>Inputs!$B$3&gt;=117</f>
        <v/>
      </c>
      <c r="D2166">
        <f>IF(Skills!C27=1,60+Inputs!$B$25+Inputs!$B$29,IF(Skills!C27=2,90+Inputs!$B$26+Inputs!$B$29,IF(Skills!C27=3,120+Inputs!$B$27+Inputs!$B$29,MAX(0,(Inputs!$B$3-100)*3)+Inputs!$B$28+Inputs!$B$29)))</f>
        <v/>
      </c>
      <c r="E2166">
        <f>INDEX(FactorTable!$B$2:$Y$301, MATCH(ROUND(MIN(300,MAX(1,D2166)),0), FactorTable!$A$2:$A$301,0), Skills!M27+1)</f>
        <v/>
      </c>
      <c r="F2166">
        <f>IF(Skills!N27=TRUE,(Skills!L27/10)*(E2166/1000),Skills!L27/10)+Skills!O27</f>
        <v/>
      </c>
      <c r="G2166">
        <f>Skills!G27*IF(Skills!H27&gt;0,Skills!I27/Skills!H27,1)</f>
        <v/>
      </c>
      <c r="H2166">
        <f>1-(1-Skills!J27/100)^Skills!K27</f>
        <v/>
      </c>
      <c r="I2166" t="inlineStr">
        <is>
          <t>1</t>
        </is>
      </c>
      <c r="J2166" t="inlineStr"/>
      <c r="K2166" t="inlineStr"/>
      <c r="L2166" t="inlineStr"/>
      <c r="M2166" t="inlineStr"/>
      <c r="N2166" t="inlineStr"/>
      <c r="O2166">
        <f>(1-Summary!$B$11)*T2166+Summary!$B$11*V2166</f>
        <v/>
      </c>
      <c r="P2166">
        <f>IF(B2180=0,0,O2166/B2180)</f>
        <v/>
      </c>
      <c r="Q2166" t="n">
        <v>0</v>
      </c>
      <c r="R2166" t="n">
        <v>0</v>
      </c>
      <c r="S2166">
        <f>IFERROR(O2166/N2166,0)</f>
        <v/>
      </c>
      <c r="T2166" t="n">
        <v>0</v>
      </c>
      <c r="V2166" t="n">
        <v>0</v>
      </c>
    </row>
    <row r="2167">
      <c r="A2167">
        <f>Skills!A28</f>
        <v/>
      </c>
      <c r="B2167">
        <f>Skills!B28</f>
        <v/>
      </c>
      <c r="C2167">
        <f>TRUE</f>
        <v/>
      </c>
      <c r="D2167">
        <f>IF(Skills!C28=1,60+Inputs!$B$25+Inputs!$B$29,IF(Skills!C28=2,90+Inputs!$B$26+Inputs!$B$29,IF(Skills!C28=3,120+Inputs!$B$27+Inputs!$B$29,MAX(0,(Inputs!$B$3-100)*3)+Inputs!$B$28+Inputs!$B$29)))</f>
        <v/>
      </c>
      <c r="E2167">
        <f>INDEX(FactorTable!$B$2:$Y$301, MATCH(ROUND(MIN(300,MAX(1,D2167)),0), FactorTable!$A$2:$A$301,0), Skills!M28+1)</f>
        <v/>
      </c>
      <c r="F2167">
        <f>IF(Skills!N28=TRUE,(Skills!L28/10)*(E2167/1000),Skills!L28/10)+Skills!O28</f>
        <v/>
      </c>
      <c r="G2167">
        <f>Skills!G28*IF(Skills!H28&gt;0,Skills!I28/Skills!H28,1)</f>
        <v/>
      </c>
      <c r="H2167">
        <f>1-(1-Skills!J28/100)^Skills!K28</f>
        <v/>
      </c>
      <c r="I2167" t="inlineStr">
        <is>
          <t>1</t>
        </is>
      </c>
      <c r="J2167" t="inlineStr"/>
      <c r="K2167" t="inlineStr"/>
      <c r="L2167" t="inlineStr"/>
      <c r="M2167" t="inlineStr"/>
      <c r="N2167" t="inlineStr"/>
      <c r="O2167">
        <f>(1-Summary!$B$11)*T2167+Summary!$B$11*V2167</f>
        <v/>
      </c>
      <c r="P2167">
        <f>IF(B2180=0,0,O2167/B2180)</f>
        <v/>
      </c>
      <c r="Q2167">
        <f>IFERROR(1/(IF(Inputs!$B$38="pvp",15,MAX(0.1,Skills!D28-IF(Skills!E28=TRUE,Inputs!$B$32,0)))*(1-IF(AND(ArtifactsInput!$M$27,Inputs!$B$4="Chapter Hunt"),CHOOSE(ArtifactsInput!$N$27+1,20,24,28,32,36,40),0)/100)),0)</f>
        <v/>
      </c>
      <c r="R2167">
        <f>IF(AND(Inputs!$B$38&lt;&gt;"pvp",Inputs!$B$43&gt;0),IF(Inputs!$B$43&lt;=0,0,(INT(Inputs!$B$43/(IF(Inputs!$B$38="pvp",15,MAX(0.1,Skills!D28-IF(Skills!E28=TRUE,Inputs!$B$32,0)))*(1-IF(AND(ArtifactsInput!$M$27,Inputs!$B$4="Chapter Hunt"),CHOOSE(ArtifactsInput!$N$27+1,20,24,28,32,36,40),0)/100)))+1)),0)</f>
        <v/>
      </c>
      <c r="S2167">
        <f>IFERROR(O2167/N2167,0)</f>
        <v/>
      </c>
      <c r="T2167" t="n">
        <v>0</v>
      </c>
      <c r="V2167" t="n">
        <v>0</v>
      </c>
    </row>
    <row r="2169">
      <c r="A2169" t="inlineStr">
        <is>
          <t>Attack% Bucket Multiplier</t>
        </is>
      </c>
      <c r="B2169">
        <f>(1+(((C2156=TRUE)*F2156*5/7)+((C2163=TRUE)*(F2163-Calc!F24))+(IF(ArtifactsInput!$M$21,CHOOSE(ArtifactsInput!$N$21+1,25,30,35,40,45,50)*(IF(OR(Inputs!$B$4="Chapter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70">
      <c r="A2170" t="inlineStr">
        <is>
          <t>Global Crit Rate Bonus %</t>
        </is>
      </c>
      <c r="B2170" t="n">
        <v>0</v>
      </c>
    </row>
    <row r="2171">
      <c r="A2171" t="inlineStr">
        <is>
          <t>Attack Speed Buff Bonus % (Nimble Feet, duty-cycle averaged)</t>
        </is>
      </c>
      <c r="B2171">
        <f>((C2167=TRUE)*F2167*IF(AND(Inputs!$B$38&lt;&gt;"pvp",Inputs!$B$43&gt;0),(((R2167-1)*(Skills!T28*(1+Inputs!$B$34/100))+MIN((Skills!T28*(1+Inputs!$B$34/100)),MAX(0,Inputs!$B$43-((R2167-1)*Skills!D28))))/Inputs!$B$43),IF(Inputs!$B$38="pvp",MIN((Skills!T28*(1+Inputs!$B$34/100)),15)/15,(Skills!T28*(1+Inputs!$B$34/100))/Skills!D28)))</f>
        <v/>
      </c>
    </row>
    <row r="2172">
      <c r="A2172" t="inlineStr">
        <is>
          <t>Actions Per Second</t>
        </is>
      </c>
      <c r="B2172">
        <f>1+MIN(150,150*(1-(1-(Inputs!$B$11+((C2159=TRUE)*(F2159-Calc!F20))+((C2160=TRUE)*(F2160-Calc!F21)))/150)*(1-B2171/150)))/100</f>
        <v/>
      </c>
    </row>
    <row r="2173">
      <c r="A2173" t="inlineStr">
        <is>
          <t>Skill + Buff Cast Rate</t>
        </is>
      </c>
      <c r="B2173">
        <f>IF(AND(Inputs!$B$38&lt;&gt;"pvp",Inputs!$B$43&gt;0),SUMPRODUCT((Skills!E2:E28=TRUE)*(C2141:C2167=TRUE)*R2141:R2167*Skills!F2:F28)/Inputs!$B$43,SUMPRODUCT((Skills!E2:E28=TRUE)*(C2141:C2167=TRUE)*Q2141:Q2167*Skills!F2:F28))</f>
        <v/>
      </c>
    </row>
    <row r="2174">
      <c r="A2174" t="inlineStr">
        <is>
          <t>Eight-Legs Easton Casts Per Second</t>
        </is>
      </c>
      <c r="B2174">
        <f>MAX(0,B2172-B2173)</f>
        <v/>
      </c>
    </row>
    <row r="2175">
      <c r="A2175" t="inlineStr">
        <is>
          <t>Global Critical Damage Bonus % (unused)</t>
        </is>
      </c>
      <c r="B2175" t="n">
        <v>0</v>
      </c>
    </row>
    <row r="2176">
      <c r="A2176" t="inlineStr">
        <is>
          <t>Global Final Damage Bonus % (Jolly Roger + Ahoy Mateys - Final Damage proc)</t>
        </is>
      </c>
      <c r="B2176">
        <f>((C2157=TRUE)*F2157*IF(AND(Inputs!$B$38&lt;&gt;"pvp",Inputs!$B$43&gt;0),(((R2157-1)*(Skills!T18*(1+Inputs!$B$34/100))+MIN((Skills!T18*(1+Inputs!$B$34/100)),MAX(0,Inputs!$B$43-((R2157-1)*Skills!D18))))/Inputs!$B$43),IF(Inputs!$B$38="pvp",MIN((Skills!T18*(1+Inputs!$B$34/100)),15)/15,(Skills!T18*(1+Inputs!$B$34/100))/Skills!D18)))+IF(Inputs!$B$3&gt;=122,20*IF(Inputs!$B$38="pvp",MIN((20*(1+Inputs!$B$34/100)),15)/15,(20*(1+Inputs!$B$34/100))/Skills!D4),0)</f>
        <v/>
      </c>
    </row>
    <row r="2177">
      <c r="A2177" t="inlineStr">
        <is>
          <t>Buff-Casting Startup Delay (s, fixed-duration only)</t>
        </is>
      </c>
      <c r="B2177">
        <f>IF(AND(Inputs!$B$38&lt;&gt;"pvp",Inputs!$B$43&gt;0),SUMPRODUCT((Skills!T2:T28&gt;0)*(Skills!E2:E28=TRUE)*(C2141:C2167=TRUE))/B2172,0)</f>
        <v/>
      </c>
    </row>
    <row r="2178">
      <c r="A2178" t="inlineStr">
        <is>
          <t>Boss-Only Total DPS (this block's swept value)</t>
        </is>
      </c>
      <c r="B2178">
        <f>SUM(T2141:T2167)</f>
        <v/>
      </c>
    </row>
    <row r="2179">
      <c r="A2179" t="inlineStr">
        <is>
          <t>Normal-Only Total DPS (this block's swept value)</t>
        </is>
      </c>
      <c r="B2179">
        <f>SUM(V2141:V2167)</f>
        <v/>
      </c>
    </row>
    <row r="2180">
      <c r="A2180" s="6" t="inlineStr">
        <is>
          <t>TOTAL DPS</t>
        </is>
      </c>
      <c r="B2180" s="6">
        <f>SUM(O2141:O2167)</f>
        <v/>
      </c>
    </row>
    <row r="2183">
      <c r="A2183" s="6" t="inlineStr">
        <is>
          <t>Stat: Soul Pouch (Equip)</t>
        </is>
      </c>
    </row>
    <row r="2184">
      <c r="A2184" s="5" t="inlineStr">
        <is>
          <t>Key</t>
        </is>
      </c>
      <c r="B2184" s="5" t="inlineStr">
        <is>
          <t>Name</t>
        </is>
      </c>
      <c r="C2184" s="5" t="inlineStr">
        <is>
          <t>Unlocked</t>
        </is>
      </c>
      <c r="D2184" s="5" t="inlineStr">
        <is>
          <t>InputLevel</t>
        </is>
      </c>
      <c r="E2184" s="5" t="inlineStr">
        <is>
          <t>Factor</t>
        </is>
      </c>
      <c r="F2184" s="5" t="inlineStr">
        <is>
          <t>CoefficientPercent</t>
        </is>
      </c>
      <c r="G2184" s="5" t="inlineStr">
        <is>
          <t>EffectiveHits</t>
        </is>
      </c>
      <c r="H2184" s="5" t="inlineStr">
        <is>
          <t>ProcProbability</t>
        </is>
      </c>
      <c r="I2184" s="5" t="inlineStr">
        <is>
          <t>MapleHeroMultiplier</t>
        </is>
      </c>
      <c r="J2184" s="5" t="inlineStr">
        <is>
          <t>BaseDamage</t>
        </is>
      </c>
      <c r="K2184" s="5" t="inlineStr">
        <is>
          <t>BaseHitDamage</t>
        </is>
      </c>
      <c r="L2184" s="5" t="inlineStr">
        <is>
          <t>NonCritAvg</t>
        </is>
      </c>
      <c r="M2184" s="5" t="inlineStr">
        <is>
          <t>CritAvg</t>
        </is>
      </c>
      <c r="N2184" s="5" t="inlineStr">
        <is>
          <t>ExpectedDamage(perHit)</t>
        </is>
      </c>
      <c r="O2184" s="5" t="inlineStr">
        <is>
          <t>DPS</t>
        </is>
      </c>
      <c r="P2184" s="5" t="inlineStr">
        <is>
          <t>% of Total</t>
        </is>
      </c>
      <c r="Q2184" s="5" t="inlineStr">
        <is>
          <t>InvCooldown</t>
        </is>
      </c>
      <c r="R2184" s="5" t="inlineStr">
        <is>
          <t>CastsInFight</t>
        </is>
      </c>
      <c r="S2184" s="5" t="inlineStr">
        <is>
          <t>HitRate(perSec)</t>
        </is>
      </c>
      <c r="U2184" t="inlineStr">
        <is>
          <t>helpers</t>
        </is>
      </c>
    </row>
    <row r="2185">
      <c r="A2185">
        <f>Skills!A2</f>
        <v/>
      </c>
      <c r="B2185">
        <f>Skills!B2</f>
        <v/>
      </c>
      <c r="C2185">
        <f>Inputs!$B$3&gt;=100</f>
        <v/>
      </c>
      <c r="D2185" t="inlineStr"/>
      <c r="E2185" t="inlineStr"/>
      <c r="F2185">
        <f>U2187+Skills!O2</f>
        <v/>
      </c>
      <c r="G2185">
        <f>Skills!G2*IF(Skills!H2&gt;0,Skills!I2/Skills!H2,1)</f>
        <v/>
      </c>
      <c r="H2185">
        <f>1-(1-Skills!J2/100)^Skills!K2</f>
        <v/>
      </c>
      <c r="I2185" t="inlineStr">
        <is>
          <t>1</t>
        </is>
      </c>
      <c r="J2185">
        <f>((Inputs!$B$6*(1+Inputs!$B$7/100))+(((Inputs!$B$12*(1+Inputs!$B$13/100))-(Inputs!$B$12*(1+Inputs!$B$13/100)))+0.25*(Inputs!$B$14-Inputs!$B$14))*(1+Inputs!$B$7/100))*(F2185/100)</f>
        <v/>
      </c>
      <c r="K2185">
        <f>J2185*(1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2185)</f>
        <v/>
      </c>
      <c r="L2185">
        <f>K2185*(MIN(Inputs!$B$22+((C2205=TRUE)*(F2205-Calc!F22)),(Inputs!$B$23+0+(IF(ArtifactsInput!$M$15,CHOOSE(ArtifactsInput!$N$15+1,25,30,35,40,45,50)/100*(Inputs!$B$11-Inputs!$B$11),0))))/100+(Inputs!$B$23+0+(IF(ArtifactsInput!$M$15,CHOOSE(ArtifactsInput!$N$15+1,25,30,35,40,45,50)/100*(Inputs!$B$11-Inputs!$B$11),0)))/100)/2</f>
        <v/>
      </c>
      <c r="M2185">
        <f>L2185*(1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5">
        <f>L2185*(1-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2185*(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5">
        <f>(1-Summary!$B$11)*T2185+Summary!$B$11*V2185</f>
        <v/>
      </c>
      <c r="P2185">
        <f>IF(B2224=0,0,O2185/B2224)</f>
        <v/>
      </c>
      <c r="Q2185" t="n">
        <v>0</v>
      </c>
      <c r="R2185" t="n">
        <v>0</v>
      </c>
      <c r="S2185">
        <f>IFERROR(O2185/N2185,0)</f>
        <v/>
      </c>
      <c r="T2185">
        <f>IF(C2185,(Skills!G2*N2185*B2218)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2185*(1-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2185*(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2185*(1-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2185*(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5">
        <f>MAX(0,(Inputs!$B$3-100)*3)+Inputs!$B$28+Inputs!$B$29</f>
        <v/>
      </c>
      <c r="V2185">
        <f>IF(C2185,(Skills!G2*N2185*B2218)*IF(Inputs!$B$38="pvp",1,(1+(Inputs!$B$21+Skills!Q2+(IF(ArtifactsInput!$M$33,CHOOSE(ArtifactsInput!$N$33+1,30,36,42,48,54,60),0))+(IF(AND(ArtifactsInput!$M$35,Inputs!$B$4&lt;&gt;"Chapter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6">
      <c r="A2186">
        <f>Skills!A3</f>
        <v/>
      </c>
      <c r="B2186">
        <f>Skills!B3</f>
        <v/>
      </c>
      <c r="C2186">
        <f>Inputs!$B$3&gt;=35</f>
        <v/>
      </c>
      <c r="D2186">
        <f>IF(Skills!C3=1,60+Inputs!$B$25+Inputs!$B$29,IF(Skills!C3=2,90+Inputs!$B$26+Inputs!$B$29,IF(Skills!C3=3,120+Inputs!$B$27+Inputs!$B$29,MAX(0,(Inputs!$B$3-100)*3)+Inputs!$B$28+Inputs!$B$29)))</f>
        <v/>
      </c>
      <c r="E2186">
        <f>INDEX(FactorTable!$B$2:$Y$301, MATCH(ROUND(MIN(300,MAX(1,D2186)),0), FactorTable!$A$2:$A$301,0), Skills!M3+1)</f>
        <v/>
      </c>
      <c r="F2186">
        <f>IF(Skills!N3=TRUE,(Skills!L3/10)*(E2186/1000),Skills!L3/10)+Skills!O3</f>
        <v/>
      </c>
      <c r="G2186">
        <f>Skills!G3*IF(Skills!H3&gt;0,Skills!I3/Skills!H3,1)</f>
        <v/>
      </c>
      <c r="H2186">
        <f>1-(1-Skills!J3/100)^Skills!K3</f>
        <v/>
      </c>
      <c r="I2186" t="inlineStr">
        <is>
          <t>1</t>
        </is>
      </c>
      <c r="J2186">
        <f>((Inputs!$B$6*(1+Inputs!$B$7/100))+(((Inputs!$B$12*(1+Inputs!$B$13/100))-(Inputs!$B$12*(1+Inputs!$B$13/100)))+0.25*(Inputs!$B$14-Inputs!$B$14))*(1+Inputs!$B$7/100))*(F2186/100)</f>
        <v/>
      </c>
      <c r="K2186">
        <f>J2186*(1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2198=TRUE,F2198,0)/100)*(1+(IF(Skills!A3="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2186)</f>
        <v/>
      </c>
      <c r="L2186">
        <f>K2186*(MIN(Inputs!$B$22+((C2205=TRUE)*(F2205-Calc!F22)),(Inputs!$B$23+0+(IF(ArtifactsInput!$M$15,CHOOSE(ArtifactsInput!$N$15+1,25,30,35,40,45,50)/100*(Inputs!$B$11-Inputs!$B$11),0))))/100+(Inputs!$B$23+0+(IF(ArtifactsInput!$M$15,CHOOSE(ArtifactsInput!$N$15+1,25,30,35,40,45,50)/100*(Inputs!$B$11-Inputs!$B$11),0)))/100)/2</f>
        <v/>
      </c>
      <c r="M2186">
        <f>L2186*(1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6">
        <f>L2186*(1-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2186*(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6">
        <f>(1-Summary!$B$11)*T2186+Summary!$B$11*V2186</f>
        <v/>
      </c>
      <c r="P2186">
        <f>IF(B2224=0,0,O2186/B2224)</f>
        <v/>
      </c>
      <c r="Q2186">
        <f>IFERROR(1/(IF(Inputs!$B$38="pvp",15,MAX(0.1,Skills!D3-IF(Skills!E3=TRUE,Inputs!$B$32,0)))*(1-IF(AND(ArtifactsInput!$M$27,Inputs!$B$4="Chapter Hunt"),CHOOSE(ArtifactsInput!$N$27+1,20,24,28,32,36,40),0)/100)),0)</f>
        <v/>
      </c>
      <c r="R2186">
        <f>IF(AND(Inputs!$B$38&lt;&gt;"pvp",Inputs!$B$43&gt;0),IF(MAX(0,Inputs!$B$43-B2221)&lt;=0,0,(INT(MAX(0,Inputs!$B$43-B2221)/(IF(Inputs!$B$38="pvp",15,MAX(0.1,Skills!D3-IF(Skills!E3=TRUE,Inputs!$B$32,0)))*(1-IF(AND(ArtifactsInput!$M$27,Inputs!$B$4="Chapter Hunt"),CHOOSE(ArtifactsInput!$N$27+1,20,24,28,32,36,40),0)/100)))+1)),0)</f>
        <v/>
      </c>
      <c r="S2186">
        <f>IFERROR(O2186/N2186,0)</f>
        <v/>
      </c>
      <c r="T2186">
        <f>IF(C2186,(H2186*N2186*IF(AND(Inputs!$B$38&lt;&gt;"pvp",Inputs!$B$43&gt;0),((Skills!G3*((R2186-1)*IF(Skills!H3&gt;0,Skills!I3/Skills!H3,1)+IF(Skills!H3&gt;0,MIN(Skills!I3,MAX(0,MAX(0,Inputs!$B$43-B2221)-((R2186-1)*(IF(Inputs!$B$38="pvp",15,MAX(0.1,Skills!D3-IF(Skills!E3=TRUE,Inputs!$B$32,0)))*(1-IF(AND(ArtifactsInput!$M$27,Inputs!$B$4="Chapter Hunt"),CHOOSE(ArtifactsInput!$N$27+1,20,24,28,32,36,40),0)/100)))))/Skills!H3,1)))/Inputs!$B$43),G2186*Q2186)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2186*(1-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2186*(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2186*(1-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2186*(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6">
        <f>INDEX(FactorTable!$B$2:$Y$301, MATCH(ROUND(MIN(300,MAX(1,U2185)),0), FactorTable!$A$2:$A$301,0), 22)</f>
        <v/>
      </c>
      <c r="V2186">
        <f>IF(C2186,(H2186*N2186*IF(AND(Inputs!$B$38&lt;&gt;"pvp",Inputs!$B$43&gt;0),((Skills!G3*((R2186-1)*IF(Skills!H3&gt;0,Skills!I3/Skills!H3,1)+IF(Skills!H3&gt;0,MIN(Skills!I3,MAX(0,MAX(0,Inputs!$B$43-B2221)-((R2186-1)*(IF(Inputs!$B$38="pvp",15,MAX(0.1,Skills!D3-IF(Skills!E3=TRUE,Inputs!$B$32,0)))*(1-IF(AND(ArtifactsInput!$M$27,Inputs!$B$4="Chapter Hunt"),CHOOSE(ArtifactsInput!$N$27+1,20,24,28,32,36,40),0)/100)))))/Skills!H3,1)))/Inputs!$B$43),G2186*Q2186))*IF(Inputs!$B$38="pvp",1,(1+(Inputs!$B$21+Skills!Q3+(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7">
      <c r="A2187">
        <f>Skills!A4</f>
        <v/>
      </c>
      <c r="B2187">
        <f>Skills!B4</f>
        <v/>
      </c>
      <c r="C2187">
        <f>Inputs!$B$3&gt;=40</f>
        <v/>
      </c>
      <c r="D2187">
        <f>IF(Skills!C4=1,60+Inputs!$B$25+Inputs!$B$29,IF(Skills!C4=2,90+Inputs!$B$26+Inputs!$B$29,IF(Skills!C4=3,120+Inputs!$B$27+Inputs!$B$29,MAX(0,(Inputs!$B$3-100)*3)+Inputs!$B$28+Inputs!$B$29)))</f>
        <v/>
      </c>
      <c r="E2187">
        <f>INDEX(FactorTable!$B$2:$Y$301, MATCH(ROUND(MIN(300,MAX(1,D2187)),0), FactorTable!$A$2:$A$301,0), Skills!M4+1)</f>
        <v/>
      </c>
      <c r="F2187">
        <f>IF(Skills!N4=TRUE,(Skills!L4/10)*(E2187/1000),Skills!L4/10)+Skills!O4</f>
        <v/>
      </c>
      <c r="G2187">
        <f>Skills!G4*IF(Skills!H4&gt;0,Skills!I4/Skills!H4,1)</f>
        <v/>
      </c>
      <c r="H2187">
        <f>1-(1-Skills!J4/100)^Skills!K4</f>
        <v/>
      </c>
      <c r="I2187" t="inlineStr">
        <is>
          <t>1</t>
        </is>
      </c>
      <c r="J2187">
        <f>((Inputs!$B$6*(1+Inputs!$B$7/100))+(((Inputs!$B$12*(1+Inputs!$B$13/100))-(Inputs!$B$12*(1+Inputs!$B$13/100)))+0.25*(Inputs!$B$14-Inputs!$B$14))*(1+Inputs!$B$7/100))*(F2187/100)</f>
        <v/>
      </c>
      <c r="K2187">
        <f>J2187*(1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2199=TRUE,F2199,0)/100)*(1+(IF(Skills!A4="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2187)</f>
        <v/>
      </c>
      <c r="L2187">
        <f>K2187*(MIN(Inputs!$B$22+((C2205=TRUE)*(F2205-Calc!F22)),(Inputs!$B$23+0+(IF(ArtifactsInput!$M$15,CHOOSE(ArtifactsInput!$N$15+1,25,30,35,40,45,50)/100*(Inputs!$B$11-Inputs!$B$11),0))))/100+(Inputs!$B$23+0+(IF(ArtifactsInput!$M$15,CHOOSE(ArtifactsInput!$N$15+1,25,30,35,40,45,50)/100*(Inputs!$B$11-Inputs!$B$11),0)))/100)/2</f>
        <v/>
      </c>
      <c r="M2187">
        <f>L2187*(1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7">
        <f>L2187*(1-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2187*(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7">
        <f>(1-Summary!$B$11)*T2187+Summary!$B$11*V2187</f>
        <v/>
      </c>
      <c r="P2187">
        <f>IF(B2224=0,0,O2187/B2224)</f>
        <v/>
      </c>
      <c r="Q2187">
        <f>IFERROR(1/(IF(Inputs!$B$38="pvp",15,MAX(0.1,Skills!D4-IF(Skills!E4=TRUE,Inputs!$B$32,0)))*(1-IF(AND(ArtifactsInput!$M$27,Inputs!$B$4="Chapter Hunt"),CHOOSE(ArtifactsInput!$N$27+1,20,24,28,32,36,40),0)/100)),0)</f>
        <v/>
      </c>
      <c r="R2187">
        <f>IF(AND(Inputs!$B$38&lt;&gt;"pvp",Inputs!$B$43&gt;0),IF(MAX(0,Inputs!$B$43-B2221)&lt;=0,0,(INT(MAX(0,Inputs!$B$43-B2221)/(IF(Inputs!$B$38="pvp",15,MAX(0.1,Skills!D4-IF(Skills!E4=TRUE,Inputs!$B$32,0)))*(1-IF(AND(ArtifactsInput!$M$27,Inputs!$B$4="Chapter Hunt"),CHOOSE(ArtifactsInput!$N$27+1,20,24,28,32,36,40),0)/100)))+1)),0)</f>
        <v/>
      </c>
      <c r="S2187">
        <f>IFERROR(O2187/N2187,0)</f>
        <v/>
      </c>
      <c r="T2187">
        <f>IF(C2187,(H2187*N2187*IF(AND(Inputs!$B$38&lt;&gt;"pvp",Inputs!$B$43&gt;0),((Skills!G4*((R2187-1)*IF(Skills!H4&gt;0,Skills!I4/Skills!H4,1)+IF(Skills!H4&gt;0,MIN(Skills!I4,MAX(0,MAX(0,Inputs!$B$43-B2221)-((R2187-1)*(IF(Inputs!$B$38="pvp",15,MAX(0.1,Skills!D4-IF(Skills!E4=TRUE,Inputs!$B$32,0)))*(1-IF(AND(ArtifactsInput!$M$27,Inputs!$B$4="Chapter Hunt"),CHOOSE(ArtifactsInput!$N$27+1,20,24,28,32,36,40),0)/100)))))/Skills!H4,1)))/Inputs!$B$43),G2187*Q2187)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2187*(1-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2187*(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2187*(1-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2187*(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7">
        <f>290*U2186/1000</f>
        <v/>
      </c>
      <c r="V2187">
        <f>IF(C2187,(H2187*N2187*IF(AND(Inputs!$B$38&lt;&gt;"pvp",Inputs!$B$43&gt;0),((Skills!G4*((R2187-1)*IF(Skills!H4&gt;0,Skills!I4/Skills!H4,1)+IF(Skills!H4&gt;0,MIN(Skills!I4,MAX(0,MAX(0,Inputs!$B$43-B2221)-((R2187-1)*(IF(Inputs!$B$38="pvp",15,MAX(0.1,Skills!D4-IF(Skills!E4=TRUE,Inputs!$B$32,0)))*(1-IF(AND(ArtifactsInput!$M$27,Inputs!$B$4="Chapter Hunt"),CHOOSE(ArtifactsInput!$N$27+1,20,24,28,32,36,40),0)/100)))))/Skills!H4,1)))/Inputs!$B$43),G2187*Q2187))*IF(Inputs!$B$38="pvp",1,(1+(Inputs!$B$21+Skills!Q4+(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8">
      <c r="A2188">
        <f>Skills!A5</f>
        <v/>
      </c>
      <c r="B2188">
        <f>Skills!B5</f>
        <v/>
      </c>
      <c r="C2188">
        <f>Inputs!$B$3&gt;=45</f>
        <v/>
      </c>
      <c r="D2188">
        <f>IF(Skills!C5=1,60+Inputs!$B$25+Inputs!$B$29,IF(Skills!C5=2,90+Inputs!$B$26+Inputs!$B$29,IF(Skills!C5=3,120+Inputs!$B$27+Inputs!$B$29,MAX(0,(Inputs!$B$3-100)*3)+Inputs!$B$28+Inputs!$B$29)))</f>
        <v/>
      </c>
      <c r="E2188">
        <f>INDEX(FactorTable!$B$2:$Y$301, MATCH(ROUND(MIN(300,MAX(1,D2188)),0), FactorTable!$A$2:$A$301,0), Skills!M5+1)</f>
        <v/>
      </c>
      <c r="F2188">
        <f>IF(Skills!N5=TRUE,(Skills!L5/10)*(E2188/1000),Skills!L5/10)+Skills!O5</f>
        <v/>
      </c>
      <c r="G2188">
        <f>Skills!G5*IF(Skills!H5&gt;0,Skills!I5/Skills!H5,1)</f>
        <v/>
      </c>
      <c r="H2188">
        <f>1-(1-Skills!J5/100)^Skills!K5</f>
        <v/>
      </c>
      <c r="I2188" t="inlineStr">
        <is>
          <t>1</t>
        </is>
      </c>
      <c r="J2188">
        <f>((Inputs!$B$6*(1+Inputs!$B$7/100))+(((Inputs!$B$12*(1+Inputs!$B$13/100))-(Inputs!$B$12*(1+Inputs!$B$13/100)))+0.25*(Inputs!$B$14-Inputs!$B$14))*(1+Inputs!$B$7/100))*(F2188/100)</f>
        <v/>
      </c>
      <c r="K2188">
        <f>J2188*(1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2199=TRUE,F2199,0)/100)*(1+(IF(Skills!A5="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2188)</f>
        <v/>
      </c>
      <c r="L2188">
        <f>K2188*(MIN(Inputs!$B$22+((C2205=TRUE)*(F2205-Calc!F22)),(Inputs!$B$23+0+(IF(ArtifactsInput!$M$15,CHOOSE(ArtifactsInput!$N$15+1,25,30,35,40,45,50)/100*(Inputs!$B$11-Inputs!$B$11),0))))/100+(Inputs!$B$23+0+(IF(ArtifactsInput!$M$15,CHOOSE(ArtifactsInput!$N$15+1,25,30,35,40,45,50)/100*(Inputs!$B$11-Inputs!$B$11),0)))/100)/2</f>
        <v/>
      </c>
      <c r="M2188">
        <f>L2188*(1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8">
        <f>L2188*(1-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2188*(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8">
        <f>(1-Summary!$B$11)*T2188+Summary!$B$11*V2188</f>
        <v/>
      </c>
      <c r="P2188">
        <f>IF(B2224=0,0,O2188/B2224)</f>
        <v/>
      </c>
      <c r="Q2188">
        <f>IFERROR(1/(IF(Inputs!$B$38="pvp",15,MAX(0.1,Skills!D5-IF(Skills!E5=TRUE,Inputs!$B$32,0)))*(1-IF(AND(ArtifactsInput!$M$27,Inputs!$B$4="Chapter Hunt"),CHOOSE(ArtifactsInput!$N$27+1,20,24,28,32,36,40),0)/100)),0)</f>
        <v/>
      </c>
      <c r="R2188">
        <f>IF(AND(Inputs!$B$38&lt;&gt;"pvp",Inputs!$B$43&gt;0),IF(MAX(0,Inputs!$B$43-B2221)&lt;=0,0,(INT(MAX(0,Inputs!$B$43-B2221)/(IF(Inputs!$B$38="pvp",15,MAX(0.1,Skills!D5-IF(Skills!E5=TRUE,Inputs!$B$32,0)))*(1-IF(AND(ArtifactsInput!$M$27,Inputs!$B$4="Chapter Hunt"),CHOOSE(ArtifactsInput!$N$27+1,20,24,28,32,36,40),0)/100)))+1)),0)</f>
        <v/>
      </c>
      <c r="S2188">
        <f>IFERROR(O2188/N2188,0)</f>
        <v/>
      </c>
      <c r="T2188">
        <f>IF(C2188,(H2188*N2188*IF(AND(Inputs!$B$38&lt;&gt;"pvp",Inputs!$B$43&gt;0),((Skills!G5*((R2188-1)*IF(Skills!H5&gt;0,Skills!I5/Skills!H5,1)+IF(Skills!H5&gt;0,MIN(Skills!I5,MAX(0,MAX(0,Inputs!$B$43-B2221)-((R2188-1)*(IF(Inputs!$B$38="pvp",15,MAX(0.1,Skills!D5-IF(Skills!E5=TRUE,Inputs!$B$32,0)))*(1-IF(AND(ArtifactsInput!$M$27,Inputs!$B$4="Chapter Hunt"),CHOOSE(ArtifactsInput!$N$27+1,20,24,28,32,36,40),0)/100)))))/Skills!H5,1)))/Inputs!$B$43),G2188*Q2188)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2188*(1-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2188*(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2188*(1-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2188*(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8">
        <f>IF(C2188,(H2188*N2188*IF(AND(Inputs!$B$38&lt;&gt;"pvp",Inputs!$B$43&gt;0),((Skills!G5*((R2188-1)*IF(Skills!H5&gt;0,Skills!I5/Skills!H5,1)+IF(Skills!H5&gt;0,MIN(Skills!I5,MAX(0,MAX(0,Inputs!$B$43-B2221)-((R2188-1)*(IF(Inputs!$B$38="pvp",15,MAX(0.1,Skills!D5-IF(Skills!E5=TRUE,Inputs!$B$32,0)))*(1-IF(AND(ArtifactsInput!$M$27,Inputs!$B$4="Chapter Hunt"),CHOOSE(ArtifactsInput!$N$27+1,20,24,28,32,36,40),0)/100)))))/Skills!H5,1)))/Inputs!$B$43),G2188*Q2188))*IF(Inputs!$B$38="pvp",1,(1+(Inputs!$B$21+Skills!Q5+(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9">
      <c r="A2189">
        <f>Skills!A6</f>
        <v/>
      </c>
      <c r="B2189">
        <f>Skills!B6</f>
        <v/>
      </c>
      <c r="C2189">
        <f>Inputs!$B$3&gt;=63</f>
        <v/>
      </c>
      <c r="D2189">
        <f>IF(Skills!C6=1,60+Inputs!$B$25+Inputs!$B$29,IF(Skills!C6=2,90+Inputs!$B$26+Inputs!$B$29,IF(Skills!C6=3,120+Inputs!$B$27+Inputs!$B$29,MAX(0,(Inputs!$B$3-100)*3)+Inputs!$B$28+Inputs!$B$29)))</f>
        <v/>
      </c>
      <c r="E2189">
        <f>INDEX(FactorTable!$B$2:$Y$301, MATCH(ROUND(MIN(300,MAX(1,D2189)),0), FactorTable!$A$2:$A$301,0), Skills!M6+1)</f>
        <v/>
      </c>
      <c r="F2189">
        <f>IF(Skills!N6=TRUE,(Skills!L6/10)*(E2189/1000),Skills!L6/10)+Skills!O6</f>
        <v/>
      </c>
      <c r="G2189">
        <f>Skills!G6*IF(Skills!H6&gt;0,Skills!I6/Skills!H6,1)</f>
        <v/>
      </c>
      <c r="H2189">
        <f>1-(1-Skills!J6/100)^Skills!K6</f>
        <v/>
      </c>
      <c r="I2189" t="inlineStr">
        <is>
          <t>1</t>
        </is>
      </c>
      <c r="J2189">
        <f>((Inputs!$B$6*(1+Inputs!$B$7/100))+(((Inputs!$B$12*(1+Inputs!$B$13/100))-(Inputs!$B$12*(1+Inputs!$B$13/100)))+0.25*(Inputs!$B$14-Inputs!$B$14))*(1+Inputs!$B$7/100))*(F2189/100)</f>
        <v/>
      </c>
      <c r="K2189">
        <f>J2189*(1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2198=TRUE,F2198,0)/100)*(1+(IF(Skills!A6="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2189)</f>
        <v/>
      </c>
      <c r="L2189">
        <f>K2189*(MIN(Inputs!$B$22+((C2205=TRUE)*(F2205-Calc!F22)),(Inputs!$B$23+0+(IF(ArtifactsInput!$M$15,CHOOSE(ArtifactsInput!$N$15+1,25,30,35,40,45,50)/100*(Inputs!$B$11-Inputs!$B$11),0))))/100+(Inputs!$B$23+0+(IF(ArtifactsInput!$M$15,CHOOSE(ArtifactsInput!$N$15+1,25,30,35,40,45,50)/100*(Inputs!$B$11-Inputs!$B$11),0)))/100)/2</f>
        <v/>
      </c>
      <c r="M2189">
        <f>L2189*(1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9">
        <f>L2189*(1-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2189*(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9">
        <f>(1-Summary!$B$11)*T2189+Summary!$B$11*V2189</f>
        <v/>
      </c>
      <c r="P2189">
        <f>IF(B2224=0,0,O2189/B2224)</f>
        <v/>
      </c>
      <c r="Q2189">
        <f>IFERROR(1/(IF(Inputs!$B$38="pvp",15,MAX(0.1,Skills!D6-IF(Skills!E6=TRUE,Inputs!$B$32,0)))*(1-IF(AND(ArtifactsInput!$M$27,Inputs!$B$4="Chapter Hunt"),CHOOSE(ArtifactsInput!$N$27+1,20,24,28,32,36,40),0)/100)),0)</f>
        <v/>
      </c>
      <c r="R2189">
        <f>IF(AND(Inputs!$B$38&lt;&gt;"pvp",Inputs!$B$43&gt;0),IF(MAX(0,Inputs!$B$43-B2221)&lt;=0,0,(INT(MAX(0,Inputs!$B$43-B2221)/(IF(Inputs!$B$38="pvp",15,MAX(0.1,Skills!D6-IF(Skills!E6=TRUE,Inputs!$B$32,0)))*(1-IF(AND(ArtifactsInput!$M$27,Inputs!$B$4="Chapter Hunt"),CHOOSE(ArtifactsInput!$N$27+1,20,24,28,32,36,40),0)/100)))+1)),0)</f>
        <v/>
      </c>
      <c r="S2189">
        <f>IFERROR(O2189/N2189,0)</f>
        <v/>
      </c>
      <c r="T2189">
        <f>IF(C2189,(H2189*N2189*IF(AND(Inputs!$B$38&lt;&gt;"pvp",Inputs!$B$43&gt;0),((Skills!G6*((R2189-1)*IF(Skills!H6&gt;0,Skills!I6/Skills!H6,1)+IF(Skills!H6&gt;0,MIN(Skills!I6,MAX(0,MAX(0,Inputs!$B$43-B2221)-((R2189-1)*(IF(Inputs!$B$38="pvp",15,MAX(0.1,Skills!D6-IF(Skills!E6=TRUE,Inputs!$B$32,0)))*(1-IF(AND(ArtifactsInput!$M$27,Inputs!$B$4="Chapter Hunt"),CHOOSE(ArtifactsInput!$N$27+1,20,24,28,32,36,40),0)/100)))))/Skills!H6,1)))/Inputs!$B$43),G2189*Q2189)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2189*(1-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2189*(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2189*(1-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2189*(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9">
        <f>IF(C2189,(H2189*N2189*IF(AND(Inputs!$B$38&lt;&gt;"pvp",Inputs!$B$43&gt;0),((Skills!G6*((R2189-1)*IF(Skills!H6&gt;0,Skills!I6/Skills!H6,1)+IF(Skills!H6&gt;0,MIN(Skills!I6,MAX(0,MAX(0,Inputs!$B$43-B2221)-((R2189-1)*(IF(Inputs!$B$38="pvp",15,MAX(0.1,Skills!D6-IF(Skills!E6=TRUE,Inputs!$B$32,0)))*(1-IF(AND(ArtifactsInput!$M$27,Inputs!$B$4="Chapter Hunt"),CHOOSE(ArtifactsInput!$N$27+1,20,24,28,32,36,40),0)/100)))))/Skills!H6,1)))/Inputs!$B$43),G2189*Q2189))*IF(Inputs!$B$38="pvp",1,(1+(Inputs!$B$21+Skills!Q6+(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0">
      <c r="A2190">
        <f>Skills!A7</f>
        <v/>
      </c>
      <c r="B2190">
        <f>Skills!B7</f>
        <v/>
      </c>
      <c r="C2190">
        <f>Inputs!$B$3&gt;=66</f>
        <v/>
      </c>
      <c r="D2190">
        <f>IF(Skills!C7=1,60+Inputs!$B$25+Inputs!$B$29,IF(Skills!C7=2,90+Inputs!$B$26+Inputs!$B$29,IF(Skills!C7=3,120+Inputs!$B$27+Inputs!$B$29,MAX(0,(Inputs!$B$3-100)*3)+Inputs!$B$28+Inputs!$B$29)))</f>
        <v/>
      </c>
      <c r="E2190">
        <f>INDEX(FactorTable!$B$2:$Y$301, MATCH(ROUND(MIN(300,MAX(1,D2190)),0), FactorTable!$A$2:$A$301,0), Skills!M7+1)</f>
        <v/>
      </c>
      <c r="F2190">
        <f>IF(Skills!N7=TRUE,(Skills!L7/10)*(E2190/1000),Skills!L7/10)+Skills!O7</f>
        <v/>
      </c>
      <c r="G2190">
        <f>Skills!G7*IF(Skills!H7&gt;0,Skills!I7/Skills!H7,1)</f>
        <v/>
      </c>
      <c r="H2190">
        <f>1-(1-Skills!J7/100)^Skills!K7</f>
        <v/>
      </c>
      <c r="I2190" t="inlineStr">
        <is>
          <t>1</t>
        </is>
      </c>
      <c r="J2190">
        <f>((Inputs!$B$6*(1+Inputs!$B$7/100))+(((Inputs!$B$12*(1+Inputs!$B$13/100))-(Inputs!$B$12*(1+Inputs!$B$13/100)))+0.25*(Inputs!$B$14-Inputs!$B$14))*(1+Inputs!$B$7/100))*(F2190/100)</f>
        <v/>
      </c>
      <c r="K2190">
        <f>J2190*(1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2198=TRUE,F2198,0)/100)*(1+(IF(Skills!A7="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2190)</f>
        <v/>
      </c>
      <c r="L2190">
        <f>K2190*(MIN(Inputs!$B$22+((C2205=TRUE)*(F2205-Calc!F22)),(Inputs!$B$23+0+(IF(ArtifactsInput!$M$15,CHOOSE(ArtifactsInput!$N$15+1,25,30,35,40,45,50)/100*(Inputs!$B$11-Inputs!$B$11),0))))/100+(Inputs!$B$23+0+(IF(ArtifactsInput!$M$15,CHOOSE(ArtifactsInput!$N$15+1,25,30,35,40,45,50)/100*(Inputs!$B$11-Inputs!$B$11),0)))/100)/2</f>
        <v/>
      </c>
      <c r="M2190">
        <f>L2190*(1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0">
        <f>L2190*(1-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2190*(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0">
        <f>(1-Summary!$B$11)*T2190+Summary!$B$11*V2190</f>
        <v/>
      </c>
      <c r="P2190">
        <f>IF(B2224=0,0,O2190/B2224)</f>
        <v/>
      </c>
      <c r="Q2190">
        <f>IFERROR(1/(IF(Inputs!$B$38="pvp",15,MAX(0.1,Skills!D7-IF(Skills!E7=TRUE,Inputs!$B$32,0)))*(1-IF(AND(ArtifactsInput!$M$27,Inputs!$B$4="Chapter Hunt"),CHOOSE(ArtifactsInput!$N$27+1,20,24,28,32,36,40),0)/100)),0)</f>
        <v/>
      </c>
      <c r="R2190">
        <f>IF(AND(Inputs!$B$38&lt;&gt;"pvp",Inputs!$B$43&gt;0),IF(MAX(0,Inputs!$B$43-B2221)&lt;=0,0,(INT(MAX(0,Inputs!$B$43-B2221)/(IF(Inputs!$B$38="pvp",15,MAX(0.1,Skills!D7-IF(Skills!E7=TRUE,Inputs!$B$32,0)))*(1-IF(AND(ArtifactsInput!$M$27,Inputs!$B$4="Chapter Hunt"),CHOOSE(ArtifactsInput!$N$27+1,20,24,28,32,36,40),0)/100)))+1)),0)</f>
        <v/>
      </c>
      <c r="S2190">
        <f>IFERROR(O2190/N2190,0)</f>
        <v/>
      </c>
      <c r="T2190">
        <f>IF(C2190,(H2190*N2190*IF(AND(Inputs!$B$38&lt;&gt;"pvp",Inputs!$B$43&gt;0),((Skills!G7*((R2190-1)*IF(Skills!H7&gt;0,Skills!I7/Skills!H7,1)+IF(Skills!H7&gt;0,MIN(Skills!I7,MAX(0,MAX(0,Inputs!$B$43-B2221)-((R2190-1)*(IF(Inputs!$B$38="pvp",15,MAX(0.1,Skills!D7-IF(Skills!E7=TRUE,Inputs!$B$32,0)))*(1-IF(AND(ArtifactsInput!$M$27,Inputs!$B$4="Chapter Hunt"),CHOOSE(ArtifactsInput!$N$27+1,20,24,28,32,36,40),0)/100)))))/Skills!H7,1)))/Inputs!$B$43),G2190*Q2190)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2190*(1-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2190*(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2190*(1-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2190*(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0">
        <f>IF(C2190,(H2190*N2190*IF(AND(Inputs!$B$38&lt;&gt;"pvp",Inputs!$B$43&gt;0),((Skills!G7*((R2190-1)*IF(Skills!H7&gt;0,Skills!I7/Skills!H7,1)+IF(Skills!H7&gt;0,MIN(Skills!I7,MAX(0,MAX(0,Inputs!$B$43-B2221)-((R2190-1)*(IF(Inputs!$B$38="pvp",15,MAX(0.1,Skills!D7-IF(Skills!E7=TRUE,Inputs!$B$32,0)))*(1-IF(AND(ArtifactsInput!$M$27,Inputs!$B$4="Chapter Hunt"),CHOOSE(ArtifactsInput!$N$27+1,20,24,28,32,36,40),0)/100)))))/Skills!H7,1)))/Inputs!$B$43),G2190*Q2190))*IF(Inputs!$B$38="pvp",1,(1+(Inputs!$B$21+Skills!Q7+(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1">
      <c r="A2191">
        <f>Skills!A8</f>
        <v/>
      </c>
      <c r="B2191">
        <f>Skills!B8</f>
        <v/>
      </c>
      <c r="C2191">
        <f>Inputs!$B$3&gt;=100</f>
        <v/>
      </c>
      <c r="D2191">
        <f>IF(Skills!C8=1,60+Inputs!$B$25+Inputs!$B$29,IF(Skills!C8=2,90+Inputs!$B$26+Inputs!$B$29,IF(Skills!C8=3,120+Inputs!$B$27+Inputs!$B$29,MAX(0,(Inputs!$B$3-100)*3)+Inputs!$B$28+Inputs!$B$29)))</f>
        <v/>
      </c>
      <c r="E2191">
        <f>INDEX(FactorTable!$B$2:$Y$301, MATCH(ROUND(MIN(300,MAX(1,D2191)),0), FactorTable!$A$2:$A$301,0), Skills!M8+1)</f>
        <v/>
      </c>
      <c r="F2191">
        <f>IF(Skills!N8=TRUE,(Skills!L8/10)*(E2191/1000),Skills!L8/10)+Skills!O8</f>
        <v/>
      </c>
      <c r="G2191">
        <f>Skills!G8*IF(Skills!H8&gt;0,Skills!I8/Skills!H8,1)</f>
        <v/>
      </c>
      <c r="H2191">
        <f>1-(1-Skills!J8/100)^Skills!K8</f>
        <v/>
      </c>
      <c r="I2191" t="inlineStr">
        <is>
          <t>1</t>
        </is>
      </c>
      <c r="J2191">
        <f>((Inputs!$B$6*(1+Inputs!$B$7/100))+(((Inputs!$B$12*(1+Inputs!$B$13/100))-(Inputs!$B$12*(1+Inputs!$B$13/100)))+0.25*(Inputs!$B$14-Inputs!$B$14))*(1+Inputs!$B$7/100))*(F2191/100)</f>
        <v/>
      </c>
      <c r="K2191">
        <f>J2191*(1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2191)</f>
        <v/>
      </c>
      <c r="L2191">
        <f>K2191*(MIN(Inputs!$B$22+((C2205=TRUE)*(F2205-Calc!F22)),(Inputs!$B$23+0+(IF(ArtifactsInput!$M$15,CHOOSE(ArtifactsInput!$N$15+1,25,30,35,40,45,50)/100*(Inputs!$B$11-Inputs!$B$11),0))))/100+(Inputs!$B$23+0+(IF(ArtifactsInput!$M$15,CHOOSE(ArtifactsInput!$N$15+1,25,30,35,40,45,50)/100*(Inputs!$B$11-Inputs!$B$11),0)))/100)/2</f>
        <v/>
      </c>
      <c r="M2191">
        <f>L2191*(1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1">
        <f>L2191*(1-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1">
        <f>(1-Summary!$B$11)*T2191+Summary!$B$11*V2191</f>
        <v/>
      </c>
      <c r="P2191">
        <f>IF(B2224=0,0,O2191/B2224)</f>
        <v/>
      </c>
      <c r="Q2191">
        <f>IFERROR(1/(IF(Inputs!$B$38="pvp",15,MAX(0.1,Skills!D8-IF(Skills!E8=TRUE,Inputs!$B$32,0)))*(1-IF(AND(ArtifactsInput!$M$27,Inputs!$B$4="Chapter Hunt"),CHOOSE(ArtifactsInput!$N$27+1,20,24,28,32,36,40),0)/100)),0)</f>
        <v/>
      </c>
      <c r="R2191">
        <f>IF(AND(Inputs!$B$38&lt;&gt;"pvp",Inputs!$B$43&gt;0),IF(MAX(0,Inputs!$B$43-B2221)&lt;=0,0,(INT(MAX(0,Inputs!$B$43-B2221)/(IF(Inputs!$B$38="pvp",15,MAX(0.1,Skills!D8-IF(Skills!E8=TRUE,Inputs!$B$32,0)))*(1-IF(AND(ArtifactsInput!$M$27,Inputs!$B$4="Chapter Hunt"),CHOOSE(ArtifactsInput!$N$27+1,20,24,28,32,36,40),0)/100)))+1)),0)</f>
        <v/>
      </c>
      <c r="S2191">
        <f>IFERROR(O2191/N2191,0)</f>
        <v/>
      </c>
      <c r="T2191">
        <f>IF(C2191,(H2191*N2191*IF(AND(Inputs!$B$38&lt;&gt;"pvp",Inputs!$B$43&gt;0),((Skills!G8*((R2191-1)*IF(Skills!H8&gt;0,Skills!I8/Skills!H8,1)+IF(Skills!H8&gt;0,MIN(Skills!I8,MAX(0,MAX(0,Inputs!$B$43-B2221)-((R2191-1)*(IF(Inputs!$B$38="pvp",15,MAX(0.1,Skills!D8-IF(Skills!E8=TRUE,Inputs!$B$32,0)))*(1-IF(AND(ArtifactsInput!$M$27,Inputs!$B$4="Chapter Hunt"),CHOOSE(ArtifactsInput!$N$27+1,20,24,28,32,36,40),0)/100)))))/Skills!H8,1)))/Inputs!$B$43),G2191*Q2191)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2191*(1-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2191*(1-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1">
        <f>IF(C2191,(H2191*N2191*IF(AND(Inputs!$B$38&lt;&gt;"pvp",Inputs!$B$43&gt;0),((Skills!G8*((R2191-1)*IF(Skills!H8&gt;0,Skills!I8/Skills!H8,1)+IF(Skills!H8&gt;0,MIN(Skills!I8,MAX(0,MAX(0,Inputs!$B$43-B2221)-((R2191-1)*(IF(Inputs!$B$38="pvp",15,MAX(0.1,Skills!D8-IF(Skills!E8=TRUE,Inputs!$B$32,0)))*(1-IF(AND(ArtifactsInput!$M$27,Inputs!$B$4="Chapter Hunt"),CHOOSE(ArtifactsInput!$N$27+1,20,24,28,32,36,40),0)/100)))))/Skills!H8,1)))/Inputs!$B$43),G2191*Q2191))*IF(Inputs!$B$38="pvp",1,(1+(Inputs!$B$21+Skills!Q8+(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2">
      <c r="A2192">
        <f>Skills!A9</f>
        <v/>
      </c>
      <c r="B2192">
        <f>Skills!B9</f>
        <v/>
      </c>
      <c r="C2192">
        <f>Inputs!$B$3&gt;=103</f>
        <v/>
      </c>
      <c r="D2192">
        <f>IF(Skills!C9=1,60+Inputs!$B$25+Inputs!$B$29,IF(Skills!C9=2,90+Inputs!$B$26+Inputs!$B$29,IF(Skills!C9=3,120+Inputs!$B$27+Inputs!$B$29,MAX(0,(Inputs!$B$3-100)*3)+Inputs!$B$28+Inputs!$B$29)))</f>
        <v/>
      </c>
      <c r="E2192">
        <f>INDEX(FactorTable!$B$2:$Y$301, MATCH(ROUND(MIN(300,MAX(1,D2192)),0), FactorTable!$A$2:$A$301,0), Skills!M9+1)</f>
        <v/>
      </c>
      <c r="F2192">
        <f>IF(Skills!N9=TRUE,(Skills!L9/10)*(E2192/1000),Skills!L9/10)+Skills!O9</f>
        <v/>
      </c>
      <c r="G2192">
        <f>Skills!G9*IF(Skills!H9&gt;0,Skills!I9/Skills!H9,1)</f>
        <v/>
      </c>
      <c r="H2192">
        <f>1-(1-Skills!J9/100)^Skills!K9</f>
        <v/>
      </c>
      <c r="I2192" t="inlineStr">
        <is>
          <t>1</t>
        </is>
      </c>
      <c r="J2192">
        <f>((Inputs!$B$6*(1+Inputs!$B$7/100))+(((Inputs!$B$12*(1+Inputs!$B$13/100))-(Inputs!$B$12*(1+Inputs!$B$13/100)))+0.25*(Inputs!$B$14-Inputs!$B$14))*(1+Inputs!$B$7/100))*(F2192/100)</f>
        <v/>
      </c>
      <c r="K2192">
        <f>J2192*(1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2192)</f>
        <v/>
      </c>
      <c r="L2192">
        <f>K2192*(MIN(Inputs!$B$22+((C2205=TRUE)*(F2205-Calc!F22)),(Inputs!$B$23+0+(IF(ArtifactsInput!$M$15,CHOOSE(ArtifactsInput!$N$15+1,25,30,35,40,45,50)/100*(Inputs!$B$11-Inputs!$B$11),0))))/100+(Inputs!$B$23+0+(IF(ArtifactsInput!$M$15,CHOOSE(ArtifactsInput!$N$15+1,25,30,35,40,45,50)/100*(Inputs!$B$11-Inputs!$B$11),0)))/100)/2</f>
        <v/>
      </c>
      <c r="M2192">
        <f>L2192*(1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2">
        <f>L2192*(1-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2192*(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2">
        <f>(1-Summary!$B$11)*T2192+Summary!$B$11*V2192</f>
        <v/>
      </c>
      <c r="P2192">
        <f>IF(B2224=0,0,O2192/B2224)</f>
        <v/>
      </c>
      <c r="Q2192">
        <f>IFERROR(1/(IF(Inputs!$B$38="pvp",15,MAX(0.1,Skills!D9-IF(Skills!E9=TRUE,Inputs!$B$32,0)))*(1-IF(AND(ArtifactsInput!$M$27,Inputs!$B$4="Chapter Hunt"),CHOOSE(ArtifactsInput!$N$27+1,20,24,28,32,36,40),0)/100)),0)</f>
        <v/>
      </c>
      <c r="R2192">
        <f>IF(AND(Inputs!$B$38&lt;&gt;"pvp",Inputs!$B$43&gt;0),IF(MAX(0,Inputs!$B$43-B2221)&lt;=0,0,(INT(MAX(0,Inputs!$B$43-B2221)/(IF(Inputs!$B$38="pvp",15,MAX(0.1,Skills!D9-IF(Skills!E9=TRUE,Inputs!$B$32,0)))*(1-IF(AND(ArtifactsInput!$M$27,Inputs!$B$4="Chapter Hunt"),CHOOSE(ArtifactsInput!$N$27+1,20,24,28,32,36,40),0)/100)))+1)),0)</f>
        <v/>
      </c>
      <c r="S2192">
        <f>IFERROR(O2192/N2192,0)</f>
        <v/>
      </c>
      <c r="T2192">
        <f>IF(C2192,(H2192*N2192*IF(AND(Inputs!$B$38&lt;&gt;"pvp",Inputs!$B$43&gt;0),((Skills!G9*((R2192-1)*IF(Skills!H9&gt;0,Skills!I9/Skills!H9,1)+IF(Skills!H9&gt;0,MIN(Skills!I9,MAX(0,MAX(0,Inputs!$B$43-B2221)-((R2192-1)*(IF(Inputs!$B$38="pvp",15,MAX(0.1,Skills!D9-IF(Skills!E9=TRUE,Inputs!$B$32,0)))*(1-IF(AND(ArtifactsInput!$M$27,Inputs!$B$4="Chapter Hunt"),CHOOSE(ArtifactsInput!$N$27+1,20,24,28,32,36,40),0)/100)))))/Skills!H9,1)))/Inputs!$B$43),G2192*Q2192)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2192*(1-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2192*(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2192*(1-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2192*(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2">
        <f>IF(C2192,(H2192*N2192*IF(AND(Inputs!$B$38&lt;&gt;"pvp",Inputs!$B$43&gt;0),((Skills!G9*((R2192-1)*IF(Skills!H9&gt;0,Skills!I9/Skills!H9,1)+IF(Skills!H9&gt;0,MIN(Skills!I9,MAX(0,MAX(0,Inputs!$B$43-B2221)-((R2192-1)*(IF(Inputs!$B$38="pvp",15,MAX(0.1,Skills!D9-IF(Skills!E9=TRUE,Inputs!$B$32,0)))*(1-IF(AND(ArtifactsInput!$M$27,Inputs!$B$4="Chapter Hunt"),CHOOSE(ArtifactsInput!$N$27+1,20,24,28,32,36,40),0)/100)))))/Skills!H9,1)))/Inputs!$B$43),G2192*Q2192))*IF(Inputs!$B$38="pvp",1,(1+(Inputs!$B$21+Skills!Q9+(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3">
      <c r="A2193">
        <f>Skills!A10</f>
        <v/>
      </c>
      <c r="B2193">
        <f>Skills!B10</f>
        <v/>
      </c>
      <c r="C2193">
        <f>Inputs!$B$3&gt;=113</f>
        <v/>
      </c>
      <c r="D2193">
        <f>IF(Skills!C10=1,60+Inputs!$B$25+Inputs!$B$29,IF(Skills!C10=2,90+Inputs!$B$26+Inputs!$B$29,IF(Skills!C10=3,120+Inputs!$B$27+Inputs!$B$29,MAX(0,(Inputs!$B$3-100)*3)+Inputs!$B$28+Inputs!$B$29)))</f>
        <v/>
      </c>
      <c r="E2193">
        <f>INDEX(FactorTable!$B$2:$Y$301, MATCH(ROUND(MIN(300,MAX(1,D2193)),0), FactorTable!$A$2:$A$301,0), Skills!M10+1)</f>
        <v/>
      </c>
      <c r="F2193">
        <f>IF(Skills!N10=TRUE,(Skills!L10/10)*(E2193/1000),Skills!L10/10)+Skills!O10</f>
        <v/>
      </c>
      <c r="G2193">
        <f>Skills!G10*IF(Skills!H10&gt;0,Skills!I10/Skills!H10,1)</f>
        <v/>
      </c>
      <c r="H2193">
        <f>1-(1-Skills!J10/100)^Skills!K10</f>
        <v/>
      </c>
      <c r="I2193" t="inlineStr">
        <is>
          <t>1</t>
        </is>
      </c>
      <c r="J2193">
        <f>((Inputs!$B$6*(1+Inputs!$B$7/100))+(((Inputs!$B$12*(1+Inputs!$B$13/100))-(Inputs!$B$12*(1+Inputs!$B$13/100)))+0.25*(Inputs!$B$14-Inputs!$B$14))*(1+Inputs!$B$7/100))*(F2193/100)</f>
        <v/>
      </c>
      <c r="K2193">
        <f>J2193*(1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2193)</f>
        <v/>
      </c>
      <c r="L2193">
        <f>K2193*(MIN(Inputs!$B$22+((C2205=TRUE)*(F2205-Calc!F22)),(Inputs!$B$23+0+(IF(ArtifactsInput!$M$15,CHOOSE(ArtifactsInput!$N$15+1,25,30,35,40,45,50)/100*(Inputs!$B$11-Inputs!$B$11),0))))/100+(Inputs!$B$23+0+(IF(ArtifactsInput!$M$15,CHOOSE(ArtifactsInput!$N$15+1,25,30,35,40,45,50)/100*(Inputs!$B$11-Inputs!$B$11),0)))/100)/2</f>
        <v/>
      </c>
      <c r="M2193">
        <f>L2193*(1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3">
        <f>L2193*(1-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2193*(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3">
        <f>(1-Summary!$B$11)*T2193+Summary!$B$11*V2193</f>
        <v/>
      </c>
      <c r="P2193">
        <f>IF(B2224=0,0,O2193/B2224)</f>
        <v/>
      </c>
      <c r="Q2193">
        <f>IFERROR(1/(IF(Inputs!$B$38="pvp",15,MAX(0.1,Skills!D10-IF(Skills!E10=TRUE,Inputs!$B$32,0)))*(1-IF(AND(ArtifactsInput!$M$27,Inputs!$B$4="Chapter Hunt"),CHOOSE(ArtifactsInput!$N$27+1,20,24,28,32,36,40),0)/100)),0)</f>
        <v/>
      </c>
      <c r="R2193">
        <f>IF(AND(Inputs!$B$38&lt;&gt;"pvp",Inputs!$B$43&gt;0),IF(MAX(0,Inputs!$B$43-B2221)&lt;=0,0,(INT(MAX(0,Inputs!$B$43-B2221)/(IF(Inputs!$B$38="pvp",15,MAX(0.1,Skills!D10-IF(Skills!E10=TRUE,Inputs!$B$32,0)))*(1-IF(AND(ArtifactsInput!$M$27,Inputs!$B$4="Chapter Hunt"),CHOOSE(ArtifactsInput!$N$27+1,20,24,28,32,36,40),0)/100)))+1)),0)</f>
        <v/>
      </c>
      <c r="S2193">
        <f>IFERROR(O2193/N2193,0)</f>
        <v/>
      </c>
      <c r="T2193">
        <f>IF(C2193,(H2193*N2193*IF(AND(Inputs!$B$38&lt;&gt;"pvp",Inputs!$B$43&gt;0),((Skills!G10*((R2193-1)*IF(Skills!H10&gt;0,Skills!I10/Skills!H10,1)+IF(Skills!H10&gt;0,MIN(Skills!I10,MAX(0,MAX(0,Inputs!$B$43-B2221)-((R2193-1)*(IF(Inputs!$B$38="pvp",15,MAX(0.1,Skills!D10-IF(Skills!E10=TRUE,Inputs!$B$32,0)))*(1-IF(AND(ArtifactsInput!$M$27,Inputs!$B$4="Chapter Hunt"),CHOOSE(ArtifactsInput!$N$27+1,20,24,28,32,36,40),0)/100)))))/Skills!H10,1)))/Inputs!$B$43),G2193*Q2193)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2193*(1-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2193*(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2193*(1-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2193*(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3">
        <f>IF(C2193,(H2193*N2193*IF(AND(Inputs!$B$38&lt;&gt;"pvp",Inputs!$B$43&gt;0),((Skills!G10*((R2193-1)*IF(Skills!H10&gt;0,Skills!I10/Skills!H10,1)+IF(Skills!H10&gt;0,MIN(Skills!I10,MAX(0,MAX(0,Inputs!$B$43-B2221)-((R2193-1)*(IF(Inputs!$B$38="pvp",15,MAX(0.1,Skills!D10-IF(Skills!E10=TRUE,Inputs!$B$32,0)))*(1-IF(AND(ArtifactsInput!$M$27,Inputs!$B$4="Chapter Hunt"),CHOOSE(ArtifactsInput!$N$27+1,20,24,28,32,36,40),0)/100)))))/Skills!H10,1)))/Inputs!$B$43),G2193*Q2193))*IF(Inputs!$B$38="pvp",1,(1+(Inputs!$B$21+Skills!Q10+(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4">
      <c r="A2194">
        <f>Skills!A11</f>
        <v/>
      </c>
      <c r="B2194">
        <f>Skills!B11</f>
        <v/>
      </c>
      <c r="C2194">
        <f>Inputs!$B$3&gt;=107</f>
        <v/>
      </c>
      <c r="D2194">
        <f>IF(Skills!C11=1,60+Inputs!$B$25+Inputs!$B$29,IF(Skills!C11=2,90+Inputs!$B$26+Inputs!$B$29,IF(Skills!C11=3,120+Inputs!$B$27+Inputs!$B$29,MAX(0,(Inputs!$B$3-100)*3)+Inputs!$B$28+Inputs!$B$29)))</f>
        <v/>
      </c>
      <c r="E2194">
        <f>INDEX(FactorTable!$B$2:$Y$301, MATCH(ROUND(MIN(300,MAX(1,D2194)),0), FactorTable!$A$2:$A$301,0), Skills!M11+1)</f>
        <v/>
      </c>
      <c r="F2194">
        <f>IF(Skills!N11=TRUE,(Skills!L11/10)*(E2194/1000),Skills!L11/10)+Skills!O11</f>
        <v/>
      </c>
      <c r="G2194">
        <f>Skills!G11*IF(Skills!H11&gt;0,Skills!I11/Skills!H11,1)</f>
        <v/>
      </c>
      <c r="H2194">
        <f>1-(1-Skills!J11/100)^Skills!K11</f>
        <v/>
      </c>
      <c r="I2194" t="inlineStr">
        <is>
          <t>1</t>
        </is>
      </c>
      <c r="J2194">
        <f>((Inputs!$B$6*(1+Inputs!$B$7/100))+(((Inputs!$B$12*(1+Inputs!$B$13/100))-(Inputs!$B$12*(1+Inputs!$B$13/100)))+0.25*(Inputs!$B$14-Inputs!$B$14))*(1+Inputs!$B$7/100))*(F2194/100)</f>
        <v/>
      </c>
      <c r="K2194">
        <f>J2194*(1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2194)</f>
        <v/>
      </c>
      <c r="L2194">
        <f>K2194*(MIN(Inputs!$B$22+((C2205=TRUE)*(F2205-Calc!F22)),(Inputs!$B$23+0+(IF(ArtifactsInput!$M$15,CHOOSE(ArtifactsInput!$N$15+1,25,30,35,40,45,50)/100*(Inputs!$B$11-Inputs!$B$11),0))))/100+(Inputs!$B$23+0+(IF(ArtifactsInput!$M$15,CHOOSE(ArtifactsInput!$N$15+1,25,30,35,40,45,50)/100*(Inputs!$B$11-Inputs!$B$11),0)))/100)/2</f>
        <v/>
      </c>
      <c r="M2194">
        <f>L2194*(1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4">
        <f>L2194*(1-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2194*(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4">
        <f>(1-Summary!$B$11)*T2194+Summary!$B$11*V2194</f>
        <v/>
      </c>
      <c r="P2194">
        <f>IF(B2224=0,0,O2194/B2224)</f>
        <v/>
      </c>
      <c r="Q2194">
        <f>IFERROR(1/(IF(Inputs!$B$38="pvp",15,MAX(0.1,Skills!D11-IF(Skills!E11=TRUE,Inputs!$B$32,0)))*(1-IF(AND(ArtifactsInput!$M$27,Inputs!$B$4="Chapter Hunt"),CHOOSE(ArtifactsInput!$N$27+1,20,24,28,32,36,40),0)/100)),0)</f>
        <v/>
      </c>
      <c r="R2194">
        <f>IF(AND(Inputs!$B$38&lt;&gt;"pvp",Inputs!$B$43&gt;0),IF(MAX(0,Inputs!$B$43-B2221)&lt;=0,0,(INT(MAX(0,Inputs!$B$43-B2221)/(IF(Inputs!$B$38="pvp",15,MAX(0.1,Skills!D11-IF(Skills!E11=TRUE,Inputs!$B$32,0)))*(1-IF(AND(ArtifactsInput!$M$27,Inputs!$B$4="Chapter Hunt"),CHOOSE(ArtifactsInput!$N$27+1,20,24,28,32,36,40),0)/100)))+1)),0)</f>
        <v/>
      </c>
      <c r="S2194">
        <f>IFERROR(O2194/N2194,0)</f>
        <v/>
      </c>
      <c r="T2194">
        <f>IF(C2194,(H2194*N2194*IF(AND(Inputs!$B$38&lt;&gt;"pvp",Inputs!$B$43&gt;0),((Skills!G11*((R2194-1)*IF(Skills!H11&gt;0,Skills!I11/Skills!H11,1)+IF(Skills!H11&gt;0,MIN(Skills!I11,MAX(0,MAX(0,Inputs!$B$43-B2221)-((R2194-1)*(IF(Inputs!$B$38="pvp",15,MAX(0.1,Skills!D11-IF(Skills!E11=TRUE,Inputs!$B$32,0)))*(1-IF(AND(ArtifactsInput!$M$27,Inputs!$B$4="Chapter Hunt"),CHOOSE(ArtifactsInput!$N$27+1,20,24,28,32,36,40),0)/100)))))/Skills!H11,1)))/Inputs!$B$43),G2194*Q2194)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2194*(1-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2194*(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2194*(1-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2194*(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4">
        <f>IF(C2194,(H2194*N2194*IF(AND(Inputs!$B$38&lt;&gt;"pvp",Inputs!$B$43&gt;0),((Skills!G11*((R2194-1)*IF(Skills!H11&gt;0,Skills!I11/Skills!H11,1)+IF(Skills!H11&gt;0,MIN(Skills!I11,MAX(0,MAX(0,Inputs!$B$43-B2221)-((R2194-1)*(IF(Inputs!$B$38="pvp",15,MAX(0.1,Skills!D11-IF(Skills!E11=TRUE,Inputs!$B$32,0)))*(1-IF(AND(ArtifactsInput!$M$27,Inputs!$B$4="Chapter Hunt"),CHOOSE(ArtifactsInput!$N$27+1,20,24,28,32,36,40),0)/100)))))/Skills!H11,1)))/Inputs!$B$43),G2194*Q2194))*IF(Inputs!$B$38="pvp",1,(1+(Inputs!$B$21+Skills!Q11+(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5">
      <c r="A2195">
        <f>Skills!A12</f>
        <v/>
      </c>
      <c r="B2195">
        <f>Skills!B12</f>
        <v/>
      </c>
      <c r="C2195">
        <f>Inputs!$B$3&gt;=110</f>
        <v/>
      </c>
      <c r="D2195">
        <f>IF(Skills!C12=1,60+Inputs!$B$25+Inputs!$B$29,IF(Skills!C12=2,90+Inputs!$B$26+Inputs!$B$29,IF(Skills!C12=3,120+Inputs!$B$27+Inputs!$B$29,MAX(0,(Inputs!$B$3-100)*3)+Inputs!$B$28+Inputs!$B$29)))</f>
        <v/>
      </c>
      <c r="E2195">
        <f>INDEX(FactorTable!$B$2:$Y$301, MATCH(ROUND(MIN(300,MAX(1,D2195)),0), FactorTable!$A$2:$A$301,0), Skills!M12+1)</f>
        <v/>
      </c>
      <c r="F2195">
        <f>IF(Skills!N12=TRUE,(Skills!L12/10)*(E2195/1000),Skills!L12/10)+Skills!O12</f>
        <v/>
      </c>
      <c r="G2195">
        <f>Skills!G12*IF(Skills!H12&gt;0,Skills!I12/Skills!H12,1)</f>
        <v/>
      </c>
      <c r="H2195">
        <f>1-(1-Skills!J12/100)^Skills!K12</f>
        <v/>
      </c>
      <c r="I2195" t="inlineStr">
        <is>
          <t>1</t>
        </is>
      </c>
      <c r="J2195">
        <f>((Inputs!$B$6*(1+Inputs!$B$7/100))+(((Inputs!$B$12*(1+Inputs!$B$13/100))-(Inputs!$B$12*(1+Inputs!$B$13/100)))+0.25*(Inputs!$B$14-Inputs!$B$14))*(1+Inputs!$B$7/100))*(F2195/100)</f>
        <v/>
      </c>
      <c r="K2195">
        <f>J2195*(1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2195)</f>
        <v/>
      </c>
      <c r="L2195">
        <f>K2195*(MIN(Inputs!$B$22+((C2205=TRUE)*(F2205-Calc!F22)),(Inputs!$B$23+0+(IF(ArtifactsInput!$M$15,CHOOSE(ArtifactsInput!$N$15+1,25,30,35,40,45,50)/100*(Inputs!$B$11-Inputs!$B$11),0))))/100+(Inputs!$B$23+0+(IF(ArtifactsInput!$M$15,CHOOSE(ArtifactsInput!$N$15+1,25,30,35,40,45,50)/100*(Inputs!$B$11-Inputs!$B$11),0)))/100)/2</f>
        <v/>
      </c>
      <c r="M2195">
        <f>L2195*(1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5">
        <f>L2195*(1-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2195*(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5">
        <f>(1-Summary!$B$11)*T2195+Summary!$B$11*V2195</f>
        <v/>
      </c>
      <c r="P2195">
        <f>IF(B2224=0,0,O2195/B2224)</f>
        <v/>
      </c>
      <c r="Q2195">
        <f>IFERROR(1/(IF(Inputs!$B$38="pvp",15,MAX(0.1,Skills!D12-IF(Skills!E12=TRUE,Inputs!$B$32,0)))*(1-IF(AND(ArtifactsInput!$M$27,Inputs!$B$4="Chapter Hunt"),CHOOSE(ArtifactsInput!$N$27+1,20,24,28,32,36,40),0)/100)),0)</f>
        <v/>
      </c>
      <c r="R2195">
        <f>IF(AND(Inputs!$B$38&lt;&gt;"pvp",Inputs!$B$43&gt;0),IF(MAX(0,Inputs!$B$43-B2221)&lt;=0,0,(INT(MAX(0,Inputs!$B$43-B2221)/(IF(Inputs!$B$38="pvp",15,MAX(0.1,Skills!D12-IF(Skills!E12=TRUE,Inputs!$B$32,0)))*(1-IF(AND(ArtifactsInput!$M$27,Inputs!$B$4="Chapter Hunt"),CHOOSE(ArtifactsInput!$N$27+1,20,24,28,32,36,40),0)/100)))+1)),0)</f>
        <v/>
      </c>
      <c r="S2195">
        <f>IFERROR(O2195/N2195,0)</f>
        <v/>
      </c>
      <c r="T2195">
        <f>IF(C2195,(H2195*N2195*IF(AND(Inputs!$B$38&lt;&gt;"pvp",Inputs!$B$43&gt;0),((Skills!G12*((R2195-1)*IF(Skills!H12&gt;0,Skills!I12/Skills!H12,1)+IF(Skills!H12&gt;0,MIN(Skills!I12,MAX(0,MAX(0,Inputs!$B$43-B2221)-((R2195-1)*(IF(Inputs!$B$38="pvp",15,MAX(0.1,Skills!D12-IF(Skills!E12=TRUE,Inputs!$B$32,0)))*(1-IF(AND(ArtifactsInput!$M$27,Inputs!$B$4="Chapter Hunt"),CHOOSE(ArtifactsInput!$N$27+1,20,24,28,32,36,40),0)/100)))))/Skills!H12,1)))/Inputs!$B$43),G2195*Q2195)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2195*(1-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2195*(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2195*(1-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2195*(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5">
        <f>IF(C2195,(H2195*N2195*IF(AND(Inputs!$B$38&lt;&gt;"pvp",Inputs!$B$43&gt;0),((Skills!G12*((R2195-1)*IF(Skills!H12&gt;0,Skills!I12/Skills!H12,1)+IF(Skills!H12&gt;0,MIN(Skills!I12,MAX(0,MAX(0,Inputs!$B$43-B2221)-((R2195-1)*(IF(Inputs!$B$38="pvp",15,MAX(0.1,Skills!D12-IF(Skills!E12=TRUE,Inputs!$B$32,0)))*(1-IF(AND(ArtifactsInput!$M$27,Inputs!$B$4="Chapter Hunt"),CHOOSE(ArtifactsInput!$N$27+1,20,24,28,32,36,40),0)/100)))))/Skills!H12,1)))/Inputs!$B$43),G2195*Q2195))*IF(Inputs!$B$38="pvp",1,(1+(Inputs!$B$21+Skills!Q12+(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6">
      <c r="A2196">
        <f>Skills!A13</f>
        <v/>
      </c>
      <c r="B2196">
        <f>Skills!B13</f>
        <v/>
      </c>
      <c r="C2196">
        <f>Inputs!$B$3&gt;=110</f>
        <v/>
      </c>
      <c r="D2196">
        <f>IF(Skills!C13=1,60+Inputs!$B$25+Inputs!$B$29,IF(Skills!C13=2,90+Inputs!$B$26+Inputs!$B$29,IF(Skills!C13=3,120+Inputs!$B$27+Inputs!$B$29,MAX(0,(Inputs!$B$3-100)*3)+Inputs!$B$28+Inputs!$B$29)))</f>
        <v/>
      </c>
      <c r="E2196">
        <f>INDEX(FactorTable!$B$2:$Y$301, MATCH(ROUND(MIN(300,MAX(1,D2196)),0), FactorTable!$A$2:$A$301,0), Skills!M13+1)</f>
        <v/>
      </c>
      <c r="F2196">
        <f>IF(Skills!N13=TRUE,(Skills!L13/10)*(E2196/1000),Skills!L13/10)+Skills!O13</f>
        <v/>
      </c>
      <c r="G2196">
        <f>Skills!G13*IF(Skills!H13&gt;0,Skills!I13/Skills!H13,1)</f>
        <v/>
      </c>
      <c r="H2196">
        <f>1-(1-Skills!J13/100)^Skills!K13</f>
        <v/>
      </c>
      <c r="I2196" t="inlineStr">
        <is>
          <t>1</t>
        </is>
      </c>
      <c r="J2196">
        <f>((Inputs!$B$6*(1+Inputs!$B$7/100))+(((Inputs!$B$12*(1+Inputs!$B$13/100))-(Inputs!$B$12*(1+Inputs!$B$13/100)))+0.25*(Inputs!$B$14-Inputs!$B$14))*(1+Inputs!$B$7/100))*(F2196/100)</f>
        <v/>
      </c>
      <c r="K2196">
        <f>J2196*(1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2196)</f>
        <v/>
      </c>
      <c r="L2196">
        <f>K2196*(MIN(Inputs!$B$22+((C2205=TRUE)*(F2205-Calc!F22)),(Inputs!$B$23+0+(IF(ArtifactsInput!$M$15,CHOOSE(ArtifactsInput!$N$15+1,25,30,35,40,45,50)/100*(Inputs!$B$11-Inputs!$B$11),0))))/100+(Inputs!$B$23+0+(IF(ArtifactsInput!$M$15,CHOOSE(ArtifactsInput!$N$15+1,25,30,35,40,45,50)/100*(Inputs!$B$11-Inputs!$B$11),0)))/100)/2</f>
        <v/>
      </c>
      <c r="M2196">
        <f>L2196*(1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6">
        <f>L2196*(1-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2196*(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6">
        <f>(1-Summary!$B$11)*T2196+Summary!$B$11*V2196</f>
        <v/>
      </c>
      <c r="P2196">
        <f>IF(B2224=0,0,O2196/B2224)</f>
        <v/>
      </c>
      <c r="Q2196">
        <f>IFERROR(1/(IF(Inputs!$B$38="pvp",15,MAX(0.1,Skills!D13-IF(Skills!E13=TRUE,Inputs!$B$32,0)))*(1-IF(AND(ArtifactsInput!$M$27,Inputs!$B$4="Chapter Hunt"),CHOOSE(ArtifactsInput!$N$27+1,20,24,28,32,36,40),0)/100)),0)</f>
        <v/>
      </c>
      <c r="R2196">
        <f>IF(AND(Inputs!$B$38&lt;&gt;"pvp",Inputs!$B$43&gt;0),IF(MAX(0,Inputs!$B$43-B2221)&lt;=0,0,(INT(MAX(0,Inputs!$B$43-B2221)/(IF(Inputs!$B$38="pvp",15,MAX(0.1,Skills!D13-IF(Skills!E13=TRUE,Inputs!$B$32,0)))*(1-IF(AND(ArtifactsInput!$M$27,Inputs!$B$4="Chapter Hunt"),CHOOSE(ArtifactsInput!$N$27+1,20,24,28,32,36,40),0)/100)))+1)),0)</f>
        <v/>
      </c>
      <c r="S2196">
        <f>IFERROR(O2196/N2196,0)</f>
        <v/>
      </c>
      <c r="T2196">
        <f>IF(C2196,(H2196*N2196*IF(AND(Inputs!$B$38&lt;&gt;"pvp",Inputs!$B$43&gt;0),((Skills!G13*((R2196-1)*IF(Skills!H13&gt;0,Skills!I13/Skills!H13,1)+IF(Skills!H13&gt;0,MIN(Skills!I13,MAX(0,MAX(0,Inputs!$B$43-B2221)-((R2196-1)*(IF(Inputs!$B$38="pvp",15,MAX(0.1,Skills!D13-IF(Skills!E13=TRUE,Inputs!$B$32,0)))*(1-IF(AND(ArtifactsInput!$M$27,Inputs!$B$4="Chapter Hunt"),CHOOSE(ArtifactsInput!$N$27+1,20,24,28,32,36,40),0)/100)))))/Skills!H13,1)))/Inputs!$B$43),G2196*Q2196)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2196*(1-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2196*(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2196*(1-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2196*(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6">
        <f>IF(C2196,(H2196*N2196*IF(AND(Inputs!$B$38&lt;&gt;"pvp",Inputs!$B$43&gt;0),((Skills!G13*((R2196-1)*IF(Skills!H13&gt;0,Skills!I13/Skills!H13,1)+IF(Skills!H13&gt;0,MIN(Skills!I13,MAX(0,MAX(0,Inputs!$B$43-B2221)-((R2196-1)*(IF(Inputs!$B$38="pvp",15,MAX(0.1,Skills!D13-IF(Skills!E13=TRUE,Inputs!$B$32,0)))*(1-IF(AND(ArtifactsInput!$M$27,Inputs!$B$4="Chapter Hunt"),CHOOSE(ArtifactsInput!$N$27+1,20,24,28,32,36,40),0)/100)))))/Skills!H13,1)))/Inputs!$B$43),G2196*Q2196))*IF(Inputs!$B$38="pvp",1,(1+(Inputs!$B$21+Skills!Q13+(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7">
      <c r="A2197">
        <f>Skills!A14</f>
        <v/>
      </c>
      <c r="B2197">
        <f>Skills!B14</f>
        <v/>
      </c>
      <c r="C2197">
        <f>Inputs!$B$3&gt;=125</f>
        <v/>
      </c>
      <c r="D2197">
        <f>IF(Skills!C14=1,60+Inputs!$B$25+Inputs!$B$29,IF(Skills!C14=2,90+Inputs!$B$26+Inputs!$B$29,IF(Skills!C14=3,120+Inputs!$B$27+Inputs!$B$29,MAX(0,(Inputs!$B$3-100)*3)+Inputs!$B$28+Inputs!$B$29)))</f>
        <v/>
      </c>
      <c r="E2197">
        <f>INDEX(FactorTable!$B$2:$Y$301, MATCH(ROUND(MIN(300,MAX(1,D2197)),0), FactorTable!$A$2:$A$301,0), Skills!M14+1)</f>
        <v/>
      </c>
      <c r="F2197">
        <f>IF(Skills!N14=TRUE,(Skills!L14/10)*(E2197/1000),Skills!L14/10)+Skills!O14</f>
        <v/>
      </c>
      <c r="G2197">
        <f>Skills!G14*IF(Skills!H14&gt;0,Skills!I14/Skills!H14,1)</f>
        <v/>
      </c>
      <c r="H2197">
        <f>1-(1-Skills!J14/100)^Skills!K14</f>
        <v/>
      </c>
      <c r="I2197" t="inlineStr">
        <is>
          <t>1</t>
        </is>
      </c>
      <c r="J2197">
        <f>((Inputs!$B$6*(1+Inputs!$B$7/100))+(((Inputs!$B$12*(1+Inputs!$B$13/100))-(Inputs!$B$12*(1+Inputs!$B$13/100)))+0.25*(Inputs!$B$14-Inputs!$B$14))*(1+Inputs!$B$7/100))*(F2197/100)</f>
        <v/>
      </c>
      <c r="K2197">
        <f>J2197*(1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2197)</f>
        <v/>
      </c>
      <c r="L2197">
        <f>K2197*(MIN(Inputs!$B$22+((C2205=TRUE)*(F2205-Calc!F22)),(Inputs!$B$23+0+(IF(ArtifactsInput!$M$15,CHOOSE(ArtifactsInput!$N$15+1,25,30,35,40,45,50)/100*(Inputs!$B$11-Inputs!$B$11),0))))/100+(Inputs!$B$23+0+(IF(ArtifactsInput!$M$15,CHOOSE(ArtifactsInput!$N$15+1,25,30,35,40,45,50)/100*(Inputs!$B$11-Inputs!$B$11),0)))/100)/2</f>
        <v/>
      </c>
      <c r="M2197">
        <f>L2197*(1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7">
        <f>L2197*(1-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2197*(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7">
        <f>(1-Summary!$B$11)*T2197+Summary!$B$11*V2197</f>
        <v/>
      </c>
      <c r="P2197">
        <f>IF(B2224=0,0,O2197/B2224)</f>
        <v/>
      </c>
      <c r="Q2197" t="n">
        <v>0</v>
      </c>
      <c r="R2197" t="n">
        <v>0</v>
      </c>
      <c r="S2197">
        <f>IFERROR(O2197/N2197,0)</f>
        <v/>
      </c>
      <c r="T2197">
        <f>IF(C2197,(H2197*N2197*(B2218+IF(AND(Inputs!$B$38&lt;&gt;"pvp",Inputs!$B$43&gt;0),((Skills!G8*((R2191-1)*IF(Skills!H8&gt;0,Skills!I8/Skills!H8,1)+IF(Skills!H8&gt;0,MIN(Skills!I8,MAX(0,MAX(0,Inputs!$B$43-B2221)-((R2191-1)*(IF(Inputs!$B$38="pvp",15,MAX(0.1,Skills!D8-IF(Skills!E8=TRUE,Inputs!$B$32,0)))*(1-IF(AND(ArtifactsInput!$M$27,Inputs!$B$4="Chapter Hunt"),CHOOSE(ArtifactsInput!$N$27+1,20,24,28,32,36,40),0)/100)))))/Skills!H8,1)))/Inputs!$B$43),G2191*Q2191)+IF(AND(Inputs!$B$38&lt;&gt;"pvp",Inputs!$B$43&gt;0),((Skills!G11*((R2194-1)*IF(Skills!H11&gt;0,Skills!I11/Skills!H11,1)+IF(Skills!H11&gt;0,MIN(Skills!I11,MAX(0,MAX(0,Inputs!$B$43-B2221)-((R2194-1)*(IF(Inputs!$B$38="pvp",15,MAX(0.1,Skills!D11-IF(Skills!E11=TRUE,Inputs!$B$32,0)))*(1-IF(AND(ArtifactsInput!$M$27,Inputs!$B$4="Chapter Hunt"),CHOOSE(ArtifactsInput!$N$27+1,20,24,28,32,36,40),0)/100)))))/Skills!H11,1)))/Inputs!$B$43),G2194*Q2194)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2197*(1-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2197*(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2197*(1-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2197*(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7">
        <f>IF(C2197,(H2197*N2197*(B2218+IF(AND(Inputs!$B$38&lt;&gt;"pvp",Inputs!$B$43&gt;0),((Skills!G8*((R2191-1)*IF(Skills!H8&gt;0,Skills!I8/Skills!H8,1)+IF(Skills!H8&gt;0,MIN(Skills!I8,MAX(0,MAX(0,Inputs!$B$43-B2221)-((R2191-1)*(IF(Inputs!$B$38="pvp",15,MAX(0.1,Skills!D8-IF(Skills!E8=TRUE,Inputs!$B$32,0)))*(1-IF(AND(ArtifactsInput!$M$27,Inputs!$B$4="Chapter Hunt"),CHOOSE(ArtifactsInput!$N$27+1,20,24,28,32,36,40),0)/100)))))/Skills!H8,1)))/Inputs!$B$43),G2191*Q2191)+IF(AND(Inputs!$B$38&lt;&gt;"pvp",Inputs!$B$43&gt;0),((Skills!G11*((R2194-1)*IF(Skills!H11&gt;0,Skills!I11/Skills!H11,1)+IF(Skills!H11&gt;0,MIN(Skills!I11,MAX(0,MAX(0,Inputs!$B$43-B2221)-((R2194-1)*(IF(Inputs!$B$38="pvp",15,MAX(0.1,Skills!D11-IF(Skills!E11=TRUE,Inputs!$B$32,0)))*(1-IF(AND(ArtifactsInput!$M$27,Inputs!$B$4="Chapter Hunt"),CHOOSE(ArtifactsInput!$N$27+1,20,24,28,32,36,40),0)/100)))))/Skills!H11,1)))/Inputs!$B$43),G2194*Q2194)))*IF(Inputs!$B$38="pvp",1,(1+(Inputs!$B$21+Skills!Q14+(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8">
      <c r="A2198">
        <f>Skills!A15</f>
        <v/>
      </c>
      <c r="B2198">
        <f>Skills!B15</f>
        <v/>
      </c>
      <c r="C2198">
        <f>Inputs!$B$3&gt;=100</f>
        <v/>
      </c>
      <c r="D2198">
        <f>IF(Skills!C15=1,60+Inputs!$B$25+Inputs!$B$29,IF(Skills!C15=2,90+Inputs!$B$26+Inputs!$B$29,IF(Skills!C15=3,120+Inputs!$B$27+Inputs!$B$29,MAX(0,(Inputs!$B$3-100)*3)+Inputs!$B$28+Inputs!$B$29)))</f>
        <v/>
      </c>
      <c r="E2198">
        <f>INDEX(FactorTable!$B$2:$Y$301, MATCH(ROUND(MIN(300,MAX(1,D2198)),0), FactorTable!$A$2:$A$301,0), Skills!M15+1)</f>
        <v/>
      </c>
      <c r="F2198">
        <f>IF(Skills!N15=TRUE,(Skills!L15/10)*(E2198/1000),Skills!L15/10)+Skills!O15</f>
        <v/>
      </c>
      <c r="G2198" t="inlineStr"/>
      <c r="H2198" t="inlineStr"/>
      <c r="I2198" t="inlineStr">
        <is>
          <t>1</t>
        </is>
      </c>
      <c r="J2198" t="inlineStr"/>
      <c r="K2198" t="inlineStr"/>
      <c r="L2198" t="inlineStr"/>
      <c r="M2198" t="inlineStr"/>
      <c r="N2198" t="inlineStr"/>
      <c r="O2198" t="inlineStr"/>
      <c r="P2198" t="inlineStr"/>
      <c r="Q2198" t="inlineStr"/>
      <c r="R2198" t="inlineStr"/>
      <c r="S2198" t="inlineStr"/>
    </row>
    <row r="2199">
      <c r="A2199">
        <f>Skills!A16</f>
        <v/>
      </c>
      <c r="B2199">
        <f>Skills!B16</f>
        <v/>
      </c>
      <c r="C2199">
        <f>Inputs!$B$3&gt;=120</f>
        <v/>
      </c>
      <c r="D2199">
        <f>IF(Skills!C16=1,60+Inputs!$B$25+Inputs!$B$29,IF(Skills!C16=2,90+Inputs!$B$26+Inputs!$B$29,IF(Skills!C16=3,120+Inputs!$B$27+Inputs!$B$29,MAX(0,(Inputs!$B$3-100)*3)+Inputs!$B$28+Inputs!$B$29)))</f>
        <v/>
      </c>
      <c r="E2199">
        <f>INDEX(FactorTable!$B$2:$Y$301, MATCH(ROUND(MIN(300,MAX(1,D2199)),0), FactorTable!$A$2:$A$301,0), Skills!M16+1)</f>
        <v/>
      </c>
      <c r="F2199">
        <f>IF(Skills!N16=TRUE,(Skills!L16/10)*(E2199/1000),Skills!L16/10)+Skills!O16</f>
        <v/>
      </c>
      <c r="G2199" t="inlineStr"/>
      <c r="H2199" t="inlineStr"/>
      <c r="I2199" t="inlineStr">
        <is>
          <t>1</t>
        </is>
      </c>
      <c r="J2199" t="inlineStr"/>
      <c r="K2199" t="inlineStr"/>
      <c r="L2199" t="inlineStr"/>
      <c r="M2199" t="inlineStr"/>
      <c r="N2199" t="inlineStr"/>
      <c r="O2199" t="inlineStr"/>
      <c r="P2199" t="inlineStr"/>
      <c r="Q2199" t="inlineStr"/>
      <c r="R2199" t="inlineStr"/>
      <c r="S2199" t="inlineStr"/>
    </row>
    <row r="2200">
      <c r="A2200">
        <f>Skills!A17</f>
        <v/>
      </c>
      <c r="B2200">
        <f>Skills!B17</f>
        <v/>
      </c>
      <c r="C2200">
        <f>Inputs!$B$3&gt;=66</f>
        <v/>
      </c>
      <c r="D2200">
        <f>IF(Skills!C17=1,60+Inputs!$B$25+Inputs!$B$29,IF(Skills!C17=2,90+Inputs!$B$26+Inputs!$B$29,IF(Skills!C17=3,120+Inputs!$B$27+Inputs!$B$29,MAX(0,(Inputs!$B$3-100)*3)+Inputs!$B$28+Inputs!$B$29)))</f>
        <v/>
      </c>
      <c r="E2200">
        <f>INDEX(FactorTable!$B$2:$Y$301, MATCH(ROUND(MIN(300,MAX(1,D2200)),0), FactorTable!$A$2:$A$301,0), Skills!M17+1)</f>
        <v/>
      </c>
      <c r="F2200">
        <f>IF(Skills!N17=TRUE,(Skills!L17/10)*(E2200/1000),Skills!L17/10)+Skills!O17</f>
        <v/>
      </c>
      <c r="G2200">
        <f>Skills!G17*IF(Skills!H17&gt;0,Skills!I17/Skills!H17,1)</f>
        <v/>
      </c>
      <c r="H2200">
        <f>1-(1-Skills!J17/100)^Skills!K17</f>
        <v/>
      </c>
      <c r="I2200" t="inlineStr">
        <is>
          <t>1</t>
        </is>
      </c>
      <c r="J2200" t="inlineStr"/>
      <c r="K2200" t="inlineStr"/>
      <c r="L2200" t="inlineStr"/>
      <c r="M2200" t="inlineStr"/>
      <c r="N2200" t="inlineStr"/>
      <c r="O2200">
        <f>(1-Summary!$B$11)*T2200+Summary!$B$11*V2200</f>
        <v/>
      </c>
      <c r="P2200">
        <f>IF(B2224=0,0,O2200/B2224)</f>
        <v/>
      </c>
      <c r="Q2200" t="n">
        <v>0</v>
      </c>
      <c r="R2200" t="n">
        <v>0</v>
      </c>
      <c r="S2200">
        <f>IFERROR(O2200/N2200,0)</f>
        <v/>
      </c>
      <c r="T2200" t="n">
        <v>0</v>
      </c>
      <c r="V2200" t="n">
        <v>0</v>
      </c>
    </row>
    <row r="2201">
      <c r="A2201">
        <f>Skills!A18</f>
        <v/>
      </c>
      <c r="B2201">
        <f>Skills!B18</f>
        <v/>
      </c>
      <c r="C2201">
        <f>Inputs!$B$3&gt;=115</f>
        <v/>
      </c>
      <c r="D2201">
        <f>IF(Skills!C18=1,60+Inputs!$B$25+Inputs!$B$29,IF(Skills!C18=2,90+Inputs!$B$26+Inputs!$B$29,IF(Skills!C18=3,120+Inputs!$B$27+Inputs!$B$29,MAX(0,(Inputs!$B$3-100)*3)+Inputs!$B$28+Inputs!$B$29)))</f>
        <v/>
      </c>
      <c r="E2201">
        <f>INDEX(FactorTable!$B$2:$Y$301, MATCH(ROUND(MIN(300,MAX(1,D2201)),0), FactorTable!$A$2:$A$301,0), Skills!M18+1)</f>
        <v/>
      </c>
      <c r="F2201">
        <f>IF(Skills!N18=TRUE,(Skills!L18/10)*(E2201/1000),Skills!L18/10)+Skills!O18</f>
        <v/>
      </c>
      <c r="G2201">
        <f>Skills!G18*IF(Skills!H18&gt;0,Skills!I18/Skills!H18,1)</f>
        <v/>
      </c>
      <c r="H2201">
        <f>1-(1-Skills!J18/100)^Skills!K18</f>
        <v/>
      </c>
      <c r="I2201" t="inlineStr">
        <is>
          <t>1</t>
        </is>
      </c>
      <c r="J2201" t="inlineStr"/>
      <c r="K2201" t="inlineStr"/>
      <c r="L2201" t="inlineStr"/>
      <c r="M2201" t="inlineStr"/>
      <c r="N2201" t="inlineStr"/>
      <c r="O2201">
        <f>(1-Summary!$B$11)*T2201+Summary!$B$11*V2201</f>
        <v/>
      </c>
      <c r="P2201">
        <f>IF(B2224=0,0,O2201/B2224)</f>
        <v/>
      </c>
      <c r="Q2201">
        <f>IFERROR(1/(IF(Inputs!$B$38="pvp",15,MAX(0.1,Skills!D18-IF(Skills!E18=TRUE,Inputs!$B$32,0)))*(1-IF(AND(ArtifactsInput!$M$27,Inputs!$B$4="Chapter Hunt"),CHOOSE(ArtifactsInput!$N$27+1,20,24,28,32,36,40),0)/100)),0)</f>
        <v/>
      </c>
      <c r="R2201">
        <f>IF(AND(Inputs!$B$38&lt;&gt;"pvp",Inputs!$B$43&gt;0),IF(Inputs!$B$43&lt;=0,0,(INT(Inputs!$B$43/(IF(Inputs!$B$38="pvp",15,MAX(0.1,Skills!D18-IF(Skills!E18=TRUE,Inputs!$B$32,0)))*(1-IF(AND(ArtifactsInput!$M$27,Inputs!$B$4="Chapter Hunt"),CHOOSE(ArtifactsInput!$N$27+1,20,24,28,32,36,40),0)/100)))+1)),0)</f>
        <v/>
      </c>
      <c r="S2201">
        <f>IFERROR(O2201/N2201,0)</f>
        <v/>
      </c>
      <c r="T2201" t="n">
        <v>0</v>
      </c>
      <c r="V2201" t="n">
        <v>0</v>
      </c>
    </row>
    <row r="2202">
      <c r="A2202">
        <f>Skills!A19</f>
        <v/>
      </c>
      <c r="B2202">
        <f>Skills!B19</f>
        <v/>
      </c>
      <c r="C2202">
        <f>Inputs!$B$3&gt;=15</f>
        <v/>
      </c>
      <c r="D2202">
        <f>IF(Skills!C19=1,60+Inputs!$B$25+Inputs!$B$29,IF(Skills!C19=2,90+Inputs!$B$26+Inputs!$B$29,IF(Skills!C19=3,120+Inputs!$B$27+Inputs!$B$29,MAX(0,(Inputs!$B$3-100)*3)+Inputs!$B$28+Inputs!$B$29)))</f>
        <v/>
      </c>
      <c r="E2202">
        <f>INDEX(FactorTable!$B$2:$Y$301, MATCH(ROUND(MIN(300,MAX(1,D2202)),0), FactorTable!$A$2:$A$301,0), Skills!M19+1)</f>
        <v/>
      </c>
      <c r="F2202">
        <f>IF(Skills!N19=TRUE,(Skills!L19/10)*(E2202/1000),Skills!L19/10)+Skills!O19</f>
        <v/>
      </c>
      <c r="G2202">
        <f>Skills!G19*IF(Skills!H19&gt;0,Skills!I19/Skills!H19,1)</f>
        <v/>
      </c>
      <c r="H2202">
        <f>1-(1-Skills!J19/100)^Skills!K19</f>
        <v/>
      </c>
      <c r="I2202" t="inlineStr">
        <is>
          <t>1</t>
        </is>
      </c>
      <c r="J2202" t="inlineStr"/>
      <c r="K2202" t="inlineStr"/>
      <c r="L2202" t="inlineStr"/>
      <c r="M2202" t="inlineStr"/>
      <c r="N2202" t="inlineStr"/>
      <c r="O2202">
        <f>(1-Summary!$B$11)*T2202+Summary!$B$11*V2202</f>
        <v/>
      </c>
      <c r="P2202">
        <f>IF(B2224=0,0,O2202/B2224)</f>
        <v/>
      </c>
      <c r="Q2202" t="n">
        <v>0</v>
      </c>
      <c r="R2202" t="n">
        <v>0</v>
      </c>
      <c r="S2202">
        <f>IFERROR(O2202/N2202,0)</f>
        <v/>
      </c>
      <c r="T2202" t="n">
        <v>0</v>
      </c>
      <c r="V2202" t="n">
        <v>0</v>
      </c>
    </row>
    <row r="2203">
      <c r="A2203">
        <f>Skills!A20</f>
        <v/>
      </c>
      <c r="B2203">
        <f>Skills!B20</f>
        <v/>
      </c>
      <c r="C2203">
        <f>Inputs!$B$3&gt;=10</f>
        <v/>
      </c>
      <c r="D2203">
        <f>IF(Skills!C20=1,60+Inputs!$B$25+Inputs!$B$29,IF(Skills!C20=2,90+Inputs!$B$26+Inputs!$B$29,IF(Skills!C20=3,120+Inputs!$B$27+Inputs!$B$29,MAX(0,(Inputs!$B$3-100)*3)+Inputs!$B$28+Inputs!$B$29)))</f>
        <v/>
      </c>
      <c r="E2203">
        <f>INDEX(FactorTable!$B$2:$Y$301, MATCH(ROUND(MIN(300,MAX(1,D2203)),0), FactorTable!$A$2:$A$301,0), Skills!M20+1)</f>
        <v/>
      </c>
      <c r="F2203">
        <f>IF(Skills!N20=TRUE,(Skills!L20/10)*(E2203/1000),Skills!L20/10)+Skills!O20</f>
        <v/>
      </c>
      <c r="G2203">
        <f>Skills!G20*IF(Skills!H20&gt;0,Skills!I20/Skills!H20,1)</f>
        <v/>
      </c>
      <c r="H2203">
        <f>1-(1-Skills!J20/100)^Skills!K20</f>
        <v/>
      </c>
      <c r="I2203" t="inlineStr">
        <is>
          <t>1</t>
        </is>
      </c>
      <c r="J2203" t="inlineStr"/>
      <c r="K2203" t="inlineStr"/>
      <c r="L2203" t="inlineStr"/>
      <c r="M2203" t="inlineStr"/>
      <c r="N2203" t="inlineStr"/>
      <c r="O2203">
        <f>(1-Summary!$B$11)*T2203+Summary!$B$11*V2203</f>
        <v/>
      </c>
      <c r="P2203">
        <f>IF(B2224=0,0,O2203/B2224)</f>
        <v/>
      </c>
      <c r="Q2203" t="n">
        <v>0</v>
      </c>
      <c r="R2203" t="n">
        <v>0</v>
      </c>
      <c r="S2203">
        <f>IFERROR(O2203/N2203,0)</f>
        <v/>
      </c>
      <c r="T2203" t="n">
        <v>0</v>
      </c>
      <c r="V2203" t="n">
        <v>0</v>
      </c>
    </row>
    <row r="2204">
      <c r="A2204">
        <f>Skills!A21</f>
        <v/>
      </c>
      <c r="B2204">
        <f>Skills!B21</f>
        <v/>
      </c>
      <c r="C2204">
        <f>Inputs!$B$3&gt;=33</f>
        <v/>
      </c>
      <c r="D2204">
        <f>IF(Skills!C21=1,60+Inputs!$B$25+Inputs!$B$29,IF(Skills!C21=2,90+Inputs!$B$26+Inputs!$B$29,IF(Skills!C21=3,120+Inputs!$B$27+Inputs!$B$29,MAX(0,(Inputs!$B$3-100)*3)+Inputs!$B$28+Inputs!$B$29)))</f>
        <v/>
      </c>
      <c r="E2204">
        <f>INDEX(FactorTable!$B$2:$Y$301, MATCH(ROUND(MIN(300,MAX(1,D2204)),0), FactorTable!$A$2:$A$301,0), Skills!M21+1)</f>
        <v/>
      </c>
      <c r="F2204">
        <f>IF(Skills!N21=TRUE,(Skills!L21/10)*(E2204/1000),Skills!L21/10)+Skills!O21</f>
        <v/>
      </c>
      <c r="G2204">
        <f>Skills!G21*IF(Skills!H21&gt;0,Skills!I21/Skills!H21,1)</f>
        <v/>
      </c>
      <c r="H2204">
        <f>1-(1-Skills!J21/100)^Skills!K21</f>
        <v/>
      </c>
      <c r="I2204" t="inlineStr">
        <is>
          <t>1</t>
        </is>
      </c>
      <c r="J2204" t="inlineStr"/>
      <c r="K2204" t="inlineStr"/>
      <c r="L2204" t="inlineStr"/>
      <c r="M2204" t="inlineStr"/>
      <c r="N2204" t="inlineStr"/>
      <c r="O2204">
        <f>(1-Summary!$B$11)*T2204+Summary!$B$11*V2204</f>
        <v/>
      </c>
      <c r="P2204">
        <f>IF(B2224=0,0,O2204/B2224)</f>
        <v/>
      </c>
      <c r="Q2204" t="n">
        <v>0</v>
      </c>
      <c r="R2204" t="n">
        <v>0</v>
      </c>
      <c r="S2204">
        <f>IFERROR(O2204/N2204,0)</f>
        <v/>
      </c>
      <c r="T2204" t="n">
        <v>0</v>
      </c>
      <c r="V2204" t="n">
        <v>0</v>
      </c>
    </row>
    <row r="2205">
      <c r="A2205">
        <f>Skills!A22</f>
        <v/>
      </c>
      <c r="B2205">
        <f>Skills!B22</f>
        <v/>
      </c>
      <c r="C2205">
        <f>Inputs!$B$3&gt;=43</f>
        <v/>
      </c>
      <c r="D2205">
        <f>IF(Skills!C22=1,60+Inputs!$B$25+Inputs!$B$29,IF(Skills!C22=2,90+Inputs!$B$26+Inputs!$B$29,IF(Skills!C22=3,120+Inputs!$B$27+Inputs!$B$29,MAX(0,(Inputs!$B$3-100)*3)+Inputs!$B$28+Inputs!$B$29)))</f>
        <v/>
      </c>
      <c r="E2205">
        <f>INDEX(FactorTable!$B$2:$Y$301, MATCH(ROUND(MIN(300,MAX(1,D2205)),0), FactorTable!$A$2:$A$301,0), Skills!M22+1)</f>
        <v/>
      </c>
      <c r="F2205">
        <f>IF(Skills!N22=TRUE,(Skills!L22/10)*(E2205/1000),Skills!L22/10)+Skills!O22</f>
        <v/>
      </c>
      <c r="G2205">
        <f>Skills!G22*IF(Skills!H22&gt;0,Skills!I22/Skills!H22,1)</f>
        <v/>
      </c>
      <c r="H2205">
        <f>1-(1-Skills!J22/100)^Skills!K22</f>
        <v/>
      </c>
      <c r="I2205" t="inlineStr">
        <is>
          <t>1</t>
        </is>
      </c>
      <c r="J2205" t="inlineStr"/>
      <c r="K2205" t="inlineStr"/>
      <c r="L2205" t="inlineStr"/>
      <c r="M2205" t="inlineStr"/>
      <c r="N2205" t="inlineStr"/>
      <c r="O2205">
        <f>(1-Summary!$B$11)*T2205+Summary!$B$11*V2205</f>
        <v/>
      </c>
      <c r="P2205">
        <f>IF(B2224=0,0,O2205/B2224)</f>
        <v/>
      </c>
      <c r="Q2205" t="n">
        <v>0</v>
      </c>
      <c r="R2205" t="n">
        <v>0</v>
      </c>
      <c r="S2205">
        <f>IFERROR(O2205/N2205,0)</f>
        <v/>
      </c>
      <c r="T2205" t="n">
        <v>0</v>
      </c>
      <c r="V2205" t="n">
        <v>0</v>
      </c>
    </row>
    <row r="2206">
      <c r="A2206">
        <f>Skills!A23</f>
        <v/>
      </c>
      <c r="B2206">
        <f>Skills!B23</f>
        <v/>
      </c>
      <c r="C2206">
        <f>Inputs!$B$3&gt;=38</f>
        <v/>
      </c>
      <c r="D2206">
        <f>IF(Skills!C23=1,60+Inputs!$B$25+Inputs!$B$29,IF(Skills!C23=2,90+Inputs!$B$26+Inputs!$B$29,IF(Skills!C23=3,120+Inputs!$B$27+Inputs!$B$29,MAX(0,(Inputs!$B$3-100)*3)+Inputs!$B$28+Inputs!$B$29)))</f>
        <v/>
      </c>
      <c r="E2206">
        <f>INDEX(FactorTable!$B$2:$Y$301, MATCH(ROUND(MIN(300,MAX(1,D2206)),0), FactorTable!$A$2:$A$301,0), Skills!M23+1)</f>
        <v/>
      </c>
      <c r="F2206">
        <f>IF(Skills!N23=TRUE,(Skills!L23/10)*(E2206/1000),Skills!L23/10)+Skills!O23</f>
        <v/>
      </c>
      <c r="G2206">
        <f>Skills!G23*IF(Skills!H23&gt;0,Skills!I23/Skills!H23,1)</f>
        <v/>
      </c>
      <c r="H2206">
        <f>1-(1-Skills!J23/100)^Skills!K23</f>
        <v/>
      </c>
      <c r="I2206" t="inlineStr">
        <is>
          <t>1</t>
        </is>
      </c>
      <c r="J2206" t="inlineStr"/>
      <c r="K2206" t="inlineStr"/>
      <c r="L2206" t="inlineStr"/>
      <c r="M2206" t="inlineStr"/>
      <c r="N2206" t="inlineStr"/>
      <c r="O2206">
        <f>(1-Summary!$B$11)*T2206+Summary!$B$11*V2206</f>
        <v/>
      </c>
      <c r="P2206">
        <f>IF(B2224=0,0,O2206/B2224)</f>
        <v/>
      </c>
      <c r="Q2206" t="n">
        <v>0</v>
      </c>
      <c r="R2206" t="n">
        <v>0</v>
      </c>
      <c r="S2206">
        <f>IFERROR(O2206/N2206,0)</f>
        <v/>
      </c>
      <c r="T2206" t="n">
        <v>0</v>
      </c>
      <c r="V2206" t="n">
        <v>0</v>
      </c>
    </row>
    <row r="2207">
      <c r="A2207">
        <f>Skills!A24</f>
        <v/>
      </c>
      <c r="B2207">
        <f>Skills!B24</f>
        <v/>
      </c>
      <c r="C2207">
        <f>Inputs!$B$3&gt;=40</f>
        <v/>
      </c>
      <c r="D2207">
        <f>IF(Skills!C24=1,60+Inputs!$B$25+Inputs!$B$29,IF(Skills!C24=2,90+Inputs!$B$26+Inputs!$B$29,IF(Skills!C24=3,120+Inputs!$B$27+Inputs!$B$29,MAX(0,(Inputs!$B$3-100)*3)+Inputs!$B$28+Inputs!$B$29)))</f>
        <v/>
      </c>
      <c r="E2207">
        <f>INDEX(FactorTable!$B$2:$Y$301, MATCH(ROUND(MIN(300,MAX(1,D2207)),0), FactorTable!$A$2:$A$301,0), Skills!M24+1)</f>
        <v/>
      </c>
      <c r="F2207">
        <f>IF(Skills!N24=TRUE,(Skills!L24/10)*(E2207/1000),Skills!L24/10)+Skills!O24</f>
        <v/>
      </c>
      <c r="G2207">
        <f>Skills!G24*IF(Skills!H24&gt;0,Skills!I24/Skills!H24,1)</f>
        <v/>
      </c>
      <c r="H2207">
        <f>1-(1-Skills!J24/100)^Skills!K24</f>
        <v/>
      </c>
      <c r="I2207" t="inlineStr">
        <is>
          <t>1</t>
        </is>
      </c>
      <c r="J2207" t="inlineStr"/>
      <c r="K2207" t="inlineStr"/>
      <c r="L2207" t="inlineStr"/>
      <c r="M2207" t="inlineStr"/>
      <c r="N2207" t="inlineStr"/>
      <c r="O2207">
        <f>(1-Summary!$B$11)*T2207+Summary!$B$11*V2207</f>
        <v/>
      </c>
      <c r="P2207">
        <f>IF(B2224=0,0,O2207/B2224)</f>
        <v/>
      </c>
      <c r="Q2207" t="n">
        <v>0</v>
      </c>
      <c r="R2207" t="n">
        <v>0</v>
      </c>
      <c r="S2207">
        <f>IFERROR(O2207/N2207,0)</f>
        <v/>
      </c>
      <c r="T2207" t="n">
        <v>0</v>
      </c>
      <c r="V2207" t="n">
        <v>0</v>
      </c>
    </row>
    <row r="2208">
      <c r="A2208">
        <f>Skills!A25</f>
        <v/>
      </c>
      <c r="B2208">
        <f>Skills!B25</f>
        <v/>
      </c>
      <c r="C2208">
        <f>Inputs!$B$3&gt;=72</f>
        <v/>
      </c>
      <c r="D2208">
        <f>IF(Skills!C25=1,60+Inputs!$B$25+Inputs!$B$29,IF(Skills!C25=2,90+Inputs!$B$26+Inputs!$B$29,IF(Skills!C25=3,120+Inputs!$B$27+Inputs!$B$29,MAX(0,(Inputs!$B$3-100)*3)+Inputs!$B$28+Inputs!$B$29)))</f>
        <v/>
      </c>
      <c r="E2208">
        <f>INDEX(FactorTable!$B$2:$Y$301, MATCH(ROUND(MIN(300,MAX(1,D2208)),0), FactorTable!$A$2:$A$301,0), Skills!M25+1)</f>
        <v/>
      </c>
      <c r="F2208">
        <f>IF(Skills!N25=TRUE,(Skills!L25/10)*(E2208/1000),Skills!L25/10)+Skills!O25</f>
        <v/>
      </c>
      <c r="G2208">
        <f>Skills!G25*IF(Skills!H25&gt;0,Skills!I25/Skills!H25,1)</f>
        <v/>
      </c>
      <c r="H2208">
        <f>1-(1-Skills!J25/100)^Skills!K25</f>
        <v/>
      </c>
      <c r="I2208" t="inlineStr">
        <is>
          <t>1</t>
        </is>
      </c>
      <c r="J2208" t="inlineStr"/>
      <c r="K2208" t="inlineStr"/>
      <c r="L2208" t="inlineStr"/>
      <c r="M2208" t="inlineStr"/>
      <c r="N2208" t="inlineStr"/>
      <c r="O2208">
        <f>(1-Summary!$B$11)*T2208+Summary!$B$11*V2208</f>
        <v/>
      </c>
      <c r="P2208">
        <f>IF(B2224=0,0,O2208/B2224)</f>
        <v/>
      </c>
      <c r="Q2208" t="n">
        <v>0</v>
      </c>
      <c r="R2208" t="n">
        <v>0</v>
      </c>
      <c r="S2208">
        <f>IFERROR(O2208/N2208,0)</f>
        <v/>
      </c>
      <c r="T2208" t="n">
        <v>0</v>
      </c>
      <c r="V2208" t="n">
        <v>0</v>
      </c>
    </row>
    <row r="2209">
      <c r="A2209">
        <f>Skills!A26</f>
        <v/>
      </c>
      <c r="B2209">
        <f>Skills!B26</f>
        <v/>
      </c>
      <c r="C2209">
        <f>Inputs!$B$3&gt;=75</f>
        <v/>
      </c>
      <c r="D2209">
        <f>IF(Skills!C26=1,60+Inputs!$B$25+Inputs!$B$29,IF(Skills!C26=2,90+Inputs!$B$26+Inputs!$B$29,IF(Skills!C26=3,120+Inputs!$B$27+Inputs!$B$29,MAX(0,(Inputs!$B$3-100)*3)+Inputs!$B$28+Inputs!$B$29)))</f>
        <v/>
      </c>
      <c r="E2209">
        <f>INDEX(FactorTable!$B$2:$Y$301, MATCH(ROUND(MIN(300,MAX(1,D2209)),0), FactorTable!$A$2:$A$301,0), Skills!M26+1)</f>
        <v/>
      </c>
      <c r="F2209">
        <f>IF(Skills!N26=TRUE,(Skills!L26/10)*(E2209/1000),Skills!L26/10)+Skills!O26</f>
        <v/>
      </c>
      <c r="G2209">
        <f>Skills!G26*IF(Skills!H26&gt;0,Skills!I26/Skills!H26,1)</f>
        <v/>
      </c>
      <c r="H2209">
        <f>1-(1-Skills!J26/100)^Skills!K26</f>
        <v/>
      </c>
      <c r="I2209" t="inlineStr">
        <is>
          <t>1</t>
        </is>
      </c>
      <c r="J2209" t="inlineStr"/>
      <c r="K2209" t="inlineStr"/>
      <c r="L2209" t="inlineStr"/>
      <c r="M2209" t="inlineStr"/>
      <c r="N2209" t="inlineStr"/>
      <c r="O2209">
        <f>(1-Summary!$B$11)*T2209+Summary!$B$11*V2209</f>
        <v/>
      </c>
      <c r="P2209">
        <f>IF(B2224=0,0,O2209/B2224)</f>
        <v/>
      </c>
      <c r="Q2209" t="n">
        <v>0</v>
      </c>
      <c r="R2209" t="n">
        <v>0</v>
      </c>
      <c r="S2209">
        <f>IFERROR(O2209/N2209,0)</f>
        <v/>
      </c>
      <c r="T2209" t="n">
        <v>0</v>
      </c>
      <c r="V2209" t="n">
        <v>0</v>
      </c>
    </row>
    <row r="2210">
      <c r="A2210">
        <f>Skills!A27</f>
        <v/>
      </c>
      <c r="B2210">
        <f>Skills!B27</f>
        <v/>
      </c>
      <c r="C2210">
        <f>Inputs!$B$3&gt;=117</f>
        <v/>
      </c>
      <c r="D2210">
        <f>IF(Skills!C27=1,60+Inputs!$B$25+Inputs!$B$29,IF(Skills!C27=2,90+Inputs!$B$26+Inputs!$B$29,IF(Skills!C27=3,120+Inputs!$B$27+Inputs!$B$29,MAX(0,(Inputs!$B$3-100)*3)+Inputs!$B$28+Inputs!$B$29)))</f>
        <v/>
      </c>
      <c r="E2210">
        <f>INDEX(FactorTable!$B$2:$Y$301, MATCH(ROUND(MIN(300,MAX(1,D2210)),0), FactorTable!$A$2:$A$301,0), Skills!M27+1)</f>
        <v/>
      </c>
      <c r="F2210">
        <f>IF(Skills!N27=TRUE,(Skills!L27/10)*(E2210/1000),Skills!L27/10)+Skills!O27</f>
        <v/>
      </c>
      <c r="G2210">
        <f>Skills!G27*IF(Skills!H27&gt;0,Skills!I27/Skills!H27,1)</f>
        <v/>
      </c>
      <c r="H2210">
        <f>1-(1-Skills!J27/100)^Skills!K27</f>
        <v/>
      </c>
      <c r="I2210" t="inlineStr">
        <is>
          <t>1</t>
        </is>
      </c>
      <c r="J2210" t="inlineStr"/>
      <c r="K2210" t="inlineStr"/>
      <c r="L2210" t="inlineStr"/>
      <c r="M2210" t="inlineStr"/>
      <c r="N2210" t="inlineStr"/>
      <c r="O2210">
        <f>(1-Summary!$B$11)*T2210+Summary!$B$11*V2210</f>
        <v/>
      </c>
      <c r="P2210">
        <f>IF(B2224=0,0,O2210/B2224)</f>
        <v/>
      </c>
      <c r="Q2210" t="n">
        <v>0</v>
      </c>
      <c r="R2210" t="n">
        <v>0</v>
      </c>
      <c r="S2210">
        <f>IFERROR(O2210/N2210,0)</f>
        <v/>
      </c>
      <c r="T2210" t="n">
        <v>0</v>
      </c>
      <c r="V2210" t="n">
        <v>0</v>
      </c>
    </row>
    <row r="2211">
      <c r="A2211">
        <f>Skills!A28</f>
        <v/>
      </c>
      <c r="B2211">
        <f>Skills!B28</f>
        <v/>
      </c>
      <c r="C2211">
        <f>TRUE</f>
        <v/>
      </c>
      <c r="D2211">
        <f>IF(Skills!C28=1,60+Inputs!$B$25+Inputs!$B$29,IF(Skills!C28=2,90+Inputs!$B$26+Inputs!$B$29,IF(Skills!C28=3,120+Inputs!$B$27+Inputs!$B$29,MAX(0,(Inputs!$B$3-100)*3)+Inputs!$B$28+Inputs!$B$29)))</f>
        <v/>
      </c>
      <c r="E2211">
        <f>INDEX(FactorTable!$B$2:$Y$301, MATCH(ROUND(MIN(300,MAX(1,D2211)),0), FactorTable!$A$2:$A$301,0), Skills!M28+1)</f>
        <v/>
      </c>
      <c r="F2211">
        <f>IF(Skills!N28=TRUE,(Skills!L28/10)*(E2211/1000),Skills!L28/10)+Skills!O28</f>
        <v/>
      </c>
      <c r="G2211">
        <f>Skills!G28*IF(Skills!H28&gt;0,Skills!I28/Skills!H28,1)</f>
        <v/>
      </c>
      <c r="H2211">
        <f>1-(1-Skills!J28/100)^Skills!K28</f>
        <v/>
      </c>
      <c r="I2211" t="inlineStr">
        <is>
          <t>1</t>
        </is>
      </c>
      <c r="J2211" t="inlineStr"/>
      <c r="K2211" t="inlineStr"/>
      <c r="L2211" t="inlineStr"/>
      <c r="M2211" t="inlineStr"/>
      <c r="N2211" t="inlineStr"/>
      <c r="O2211">
        <f>(1-Summary!$B$11)*T2211+Summary!$B$11*V2211</f>
        <v/>
      </c>
      <c r="P2211">
        <f>IF(B2224=0,0,O2211/B2224)</f>
        <v/>
      </c>
      <c r="Q2211">
        <f>IFERROR(1/(IF(Inputs!$B$38="pvp",15,MAX(0.1,Skills!D28-IF(Skills!E28=TRUE,Inputs!$B$32,0)))*(1-IF(AND(ArtifactsInput!$M$27,Inputs!$B$4="Chapter Hunt"),CHOOSE(ArtifactsInput!$N$27+1,20,24,28,32,36,40),0)/100)),0)</f>
        <v/>
      </c>
      <c r="R2211">
        <f>IF(AND(Inputs!$B$38&lt;&gt;"pvp",Inputs!$B$43&gt;0),IF(Inputs!$B$43&lt;=0,0,(INT(Inputs!$B$43/(IF(Inputs!$B$38="pvp",15,MAX(0.1,Skills!D28-IF(Skills!E28=TRUE,Inputs!$B$32,0)))*(1-IF(AND(ArtifactsInput!$M$27,Inputs!$B$4="Chapter Hunt"),CHOOSE(ArtifactsInput!$N$27+1,20,24,28,32,36,40),0)/100)))+1)),0)</f>
        <v/>
      </c>
      <c r="S2211">
        <f>IFERROR(O2211/N2211,0)</f>
        <v/>
      </c>
      <c r="T2211" t="n">
        <v>0</v>
      </c>
      <c r="V2211" t="n">
        <v>0</v>
      </c>
    </row>
    <row r="2213">
      <c r="A2213" t="inlineStr">
        <is>
          <t>Attack% Bucket Multiplier</t>
        </is>
      </c>
      <c r="B2213">
        <f>(1+(((C2200=TRUE)*F2200*5/7)+((C2207=TRUE)*(F2207-Calc!F24))+(IF(ArtifactsInput!$M$21,CHOOSE(ArtifactsInput!$N$21+1,25,30,35,40,45,50)*(IF(OR(Inputs!$B$4="Chapter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14">
      <c r="A2214" t="inlineStr">
        <is>
          <t>Global Crit Rate Bonus %</t>
        </is>
      </c>
      <c r="B2214" t="n">
        <v>0</v>
      </c>
    </row>
    <row r="2215">
      <c r="A2215" t="inlineStr">
        <is>
          <t>Attack Speed Buff Bonus % (Nimble Feet, duty-cycle averaged)</t>
        </is>
      </c>
      <c r="B2215">
        <f>((C2211=TRUE)*F2211*IF(AND(Inputs!$B$38&lt;&gt;"pvp",Inputs!$B$43&gt;0),(((R2211-1)*(Skills!T28*(1+Inputs!$B$34/100))+MIN((Skills!T28*(1+Inputs!$B$34/100)),MAX(0,Inputs!$B$43-((R2211-1)*Skills!D28))))/Inputs!$B$43),IF(Inputs!$B$38="pvp",MIN((Skills!T28*(1+Inputs!$B$34/100)),15)/15,(Skills!T28*(1+Inputs!$B$34/100))/Skills!D28)))</f>
        <v/>
      </c>
    </row>
    <row r="2216">
      <c r="A2216" t="inlineStr">
        <is>
          <t>Actions Per Second</t>
        </is>
      </c>
      <c r="B2216">
        <f>1+MIN(150,150*(1-(1-(Inputs!$B$11+((C2203=TRUE)*(F2203-Calc!F20))+((C2204=TRUE)*(F2204-Calc!F21)))/150)*(1-B2215/150)))/100</f>
        <v/>
      </c>
    </row>
    <row r="2217">
      <c r="A2217" t="inlineStr">
        <is>
          <t>Skill + Buff Cast Rate</t>
        </is>
      </c>
      <c r="B2217">
        <f>IF(AND(Inputs!$B$38&lt;&gt;"pvp",Inputs!$B$43&gt;0),SUMPRODUCT((Skills!E2:E28=TRUE)*(C2185:C2211=TRUE)*R2185:R2211*Skills!F2:F28)/Inputs!$B$43,SUMPRODUCT((Skills!E2:E28=TRUE)*(C2185:C2211=TRUE)*Q2185:Q2211*Skills!F2:F28))</f>
        <v/>
      </c>
    </row>
    <row r="2218">
      <c r="A2218" t="inlineStr">
        <is>
          <t>Eight-Legs Easton Casts Per Second</t>
        </is>
      </c>
      <c r="B2218">
        <f>MAX(0,B2216-B2217)</f>
        <v/>
      </c>
    </row>
    <row r="2219">
      <c r="A2219" t="inlineStr">
        <is>
          <t>Global Critical Damage Bonus % (unused)</t>
        </is>
      </c>
      <c r="B2219" t="n">
        <v>0</v>
      </c>
    </row>
    <row r="2220">
      <c r="A2220" t="inlineStr">
        <is>
          <t>Global Final Damage Bonus % (Jolly Roger + Ahoy Mateys - Final Damage proc)</t>
        </is>
      </c>
      <c r="B2220">
        <f>((C2201=TRUE)*F2201*IF(AND(Inputs!$B$38&lt;&gt;"pvp",Inputs!$B$43&gt;0),(((R2201-1)*(Skills!T18*(1+Inputs!$B$34/100))+MIN((Skills!T18*(1+Inputs!$B$34/100)),MAX(0,Inputs!$B$43-((R2201-1)*Skills!D18))))/Inputs!$B$43),IF(Inputs!$B$38="pvp",MIN((Skills!T18*(1+Inputs!$B$34/100)),15)/15,(Skills!T18*(1+Inputs!$B$34/100))/Skills!D18)))+IF(Inputs!$B$3&gt;=122,20*IF(Inputs!$B$38="pvp",MIN((20*(1+Inputs!$B$34/100)),15)/15,(20*(1+Inputs!$B$34/100))/Skills!D4),0)</f>
        <v/>
      </c>
    </row>
    <row r="2221">
      <c r="A2221" t="inlineStr">
        <is>
          <t>Buff-Casting Startup Delay (s, fixed-duration only)</t>
        </is>
      </c>
      <c r="B2221">
        <f>IF(AND(Inputs!$B$38&lt;&gt;"pvp",Inputs!$B$43&gt;0),SUMPRODUCT((Skills!T2:T28&gt;0)*(Skills!E2:E28=TRUE)*(C2185:C2211=TRUE))/B2216,0)</f>
        <v/>
      </c>
    </row>
    <row r="2222">
      <c r="A2222" t="inlineStr">
        <is>
          <t>Boss-Only Total DPS (this block's swept value)</t>
        </is>
      </c>
      <c r="B2222">
        <f>SUM(T2185:T2211)</f>
        <v/>
      </c>
    </row>
    <row r="2223">
      <c r="A2223" t="inlineStr">
        <is>
          <t>Normal-Only Total DPS (this block's swept value)</t>
        </is>
      </c>
      <c r="B2223">
        <f>SUM(V2185:V2211)</f>
        <v/>
      </c>
    </row>
    <row r="2224">
      <c r="A2224" s="6" t="inlineStr">
        <is>
          <t>TOTAL DPS</t>
        </is>
      </c>
      <c r="B2224" s="6">
        <f>SUM(O2185:O2211)</f>
        <v/>
      </c>
    </row>
    <row r="2227">
      <c r="A2227" s="6" t="inlineStr">
        <is>
          <t>Stat: Ancient Text Piece (Equip)</t>
        </is>
      </c>
    </row>
    <row r="2228">
      <c r="A2228" s="5" t="inlineStr">
        <is>
          <t>Key</t>
        </is>
      </c>
      <c r="B2228" s="5" t="inlineStr">
        <is>
          <t>Name</t>
        </is>
      </c>
      <c r="C2228" s="5" t="inlineStr">
        <is>
          <t>Unlocked</t>
        </is>
      </c>
      <c r="D2228" s="5" t="inlineStr">
        <is>
          <t>InputLevel</t>
        </is>
      </c>
      <c r="E2228" s="5" t="inlineStr">
        <is>
          <t>Factor</t>
        </is>
      </c>
      <c r="F2228" s="5" t="inlineStr">
        <is>
          <t>CoefficientPercent</t>
        </is>
      </c>
      <c r="G2228" s="5" t="inlineStr">
        <is>
          <t>EffectiveHits</t>
        </is>
      </c>
      <c r="H2228" s="5" t="inlineStr">
        <is>
          <t>ProcProbability</t>
        </is>
      </c>
      <c r="I2228" s="5" t="inlineStr">
        <is>
          <t>MapleHeroMultiplier</t>
        </is>
      </c>
      <c r="J2228" s="5" t="inlineStr">
        <is>
          <t>BaseDamage</t>
        </is>
      </c>
      <c r="K2228" s="5" t="inlineStr">
        <is>
          <t>BaseHitDamage</t>
        </is>
      </c>
      <c r="L2228" s="5" t="inlineStr">
        <is>
          <t>NonCritAvg</t>
        </is>
      </c>
      <c r="M2228" s="5" t="inlineStr">
        <is>
          <t>CritAvg</t>
        </is>
      </c>
      <c r="N2228" s="5" t="inlineStr">
        <is>
          <t>ExpectedDamage(perHit)</t>
        </is>
      </c>
      <c r="O2228" s="5" t="inlineStr">
        <is>
          <t>DPS</t>
        </is>
      </c>
      <c r="P2228" s="5" t="inlineStr">
        <is>
          <t>% of Total</t>
        </is>
      </c>
      <c r="Q2228" s="5" t="inlineStr">
        <is>
          <t>InvCooldown</t>
        </is>
      </c>
      <c r="R2228" s="5" t="inlineStr">
        <is>
          <t>CastsInFight</t>
        </is>
      </c>
      <c r="S2228" s="5" t="inlineStr">
        <is>
          <t>HitRate(perSec)</t>
        </is>
      </c>
      <c r="U2228" t="inlineStr">
        <is>
          <t>helpers</t>
        </is>
      </c>
    </row>
    <row r="2229">
      <c r="A2229">
        <f>Skills!A2</f>
        <v/>
      </c>
      <c r="B2229">
        <f>Skills!B2</f>
        <v/>
      </c>
      <c r="C2229">
        <f>Inputs!$B$3&gt;=100</f>
        <v/>
      </c>
      <c r="D2229" t="inlineStr"/>
      <c r="E2229" t="inlineStr"/>
      <c r="F2229">
        <f>U2231+Skills!O2</f>
        <v/>
      </c>
      <c r="G2229">
        <f>Skills!G2*IF(Skills!H2&gt;0,Skills!I2/Skills!H2,1)</f>
        <v/>
      </c>
      <c r="H2229">
        <f>1-(1-Skills!J2/100)^Skills!K2</f>
        <v/>
      </c>
      <c r="I2229" t="inlineStr">
        <is>
          <t>1</t>
        </is>
      </c>
      <c r="J2229">
        <f>((Inputs!$B$6*(1+Inputs!$B$7/100))+(((Inputs!$B$12*(1+Inputs!$B$13/100))-(Inputs!$B$12*(1+Inputs!$B$13/100)))+0.25*(Inputs!$B$14-Inputs!$B$14))*(1+Inputs!$B$7/100))*(F2229/100)</f>
        <v/>
      </c>
      <c r="K2229">
        <f>J2229*(1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2229)</f>
        <v/>
      </c>
      <c r="L2229">
        <f>K2229*(MIN(Inputs!$B$22+((C2249=TRUE)*(F2249-Calc!F22)),(Inputs!$B$23+0+(IF(ArtifactsInput!$M$15,CHOOSE(ArtifactsInput!$N$15+1,25,30,35,40,45,50)/100*(Inputs!$B$11-Inputs!$B$11),0))))/100+(Inputs!$B$23+0+(IF(ArtifactsInput!$M$15,CHOOSE(ArtifactsInput!$N$15+1,25,30,35,40,45,50)/100*(Inputs!$B$11-Inputs!$B$11),0)))/100)/2</f>
        <v/>
      </c>
      <c r="M2229">
        <f>L2229*(1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9">
        <f>L2229*(1-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2229*(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9">
        <f>(1-Summary!$B$11)*T2229+Summary!$B$11*V2229</f>
        <v/>
      </c>
      <c r="P2229">
        <f>IF(B2268=0,0,O2229/B2268)</f>
        <v/>
      </c>
      <c r="Q2229" t="n">
        <v>0</v>
      </c>
      <c r="R2229" t="n">
        <v>0</v>
      </c>
      <c r="S2229">
        <f>IFERROR(O2229/N2229,0)</f>
        <v/>
      </c>
      <c r="T2229">
        <f>IF(C2229,(Skills!G2*N2229*B2262)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2229*(1-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2229*(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2229*(1-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2229*(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29">
        <f>MAX(0,(Inputs!$B$3-100)*3)+Inputs!$B$28+Inputs!$B$29</f>
        <v/>
      </c>
      <c r="V2229">
        <f>IF(C2229,(Skills!G2*N2229*B2262)*IF(Inputs!$B$38="pvp",1,(1+(Inputs!$B$21+Skills!Q2+(IF(ArtifactsInput!$M$33,CHOOSE(ArtifactsInput!$N$33+1,30,36,42,48,54,60),0))+(IF(AND(ArtifactsInput!$M$35,Inputs!$B$4&lt;&gt;"Chapter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0">
      <c r="A2230">
        <f>Skills!A3</f>
        <v/>
      </c>
      <c r="B2230">
        <f>Skills!B3</f>
        <v/>
      </c>
      <c r="C2230">
        <f>Inputs!$B$3&gt;=35</f>
        <v/>
      </c>
      <c r="D2230">
        <f>IF(Skills!C3=1,60+Inputs!$B$25+Inputs!$B$29,IF(Skills!C3=2,90+Inputs!$B$26+Inputs!$B$29,IF(Skills!C3=3,120+Inputs!$B$27+Inputs!$B$29,MAX(0,(Inputs!$B$3-100)*3)+Inputs!$B$28+Inputs!$B$29)))</f>
        <v/>
      </c>
      <c r="E2230">
        <f>INDEX(FactorTable!$B$2:$Y$301, MATCH(ROUND(MIN(300,MAX(1,D2230)),0), FactorTable!$A$2:$A$301,0), Skills!M3+1)</f>
        <v/>
      </c>
      <c r="F2230">
        <f>IF(Skills!N3=TRUE,(Skills!L3/10)*(E2230/1000),Skills!L3/10)+Skills!O3</f>
        <v/>
      </c>
      <c r="G2230">
        <f>Skills!G3*IF(Skills!H3&gt;0,Skills!I3/Skills!H3,1)</f>
        <v/>
      </c>
      <c r="H2230">
        <f>1-(1-Skills!J3/100)^Skills!K3</f>
        <v/>
      </c>
      <c r="I2230" t="inlineStr">
        <is>
          <t>1</t>
        </is>
      </c>
      <c r="J2230">
        <f>((Inputs!$B$6*(1+Inputs!$B$7/100))+(((Inputs!$B$12*(1+Inputs!$B$13/100))-(Inputs!$B$12*(1+Inputs!$B$13/100)))+0.25*(Inputs!$B$14-Inputs!$B$14))*(1+Inputs!$B$7/100))*(F2230/100)</f>
        <v/>
      </c>
      <c r="K2230">
        <f>J2230*(1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2242=TRUE,F2242,0)/100)*(1+(IF(Skills!A3="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2230)</f>
        <v/>
      </c>
      <c r="L2230">
        <f>K2230*(MIN(Inputs!$B$22+((C2249=TRUE)*(F2249-Calc!F22)),(Inputs!$B$23+0+(IF(ArtifactsInput!$M$15,CHOOSE(ArtifactsInput!$N$15+1,25,30,35,40,45,50)/100*(Inputs!$B$11-Inputs!$B$11),0))))/100+(Inputs!$B$23+0+(IF(ArtifactsInput!$M$15,CHOOSE(ArtifactsInput!$N$15+1,25,30,35,40,45,50)/100*(Inputs!$B$11-Inputs!$B$11),0)))/100)/2</f>
        <v/>
      </c>
      <c r="M2230">
        <f>L2230*(1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0">
        <f>L2230*(1-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2230*(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0">
        <f>(1-Summary!$B$11)*T2230+Summary!$B$11*V2230</f>
        <v/>
      </c>
      <c r="P2230">
        <f>IF(B2268=0,0,O2230/B2268)</f>
        <v/>
      </c>
      <c r="Q2230">
        <f>IFERROR(1/(IF(Inputs!$B$38="pvp",15,MAX(0.1,Skills!D3-IF(Skills!E3=TRUE,Inputs!$B$32,0)))*(1-IF(AND(ArtifactsInput!$M$27,Inputs!$B$4="Chapter Hunt"),CHOOSE(ArtifactsInput!$N$27+1,20,24,28,32,36,40),0)/100)),0)</f>
        <v/>
      </c>
      <c r="R2230">
        <f>IF(AND(Inputs!$B$38&lt;&gt;"pvp",Inputs!$B$43&gt;0),IF(MAX(0,Inputs!$B$43-B2265)&lt;=0,0,(INT(MAX(0,Inputs!$B$43-B2265)/(IF(Inputs!$B$38="pvp",15,MAX(0.1,Skills!D3-IF(Skills!E3=TRUE,Inputs!$B$32,0)))*(1-IF(AND(ArtifactsInput!$M$27,Inputs!$B$4="Chapter Hunt"),CHOOSE(ArtifactsInput!$N$27+1,20,24,28,32,36,40),0)/100)))+1)),0)</f>
        <v/>
      </c>
      <c r="S2230">
        <f>IFERROR(O2230/N2230,0)</f>
        <v/>
      </c>
      <c r="T2230">
        <f>IF(C2230,(H2230*N2230*IF(AND(Inputs!$B$38&lt;&gt;"pvp",Inputs!$B$43&gt;0),((Skills!G3*((R2230-1)*IF(Skills!H3&gt;0,Skills!I3/Skills!H3,1)+IF(Skills!H3&gt;0,MIN(Skills!I3,MAX(0,MAX(0,Inputs!$B$43-B2265)-((R2230-1)*(IF(Inputs!$B$38="pvp",15,MAX(0.1,Skills!D3-IF(Skills!E3=TRUE,Inputs!$B$32,0)))*(1-IF(AND(ArtifactsInput!$M$27,Inputs!$B$4="Chapter Hunt"),CHOOSE(ArtifactsInput!$N$27+1,20,24,28,32,36,40),0)/100)))))/Skills!H3,1)))/Inputs!$B$43),G2230*Q2230)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2230*(1-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2230*(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2230*(1-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2230*(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0">
        <f>INDEX(FactorTable!$B$2:$Y$301, MATCH(ROUND(MIN(300,MAX(1,U2229)),0), FactorTable!$A$2:$A$301,0), 22)</f>
        <v/>
      </c>
      <c r="V2230">
        <f>IF(C2230,(H2230*N2230*IF(AND(Inputs!$B$38&lt;&gt;"pvp",Inputs!$B$43&gt;0),((Skills!G3*((R2230-1)*IF(Skills!H3&gt;0,Skills!I3/Skills!H3,1)+IF(Skills!H3&gt;0,MIN(Skills!I3,MAX(0,MAX(0,Inputs!$B$43-B2265)-((R2230-1)*(IF(Inputs!$B$38="pvp",15,MAX(0.1,Skills!D3-IF(Skills!E3=TRUE,Inputs!$B$32,0)))*(1-IF(AND(ArtifactsInput!$M$27,Inputs!$B$4="Chapter Hunt"),CHOOSE(ArtifactsInput!$N$27+1,20,24,28,32,36,40),0)/100)))))/Skills!H3,1)))/Inputs!$B$43),G2230*Q2230))*IF(Inputs!$B$38="pvp",1,(1+(Inputs!$B$21+Skills!Q3+(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1">
      <c r="A2231">
        <f>Skills!A4</f>
        <v/>
      </c>
      <c r="B2231">
        <f>Skills!B4</f>
        <v/>
      </c>
      <c r="C2231">
        <f>Inputs!$B$3&gt;=40</f>
        <v/>
      </c>
      <c r="D2231">
        <f>IF(Skills!C4=1,60+Inputs!$B$25+Inputs!$B$29,IF(Skills!C4=2,90+Inputs!$B$26+Inputs!$B$29,IF(Skills!C4=3,120+Inputs!$B$27+Inputs!$B$29,MAX(0,(Inputs!$B$3-100)*3)+Inputs!$B$28+Inputs!$B$29)))</f>
        <v/>
      </c>
      <c r="E2231">
        <f>INDEX(FactorTable!$B$2:$Y$301, MATCH(ROUND(MIN(300,MAX(1,D2231)),0), FactorTable!$A$2:$A$301,0), Skills!M4+1)</f>
        <v/>
      </c>
      <c r="F2231">
        <f>IF(Skills!N4=TRUE,(Skills!L4/10)*(E2231/1000),Skills!L4/10)+Skills!O4</f>
        <v/>
      </c>
      <c r="G2231">
        <f>Skills!G4*IF(Skills!H4&gt;0,Skills!I4/Skills!H4,1)</f>
        <v/>
      </c>
      <c r="H2231">
        <f>1-(1-Skills!J4/100)^Skills!K4</f>
        <v/>
      </c>
      <c r="I2231" t="inlineStr">
        <is>
          <t>1</t>
        </is>
      </c>
      <c r="J2231">
        <f>((Inputs!$B$6*(1+Inputs!$B$7/100))+(((Inputs!$B$12*(1+Inputs!$B$13/100))-(Inputs!$B$12*(1+Inputs!$B$13/100)))+0.25*(Inputs!$B$14-Inputs!$B$14))*(1+Inputs!$B$7/100))*(F2231/100)</f>
        <v/>
      </c>
      <c r="K2231">
        <f>J2231*(1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2243=TRUE,F2243,0)/100)*(1+(IF(Skills!A4="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2231)</f>
        <v/>
      </c>
      <c r="L2231">
        <f>K2231*(MIN(Inputs!$B$22+((C2249=TRUE)*(F2249-Calc!F22)),(Inputs!$B$23+0+(IF(ArtifactsInput!$M$15,CHOOSE(ArtifactsInput!$N$15+1,25,30,35,40,45,50)/100*(Inputs!$B$11-Inputs!$B$11),0))))/100+(Inputs!$B$23+0+(IF(ArtifactsInput!$M$15,CHOOSE(ArtifactsInput!$N$15+1,25,30,35,40,45,50)/100*(Inputs!$B$11-Inputs!$B$11),0)))/100)/2</f>
        <v/>
      </c>
      <c r="M2231">
        <f>L2231*(1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1">
        <f>L2231*(1-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1">
        <f>(1-Summary!$B$11)*T2231+Summary!$B$11*V2231</f>
        <v/>
      </c>
      <c r="P2231">
        <f>IF(B2268=0,0,O2231/B2268)</f>
        <v/>
      </c>
      <c r="Q2231">
        <f>IFERROR(1/(IF(Inputs!$B$38="pvp",15,MAX(0.1,Skills!D4-IF(Skills!E4=TRUE,Inputs!$B$32,0)))*(1-IF(AND(ArtifactsInput!$M$27,Inputs!$B$4="Chapter Hunt"),CHOOSE(ArtifactsInput!$N$27+1,20,24,28,32,36,40),0)/100)),0)</f>
        <v/>
      </c>
      <c r="R2231">
        <f>IF(AND(Inputs!$B$38&lt;&gt;"pvp",Inputs!$B$43&gt;0),IF(MAX(0,Inputs!$B$43-B2265)&lt;=0,0,(INT(MAX(0,Inputs!$B$43-B2265)/(IF(Inputs!$B$38="pvp",15,MAX(0.1,Skills!D4-IF(Skills!E4=TRUE,Inputs!$B$32,0)))*(1-IF(AND(ArtifactsInput!$M$27,Inputs!$B$4="Chapter Hunt"),CHOOSE(ArtifactsInput!$N$27+1,20,24,28,32,36,40),0)/100)))+1)),0)</f>
        <v/>
      </c>
      <c r="S2231">
        <f>IFERROR(O2231/N2231,0)</f>
        <v/>
      </c>
      <c r="T2231">
        <f>IF(C2231,(H2231*N2231*IF(AND(Inputs!$B$38&lt;&gt;"pvp",Inputs!$B$43&gt;0),((Skills!G4*((R2231-1)*IF(Skills!H4&gt;0,Skills!I4/Skills!H4,1)+IF(Skills!H4&gt;0,MIN(Skills!I4,MAX(0,MAX(0,Inputs!$B$43-B2265)-((R2231-1)*(IF(Inputs!$B$38="pvp",15,MAX(0.1,Skills!D4-IF(Skills!E4=TRUE,Inputs!$B$32,0)))*(1-IF(AND(ArtifactsInput!$M$27,Inputs!$B$4="Chapter Hunt"),CHOOSE(ArtifactsInput!$N$27+1,20,24,28,32,36,40),0)/100)))))/Skills!H4,1)))/Inputs!$B$43),G2231*Q2231)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2231*(1-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2231*(1-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1">
        <f>290*U2230/1000</f>
        <v/>
      </c>
      <c r="V2231">
        <f>IF(C2231,(H2231*N2231*IF(AND(Inputs!$B$38&lt;&gt;"pvp",Inputs!$B$43&gt;0),((Skills!G4*((R2231-1)*IF(Skills!H4&gt;0,Skills!I4/Skills!H4,1)+IF(Skills!H4&gt;0,MIN(Skills!I4,MAX(0,MAX(0,Inputs!$B$43-B2265)-((R2231-1)*(IF(Inputs!$B$38="pvp",15,MAX(0.1,Skills!D4-IF(Skills!E4=TRUE,Inputs!$B$32,0)))*(1-IF(AND(ArtifactsInput!$M$27,Inputs!$B$4="Chapter Hunt"),CHOOSE(ArtifactsInput!$N$27+1,20,24,28,32,36,40),0)/100)))))/Skills!H4,1)))/Inputs!$B$43),G2231*Q2231))*IF(Inputs!$B$38="pvp",1,(1+(Inputs!$B$21+Skills!Q4+(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2">
      <c r="A2232">
        <f>Skills!A5</f>
        <v/>
      </c>
      <c r="B2232">
        <f>Skills!B5</f>
        <v/>
      </c>
      <c r="C2232">
        <f>Inputs!$B$3&gt;=45</f>
        <v/>
      </c>
      <c r="D2232">
        <f>IF(Skills!C5=1,60+Inputs!$B$25+Inputs!$B$29,IF(Skills!C5=2,90+Inputs!$B$26+Inputs!$B$29,IF(Skills!C5=3,120+Inputs!$B$27+Inputs!$B$29,MAX(0,(Inputs!$B$3-100)*3)+Inputs!$B$28+Inputs!$B$29)))</f>
        <v/>
      </c>
      <c r="E2232">
        <f>INDEX(FactorTable!$B$2:$Y$301, MATCH(ROUND(MIN(300,MAX(1,D2232)),0), FactorTable!$A$2:$A$301,0), Skills!M5+1)</f>
        <v/>
      </c>
      <c r="F2232">
        <f>IF(Skills!N5=TRUE,(Skills!L5/10)*(E2232/1000),Skills!L5/10)+Skills!O5</f>
        <v/>
      </c>
      <c r="G2232">
        <f>Skills!G5*IF(Skills!H5&gt;0,Skills!I5/Skills!H5,1)</f>
        <v/>
      </c>
      <c r="H2232">
        <f>1-(1-Skills!J5/100)^Skills!K5</f>
        <v/>
      </c>
      <c r="I2232" t="inlineStr">
        <is>
          <t>1</t>
        </is>
      </c>
      <c r="J2232">
        <f>((Inputs!$B$6*(1+Inputs!$B$7/100))+(((Inputs!$B$12*(1+Inputs!$B$13/100))-(Inputs!$B$12*(1+Inputs!$B$13/100)))+0.25*(Inputs!$B$14-Inputs!$B$14))*(1+Inputs!$B$7/100))*(F2232/100)</f>
        <v/>
      </c>
      <c r="K2232">
        <f>J2232*(1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2243=TRUE,F2243,0)/100)*(1+(IF(Skills!A5="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2232)</f>
        <v/>
      </c>
      <c r="L2232">
        <f>K2232*(MIN(Inputs!$B$22+((C2249=TRUE)*(F2249-Calc!F22)),(Inputs!$B$23+0+(IF(ArtifactsInput!$M$15,CHOOSE(ArtifactsInput!$N$15+1,25,30,35,40,45,50)/100*(Inputs!$B$11-Inputs!$B$11),0))))/100+(Inputs!$B$23+0+(IF(ArtifactsInput!$M$15,CHOOSE(ArtifactsInput!$N$15+1,25,30,35,40,45,50)/100*(Inputs!$B$11-Inputs!$B$11),0)))/100)/2</f>
        <v/>
      </c>
      <c r="M2232">
        <f>L2232*(1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2">
        <f>L2232*(1-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2232*(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2">
        <f>(1-Summary!$B$11)*T2232+Summary!$B$11*V2232</f>
        <v/>
      </c>
      <c r="P2232">
        <f>IF(B2268=0,0,O2232/B2268)</f>
        <v/>
      </c>
      <c r="Q2232">
        <f>IFERROR(1/(IF(Inputs!$B$38="pvp",15,MAX(0.1,Skills!D5-IF(Skills!E5=TRUE,Inputs!$B$32,0)))*(1-IF(AND(ArtifactsInput!$M$27,Inputs!$B$4="Chapter Hunt"),CHOOSE(ArtifactsInput!$N$27+1,20,24,28,32,36,40),0)/100)),0)</f>
        <v/>
      </c>
      <c r="R2232">
        <f>IF(AND(Inputs!$B$38&lt;&gt;"pvp",Inputs!$B$43&gt;0),IF(MAX(0,Inputs!$B$43-B2265)&lt;=0,0,(INT(MAX(0,Inputs!$B$43-B2265)/(IF(Inputs!$B$38="pvp",15,MAX(0.1,Skills!D5-IF(Skills!E5=TRUE,Inputs!$B$32,0)))*(1-IF(AND(ArtifactsInput!$M$27,Inputs!$B$4="Chapter Hunt"),CHOOSE(ArtifactsInput!$N$27+1,20,24,28,32,36,40),0)/100)))+1)),0)</f>
        <v/>
      </c>
      <c r="S2232">
        <f>IFERROR(O2232/N2232,0)</f>
        <v/>
      </c>
      <c r="T2232">
        <f>IF(C2232,(H2232*N2232*IF(AND(Inputs!$B$38&lt;&gt;"pvp",Inputs!$B$43&gt;0),((Skills!G5*((R2232-1)*IF(Skills!H5&gt;0,Skills!I5/Skills!H5,1)+IF(Skills!H5&gt;0,MIN(Skills!I5,MAX(0,MAX(0,Inputs!$B$43-B2265)-((R2232-1)*(IF(Inputs!$B$38="pvp",15,MAX(0.1,Skills!D5-IF(Skills!E5=TRUE,Inputs!$B$32,0)))*(1-IF(AND(ArtifactsInput!$M$27,Inputs!$B$4="Chapter Hunt"),CHOOSE(ArtifactsInput!$N$27+1,20,24,28,32,36,40),0)/100)))))/Skills!H5,1)))/Inputs!$B$43),G2232*Q2232)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2232*(1-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2232*(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2232*(1-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2232*(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2">
        <f>IF(C2232,(H2232*N2232*IF(AND(Inputs!$B$38&lt;&gt;"pvp",Inputs!$B$43&gt;0),((Skills!G5*((R2232-1)*IF(Skills!H5&gt;0,Skills!I5/Skills!H5,1)+IF(Skills!H5&gt;0,MIN(Skills!I5,MAX(0,MAX(0,Inputs!$B$43-B2265)-((R2232-1)*(IF(Inputs!$B$38="pvp",15,MAX(0.1,Skills!D5-IF(Skills!E5=TRUE,Inputs!$B$32,0)))*(1-IF(AND(ArtifactsInput!$M$27,Inputs!$B$4="Chapter Hunt"),CHOOSE(ArtifactsInput!$N$27+1,20,24,28,32,36,40),0)/100)))))/Skills!H5,1)))/Inputs!$B$43),G2232*Q2232))*IF(Inputs!$B$38="pvp",1,(1+(Inputs!$B$21+Skills!Q5+(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3">
      <c r="A2233">
        <f>Skills!A6</f>
        <v/>
      </c>
      <c r="B2233">
        <f>Skills!B6</f>
        <v/>
      </c>
      <c r="C2233">
        <f>Inputs!$B$3&gt;=63</f>
        <v/>
      </c>
      <c r="D2233">
        <f>IF(Skills!C6=1,60+Inputs!$B$25+Inputs!$B$29,IF(Skills!C6=2,90+Inputs!$B$26+Inputs!$B$29,IF(Skills!C6=3,120+Inputs!$B$27+Inputs!$B$29,MAX(0,(Inputs!$B$3-100)*3)+Inputs!$B$28+Inputs!$B$29)))</f>
        <v/>
      </c>
      <c r="E2233">
        <f>INDEX(FactorTable!$B$2:$Y$301, MATCH(ROUND(MIN(300,MAX(1,D2233)),0), FactorTable!$A$2:$A$301,0), Skills!M6+1)</f>
        <v/>
      </c>
      <c r="F2233">
        <f>IF(Skills!N6=TRUE,(Skills!L6/10)*(E2233/1000),Skills!L6/10)+Skills!O6</f>
        <v/>
      </c>
      <c r="G2233">
        <f>Skills!G6*IF(Skills!H6&gt;0,Skills!I6/Skills!H6,1)</f>
        <v/>
      </c>
      <c r="H2233">
        <f>1-(1-Skills!J6/100)^Skills!K6</f>
        <v/>
      </c>
      <c r="I2233" t="inlineStr">
        <is>
          <t>1</t>
        </is>
      </c>
      <c r="J2233">
        <f>((Inputs!$B$6*(1+Inputs!$B$7/100))+(((Inputs!$B$12*(1+Inputs!$B$13/100))-(Inputs!$B$12*(1+Inputs!$B$13/100)))+0.25*(Inputs!$B$14-Inputs!$B$14))*(1+Inputs!$B$7/100))*(F2233/100)</f>
        <v/>
      </c>
      <c r="K2233">
        <f>J2233*(1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2242=TRUE,F2242,0)/100)*(1+(IF(Skills!A6="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2233)</f>
        <v/>
      </c>
      <c r="L2233">
        <f>K2233*(MIN(Inputs!$B$22+((C2249=TRUE)*(F2249-Calc!F22)),(Inputs!$B$23+0+(IF(ArtifactsInput!$M$15,CHOOSE(ArtifactsInput!$N$15+1,25,30,35,40,45,50)/100*(Inputs!$B$11-Inputs!$B$11),0))))/100+(Inputs!$B$23+0+(IF(ArtifactsInput!$M$15,CHOOSE(ArtifactsInput!$N$15+1,25,30,35,40,45,50)/100*(Inputs!$B$11-Inputs!$B$11),0)))/100)/2</f>
        <v/>
      </c>
      <c r="M2233">
        <f>L2233*(1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3">
        <f>L2233*(1-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2233*(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3">
        <f>(1-Summary!$B$11)*T2233+Summary!$B$11*V2233</f>
        <v/>
      </c>
      <c r="P2233">
        <f>IF(B2268=0,0,O2233/B2268)</f>
        <v/>
      </c>
      <c r="Q2233">
        <f>IFERROR(1/(IF(Inputs!$B$38="pvp",15,MAX(0.1,Skills!D6-IF(Skills!E6=TRUE,Inputs!$B$32,0)))*(1-IF(AND(ArtifactsInput!$M$27,Inputs!$B$4="Chapter Hunt"),CHOOSE(ArtifactsInput!$N$27+1,20,24,28,32,36,40),0)/100)),0)</f>
        <v/>
      </c>
      <c r="R2233">
        <f>IF(AND(Inputs!$B$38&lt;&gt;"pvp",Inputs!$B$43&gt;0),IF(MAX(0,Inputs!$B$43-B2265)&lt;=0,0,(INT(MAX(0,Inputs!$B$43-B2265)/(IF(Inputs!$B$38="pvp",15,MAX(0.1,Skills!D6-IF(Skills!E6=TRUE,Inputs!$B$32,0)))*(1-IF(AND(ArtifactsInput!$M$27,Inputs!$B$4="Chapter Hunt"),CHOOSE(ArtifactsInput!$N$27+1,20,24,28,32,36,40),0)/100)))+1)),0)</f>
        <v/>
      </c>
      <c r="S2233">
        <f>IFERROR(O2233/N2233,0)</f>
        <v/>
      </c>
      <c r="T2233">
        <f>IF(C2233,(H2233*N2233*IF(AND(Inputs!$B$38&lt;&gt;"pvp",Inputs!$B$43&gt;0),((Skills!G6*((R2233-1)*IF(Skills!H6&gt;0,Skills!I6/Skills!H6,1)+IF(Skills!H6&gt;0,MIN(Skills!I6,MAX(0,MAX(0,Inputs!$B$43-B2265)-((R2233-1)*(IF(Inputs!$B$38="pvp",15,MAX(0.1,Skills!D6-IF(Skills!E6=TRUE,Inputs!$B$32,0)))*(1-IF(AND(ArtifactsInput!$M$27,Inputs!$B$4="Chapter Hunt"),CHOOSE(ArtifactsInput!$N$27+1,20,24,28,32,36,40),0)/100)))))/Skills!H6,1)))/Inputs!$B$43),G2233*Q2233)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2233*(1-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2233*(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2233*(1-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2233*(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3">
        <f>IF(C2233,(H2233*N2233*IF(AND(Inputs!$B$38&lt;&gt;"pvp",Inputs!$B$43&gt;0),((Skills!G6*((R2233-1)*IF(Skills!H6&gt;0,Skills!I6/Skills!H6,1)+IF(Skills!H6&gt;0,MIN(Skills!I6,MAX(0,MAX(0,Inputs!$B$43-B2265)-((R2233-1)*(IF(Inputs!$B$38="pvp",15,MAX(0.1,Skills!D6-IF(Skills!E6=TRUE,Inputs!$B$32,0)))*(1-IF(AND(ArtifactsInput!$M$27,Inputs!$B$4="Chapter Hunt"),CHOOSE(ArtifactsInput!$N$27+1,20,24,28,32,36,40),0)/100)))))/Skills!H6,1)))/Inputs!$B$43),G2233*Q2233))*IF(Inputs!$B$38="pvp",1,(1+(Inputs!$B$21+Skills!Q6+(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4">
      <c r="A2234">
        <f>Skills!A7</f>
        <v/>
      </c>
      <c r="B2234">
        <f>Skills!B7</f>
        <v/>
      </c>
      <c r="C2234">
        <f>Inputs!$B$3&gt;=66</f>
        <v/>
      </c>
      <c r="D2234">
        <f>IF(Skills!C7=1,60+Inputs!$B$25+Inputs!$B$29,IF(Skills!C7=2,90+Inputs!$B$26+Inputs!$B$29,IF(Skills!C7=3,120+Inputs!$B$27+Inputs!$B$29,MAX(0,(Inputs!$B$3-100)*3)+Inputs!$B$28+Inputs!$B$29)))</f>
        <v/>
      </c>
      <c r="E2234">
        <f>INDEX(FactorTable!$B$2:$Y$301, MATCH(ROUND(MIN(300,MAX(1,D2234)),0), FactorTable!$A$2:$A$301,0), Skills!M7+1)</f>
        <v/>
      </c>
      <c r="F2234">
        <f>IF(Skills!N7=TRUE,(Skills!L7/10)*(E2234/1000),Skills!L7/10)+Skills!O7</f>
        <v/>
      </c>
      <c r="G2234">
        <f>Skills!G7*IF(Skills!H7&gt;0,Skills!I7/Skills!H7,1)</f>
        <v/>
      </c>
      <c r="H2234">
        <f>1-(1-Skills!J7/100)^Skills!K7</f>
        <v/>
      </c>
      <c r="I2234" t="inlineStr">
        <is>
          <t>1</t>
        </is>
      </c>
      <c r="J2234">
        <f>((Inputs!$B$6*(1+Inputs!$B$7/100))+(((Inputs!$B$12*(1+Inputs!$B$13/100))-(Inputs!$B$12*(1+Inputs!$B$13/100)))+0.25*(Inputs!$B$14-Inputs!$B$14))*(1+Inputs!$B$7/100))*(F2234/100)</f>
        <v/>
      </c>
      <c r="K2234">
        <f>J2234*(1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2242=TRUE,F2242,0)/100)*(1+(IF(Skills!A7="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2234)</f>
        <v/>
      </c>
      <c r="L2234">
        <f>K2234*(MIN(Inputs!$B$22+((C2249=TRUE)*(F2249-Calc!F22)),(Inputs!$B$23+0+(IF(ArtifactsInput!$M$15,CHOOSE(ArtifactsInput!$N$15+1,25,30,35,40,45,50)/100*(Inputs!$B$11-Inputs!$B$11),0))))/100+(Inputs!$B$23+0+(IF(ArtifactsInput!$M$15,CHOOSE(ArtifactsInput!$N$15+1,25,30,35,40,45,50)/100*(Inputs!$B$11-Inputs!$B$11),0)))/100)/2</f>
        <v/>
      </c>
      <c r="M2234">
        <f>L2234*(1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4">
        <f>L2234*(1-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2234*(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4">
        <f>(1-Summary!$B$11)*T2234+Summary!$B$11*V2234</f>
        <v/>
      </c>
      <c r="P2234">
        <f>IF(B2268=0,0,O2234/B2268)</f>
        <v/>
      </c>
      <c r="Q2234">
        <f>IFERROR(1/(IF(Inputs!$B$38="pvp",15,MAX(0.1,Skills!D7-IF(Skills!E7=TRUE,Inputs!$B$32,0)))*(1-IF(AND(ArtifactsInput!$M$27,Inputs!$B$4="Chapter Hunt"),CHOOSE(ArtifactsInput!$N$27+1,20,24,28,32,36,40),0)/100)),0)</f>
        <v/>
      </c>
      <c r="R2234">
        <f>IF(AND(Inputs!$B$38&lt;&gt;"pvp",Inputs!$B$43&gt;0),IF(MAX(0,Inputs!$B$43-B2265)&lt;=0,0,(INT(MAX(0,Inputs!$B$43-B2265)/(IF(Inputs!$B$38="pvp",15,MAX(0.1,Skills!D7-IF(Skills!E7=TRUE,Inputs!$B$32,0)))*(1-IF(AND(ArtifactsInput!$M$27,Inputs!$B$4="Chapter Hunt"),CHOOSE(ArtifactsInput!$N$27+1,20,24,28,32,36,40),0)/100)))+1)),0)</f>
        <v/>
      </c>
      <c r="S2234">
        <f>IFERROR(O2234/N2234,0)</f>
        <v/>
      </c>
      <c r="T2234">
        <f>IF(C2234,(H2234*N2234*IF(AND(Inputs!$B$38&lt;&gt;"pvp",Inputs!$B$43&gt;0),((Skills!G7*((R2234-1)*IF(Skills!H7&gt;0,Skills!I7/Skills!H7,1)+IF(Skills!H7&gt;0,MIN(Skills!I7,MAX(0,MAX(0,Inputs!$B$43-B2265)-((R2234-1)*(IF(Inputs!$B$38="pvp",15,MAX(0.1,Skills!D7-IF(Skills!E7=TRUE,Inputs!$B$32,0)))*(1-IF(AND(ArtifactsInput!$M$27,Inputs!$B$4="Chapter Hunt"),CHOOSE(ArtifactsInput!$N$27+1,20,24,28,32,36,40),0)/100)))))/Skills!H7,1)))/Inputs!$B$43),G2234*Q2234)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2234*(1-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2234*(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2234*(1-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2234*(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4">
        <f>IF(C2234,(H2234*N2234*IF(AND(Inputs!$B$38&lt;&gt;"pvp",Inputs!$B$43&gt;0),((Skills!G7*((R2234-1)*IF(Skills!H7&gt;0,Skills!I7/Skills!H7,1)+IF(Skills!H7&gt;0,MIN(Skills!I7,MAX(0,MAX(0,Inputs!$B$43-B2265)-((R2234-1)*(IF(Inputs!$B$38="pvp",15,MAX(0.1,Skills!D7-IF(Skills!E7=TRUE,Inputs!$B$32,0)))*(1-IF(AND(ArtifactsInput!$M$27,Inputs!$B$4="Chapter Hunt"),CHOOSE(ArtifactsInput!$N$27+1,20,24,28,32,36,40),0)/100)))))/Skills!H7,1)))/Inputs!$B$43),G2234*Q2234))*IF(Inputs!$B$38="pvp",1,(1+(Inputs!$B$21+Skills!Q7+(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5">
      <c r="A2235">
        <f>Skills!A8</f>
        <v/>
      </c>
      <c r="B2235">
        <f>Skills!B8</f>
        <v/>
      </c>
      <c r="C2235">
        <f>Inputs!$B$3&gt;=100</f>
        <v/>
      </c>
      <c r="D2235">
        <f>IF(Skills!C8=1,60+Inputs!$B$25+Inputs!$B$29,IF(Skills!C8=2,90+Inputs!$B$26+Inputs!$B$29,IF(Skills!C8=3,120+Inputs!$B$27+Inputs!$B$29,MAX(0,(Inputs!$B$3-100)*3)+Inputs!$B$28+Inputs!$B$29)))</f>
        <v/>
      </c>
      <c r="E2235">
        <f>INDEX(FactorTable!$B$2:$Y$301, MATCH(ROUND(MIN(300,MAX(1,D2235)),0), FactorTable!$A$2:$A$301,0), Skills!M8+1)</f>
        <v/>
      </c>
      <c r="F2235">
        <f>IF(Skills!N8=TRUE,(Skills!L8/10)*(E2235/1000),Skills!L8/10)+Skills!O8</f>
        <v/>
      </c>
      <c r="G2235">
        <f>Skills!G8*IF(Skills!H8&gt;0,Skills!I8/Skills!H8,1)</f>
        <v/>
      </c>
      <c r="H2235">
        <f>1-(1-Skills!J8/100)^Skills!K8</f>
        <v/>
      </c>
      <c r="I2235" t="inlineStr">
        <is>
          <t>1</t>
        </is>
      </c>
      <c r="J2235">
        <f>((Inputs!$B$6*(1+Inputs!$B$7/100))+(((Inputs!$B$12*(1+Inputs!$B$13/100))-(Inputs!$B$12*(1+Inputs!$B$13/100)))+0.25*(Inputs!$B$14-Inputs!$B$14))*(1+Inputs!$B$7/100))*(F2235/100)</f>
        <v/>
      </c>
      <c r="K2235">
        <f>J2235*(1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2235)</f>
        <v/>
      </c>
      <c r="L2235">
        <f>K2235*(MIN(Inputs!$B$22+((C2249=TRUE)*(F2249-Calc!F22)),(Inputs!$B$23+0+(IF(ArtifactsInput!$M$15,CHOOSE(ArtifactsInput!$N$15+1,25,30,35,40,45,50)/100*(Inputs!$B$11-Inputs!$B$11),0))))/100+(Inputs!$B$23+0+(IF(ArtifactsInput!$M$15,CHOOSE(ArtifactsInput!$N$15+1,25,30,35,40,45,50)/100*(Inputs!$B$11-Inputs!$B$11),0)))/100)/2</f>
        <v/>
      </c>
      <c r="M2235">
        <f>L2235*(1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5">
        <f>L2235*(1-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2235*(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5">
        <f>(1-Summary!$B$11)*T2235+Summary!$B$11*V2235</f>
        <v/>
      </c>
      <c r="P2235">
        <f>IF(B2268=0,0,O2235/B2268)</f>
        <v/>
      </c>
      <c r="Q2235">
        <f>IFERROR(1/(IF(Inputs!$B$38="pvp",15,MAX(0.1,Skills!D8-IF(Skills!E8=TRUE,Inputs!$B$32,0)))*(1-IF(AND(ArtifactsInput!$M$27,Inputs!$B$4="Chapter Hunt"),CHOOSE(ArtifactsInput!$N$27+1,20,24,28,32,36,40),0)/100)),0)</f>
        <v/>
      </c>
      <c r="R2235">
        <f>IF(AND(Inputs!$B$38&lt;&gt;"pvp",Inputs!$B$43&gt;0),IF(MAX(0,Inputs!$B$43-B2265)&lt;=0,0,(INT(MAX(0,Inputs!$B$43-B2265)/(IF(Inputs!$B$38="pvp",15,MAX(0.1,Skills!D8-IF(Skills!E8=TRUE,Inputs!$B$32,0)))*(1-IF(AND(ArtifactsInput!$M$27,Inputs!$B$4="Chapter Hunt"),CHOOSE(ArtifactsInput!$N$27+1,20,24,28,32,36,40),0)/100)))+1)),0)</f>
        <v/>
      </c>
      <c r="S2235">
        <f>IFERROR(O2235/N2235,0)</f>
        <v/>
      </c>
      <c r="T2235">
        <f>IF(C2235,(H2235*N2235*IF(AND(Inputs!$B$38&lt;&gt;"pvp",Inputs!$B$43&gt;0),((Skills!G8*((R2235-1)*IF(Skills!H8&gt;0,Skills!I8/Skills!H8,1)+IF(Skills!H8&gt;0,MIN(Skills!I8,MAX(0,MAX(0,Inputs!$B$43-B2265)-((R2235-1)*(IF(Inputs!$B$38="pvp",15,MAX(0.1,Skills!D8-IF(Skills!E8=TRUE,Inputs!$B$32,0)))*(1-IF(AND(ArtifactsInput!$M$27,Inputs!$B$4="Chapter Hunt"),CHOOSE(ArtifactsInput!$N$27+1,20,24,28,32,36,40),0)/100)))))/Skills!H8,1)))/Inputs!$B$43),G2235*Q2235)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2235*(1-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2235*(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2235*(1-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2235*(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5">
        <f>IF(C2235,(H2235*N2235*IF(AND(Inputs!$B$38&lt;&gt;"pvp",Inputs!$B$43&gt;0),((Skills!G8*((R2235-1)*IF(Skills!H8&gt;0,Skills!I8/Skills!H8,1)+IF(Skills!H8&gt;0,MIN(Skills!I8,MAX(0,MAX(0,Inputs!$B$43-B2265)-((R2235-1)*(IF(Inputs!$B$38="pvp",15,MAX(0.1,Skills!D8-IF(Skills!E8=TRUE,Inputs!$B$32,0)))*(1-IF(AND(ArtifactsInput!$M$27,Inputs!$B$4="Chapter Hunt"),CHOOSE(ArtifactsInput!$N$27+1,20,24,28,32,36,40),0)/100)))))/Skills!H8,1)))/Inputs!$B$43),G2235*Q2235))*IF(Inputs!$B$38="pvp",1,(1+(Inputs!$B$21+Skills!Q8+(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6">
      <c r="A2236">
        <f>Skills!A9</f>
        <v/>
      </c>
      <c r="B2236">
        <f>Skills!B9</f>
        <v/>
      </c>
      <c r="C2236">
        <f>Inputs!$B$3&gt;=103</f>
        <v/>
      </c>
      <c r="D2236">
        <f>IF(Skills!C9=1,60+Inputs!$B$25+Inputs!$B$29,IF(Skills!C9=2,90+Inputs!$B$26+Inputs!$B$29,IF(Skills!C9=3,120+Inputs!$B$27+Inputs!$B$29,MAX(0,(Inputs!$B$3-100)*3)+Inputs!$B$28+Inputs!$B$29)))</f>
        <v/>
      </c>
      <c r="E2236">
        <f>INDEX(FactorTable!$B$2:$Y$301, MATCH(ROUND(MIN(300,MAX(1,D2236)),0), FactorTable!$A$2:$A$301,0), Skills!M9+1)</f>
        <v/>
      </c>
      <c r="F2236">
        <f>IF(Skills!N9=TRUE,(Skills!L9/10)*(E2236/1000),Skills!L9/10)+Skills!O9</f>
        <v/>
      </c>
      <c r="G2236">
        <f>Skills!G9*IF(Skills!H9&gt;0,Skills!I9/Skills!H9,1)</f>
        <v/>
      </c>
      <c r="H2236">
        <f>1-(1-Skills!J9/100)^Skills!K9</f>
        <v/>
      </c>
      <c r="I2236" t="inlineStr">
        <is>
          <t>1</t>
        </is>
      </c>
      <c r="J2236">
        <f>((Inputs!$B$6*(1+Inputs!$B$7/100))+(((Inputs!$B$12*(1+Inputs!$B$13/100))-(Inputs!$B$12*(1+Inputs!$B$13/100)))+0.25*(Inputs!$B$14-Inputs!$B$14))*(1+Inputs!$B$7/100))*(F2236/100)</f>
        <v/>
      </c>
      <c r="K2236">
        <f>J2236*(1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2236)</f>
        <v/>
      </c>
      <c r="L2236">
        <f>K2236*(MIN(Inputs!$B$22+((C2249=TRUE)*(F2249-Calc!F22)),(Inputs!$B$23+0+(IF(ArtifactsInput!$M$15,CHOOSE(ArtifactsInput!$N$15+1,25,30,35,40,45,50)/100*(Inputs!$B$11-Inputs!$B$11),0))))/100+(Inputs!$B$23+0+(IF(ArtifactsInput!$M$15,CHOOSE(ArtifactsInput!$N$15+1,25,30,35,40,45,50)/100*(Inputs!$B$11-Inputs!$B$11),0)))/100)/2</f>
        <v/>
      </c>
      <c r="M2236">
        <f>L2236*(1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6">
        <f>L2236*(1-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2236*(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6">
        <f>(1-Summary!$B$11)*T2236+Summary!$B$11*V2236</f>
        <v/>
      </c>
      <c r="P2236">
        <f>IF(B2268=0,0,O2236/B2268)</f>
        <v/>
      </c>
      <c r="Q2236">
        <f>IFERROR(1/(IF(Inputs!$B$38="pvp",15,MAX(0.1,Skills!D9-IF(Skills!E9=TRUE,Inputs!$B$32,0)))*(1-IF(AND(ArtifactsInput!$M$27,Inputs!$B$4="Chapter Hunt"),CHOOSE(ArtifactsInput!$N$27+1,20,24,28,32,36,40),0)/100)),0)</f>
        <v/>
      </c>
      <c r="R2236">
        <f>IF(AND(Inputs!$B$38&lt;&gt;"pvp",Inputs!$B$43&gt;0),IF(MAX(0,Inputs!$B$43-B2265)&lt;=0,0,(INT(MAX(0,Inputs!$B$43-B2265)/(IF(Inputs!$B$38="pvp",15,MAX(0.1,Skills!D9-IF(Skills!E9=TRUE,Inputs!$B$32,0)))*(1-IF(AND(ArtifactsInput!$M$27,Inputs!$B$4="Chapter Hunt"),CHOOSE(ArtifactsInput!$N$27+1,20,24,28,32,36,40),0)/100)))+1)),0)</f>
        <v/>
      </c>
      <c r="S2236">
        <f>IFERROR(O2236/N2236,0)</f>
        <v/>
      </c>
      <c r="T2236">
        <f>IF(C2236,(H2236*N2236*IF(AND(Inputs!$B$38&lt;&gt;"pvp",Inputs!$B$43&gt;0),((Skills!G9*((R2236-1)*IF(Skills!H9&gt;0,Skills!I9/Skills!H9,1)+IF(Skills!H9&gt;0,MIN(Skills!I9,MAX(0,MAX(0,Inputs!$B$43-B2265)-((R2236-1)*(IF(Inputs!$B$38="pvp",15,MAX(0.1,Skills!D9-IF(Skills!E9=TRUE,Inputs!$B$32,0)))*(1-IF(AND(ArtifactsInput!$M$27,Inputs!$B$4="Chapter Hunt"),CHOOSE(ArtifactsInput!$N$27+1,20,24,28,32,36,40),0)/100)))))/Skills!H9,1)))/Inputs!$B$43),G2236*Q2236)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2236*(1-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2236*(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2236*(1-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2236*(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6">
        <f>IF(C2236,(H2236*N2236*IF(AND(Inputs!$B$38&lt;&gt;"pvp",Inputs!$B$43&gt;0),((Skills!G9*((R2236-1)*IF(Skills!H9&gt;0,Skills!I9/Skills!H9,1)+IF(Skills!H9&gt;0,MIN(Skills!I9,MAX(0,MAX(0,Inputs!$B$43-B2265)-((R2236-1)*(IF(Inputs!$B$38="pvp",15,MAX(0.1,Skills!D9-IF(Skills!E9=TRUE,Inputs!$B$32,0)))*(1-IF(AND(ArtifactsInput!$M$27,Inputs!$B$4="Chapter Hunt"),CHOOSE(ArtifactsInput!$N$27+1,20,24,28,32,36,40),0)/100)))))/Skills!H9,1)))/Inputs!$B$43),G2236*Q2236))*IF(Inputs!$B$38="pvp",1,(1+(Inputs!$B$21+Skills!Q9+(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7">
      <c r="A2237">
        <f>Skills!A10</f>
        <v/>
      </c>
      <c r="B2237">
        <f>Skills!B10</f>
        <v/>
      </c>
      <c r="C2237">
        <f>Inputs!$B$3&gt;=113</f>
        <v/>
      </c>
      <c r="D2237">
        <f>IF(Skills!C10=1,60+Inputs!$B$25+Inputs!$B$29,IF(Skills!C10=2,90+Inputs!$B$26+Inputs!$B$29,IF(Skills!C10=3,120+Inputs!$B$27+Inputs!$B$29,MAX(0,(Inputs!$B$3-100)*3)+Inputs!$B$28+Inputs!$B$29)))</f>
        <v/>
      </c>
      <c r="E2237">
        <f>INDEX(FactorTable!$B$2:$Y$301, MATCH(ROUND(MIN(300,MAX(1,D2237)),0), FactorTable!$A$2:$A$301,0), Skills!M10+1)</f>
        <v/>
      </c>
      <c r="F2237">
        <f>IF(Skills!N10=TRUE,(Skills!L10/10)*(E2237/1000),Skills!L10/10)+Skills!O10</f>
        <v/>
      </c>
      <c r="G2237">
        <f>Skills!G10*IF(Skills!H10&gt;0,Skills!I10/Skills!H10,1)</f>
        <v/>
      </c>
      <c r="H2237">
        <f>1-(1-Skills!J10/100)^Skills!K10</f>
        <v/>
      </c>
      <c r="I2237" t="inlineStr">
        <is>
          <t>1</t>
        </is>
      </c>
      <c r="J2237">
        <f>((Inputs!$B$6*(1+Inputs!$B$7/100))+(((Inputs!$B$12*(1+Inputs!$B$13/100))-(Inputs!$B$12*(1+Inputs!$B$13/100)))+0.25*(Inputs!$B$14-Inputs!$B$14))*(1+Inputs!$B$7/100))*(F2237/100)</f>
        <v/>
      </c>
      <c r="K2237">
        <f>J2237*(1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2237)</f>
        <v/>
      </c>
      <c r="L2237">
        <f>K2237*(MIN(Inputs!$B$22+((C2249=TRUE)*(F2249-Calc!F22)),(Inputs!$B$23+0+(IF(ArtifactsInput!$M$15,CHOOSE(ArtifactsInput!$N$15+1,25,30,35,40,45,50)/100*(Inputs!$B$11-Inputs!$B$11),0))))/100+(Inputs!$B$23+0+(IF(ArtifactsInput!$M$15,CHOOSE(ArtifactsInput!$N$15+1,25,30,35,40,45,50)/100*(Inputs!$B$11-Inputs!$B$11),0)))/100)/2</f>
        <v/>
      </c>
      <c r="M2237">
        <f>L2237*(1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7">
        <f>L2237*(1-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2237*(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7">
        <f>(1-Summary!$B$11)*T2237+Summary!$B$11*V2237</f>
        <v/>
      </c>
      <c r="P2237">
        <f>IF(B2268=0,0,O2237/B2268)</f>
        <v/>
      </c>
      <c r="Q2237">
        <f>IFERROR(1/(IF(Inputs!$B$38="pvp",15,MAX(0.1,Skills!D10-IF(Skills!E10=TRUE,Inputs!$B$32,0)))*(1-IF(AND(ArtifactsInput!$M$27,Inputs!$B$4="Chapter Hunt"),CHOOSE(ArtifactsInput!$N$27+1,20,24,28,32,36,40),0)/100)),0)</f>
        <v/>
      </c>
      <c r="R2237">
        <f>IF(AND(Inputs!$B$38&lt;&gt;"pvp",Inputs!$B$43&gt;0),IF(MAX(0,Inputs!$B$43-B2265)&lt;=0,0,(INT(MAX(0,Inputs!$B$43-B2265)/(IF(Inputs!$B$38="pvp",15,MAX(0.1,Skills!D10-IF(Skills!E10=TRUE,Inputs!$B$32,0)))*(1-IF(AND(ArtifactsInput!$M$27,Inputs!$B$4="Chapter Hunt"),CHOOSE(ArtifactsInput!$N$27+1,20,24,28,32,36,40),0)/100)))+1)),0)</f>
        <v/>
      </c>
      <c r="S2237">
        <f>IFERROR(O2237/N2237,0)</f>
        <v/>
      </c>
      <c r="T2237">
        <f>IF(C2237,(H2237*N2237*IF(AND(Inputs!$B$38&lt;&gt;"pvp",Inputs!$B$43&gt;0),((Skills!G10*((R2237-1)*IF(Skills!H10&gt;0,Skills!I10/Skills!H10,1)+IF(Skills!H10&gt;0,MIN(Skills!I10,MAX(0,MAX(0,Inputs!$B$43-B2265)-((R2237-1)*(IF(Inputs!$B$38="pvp",15,MAX(0.1,Skills!D10-IF(Skills!E10=TRUE,Inputs!$B$32,0)))*(1-IF(AND(ArtifactsInput!$M$27,Inputs!$B$4="Chapter Hunt"),CHOOSE(ArtifactsInput!$N$27+1,20,24,28,32,36,40),0)/100)))))/Skills!H10,1)))/Inputs!$B$43),G2237*Q2237)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2237*(1-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2237*(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2237*(1-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2237*(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7">
        <f>IF(C2237,(H2237*N2237*IF(AND(Inputs!$B$38&lt;&gt;"pvp",Inputs!$B$43&gt;0),((Skills!G10*((R2237-1)*IF(Skills!H10&gt;0,Skills!I10/Skills!H10,1)+IF(Skills!H10&gt;0,MIN(Skills!I10,MAX(0,MAX(0,Inputs!$B$43-B2265)-((R2237-1)*(IF(Inputs!$B$38="pvp",15,MAX(0.1,Skills!D10-IF(Skills!E10=TRUE,Inputs!$B$32,0)))*(1-IF(AND(ArtifactsInput!$M$27,Inputs!$B$4="Chapter Hunt"),CHOOSE(ArtifactsInput!$N$27+1,20,24,28,32,36,40),0)/100)))))/Skills!H10,1)))/Inputs!$B$43),G2237*Q2237))*IF(Inputs!$B$38="pvp",1,(1+(Inputs!$B$21+Skills!Q10+(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8">
      <c r="A2238">
        <f>Skills!A11</f>
        <v/>
      </c>
      <c r="B2238">
        <f>Skills!B11</f>
        <v/>
      </c>
      <c r="C2238">
        <f>Inputs!$B$3&gt;=107</f>
        <v/>
      </c>
      <c r="D2238">
        <f>IF(Skills!C11=1,60+Inputs!$B$25+Inputs!$B$29,IF(Skills!C11=2,90+Inputs!$B$26+Inputs!$B$29,IF(Skills!C11=3,120+Inputs!$B$27+Inputs!$B$29,MAX(0,(Inputs!$B$3-100)*3)+Inputs!$B$28+Inputs!$B$29)))</f>
        <v/>
      </c>
      <c r="E2238">
        <f>INDEX(FactorTable!$B$2:$Y$301, MATCH(ROUND(MIN(300,MAX(1,D2238)),0), FactorTable!$A$2:$A$301,0), Skills!M11+1)</f>
        <v/>
      </c>
      <c r="F2238">
        <f>IF(Skills!N11=TRUE,(Skills!L11/10)*(E2238/1000),Skills!L11/10)+Skills!O11</f>
        <v/>
      </c>
      <c r="G2238">
        <f>Skills!G11*IF(Skills!H11&gt;0,Skills!I11/Skills!H11,1)</f>
        <v/>
      </c>
      <c r="H2238">
        <f>1-(1-Skills!J11/100)^Skills!K11</f>
        <v/>
      </c>
      <c r="I2238" t="inlineStr">
        <is>
          <t>1</t>
        </is>
      </c>
      <c r="J2238">
        <f>((Inputs!$B$6*(1+Inputs!$B$7/100))+(((Inputs!$B$12*(1+Inputs!$B$13/100))-(Inputs!$B$12*(1+Inputs!$B$13/100)))+0.25*(Inputs!$B$14-Inputs!$B$14))*(1+Inputs!$B$7/100))*(F2238/100)</f>
        <v/>
      </c>
      <c r="K2238">
        <f>J2238*(1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2238)</f>
        <v/>
      </c>
      <c r="L2238">
        <f>K2238*(MIN(Inputs!$B$22+((C2249=TRUE)*(F2249-Calc!F22)),(Inputs!$B$23+0+(IF(ArtifactsInput!$M$15,CHOOSE(ArtifactsInput!$N$15+1,25,30,35,40,45,50)/100*(Inputs!$B$11-Inputs!$B$11),0))))/100+(Inputs!$B$23+0+(IF(ArtifactsInput!$M$15,CHOOSE(ArtifactsInput!$N$15+1,25,30,35,40,45,50)/100*(Inputs!$B$11-Inputs!$B$11),0)))/100)/2</f>
        <v/>
      </c>
      <c r="M2238">
        <f>L2238*(1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8">
        <f>L2238*(1-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2238*(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8">
        <f>(1-Summary!$B$11)*T2238+Summary!$B$11*V2238</f>
        <v/>
      </c>
      <c r="P2238">
        <f>IF(B2268=0,0,O2238/B2268)</f>
        <v/>
      </c>
      <c r="Q2238">
        <f>IFERROR(1/(IF(Inputs!$B$38="pvp",15,MAX(0.1,Skills!D11-IF(Skills!E11=TRUE,Inputs!$B$32,0)))*(1-IF(AND(ArtifactsInput!$M$27,Inputs!$B$4="Chapter Hunt"),CHOOSE(ArtifactsInput!$N$27+1,20,24,28,32,36,40),0)/100)),0)</f>
        <v/>
      </c>
      <c r="R2238">
        <f>IF(AND(Inputs!$B$38&lt;&gt;"pvp",Inputs!$B$43&gt;0),IF(MAX(0,Inputs!$B$43-B2265)&lt;=0,0,(INT(MAX(0,Inputs!$B$43-B2265)/(IF(Inputs!$B$38="pvp",15,MAX(0.1,Skills!D11-IF(Skills!E11=TRUE,Inputs!$B$32,0)))*(1-IF(AND(ArtifactsInput!$M$27,Inputs!$B$4="Chapter Hunt"),CHOOSE(ArtifactsInput!$N$27+1,20,24,28,32,36,40),0)/100)))+1)),0)</f>
        <v/>
      </c>
      <c r="S2238">
        <f>IFERROR(O2238/N2238,0)</f>
        <v/>
      </c>
      <c r="T2238">
        <f>IF(C2238,(H2238*N2238*IF(AND(Inputs!$B$38&lt;&gt;"pvp",Inputs!$B$43&gt;0),((Skills!G11*((R2238-1)*IF(Skills!H11&gt;0,Skills!I11/Skills!H11,1)+IF(Skills!H11&gt;0,MIN(Skills!I11,MAX(0,MAX(0,Inputs!$B$43-B2265)-((R2238-1)*(IF(Inputs!$B$38="pvp",15,MAX(0.1,Skills!D11-IF(Skills!E11=TRUE,Inputs!$B$32,0)))*(1-IF(AND(ArtifactsInput!$M$27,Inputs!$B$4="Chapter Hunt"),CHOOSE(ArtifactsInput!$N$27+1,20,24,28,32,36,40),0)/100)))))/Skills!H11,1)))/Inputs!$B$43),G2238*Q2238)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2238*(1-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2238*(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2238*(1-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2238*(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8">
        <f>IF(C2238,(H2238*N2238*IF(AND(Inputs!$B$38&lt;&gt;"pvp",Inputs!$B$43&gt;0),((Skills!G11*((R2238-1)*IF(Skills!H11&gt;0,Skills!I11/Skills!H11,1)+IF(Skills!H11&gt;0,MIN(Skills!I11,MAX(0,MAX(0,Inputs!$B$43-B2265)-((R2238-1)*(IF(Inputs!$B$38="pvp",15,MAX(0.1,Skills!D11-IF(Skills!E11=TRUE,Inputs!$B$32,0)))*(1-IF(AND(ArtifactsInput!$M$27,Inputs!$B$4="Chapter Hunt"),CHOOSE(ArtifactsInput!$N$27+1,20,24,28,32,36,40),0)/100)))))/Skills!H11,1)))/Inputs!$B$43),G2238*Q2238))*IF(Inputs!$B$38="pvp",1,(1+(Inputs!$B$21+Skills!Q11+(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9">
      <c r="A2239">
        <f>Skills!A12</f>
        <v/>
      </c>
      <c r="B2239">
        <f>Skills!B12</f>
        <v/>
      </c>
      <c r="C2239">
        <f>Inputs!$B$3&gt;=110</f>
        <v/>
      </c>
      <c r="D2239">
        <f>IF(Skills!C12=1,60+Inputs!$B$25+Inputs!$B$29,IF(Skills!C12=2,90+Inputs!$B$26+Inputs!$B$29,IF(Skills!C12=3,120+Inputs!$B$27+Inputs!$B$29,MAX(0,(Inputs!$B$3-100)*3)+Inputs!$B$28+Inputs!$B$29)))</f>
        <v/>
      </c>
      <c r="E2239">
        <f>INDEX(FactorTable!$B$2:$Y$301, MATCH(ROUND(MIN(300,MAX(1,D2239)),0), FactorTable!$A$2:$A$301,0), Skills!M12+1)</f>
        <v/>
      </c>
      <c r="F2239">
        <f>IF(Skills!N12=TRUE,(Skills!L12/10)*(E2239/1000),Skills!L12/10)+Skills!O12</f>
        <v/>
      </c>
      <c r="G2239">
        <f>Skills!G12*IF(Skills!H12&gt;0,Skills!I12/Skills!H12,1)</f>
        <v/>
      </c>
      <c r="H2239">
        <f>1-(1-Skills!J12/100)^Skills!K12</f>
        <v/>
      </c>
      <c r="I2239" t="inlineStr">
        <is>
          <t>1</t>
        </is>
      </c>
      <c r="J2239">
        <f>((Inputs!$B$6*(1+Inputs!$B$7/100))+(((Inputs!$B$12*(1+Inputs!$B$13/100))-(Inputs!$B$12*(1+Inputs!$B$13/100)))+0.25*(Inputs!$B$14-Inputs!$B$14))*(1+Inputs!$B$7/100))*(F2239/100)</f>
        <v/>
      </c>
      <c r="K2239">
        <f>J2239*(1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2239)</f>
        <v/>
      </c>
      <c r="L2239">
        <f>K2239*(MIN(Inputs!$B$22+((C2249=TRUE)*(F2249-Calc!F22)),(Inputs!$B$23+0+(IF(ArtifactsInput!$M$15,CHOOSE(ArtifactsInput!$N$15+1,25,30,35,40,45,50)/100*(Inputs!$B$11-Inputs!$B$11),0))))/100+(Inputs!$B$23+0+(IF(ArtifactsInput!$M$15,CHOOSE(ArtifactsInput!$N$15+1,25,30,35,40,45,50)/100*(Inputs!$B$11-Inputs!$B$11),0)))/100)/2</f>
        <v/>
      </c>
      <c r="M2239">
        <f>L2239*(1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9">
        <f>L2239*(1-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2239*(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9">
        <f>(1-Summary!$B$11)*T2239+Summary!$B$11*V2239</f>
        <v/>
      </c>
      <c r="P2239">
        <f>IF(B2268=0,0,O2239/B2268)</f>
        <v/>
      </c>
      <c r="Q2239">
        <f>IFERROR(1/(IF(Inputs!$B$38="pvp",15,MAX(0.1,Skills!D12-IF(Skills!E12=TRUE,Inputs!$B$32,0)))*(1-IF(AND(ArtifactsInput!$M$27,Inputs!$B$4="Chapter Hunt"),CHOOSE(ArtifactsInput!$N$27+1,20,24,28,32,36,40),0)/100)),0)</f>
        <v/>
      </c>
      <c r="R2239">
        <f>IF(AND(Inputs!$B$38&lt;&gt;"pvp",Inputs!$B$43&gt;0),IF(MAX(0,Inputs!$B$43-B2265)&lt;=0,0,(INT(MAX(0,Inputs!$B$43-B2265)/(IF(Inputs!$B$38="pvp",15,MAX(0.1,Skills!D12-IF(Skills!E12=TRUE,Inputs!$B$32,0)))*(1-IF(AND(ArtifactsInput!$M$27,Inputs!$B$4="Chapter Hunt"),CHOOSE(ArtifactsInput!$N$27+1,20,24,28,32,36,40),0)/100)))+1)),0)</f>
        <v/>
      </c>
      <c r="S2239">
        <f>IFERROR(O2239/N2239,0)</f>
        <v/>
      </c>
      <c r="T2239">
        <f>IF(C2239,(H2239*N2239*IF(AND(Inputs!$B$38&lt;&gt;"pvp",Inputs!$B$43&gt;0),((Skills!G12*((R2239-1)*IF(Skills!H12&gt;0,Skills!I12/Skills!H12,1)+IF(Skills!H12&gt;0,MIN(Skills!I12,MAX(0,MAX(0,Inputs!$B$43-B2265)-((R2239-1)*(IF(Inputs!$B$38="pvp",15,MAX(0.1,Skills!D12-IF(Skills!E12=TRUE,Inputs!$B$32,0)))*(1-IF(AND(ArtifactsInput!$M$27,Inputs!$B$4="Chapter Hunt"),CHOOSE(ArtifactsInput!$N$27+1,20,24,28,32,36,40),0)/100)))))/Skills!H12,1)))/Inputs!$B$43),G2239*Q2239)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2239*(1-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2239*(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2239*(1-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2239*(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9">
        <f>IF(C2239,(H2239*N2239*IF(AND(Inputs!$B$38&lt;&gt;"pvp",Inputs!$B$43&gt;0),((Skills!G12*((R2239-1)*IF(Skills!H12&gt;0,Skills!I12/Skills!H12,1)+IF(Skills!H12&gt;0,MIN(Skills!I12,MAX(0,MAX(0,Inputs!$B$43-B2265)-((R2239-1)*(IF(Inputs!$B$38="pvp",15,MAX(0.1,Skills!D12-IF(Skills!E12=TRUE,Inputs!$B$32,0)))*(1-IF(AND(ArtifactsInput!$M$27,Inputs!$B$4="Chapter Hunt"),CHOOSE(ArtifactsInput!$N$27+1,20,24,28,32,36,40),0)/100)))))/Skills!H12,1)))/Inputs!$B$43),G2239*Q2239))*IF(Inputs!$B$38="pvp",1,(1+(Inputs!$B$21+Skills!Q12+(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0">
      <c r="A2240">
        <f>Skills!A13</f>
        <v/>
      </c>
      <c r="B2240">
        <f>Skills!B13</f>
        <v/>
      </c>
      <c r="C2240">
        <f>Inputs!$B$3&gt;=110</f>
        <v/>
      </c>
      <c r="D2240">
        <f>IF(Skills!C13=1,60+Inputs!$B$25+Inputs!$B$29,IF(Skills!C13=2,90+Inputs!$B$26+Inputs!$B$29,IF(Skills!C13=3,120+Inputs!$B$27+Inputs!$B$29,MAX(0,(Inputs!$B$3-100)*3)+Inputs!$B$28+Inputs!$B$29)))</f>
        <v/>
      </c>
      <c r="E2240">
        <f>INDEX(FactorTable!$B$2:$Y$301, MATCH(ROUND(MIN(300,MAX(1,D2240)),0), FactorTable!$A$2:$A$301,0), Skills!M13+1)</f>
        <v/>
      </c>
      <c r="F2240">
        <f>IF(Skills!N13=TRUE,(Skills!L13/10)*(E2240/1000),Skills!L13/10)+Skills!O13</f>
        <v/>
      </c>
      <c r="G2240">
        <f>Skills!G13*IF(Skills!H13&gt;0,Skills!I13/Skills!H13,1)</f>
        <v/>
      </c>
      <c r="H2240">
        <f>1-(1-Skills!J13/100)^Skills!K13</f>
        <v/>
      </c>
      <c r="I2240" t="inlineStr">
        <is>
          <t>1</t>
        </is>
      </c>
      <c r="J2240">
        <f>((Inputs!$B$6*(1+Inputs!$B$7/100))+(((Inputs!$B$12*(1+Inputs!$B$13/100))-(Inputs!$B$12*(1+Inputs!$B$13/100)))+0.25*(Inputs!$B$14-Inputs!$B$14))*(1+Inputs!$B$7/100))*(F2240/100)</f>
        <v/>
      </c>
      <c r="K2240">
        <f>J2240*(1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2240)</f>
        <v/>
      </c>
      <c r="L2240">
        <f>K2240*(MIN(Inputs!$B$22+((C2249=TRUE)*(F2249-Calc!F22)),(Inputs!$B$23+0+(IF(ArtifactsInput!$M$15,CHOOSE(ArtifactsInput!$N$15+1,25,30,35,40,45,50)/100*(Inputs!$B$11-Inputs!$B$11),0))))/100+(Inputs!$B$23+0+(IF(ArtifactsInput!$M$15,CHOOSE(ArtifactsInput!$N$15+1,25,30,35,40,45,50)/100*(Inputs!$B$11-Inputs!$B$11),0)))/100)/2</f>
        <v/>
      </c>
      <c r="M2240">
        <f>L2240*(1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0">
        <f>L2240*(1-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2240*(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0">
        <f>(1-Summary!$B$11)*T2240+Summary!$B$11*V2240</f>
        <v/>
      </c>
      <c r="P2240">
        <f>IF(B2268=0,0,O2240/B2268)</f>
        <v/>
      </c>
      <c r="Q2240">
        <f>IFERROR(1/(IF(Inputs!$B$38="pvp",15,MAX(0.1,Skills!D13-IF(Skills!E13=TRUE,Inputs!$B$32,0)))*(1-IF(AND(ArtifactsInput!$M$27,Inputs!$B$4="Chapter Hunt"),CHOOSE(ArtifactsInput!$N$27+1,20,24,28,32,36,40),0)/100)),0)</f>
        <v/>
      </c>
      <c r="R2240">
        <f>IF(AND(Inputs!$B$38&lt;&gt;"pvp",Inputs!$B$43&gt;0),IF(MAX(0,Inputs!$B$43-B2265)&lt;=0,0,(INT(MAX(0,Inputs!$B$43-B2265)/(IF(Inputs!$B$38="pvp",15,MAX(0.1,Skills!D13-IF(Skills!E13=TRUE,Inputs!$B$32,0)))*(1-IF(AND(ArtifactsInput!$M$27,Inputs!$B$4="Chapter Hunt"),CHOOSE(ArtifactsInput!$N$27+1,20,24,28,32,36,40),0)/100)))+1)),0)</f>
        <v/>
      </c>
      <c r="S2240">
        <f>IFERROR(O2240/N2240,0)</f>
        <v/>
      </c>
      <c r="T2240">
        <f>IF(C2240,(H2240*N2240*IF(AND(Inputs!$B$38&lt;&gt;"pvp",Inputs!$B$43&gt;0),((Skills!G13*((R2240-1)*IF(Skills!H13&gt;0,Skills!I13/Skills!H13,1)+IF(Skills!H13&gt;0,MIN(Skills!I13,MAX(0,MAX(0,Inputs!$B$43-B2265)-((R2240-1)*(IF(Inputs!$B$38="pvp",15,MAX(0.1,Skills!D13-IF(Skills!E13=TRUE,Inputs!$B$32,0)))*(1-IF(AND(ArtifactsInput!$M$27,Inputs!$B$4="Chapter Hunt"),CHOOSE(ArtifactsInput!$N$27+1,20,24,28,32,36,40),0)/100)))))/Skills!H13,1)))/Inputs!$B$43),G2240*Q2240)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2240*(1-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2240*(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2240*(1-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2240*(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0">
        <f>IF(C2240,(H2240*N2240*IF(AND(Inputs!$B$38&lt;&gt;"pvp",Inputs!$B$43&gt;0),((Skills!G13*((R2240-1)*IF(Skills!H13&gt;0,Skills!I13/Skills!H13,1)+IF(Skills!H13&gt;0,MIN(Skills!I13,MAX(0,MAX(0,Inputs!$B$43-B2265)-((R2240-1)*(IF(Inputs!$B$38="pvp",15,MAX(0.1,Skills!D13-IF(Skills!E13=TRUE,Inputs!$B$32,0)))*(1-IF(AND(ArtifactsInput!$M$27,Inputs!$B$4="Chapter Hunt"),CHOOSE(ArtifactsInput!$N$27+1,20,24,28,32,36,40),0)/100)))))/Skills!H13,1)))/Inputs!$B$43),G2240*Q2240))*IF(Inputs!$B$38="pvp",1,(1+(Inputs!$B$21+Skills!Q13+(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1">
      <c r="A2241">
        <f>Skills!A14</f>
        <v/>
      </c>
      <c r="B2241">
        <f>Skills!B14</f>
        <v/>
      </c>
      <c r="C2241">
        <f>Inputs!$B$3&gt;=125</f>
        <v/>
      </c>
      <c r="D2241">
        <f>IF(Skills!C14=1,60+Inputs!$B$25+Inputs!$B$29,IF(Skills!C14=2,90+Inputs!$B$26+Inputs!$B$29,IF(Skills!C14=3,120+Inputs!$B$27+Inputs!$B$29,MAX(0,(Inputs!$B$3-100)*3)+Inputs!$B$28+Inputs!$B$29)))</f>
        <v/>
      </c>
      <c r="E2241">
        <f>INDEX(FactorTable!$B$2:$Y$301, MATCH(ROUND(MIN(300,MAX(1,D2241)),0), FactorTable!$A$2:$A$301,0), Skills!M14+1)</f>
        <v/>
      </c>
      <c r="F2241">
        <f>IF(Skills!N14=TRUE,(Skills!L14/10)*(E2241/1000),Skills!L14/10)+Skills!O14</f>
        <v/>
      </c>
      <c r="G2241">
        <f>Skills!G14*IF(Skills!H14&gt;0,Skills!I14/Skills!H14,1)</f>
        <v/>
      </c>
      <c r="H2241">
        <f>1-(1-Skills!J14/100)^Skills!K14</f>
        <v/>
      </c>
      <c r="I2241" t="inlineStr">
        <is>
          <t>1</t>
        </is>
      </c>
      <c r="J2241">
        <f>((Inputs!$B$6*(1+Inputs!$B$7/100))+(((Inputs!$B$12*(1+Inputs!$B$13/100))-(Inputs!$B$12*(1+Inputs!$B$13/100)))+0.25*(Inputs!$B$14-Inputs!$B$14))*(1+Inputs!$B$7/100))*(F2241/100)</f>
        <v/>
      </c>
      <c r="K2241">
        <f>J2241*(1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
      </c>
      <c r="L2241">
        <f>K2241*(MIN(Inputs!$B$22+((C2249=TRUE)*(F2249-Calc!F22)),(Inputs!$B$23+0+(IF(ArtifactsInput!$M$15,CHOOSE(ArtifactsInput!$N$15+1,25,30,35,40,45,50)/100*(Inputs!$B$11-Inputs!$B$11),0))))/100+(Inputs!$B$23+0+(IF(ArtifactsInput!$M$15,CHOOSE(ArtifactsInput!$N$15+1,25,30,35,40,45,50)/100*(Inputs!$B$11-Inputs!$B$11),0)))/100)/2</f>
        <v/>
      </c>
      <c r="M2241">
        <f>L2241*(1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1">
        <f>L2241*(1-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1">
        <f>(1-Summary!$B$11)*T2241+Summary!$B$11*V2241</f>
        <v/>
      </c>
      <c r="P2241">
        <f>IF(B2268=0,0,O2241/B2268)</f>
        <v/>
      </c>
      <c r="Q2241" t="n">
        <v>0</v>
      </c>
      <c r="R2241" t="n">
        <v>0</v>
      </c>
      <c r="S2241">
        <f>IFERROR(O2241/N2241,0)</f>
        <v/>
      </c>
      <c r="T2241">
        <f>IF(C2241,(H2241*N2241*(B2262+IF(AND(Inputs!$B$38&lt;&gt;"pvp",Inputs!$B$43&gt;0),((Skills!G8*((R2235-1)*IF(Skills!H8&gt;0,Skills!I8/Skills!H8,1)+IF(Skills!H8&gt;0,MIN(Skills!I8,MAX(0,MAX(0,Inputs!$B$43-B2265)-((R2235-1)*(IF(Inputs!$B$38="pvp",15,MAX(0.1,Skills!D8-IF(Skills!E8=TRUE,Inputs!$B$32,0)))*(1-IF(AND(ArtifactsInput!$M$27,Inputs!$B$4="Chapter Hunt"),CHOOSE(ArtifactsInput!$N$27+1,20,24,28,32,36,40),0)/100)))))/Skills!H8,1)))/Inputs!$B$43),G2235*Q2235)+IF(AND(Inputs!$B$38&lt;&gt;"pvp",Inputs!$B$43&gt;0),((Skills!G11*((R2238-1)*IF(Skills!H11&gt;0,Skills!I11/Skills!H11,1)+IF(Skills!H11&gt;0,MIN(Skills!I11,MAX(0,MAX(0,Inputs!$B$43-B2265)-((R2238-1)*(IF(Inputs!$B$38="pvp",15,MAX(0.1,Skills!D11-IF(Skills!E11=TRUE,Inputs!$B$32,0)))*(1-IF(AND(ArtifactsInput!$M$27,Inputs!$B$4="Chapter Hunt"),CHOOSE(ArtifactsInput!$N$27+1,20,24,28,32,36,40),0)/100)))))/Skills!H11,1)))/Inputs!$B$43),G2238*Q2238)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2241*(1-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1">
        <f>IF(C2241,(H2241*N2241*(B2262+IF(AND(Inputs!$B$38&lt;&gt;"pvp",Inputs!$B$43&gt;0),((Skills!G8*((R2235-1)*IF(Skills!H8&gt;0,Skills!I8/Skills!H8,1)+IF(Skills!H8&gt;0,MIN(Skills!I8,MAX(0,MAX(0,Inputs!$B$43-B2265)-((R2235-1)*(IF(Inputs!$B$38="pvp",15,MAX(0.1,Skills!D8-IF(Skills!E8=TRUE,Inputs!$B$32,0)))*(1-IF(AND(ArtifactsInput!$M$27,Inputs!$B$4="Chapter Hunt"),CHOOSE(ArtifactsInput!$N$27+1,20,24,28,32,36,40),0)/100)))))/Skills!H8,1)))/Inputs!$B$43),G2235*Q2235)+IF(AND(Inputs!$B$38&lt;&gt;"pvp",Inputs!$B$43&gt;0),((Skills!G11*((R2238-1)*IF(Skills!H11&gt;0,Skills!I11/Skills!H11,1)+IF(Skills!H11&gt;0,MIN(Skills!I11,MAX(0,MAX(0,Inputs!$B$43-B2265)-((R2238-1)*(IF(Inputs!$B$38="pvp",15,MAX(0.1,Skills!D11-IF(Skills!E11=TRUE,Inputs!$B$32,0)))*(1-IF(AND(ArtifactsInput!$M$27,Inputs!$B$4="Chapter Hunt"),CHOOSE(ArtifactsInput!$N$27+1,20,24,28,32,36,40),0)/100)))))/Skills!H11,1)))/Inputs!$B$43),G2238*Q2238)))*IF(Inputs!$B$38="pvp",1,(1+(Inputs!$B$21+Skills!Q14+(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2">
      <c r="A2242">
        <f>Skills!A15</f>
        <v/>
      </c>
      <c r="B2242">
        <f>Skills!B15</f>
        <v/>
      </c>
      <c r="C2242">
        <f>Inputs!$B$3&gt;=100</f>
        <v/>
      </c>
      <c r="D2242">
        <f>IF(Skills!C15=1,60+Inputs!$B$25+Inputs!$B$29,IF(Skills!C15=2,90+Inputs!$B$26+Inputs!$B$29,IF(Skills!C15=3,120+Inputs!$B$27+Inputs!$B$29,MAX(0,(Inputs!$B$3-100)*3)+Inputs!$B$28+Inputs!$B$29)))</f>
        <v/>
      </c>
      <c r="E2242">
        <f>INDEX(FactorTable!$B$2:$Y$301, MATCH(ROUND(MIN(300,MAX(1,D2242)),0), FactorTable!$A$2:$A$301,0), Skills!M15+1)</f>
        <v/>
      </c>
      <c r="F2242">
        <f>IF(Skills!N15=TRUE,(Skills!L15/10)*(E2242/1000),Skills!L15/10)+Skills!O15</f>
        <v/>
      </c>
      <c r="G2242" t="inlineStr"/>
      <c r="H2242" t="inlineStr"/>
      <c r="I2242" t="inlineStr">
        <is>
          <t>1</t>
        </is>
      </c>
      <c r="J2242" t="inlineStr"/>
      <c r="K2242" t="inlineStr"/>
      <c r="L2242" t="inlineStr"/>
      <c r="M2242" t="inlineStr"/>
      <c r="N2242" t="inlineStr"/>
      <c r="O2242" t="inlineStr"/>
      <c r="P2242" t="inlineStr"/>
      <c r="Q2242" t="inlineStr"/>
      <c r="R2242" t="inlineStr"/>
      <c r="S2242" t="inlineStr"/>
    </row>
    <row r="2243">
      <c r="A2243">
        <f>Skills!A16</f>
        <v/>
      </c>
      <c r="B2243">
        <f>Skills!B16</f>
        <v/>
      </c>
      <c r="C2243">
        <f>Inputs!$B$3&gt;=120</f>
        <v/>
      </c>
      <c r="D2243">
        <f>IF(Skills!C16=1,60+Inputs!$B$25+Inputs!$B$29,IF(Skills!C16=2,90+Inputs!$B$26+Inputs!$B$29,IF(Skills!C16=3,120+Inputs!$B$27+Inputs!$B$29,MAX(0,(Inputs!$B$3-100)*3)+Inputs!$B$28+Inputs!$B$29)))</f>
        <v/>
      </c>
      <c r="E2243">
        <f>INDEX(FactorTable!$B$2:$Y$301, MATCH(ROUND(MIN(300,MAX(1,D2243)),0), FactorTable!$A$2:$A$301,0), Skills!M16+1)</f>
        <v/>
      </c>
      <c r="F2243">
        <f>IF(Skills!N16=TRUE,(Skills!L16/10)*(E2243/1000),Skills!L16/10)+Skills!O16</f>
        <v/>
      </c>
      <c r="G2243" t="inlineStr"/>
      <c r="H2243" t="inlineStr"/>
      <c r="I2243" t="inlineStr">
        <is>
          <t>1</t>
        </is>
      </c>
      <c r="J2243" t="inlineStr"/>
      <c r="K2243" t="inlineStr"/>
      <c r="L2243" t="inlineStr"/>
      <c r="M2243" t="inlineStr"/>
      <c r="N2243" t="inlineStr"/>
      <c r="O2243" t="inlineStr"/>
      <c r="P2243" t="inlineStr"/>
      <c r="Q2243" t="inlineStr"/>
      <c r="R2243" t="inlineStr"/>
      <c r="S2243" t="inlineStr"/>
    </row>
    <row r="2244">
      <c r="A2244">
        <f>Skills!A17</f>
        <v/>
      </c>
      <c r="B2244">
        <f>Skills!B17</f>
        <v/>
      </c>
      <c r="C2244">
        <f>Inputs!$B$3&gt;=66</f>
        <v/>
      </c>
      <c r="D2244">
        <f>IF(Skills!C17=1,60+Inputs!$B$25+Inputs!$B$29,IF(Skills!C17=2,90+Inputs!$B$26+Inputs!$B$29,IF(Skills!C17=3,120+Inputs!$B$27+Inputs!$B$29,MAX(0,(Inputs!$B$3-100)*3)+Inputs!$B$28+Inputs!$B$29)))</f>
        <v/>
      </c>
      <c r="E2244">
        <f>INDEX(FactorTable!$B$2:$Y$301, MATCH(ROUND(MIN(300,MAX(1,D2244)),0), FactorTable!$A$2:$A$301,0), Skills!M17+1)</f>
        <v/>
      </c>
      <c r="F2244">
        <f>IF(Skills!N17=TRUE,(Skills!L17/10)*(E2244/1000),Skills!L17/10)+Skills!O17</f>
        <v/>
      </c>
      <c r="G2244">
        <f>Skills!G17*IF(Skills!H17&gt;0,Skills!I17/Skills!H17,1)</f>
        <v/>
      </c>
      <c r="H2244">
        <f>1-(1-Skills!J17/100)^Skills!K17</f>
        <v/>
      </c>
      <c r="I2244" t="inlineStr">
        <is>
          <t>1</t>
        </is>
      </c>
      <c r="J2244" t="inlineStr"/>
      <c r="K2244" t="inlineStr"/>
      <c r="L2244" t="inlineStr"/>
      <c r="M2244" t="inlineStr"/>
      <c r="N2244" t="inlineStr"/>
      <c r="O2244">
        <f>(1-Summary!$B$11)*T2244+Summary!$B$11*V2244</f>
        <v/>
      </c>
      <c r="P2244">
        <f>IF(B2268=0,0,O2244/B2268)</f>
        <v/>
      </c>
      <c r="Q2244" t="n">
        <v>0</v>
      </c>
      <c r="R2244" t="n">
        <v>0</v>
      </c>
      <c r="S2244">
        <f>IFERROR(O2244/N2244,0)</f>
        <v/>
      </c>
      <c r="T2244" t="n">
        <v>0</v>
      </c>
      <c r="V2244" t="n">
        <v>0</v>
      </c>
    </row>
    <row r="2245">
      <c r="A2245">
        <f>Skills!A18</f>
        <v/>
      </c>
      <c r="B2245">
        <f>Skills!B18</f>
        <v/>
      </c>
      <c r="C2245">
        <f>Inputs!$B$3&gt;=115</f>
        <v/>
      </c>
      <c r="D2245">
        <f>IF(Skills!C18=1,60+Inputs!$B$25+Inputs!$B$29,IF(Skills!C18=2,90+Inputs!$B$26+Inputs!$B$29,IF(Skills!C18=3,120+Inputs!$B$27+Inputs!$B$29,MAX(0,(Inputs!$B$3-100)*3)+Inputs!$B$28+Inputs!$B$29)))</f>
        <v/>
      </c>
      <c r="E2245">
        <f>INDEX(FactorTable!$B$2:$Y$301, MATCH(ROUND(MIN(300,MAX(1,D2245)),0), FactorTable!$A$2:$A$301,0), Skills!M18+1)</f>
        <v/>
      </c>
      <c r="F2245">
        <f>IF(Skills!N18=TRUE,(Skills!L18/10)*(E2245/1000),Skills!L18/10)+Skills!O18</f>
        <v/>
      </c>
      <c r="G2245">
        <f>Skills!G18*IF(Skills!H18&gt;0,Skills!I18/Skills!H18,1)</f>
        <v/>
      </c>
      <c r="H2245">
        <f>1-(1-Skills!J18/100)^Skills!K18</f>
        <v/>
      </c>
      <c r="I2245" t="inlineStr">
        <is>
          <t>1</t>
        </is>
      </c>
      <c r="J2245" t="inlineStr"/>
      <c r="K2245" t="inlineStr"/>
      <c r="L2245" t="inlineStr"/>
      <c r="M2245" t="inlineStr"/>
      <c r="N2245" t="inlineStr"/>
      <c r="O2245">
        <f>(1-Summary!$B$11)*T2245+Summary!$B$11*V2245</f>
        <v/>
      </c>
      <c r="P2245">
        <f>IF(B2268=0,0,O2245/B2268)</f>
        <v/>
      </c>
      <c r="Q2245">
        <f>IFERROR(1/(IF(Inputs!$B$38="pvp",15,MAX(0.1,Skills!D18-IF(Skills!E18=TRUE,Inputs!$B$32,0)))*(1-IF(AND(ArtifactsInput!$M$27,Inputs!$B$4="Chapter Hunt"),CHOOSE(ArtifactsInput!$N$27+1,20,24,28,32,36,40),0)/100)),0)</f>
        <v/>
      </c>
      <c r="R2245">
        <f>IF(AND(Inputs!$B$38&lt;&gt;"pvp",Inputs!$B$43&gt;0),IF(Inputs!$B$43&lt;=0,0,(INT(Inputs!$B$43/(IF(Inputs!$B$38="pvp",15,MAX(0.1,Skills!D18-IF(Skills!E18=TRUE,Inputs!$B$32,0)))*(1-IF(AND(ArtifactsInput!$M$27,Inputs!$B$4="Chapter Hunt"),CHOOSE(ArtifactsInput!$N$27+1,20,24,28,32,36,40),0)/100)))+1)),0)</f>
        <v/>
      </c>
      <c r="S2245">
        <f>IFERROR(O2245/N2245,0)</f>
        <v/>
      </c>
      <c r="T2245" t="n">
        <v>0</v>
      </c>
      <c r="V2245" t="n">
        <v>0</v>
      </c>
    </row>
    <row r="2246">
      <c r="A2246">
        <f>Skills!A19</f>
        <v/>
      </c>
      <c r="B2246">
        <f>Skills!B19</f>
        <v/>
      </c>
      <c r="C2246">
        <f>Inputs!$B$3&gt;=15</f>
        <v/>
      </c>
      <c r="D2246">
        <f>IF(Skills!C19=1,60+Inputs!$B$25+Inputs!$B$29,IF(Skills!C19=2,90+Inputs!$B$26+Inputs!$B$29,IF(Skills!C19=3,120+Inputs!$B$27+Inputs!$B$29,MAX(0,(Inputs!$B$3-100)*3)+Inputs!$B$28+Inputs!$B$29)))</f>
        <v/>
      </c>
      <c r="E2246">
        <f>INDEX(FactorTable!$B$2:$Y$301, MATCH(ROUND(MIN(300,MAX(1,D2246)),0), FactorTable!$A$2:$A$301,0), Skills!M19+1)</f>
        <v/>
      </c>
      <c r="F2246">
        <f>IF(Skills!N19=TRUE,(Skills!L19/10)*(E2246/1000),Skills!L19/10)+Skills!O19</f>
        <v/>
      </c>
      <c r="G2246">
        <f>Skills!G19*IF(Skills!H19&gt;0,Skills!I19/Skills!H19,1)</f>
        <v/>
      </c>
      <c r="H2246">
        <f>1-(1-Skills!J19/100)^Skills!K19</f>
        <v/>
      </c>
      <c r="I2246" t="inlineStr">
        <is>
          <t>1</t>
        </is>
      </c>
      <c r="J2246" t="inlineStr"/>
      <c r="K2246" t="inlineStr"/>
      <c r="L2246" t="inlineStr"/>
      <c r="M2246" t="inlineStr"/>
      <c r="N2246" t="inlineStr"/>
      <c r="O2246">
        <f>(1-Summary!$B$11)*T2246+Summary!$B$11*V2246</f>
        <v/>
      </c>
      <c r="P2246">
        <f>IF(B2268=0,0,O2246/B2268)</f>
        <v/>
      </c>
      <c r="Q2246" t="n">
        <v>0</v>
      </c>
      <c r="R2246" t="n">
        <v>0</v>
      </c>
      <c r="S2246">
        <f>IFERROR(O2246/N2246,0)</f>
        <v/>
      </c>
      <c r="T2246" t="n">
        <v>0</v>
      </c>
      <c r="V2246" t="n">
        <v>0</v>
      </c>
    </row>
    <row r="2247">
      <c r="A2247">
        <f>Skills!A20</f>
        <v/>
      </c>
      <c r="B2247">
        <f>Skills!B20</f>
        <v/>
      </c>
      <c r="C2247">
        <f>Inputs!$B$3&gt;=10</f>
        <v/>
      </c>
      <c r="D2247">
        <f>IF(Skills!C20=1,60+Inputs!$B$25+Inputs!$B$29,IF(Skills!C20=2,90+Inputs!$B$26+Inputs!$B$29,IF(Skills!C20=3,120+Inputs!$B$27+Inputs!$B$29,MAX(0,(Inputs!$B$3-100)*3)+Inputs!$B$28+Inputs!$B$29)))</f>
        <v/>
      </c>
      <c r="E2247">
        <f>INDEX(FactorTable!$B$2:$Y$301, MATCH(ROUND(MIN(300,MAX(1,D2247)),0), FactorTable!$A$2:$A$301,0), Skills!M20+1)</f>
        <v/>
      </c>
      <c r="F2247">
        <f>IF(Skills!N20=TRUE,(Skills!L20/10)*(E2247/1000),Skills!L20/10)+Skills!O20</f>
        <v/>
      </c>
      <c r="G2247">
        <f>Skills!G20*IF(Skills!H20&gt;0,Skills!I20/Skills!H20,1)</f>
        <v/>
      </c>
      <c r="H2247">
        <f>1-(1-Skills!J20/100)^Skills!K20</f>
        <v/>
      </c>
      <c r="I2247" t="inlineStr">
        <is>
          <t>1</t>
        </is>
      </c>
      <c r="J2247" t="inlineStr"/>
      <c r="K2247" t="inlineStr"/>
      <c r="L2247" t="inlineStr"/>
      <c r="M2247" t="inlineStr"/>
      <c r="N2247" t="inlineStr"/>
      <c r="O2247">
        <f>(1-Summary!$B$11)*T2247+Summary!$B$11*V2247</f>
        <v/>
      </c>
      <c r="P2247">
        <f>IF(B2268=0,0,O2247/B2268)</f>
        <v/>
      </c>
      <c r="Q2247" t="n">
        <v>0</v>
      </c>
      <c r="R2247" t="n">
        <v>0</v>
      </c>
      <c r="S2247">
        <f>IFERROR(O2247/N2247,0)</f>
        <v/>
      </c>
      <c r="T2247" t="n">
        <v>0</v>
      </c>
      <c r="V2247" t="n">
        <v>0</v>
      </c>
    </row>
    <row r="2248">
      <c r="A2248">
        <f>Skills!A21</f>
        <v/>
      </c>
      <c r="B2248">
        <f>Skills!B21</f>
        <v/>
      </c>
      <c r="C2248">
        <f>Inputs!$B$3&gt;=33</f>
        <v/>
      </c>
      <c r="D2248">
        <f>IF(Skills!C21=1,60+Inputs!$B$25+Inputs!$B$29,IF(Skills!C21=2,90+Inputs!$B$26+Inputs!$B$29,IF(Skills!C21=3,120+Inputs!$B$27+Inputs!$B$29,MAX(0,(Inputs!$B$3-100)*3)+Inputs!$B$28+Inputs!$B$29)))</f>
        <v/>
      </c>
      <c r="E2248">
        <f>INDEX(FactorTable!$B$2:$Y$301, MATCH(ROUND(MIN(300,MAX(1,D2248)),0), FactorTable!$A$2:$A$301,0), Skills!M21+1)</f>
        <v/>
      </c>
      <c r="F2248">
        <f>IF(Skills!N21=TRUE,(Skills!L21/10)*(E2248/1000),Skills!L21/10)+Skills!O21</f>
        <v/>
      </c>
      <c r="G2248">
        <f>Skills!G21*IF(Skills!H21&gt;0,Skills!I21/Skills!H21,1)</f>
        <v/>
      </c>
      <c r="H2248">
        <f>1-(1-Skills!J21/100)^Skills!K21</f>
        <v/>
      </c>
      <c r="I2248" t="inlineStr">
        <is>
          <t>1</t>
        </is>
      </c>
      <c r="J2248" t="inlineStr"/>
      <c r="K2248" t="inlineStr"/>
      <c r="L2248" t="inlineStr"/>
      <c r="M2248" t="inlineStr"/>
      <c r="N2248" t="inlineStr"/>
      <c r="O2248">
        <f>(1-Summary!$B$11)*T2248+Summary!$B$11*V2248</f>
        <v/>
      </c>
      <c r="P2248">
        <f>IF(B2268=0,0,O2248/B2268)</f>
        <v/>
      </c>
      <c r="Q2248" t="n">
        <v>0</v>
      </c>
      <c r="R2248" t="n">
        <v>0</v>
      </c>
      <c r="S2248">
        <f>IFERROR(O2248/N2248,0)</f>
        <v/>
      </c>
      <c r="T2248" t="n">
        <v>0</v>
      </c>
      <c r="V2248" t="n">
        <v>0</v>
      </c>
    </row>
    <row r="2249">
      <c r="A2249">
        <f>Skills!A22</f>
        <v/>
      </c>
      <c r="B2249">
        <f>Skills!B22</f>
        <v/>
      </c>
      <c r="C2249">
        <f>Inputs!$B$3&gt;=43</f>
        <v/>
      </c>
      <c r="D2249">
        <f>IF(Skills!C22=1,60+Inputs!$B$25+Inputs!$B$29,IF(Skills!C22=2,90+Inputs!$B$26+Inputs!$B$29,IF(Skills!C22=3,120+Inputs!$B$27+Inputs!$B$29,MAX(0,(Inputs!$B$3-100)*3)+Inputs!$B$28+Inputs!$B$29)))</f>
        <v/>
      </c>
      <c r="E2249">
        <f>INDEX(FactorTable!$B$2:$Y$301, MATCH(ROUND(MIN(300,MAX(1,D2249)),0), FactorTable!$A$2:$A$301,0), Skills!M22+1)</f>
        <v/>
      </c>
      <c r="F2249">
        <f>IF(Skills!N22=TRUE,(Skills!L22/10)*(E2249/1000),Skills!L22/10)+Skills!O22</f>
        <v/>
      </c>
      <c r="G2249">
        <f>Skills!G22*IF(Skills!H22&gt;0,Skills!I22/Skills!H22,1)</f>
        <v/>
      </c>
      <c r="H2249">
        <f>1-(1-Skills!J22/100)^Skills!K22</f>
        <v/>
      </c>
      <c r="I2249" t="inlineStr">
        <is>
          <t>1</t>
        </is>
      </c>
      <c r="J2249" t="inlineStr"/>
      <c r="K2249" t="inlineStr"/>
      <c r="L2249" t="inlineStr"/>
      <c r="M2249" t="inlineStr"/>
      <c r="N2249" t="inlineStr"/>
      <c r="O2249">
        <f>(1-Summary!$B$11)*T2249+Summary!$B$11*V2249</f>
        <v/>
      </c>
      <c r="P2249">
        <f>IF(B2268=0,0,O2249/B2268)</f>
        <v/>
      </c>
      <c r="Q2249" t="n">
        <v>0</v>
      </c>
      <c r="R2249" t="n">
        <v>0</v>
      </c>
      <c r="S2249">
        <f>IFERROR(O2249/N2249,0)</f>
        <v/>
      </c>
      <c r="T2249" t="n">
        <v>0</v>
      </c>
      <c r="V2249" t="n">
        <v>0</v>
      </c>
    </row>
    <row r="2250">
      <c r="A2250">
        <f>Skills!A23</f>
        <v/>
      </c>
      <c r="B2250">
        <f>Skills!B23</f>
        <v/>
      </c>
      <c r="C2250">
        <f>Inputs!$B$3&gt;=38</f>
        <v/>
      </c>
      <c r="D2250">
        <f>IF(Skills!C23=1,60+Inputs!$B$25+Inputs!$B$29,IF(Skills!C23=2,90+Inputs!$B$26+Inputs!$B$29,IF(Skills!C23=3,120+Inputs!$B$27+Inputs!$B$29,MAX(0,(Inputs!$B$3-100)*3)+Inputs!$B$28+Inputs!$B$29)))</f>
        <v/>
      </c>
      <c r="E2250">
        <f>INDEX(FactorTable!$B$2:$Y$301, MATCH(ROUND(MIN(300,MAX(1,D2250)),0), FactorTable!$A$2:$A$301,0), Skills!M23+1)</f>
        <v/>
      </c>
      <c r="F2250">
        <f>IF(Skills!N23=TRUE,(Skills!L23/10)*(E2250/1000),Skills!L23/10)+Skills!O23</f>
        <v/>
      </c>
      <c r="G2250">
        <f>Skills!G23*IF(Skills!H23&gt;0,Skills!I23/Skills!H23,1)</f>
        <v/>
      </c>
      <c r="H2250">
        <f>1-(1-Skills!J23/100)^Skills!K23</f>
        <v/>
      </c>
      <c r="I2250" t="inlineStr">
        <is>
          <t>1</t>
        </is>
      </c>
      <c r="J2250" t="inlineStr"/>
      <c r="K2250" t="inlineStr"/>
      <c r="L2250" t="inlineStr"/>
      <c r="M2250" t="inlineStr"/>
      <c r="N2250" t="inlineStr"/>
      <c r="O2250">
        <f>(1-Summary!$B$11)*T2250+Summary!$B$11*V2250</f>
        <v/>
      </c>
      <c r="P2250">
        <f>IF(B2268=0,0,O2250/B2268)</f>
        <v/>
      </c>
      <c r="Q2250" t="n">
        <v>0</v>
      </c>
      <c r="R2250" t="n">
        <v>0</v>
      </c>
      <c r="S2250">
        <f>IFERROR(O2250/N2250,0)</f>
        <v/>
      </c>
      <c r="T2250" t="n">
        <v>0</v>
      </c>
      <c r="V2250" t="n">
        <v>0</v>
      </c>
    </row>
    <row r="2251">
      <c r="A2251">
        <f>Skills!A24</f>
        <v/>
      </c>
      <c r="B2251">
        <f>Skills!B24</f>
        <v/>
      </c>
      <c r="C2251">
        <f>Inputs!$B$3&gt;=40</f>
        <v/>
      </c>
      <c r="D2251">
        <f>IF(Skills!C24=1,60+Inputs!$B$25+Inputs!$B$29,IF(Skills!C24=2,90+Inputs!$B$26+Inputs!$B$29,IF(Skills!C24=3,120+Inputs!$B$27+Inputs!$B$29,MAX(0,(Inputs!$B$3-100)*3)+Inputs!$B$28+Inputs!$B$29)))</f>
        <v/>
      </c>
      <c r="E2251">
        <f>INDEX(FactorTable!$B$2:$Y$301, MATCH(ROUND(MIN(300,MAX(1,D2251)),0), FactorTable!$A$2:$A$301,0), Skills!M24+1)</f>
        <v/>
      </c>
      <c r="F2251">
        <f>IF(Skills!N24=TRUE,(Skills!L24/10)*(E2251/1000),Skills!L24/10)+Skills!O24</f>
        <v/>
      </c>
      <c r="G2251">
        <f>Skills!G24*IF(Skills!H24&gt;0,Skills!I24/Skills!H24,1)</f>
        <v/>
      </c>
      <c r="H2251">
        <f>1-(1-Skills!J24/100)^Skills!K24</f>
        <v/>
      </c>
      <c r="I2251" t="inlineStr">
        <is>
          <t>1</t>
        </is>
      </c>
      <c r="J2251" t="inlineStr"/>
      <c r="K2251" t="inlineStr"/>
      <c r="L2251" t="inlineStr"/>
      <c r="M2251" t="inlineStr"/>
      <c r="N2251" t="inlineStr"/>
      <c r="O2251">
        <f>(1-Summary!$B$11)*T2251+Summary!$B$11*V2251</f>
        <v/>
      </c>
      <c r="P2251">
        <f>IF(B2268=0,0,O2251/B2268)</f>
        <v/>
      </c>
      <c r="Q2251" t="n">
        <v>0</v>
      </c>
      <c r="R2251" t="n">
        <v>0</v>
      </c>
      <c r="S2251">
        <f>IFERROR(O2251/N2251,0)</f>
        <v/>
      </c>
      <c r="T2251" t="n">
        <v>0</v>
      </c>
      <c r="V2251" t="n">
        <v>0</v>
      </c>
    </row>
    <row r="2252">
      <c r="A2252">
        <f>Skills!A25</f>
        <v/>
      </c>
      <c r="B2252">
        <f>Skills!B25</f>
        <v/>
      </c>
      <c r="C2252">
        <f>Inputs!$B$3&gt;=72</f>
        <v/>
      </c>
      <c r="D2252">
        <f>IF(Skills!C25=1,60+Inputs!$B$25+Inputs!$B$29,IF(Skills!C25=2,90+Inputs!$B$26+Inputs!$B$29,IF(Skills!C25=3,120+Inputs!$B$27+Inputs!$B$29,MAX(0,(Inputs!$B$3-100)*3)+Inputs!$B$28+Inputs!$B$29)))</f>
        <v/>
      </c>
      <c r="E2252">
        <f>INDEX(FactorTable!$B$2:$Y$301, MATCH(ROUND(MIN(300,MAX(1,D2252)),0), FactorTable!$A$2:$A$301,0), Skills!M25+1)</f>
        <v/>
      </c>
      <c r="F2252">
        <f>IF(Skills!N25=TRUE,(Skills!L25/10)*(E2252/1000),Skills!L25/10)+Skills!O25</f>
        <v/>
      </c>
      <c r="G2252">
        <f>Skills!G25*IF(Skills!H25&gt;0,Skills!I25/Skills!H25,1)</f>
        <v/>
      </c>
      <c r="H2252">
        <f>1-(1-Skills!J25/100)^Skills!K25</f>
        <v/>
      </c>
      <c r="I2252" t="inlineStr">
        <is>
          <t>1</t>
        </is>
      </c>
      <c r="J2252" t="inlineStr"/>
      <c r="K2252" t="inlineStr"/>
      <c r="L2252" t="inlineStr"/>
      <c r="M2252" t="inlineStr"/>
      <c r="N2252" t="inlineStr"/>
      <c r="O2252">
        <f>(1-Summary!$B$11)*T2252+Summary!$B$11*V2252</f>
        <v/>
      </c>
      <c r="P2252">
        <f>IF(B2268=0,0,O2252/B2268)</f>
        <v/>
      </c>
      <c r="Q2252" t="n">
        <v>0</v>
      </c>
      <c r="R2252" t="n">
        <v>0</v>
      </c>
      <c r="S2252">
        <f>IFERROR(O2252/N2252,0)</f>
        <v/>
      </c>
      <c r="T2252" t="n">
        <v>0</v>
      </c>
      <c r="V2252" t="n">
        <v>0</v>
      </c>
    </row>
    <row r="2253">
      <c r="A2253">
        <f>Skills!A26</f>
        <v/>
      </c>
      <c r="B2253">
        <f>Skills!B26</f>
        <v/>
      </c>
      <c r="C2253">
        <f>Inputs!$B$3&gt;=75</f>
        <v/>
      </c>
      <c r="D2253">
        <f>IF(Skills!C26=1,60+Inputs!$B$25+Inputs!$B$29,IF(Skills!C26=2,90+Inputs!$B$26+Inputs!$B$29,IF(Skills!C26=3,120+Inputs!$B$27+Inputs!$B$29,MAX(0,(Inputs!$B$3-100)*3)+Inputs!$B$28+Inputs!$B$29)))</f>
        <v/>
      </c>
      <c r="E2253">
        <f>INDEX(FactorTable!$B$2:$Y$301, MATCH(ROUND(MIN(300,MAX(1,D2253)),0), FactorTable!$A$2:$A$301,0), Skills!M26+1)</f>
        <v/>
      </c>
      <c r="F2253">
        <f>IF(Skills!N26=TRUE,(Skills!L26/10)*(E2253/1000),Skills!L26/10)+Skills!O26</f>
        <v/>
      </c>
      <c r="G2253">
        <f>Skills!G26*IF(Skills!H26&gt;0,Skills!I26/Skills!H26,1)</f>
        <v/>
      </c>
      <c r="H2253">
        <f>1-(1-Skills!J26/100)^Skills!K26</f>
        <v/>
      </c>
      <c r="I2253" t="inlineStr">
        <is>
          <t>1</t>
        </is>
      </c>
      <c r="J2253" t="inlineStr"/>
      <c r="K2253" t="inlineStr"/>
      <c r="L2253" t="inlineStr"/>
      <c r="M2253" t="inlineStr"/>
      <c r="N2253" t="inlineStr"/>
      <c r="O2253">
        <f>(1-Summary!$B$11)*T2253+Summary!$B$11*V2253</f>
        <v/>
      </c>
      <c r="P2253">
        <f>IF(B2268=0,0,O2253/B2268)</f>
        <v/>
      </c>
      <c r="Q2253" t="n">
        <v>0</v>
      </c>
      <c r="R2253" t="n">
        <v>0</v>
      </c>
      <c r="S2253">
        <f>IFERROR(O2253/N2253,0)</f>
        <v/>
      </c>
      <c r="T2253" t="n">
        <v>0</v>
      </c>
      <c r="V2253" t="n">
        <v>0</v>
      </c>
    </row>
    <row r="2254">
      <c r="A2254">
        <f>Skills!A27</f>
        <v/>
      </c>
      <c r="B2254">
        <f>Skills!B27</f>
        <v/>
      </c>
      <c r="C2254">
        <f>Inputs!$B$3&gt;=117</f>
        <v/>
      </c>
      <c r="D2254">
        <f>IF(Skills!C27=1,60+Inputs!$B$25+Inputs!$B$29,IF(Skills!C27=2,90+Inputs!$B$26+Inputs!$B$29,IF(Skills!C27=3,120+Inputs!$B$27+Inputs!$B$29,MAX(0,(Inputs!$B$3-100)*3)+Inputs!$B$28+Inputs!$B$29)))</f>
        <v/>
      </c>
      <c r="E2254">
        <f>INDEX(FactorTable!$B$2:$Y$301, MATCH(ROUND(MIN(300,MAX(1,D2254)),0), FactorTable!$A$2:$A$301,0), Skills!M27+1)</f>
        <v/>
      </c>
      <c r="F2254">
        <f>IF(Skills!N27=TRUE,(Skills!L27/10)*(E2254/1000),Skills!L27/10)+Skills!O27</f>
        <v/>
      </c>
      <c r="G2254">
        <f>Skills!G27*IF(Skills!H27&gt;0,Skills!I27/Skills!H27,1)</f>
        <v/>
      </c>
      <c r="H2254">
        <f>1-(1-Skills!J27/100)^Skills!K27</f>
        <v/>
      </c>
      <c r="I2254" t="inlineStr">
        <is>
          <t>1</t>
        </is>
      </c>
      <c r="J2254" t="inlineStr"/>
      <c r="K2254" t="inlineStr"/>
      <c r="L2254" t="inlineStr"/>
      <c r="M2254" t="inlineStr"/>
      <c r="N2254" t="inlineStr"/>
      <c r="O2254">
        <f>(1-Summary!$B$11)*T2254+Summary!$B$11*V2254</f>
        <v/>
      </c>
      <c r="P2254">
        <f>IF(B2268=0,0,O2254/B2268)</f>
        <v/>
      </c>
      <c r="Q2254" t="n">
        <v>0</v>
      </c>
      <c r="R2254" t="n">
        <v>0</v>
      </c>
      <c r="S2254">
        <f>IFERROR(O2254/N2254,0)</f>
        <v/>
      </c>
      <c r="T2254" t="n">
        <v>0</v>
      </c>
      <c r="V2254" t="n">
        <v>0</v>
      </c>
    </row>
    <row r="2255">
      <c r="A2255">
        <f>Skills!A28</f>
        <v/>
      </c>
      <c r="B2255">
        <f>Skills!B28</f>
        <v/>
      </c>
      <c r="C2255">
        <f>TRUE</f>
        <v/>
      </c>
      <c r="D2255">
        <f>IF(Skills!C28=1,60+Inputs!$B$25+Inputs!$B$29,IF(Skills!C28=2,90+Inputs!$B$26+Inputs!$B$29,IF(Skills!C28=3,120+Inputs!$B$27+Inputs!$B$29,MAX(0,(Inputs!$B$3-100)*3)+Inputs!$B$28+Inputs!$B$29)))</f>
        <v/>
      </c>
      <c r="E2255">
        <f>INDEX(FactorTable!$B$2:$Y$301, MATCH(ROUND(MIN(300,MAX(1,D2255)),0), FactorTable!$A$2:$A$301,0), Skills!M28+1)</f>
        <v/>
      </c>
      <c r="F2255">
        <f>IF(Skills!N28=TRUE,(Skills!L28/10)*(E2255/1000),Skills!L28/10)+Skills!O28</f>
        <v/>
      </c>
      <c r="G2255">
        <f>Skills!G28*IF(Skills!H28&gt;0,Skills!I28/Skills!H28,1)</f>
        <v/>
      </c>
      <c r="H2255">
        <f>1-(1-Skills!J28/100)^Skills!K28</f>
        <v/>
      </c>
      <c r="I2255" t="inlineStr">
        <is>
          <t>1</t>
        </is>
      </c>
      <c r="J2255" t="inlineStr"/>
      <c r="K2255" t="inlineStr"/>
      <c r="L2255" t="inlineStr"/>
      <c r="M2255" t="inlineStr"/>
      <c r="N2255" t="inlineStr"/>
      <c r="O2255">
        <f>(1-Summary!$B$11)*T2255+Summary!$B$11*V2255</f>
        <v/>
      </c>
      <c r="P2255">
        <f>IF(B2268=0,0,O2255/B2268)</f>
        <v/>
      </c>
      <c r="Q2255">
        <f>IFERROR(1/(IF(Inputs!$B$38="pvp",15,MAX(0.1,Skills!D28-IF(Skills!E28=TRUE,Inputs!$B$32,0)))*(1-IF(AND(ArtifactsInput!$M$27,Inputs!$B$4="Chapter Hunt"),CHOOSE(ArtifactsInput!$N$27+1,20,24,28,32,36,40),0)/100)),0)</f>
        <v/>
      </c>
      <c r="R2255">
        <f>IF(AND(Inputs!$B$38&lt;&gt;"pvp",Inputs!$B$43&gt;0),IF(Inputs!$B$43&lt;=0,0,(INT(Inputs!$B$43/(IF(Inputs!$B$38="pvp",15,MAX(0.1,Skills!D28-IF(Skills!E28=TRUE,Inputs!$B$32,0)))*(1-IF(AND(ArtifactsInput!$M$27,Inputs!$B$4="Chapter Hunt"),CHOOSE(ArtifactsInput!$N$27+1,20,24,28,32,36,40),0)/100)))+1)),0)</f>
        <v/>
      </c>
      <c r="S2255">
        <f>IFERROR(O2255/N2255,0)</f>
        <v/>
      </c>
      <c r="T2255" t="n">
        <v>0</v>
      </c>
      <c r="V2255" t="n">
        <v>0</v>
      </c>
    </row>
    <row r="2257">
      <c r="A2257" t="inlineStr">
        <is>
          <t>Attack% Bucket Multiplier</t>
        </is>
      </c>
      <c r="B2257">
        <f>(1+(((C2244=TRUE)*F2244*5/7)+((C2251=TRUE)*(F2251-Calc!F24))+(IF(ArtifactsInput!$M$21,CHOOSE(ArtifactsInput!$N$21+1,25,30,35,40,45,50)*(IF(OR(Inputs!$B$4="Chapter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58">
      <c r="A2258" t="inlineStr">
        <is>
          <t>Global Crit Rate Bonus %</t>
        </is>
      </c>
      <c r="B2258" t="n">
        <v>0</v>
      </c>
    </row>
    <row r="2259">
      <c r="A2259" t="inlineStr">
        <is>
          <t>Attack Speed Buff Bonus % (Nimble Feet, duty-cycle averaged)</t>
        </is>
      </c>
      <c r="B2259">
        <f>((C2255=TRUE)*F2255*IF(AND(Inputs!$B$38&lt;&gt;"pvp",Inputs!$B$43&gt;0),(((R2255-1)*(Skills!T28*(1+Inputs!$B$34/100))+MIN((Skills!T28*(1+Inputs!$B$34/100)),MAX(0,Inputs!$B$43-((R2255-1)*Skills!D28))))/Inputs!$B$43),IF(Inputs!$B$38="pvp",MIN((Skills!T28*(1+Inputs!$B$34/100)),15)/15,(Skills!T28*(1+Inputs!$B$34/100))/Skills!D28)))</f>
        <v/>
      </c>
    </row>
    <row r="2260">
      <c r="A2260" t="inlineStr">
        <is>
          <t>Actions Per Second</t>
        </is>
      </c>
      <c r="B2260">
        <f>1+MIN(150,150*(1-(1-(Inputs!$B$11+((C2247=TRUE)*(F2247-Calc!F20))+((C2248=TRUE)*(F2248-Calc!F21)))/150)*(1-B2259/150)))/100</f>
        <v/>
      </c>
    </row>
    <row r="2261">
      <c r="A2261" t="inlineStr">
        <is>
          <t>Skill + Buff Cast Rate</t>
        </is>
      </c>
      <c r="B2261">
        <f>IF(AND(Inputs!$B$38&lt;&gt;"pvp",Inputs!$B$43&gt;0),SUMPRODUCT((Skills!E2:E28=TRUE)*(C2229:C2255=TRUE)*R2229:R2255*Skills!F2:F28)/Inputs!$B$43,SUMPRODUCT((Skills!E2:E28=TRUE)*(C2229:C2255=TRUE)*Q2229:Q2255*Skills!F2:F28))</f>
        <v/>
      </c>
    </row>
    <row r="2262">
      <c r="A2262" t="inlineStr">
        <is>
          <t>Eight-Legs Easton Casts Per Second</t>
        </is>
      </c>
      <c r="B2262">
        <f>MAX(0,B2260-B2261)</f>
        <v/>
      </c>
    </row>
    <row r="2263">
      <c r="A2263" t="inlineStr">
        <is>
          <t>Global Critical Damage Bonus % (unused)</t>
        </is>
      </c>
      <c r="B2263" t="n">
        <v>0</v>
      </c>
    </row>
    <row r="2264">
      <c r="A2264" t="inlineStr">
        <is>
          <t>Global Final Damage Bonus % (Jolly Roger + Ahoy Mateys - Final Damage proc)</t>
        </is>
      </c>
      <c r="B2264">
        <f>((C2245=TRUE)*F2245*IF(AND(Inputs!$B$38&lt;&gt;"pvp",Inputs!$B$43&gt;0),(((R2245-1)*(Skills!T18*(1+Inputs!$B$34/100))+MIN((Skills!T18*(1+Inputs!$B$34/100)),MAX(0,Inputs!$B$43-((R2245-1)*Skills!D18))))/Inputs!$B$43),IF(Inputs!$B$38="pvp",MIN((Skills!T18*(1+Inputs!$B$34/100)),15)/15,(Skills!T18*(1+Inputs!$B$34/100))/Skills!D18)))+IF(Inputs!$B$3&gt;=122,20*IF(Inputs!$B$38="pvp",MIN((20*(1+Inputs!$B$34/100)),15)/15,(20*(1+Inputs!$B$34/100))/Skills!D4),0)</f>
        <v/>
      </c>
    </row>
    <row r="2265">
      <c r="A2265" t="inlineStr">
        <is>
          <t>Buff-Casting Startup Delay (s, fixed-duration only)</t>
        </is>
      </c>
      <c r="B2265">
        <f>IF(AND(Inputs!$B$38&lt;&gt;"pvp",Inputs!$B$43&gt;0),SUMPRODUCT((Skills!T2:T28&gt;0)*(Skills!E2:E28=TRUE)*(C2229:C2255=TRUE))/B2260,0)</f>
        <v/>
      </c>
    </row>
    <row r="2266">
      <c r="A2266" t="inlineStr">
        <is>
          <t>Boss-Only Total DPS (this block's swept value)</t>
        </is>
      </c>
      <c r="B2266">
        <f>SUM(T2229:T2255)</f>
        <v/>
      </c>
    </row>
    <row r="2267">
      <c r="A2267" t="inlineStr">
        <is>
          <t>Normal-Only Total DPS (this block's swept value)</t>
        </is>
      </c>
      <c r="B2267">
        <f>SUM(V2229:V2255)</f>
        <v/>
      </c>
    </row>
    <row r="2268">
      <c r="A2268" s="6" t="inlineStr">
        <is>
          <t>TOTAL DPS</t>
        </is>
      </c>
      <c r="B2268" s="6">
        <f>SUM(O2229:O2255)</f>
        <v/>
      </c>
    </row>
    <row r="2271">
      <c r="A2271" s="6" t="inlineStr">
        <is>
          <t>Stat: Icy Soul Rock (Equip)</t>
        </is>
      </c>
    </row>
    <row r="2272">
      <c r="A2272" s="5" t="inlineStr">
        <is>
          <t>Key</t>
        </is>
      </c>
      <c r="B2272" s="5" t="inlineStr">
        <is>
          <t>Name</t>
        </is>
      </c>
      <c r="C2272" s="5" t="inlineStr">
        <is>
          <t>Unlocked</t>
        </is>
      </c>
      <c r="D2272" s="5" t="inlineStr">
        <is>
          <t>InputLevel</t>
        </is>
      </c>
      <c r="E2272" s="5" t="inlineStr">
        <is>
          <t>Factor</t>
        </is>
      </c>
      <c r="F2272" s="5" t="inlineStr">
        <is>
          <t>CoefficientPercent</t>
        </is>
      </c>
      <c r="G2272" s="5" t="inlineStr">
        <is>
          <t>EffectiveHits</t>
        </is>
      </c>
      <c r="H2272" s="5" t="inlineStr">
        <is>
          <t>ProcProbability</t>
        </is>
      </c>
      <c r="I2272" s="5" t="inlineStr">
        <is>
          <t>MapleHeroMultiplier</t>
        </is>
      </c>
      <c r="J2272" s="5" t="inlineStr">
        <is>
          <t>BaseDamage</t>
        </is>
      </c>
      <c r="K2272" s="5" t="inlineStr">
        <is>
          <t>BaseHitDamage</t>
        </is>
      </c>
      <c r="L2272" s="5" t="inlineStr">
        <is>
          <t>NonCritAvg</t>
        </is>
      </c>
      <c r="M2272" s="5" t="inlineStr">
        <is>
          <t>CritAvg</t>
        </is>
      </c>
      <c r="N2272" s="5" t="inlineStr">
        <is>
          <t>ExpectedDamage(perHit)</t>
        </is>
      </c>
      <c r="O2272" s="5" t="inlineStr">
        <is>
          <t>DPS</t>
        </is>
      </c>
      <c r="P2272" s="5" t="inlineStr">
        <is>
          <t>% of Total</t>
        </is>
      </c>
      <c r="Q2272" s="5" t="inlineStr">
        <is>
          <t>InvCooldown</t>
        </is>
      </c>
      <c r="R2272" s="5" t="inlineStr">
        <is>
          <t>CastsInFight</t>
        </is>
      </c>
      <c r="S2272" s="5" t="inlineStr">
        <is>
          <t>HitRate(perSec)</t>
        </is>
      </c>
      <c r="U2272" t="inlineStr">
        <is>
          <t>helpers</t>
        </is>
      </c>
    </row>
    <row r="2273">
      <c r="A2273">
        <f>Skills!A2</f>
        <v/>
      </c>
      <c r="B2273">
        <f>Skills!B2</f>
        <v/>
      </c>
      <c r="C2273">
        <f>Inputs!$B$3&gt;=100</f>
        <v/>
      </c>
      <c r="D2273" t="inlineStr"/>
      <c r="E2273" t="inlineStr"/>
      <c r="F2273">
        <f>U2275+Skills!O2</f>
        <v/>
      </c>
      <c r="G2273">
        <f>Skills!G2*IF(Skills!H2&gt;0,Skills!I2/Skills!H2,1)</f>
        <v/>
      </c>
      <c r="H2273">
        <f>1-(1-Skills!J2/100)^Skills!K2</f>
        <v/>
      </c>
      <c r="I2273" t="inlineStr">
        <is>
          <t>1</t>
        </is>
      </c>
      <c r="J2273">
        <f>((Inputs!$B$6*(1+Inputs!$B$7/100))+(((Inputs!$B$12*(1+Inputs!$B$13/100))-(Inputs!$B$12*(1+Inputs!$B$13/100)))+0.25*(Inputs!$B$14-Inputs!$B$14))*(1+Inputs!$B$7/100))*(F2273/100)</f>
        <v/>
      </c>
      <c r="K2273">
        <f>J2273*(1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2273)</f>
        <v/>
      </c>
      <c r="L2273">
        <f>K2273*(MIN(Inputs!$B$22+((C2293=TRUE)*(F2293-Calc!F22)),(Inputs!$B$23+0+(IF(ArtifactsInput!$M$15,CHOOSE(ArtifactsInput!$N$15+1,25,30,35,40,45,50)/100*(Inputs!$B$11-Inputs!$B$11),0))))/100+(Inputs!$B$23+0+(IF(ArtifactsInput!$M$15,CHOOSE(ArtifactsInput!$N$15+1,25,30,35,40,45,50)/100*(Inputs!$B$11-Inputs!$B$11),0)))/100)/2</f>
        <v/>
      </c>
      <c r="M2273">
        <f>L2273*(1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73">
        <f>L2273*(1-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2273*(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3">
        <f>(1-Summary!$B$11)*T2273+Summary!$B$11*V2273</f>
        <v/>
      </c>
      <c r="P2273">
        <f>IF(B2312=0,0,O2273/B2312)</f>
        <v/>
      </c>
      <c r="Q2273" t="n">
        <v>0</v>
      </c>
      <c r="R2273" t="n">
        <v>0</v>
      </c>
      <c r="S2273">
        <f>IFERROR(O2273/N2273,0)</f>
        <v/>
      </c>
      <c r="T2273">
        <f>IF(C2273,(Skills!G2*N2273*B2306)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2273*(1-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2273*(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2273*(1-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2273*(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3">
        <f>MAX(0,(Inputs!$B$3-100)*3)+Inputs!$B$28+Inputs!$B$29</f>
        <v/>
      </c>
      <c r="V2273">
        <f>IF(C2273,(Skills!G2*N2273*B2306)*IF(Inputs!$B$38="pvp",1,(1+(Inputs!$B$21+Skills!Q2+(IF(ArtifactsInput!$M$33,CHOOSE(ArtifactsInput!$N$33+1,30,36,42,48,54,60),0))+(IF(AND(ArtifactsInput!$M$35,Inputs!$B$4&lt;&gt;"Chapter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4">
      <c r="A2274">
        <f>Skills!A3</f>
        <v/>
      </c>
      <c r="B2274">
        <f>Skills!B3</f>
        <v/>
      </c>
      <c r="C2274">
        <f>Inputs!$B$3&gt;=35</f>
        <v/>
      </c>
      <c r="D2274">
        <f>IF(Skills!C3=1,60+Inputs!$B$25+Inputs!$B$29,IF(Skills!C3=2,90+Inputs!$B$26+Inputs!$B$29,IF(Skills!C3=3,120+Inputs!$B$27+Inputs!$B$29,MAX(0,(Inputs!$B$3-100)*3)+Inputs!$B$28+Inputs!$B$29)))</f>
        <v/>
      </c>
      <c r="E2274">
        <f>INDEX(FactorTable!$B$2:$Y$301, MATCH(ROUND(MIN(300,MAX(1,D2274)),0), FactorTable!$A$2:$A$301,0), Skills!M3+1)</f>
        <v/>
      </c>
      <c r="F2274">
        <f>IF(Skills!N3=TRUE,(Skills!L3/10)*(E2274/1000),Skills!L3/10)+Skills!O3</f>
        <v/>
      </c>
      <c r="G2274">
        <f>Skills!G3*IF(Skills!H3&gt;0,Skills!I3/Skills!H3,1)</f>
        <v/>
      </c>
      <c r="H2274">
        <f>1-(1-Skills!J3/100)^Skills!K3</f>
        <v/>
      </c>
      <c r="I2274" t="inlineStr">
        <is>
          <t>1</t>
        </is>
      </c>
      <c r="J2274">
        <f>((Inputs!$B$6*(1+Inputs!$B$7/100))+(((Inputs!$B$12*(1+Inputs!$B$13/100))-(Inputs!$B$12*(1+Inputs!$B$13/100)))+0.25*(Inputs!$B$14-Inputs!$B$14))*(1+Inputs!$B$7/100))*(F2274/100)</f>
        <v/>
      </c>
      <c r="K2274">
        <f>J2274*(1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2286=TRUE,F2286,0)/100)*(1+(IF(Skills!A3="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2274)</f>
        <v/>
      </c>
      <c r="L2274">
        <f>K2274*(MIN(Inputs!$B$22+((C2293=TRUE)*(F2293-Calc!F22)),(Inputs!$B$23+0+(IF(ArtifactsInput!$M$15,CHOOSE(ArtifactsInput!$N$15+1,25,30,35,40,45,50)/100*(Inputs!$B$11-Inputs!$B$11),0))))/100+(Inputs!$B$23+0+(IF(ArtifactsInput!$M$15,CHOOSE(ArtifactsInput!$N$15+1,25,30,35,40,45,50)/100*(Inputs!$B$11-Inputs!$B$11),0)))/100)/2</f>
        <v/>
      </c>
      <c r="M2274">
        <f>L2274*(1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74">
        <f>L2274*(1-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2274*(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4">
        <f>(1-Summary!$B$11)*T2274+Summary!$B$11*V2274</f>
        <v/>
      </c>
      <c r="P2274">
        <f>IF(B2312=0,0,O2274/B2312)</f>
        <v/>
      </c>
      <c r="Q2274">
        <f>IFERROR(1/(IF(Inputs!$B$38="pvp",15,MAX(0.1,Skills!D3-IF(Skills!E3=TRUE,Inputs!$B$32,0)))*(1-IF(AND(ArtifactsInput!$M$27,Inputs!$B$4="Chapter Hunt"),CHOOSE(ArtifactsInput!$N$27+1,20,24,28,32,36,40),0)/100)),0)</f>
        <v/>
      </c>
      <c r="R2274">
        <f>IF(AND(Inputs!$B$38&lt;&gt;"pvp",Inputs!$B$43&gt;0),IF(MAX(0,Inputs!$B$43-B2309)&lt;=0,0,(INT(MAX(0,Inputs!$B$43-B2309)/(IF(Inputs!$B$38="pvp",15,MAX(0.1,Skills!D3-IF(Skills!E3=TRUE,Inputs!$B$32,0)))*(1-IF(AND(ArtifactsInput!$M$27,Inputs!$B$4="Chapter Hunt"),CHOOSE(ArtifactsInput!$N$27+1,20,24,28,32,36,40),0)/100)))+1)),0)</f>
        <v/>
      </c>
      <c r="S2274">
        <f>IFERROR(O2274/N2274,0)</f>
        <v/>
      </c>
      <c r="T2274">
        <f>IF(C2274,(H2274*N2274*IF(AND(Inputs!$B$38&lt;&gt;"pvp",Inputs!$B$43&gt;0),((Skills!G3*((R2274-1)*IF(Skills!H3&gt;0,Skills!I3/Skills!H3,1)+IF(Skills!H3&gt;0,MIN(Skills!I3,MAX(0,MAX(0,Inputs!$B$43-B2309)-((R2274-1)*(IF(Inputs!$B$38="pvp",15,MAX(0.1,Skills!D3-IF(Skills!E3=TRUE,Inputs!$B$32,0)))*(1-IF(AND(ArtifactsInput!$M$27,Inputs!$B$4="Chapter Hunt"),CHOOSE(ArtifactsInput!$N$27+1,20,24,28,32,36,40),0)/100)))))/Skills!H3,1)))/Inputs!$B$43),G2274*Q2274)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2274*(1-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2274*(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2274*(1-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2274*(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4">
        <f>INDEX(FactorTable!$B$2:$Y$301, MATCH(ROUND(MIN(300,MAX(1,U2273)),0), FactorTable!$A$2:$A$301,0), 22)</f>
        <v/>
      </c>
      <c r="V2274">
        <f>IF(C2274,(H2274*N2274*IF(AND(Inputs!$B$38&lt;&gt;"pvp",Inputs!$B$43&gt;0),((Skills!G3*((R2274-1)*IF(Skills!H3&gt;0,Skills!I3/Skills!H3,1)+IF(Skills!H3&gt;0,MIN(Skills!I3,MAX(0,MAX(0,Inputs!$B$43-B2309)-((R2274-1)*(IF(Inputs!$B$38="pvp",15,MAX(0.1,Skills!D3-IF(Skills!E3=TRUE,Inputs!$B$32,0)))*(1-IF(AND(ArtifactsInput!$M$27,Inputs!$B$4="Chapter Hunt"),CHOOSE(ArtifactsInput!$N$27+1,20,24,28,32,36,40),0)/100)))))/Skills!H3,1)))/Inputs!$B$43),G2274*Q2274))*IF(Inputs!$B$38="pvp",1,(1+(Inputs!$B$21+Skills!Q3+(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5">
      <c r="A2275">
        <f>Skills!A4</f>
        <v/>
      </c>
      <c r="B2275">
        <f>Skills!B4</f>
        <v/>
      </c>
      <c r="C2275">
        <f>Inputs!$B$3&gt;=40</f>
        <v/>
      </c>
      <c r="D2275">
        <f>IF(Skills!C4=1,60+Inputs!$B$25+Inputs!$B$29,IF(Skills!C4=2,90+Inputs!$B$26+Inputs!$B$29,IF(Skills!C4=3,120+Inputs!$B$27+Inputs!$B$29,MAX(0,(Inputs!$B$3-100)*3)+Inputs!$B$28+Inputs!$B$29)))</f>
        <v/>
      </c>
      <c r="E2275">
        <f>INDEX(FactorTable!$B$2:$Y$301, MATCH(ROUND(MIN(300,MAX(1,D2275)),0), FactorTable!$A$2:$A$301,0), Skills!M4+1)</f>
        <v/>
      </c>
      <c r="F2275">
        <f>IF(Skills!N4=TRUE,(Skills!L4/10)*(E2275/1000),Skills!L4/10)+Skills!O4</f>
        <v/>
      </c>
      <c r="G2275">
        <f>Skills!G4*IF(Skills!H4&gt;0,Skills!I4/Skills!H4,1)</f>
        <v/>
      </c>
      <c r="H2275">
        <f>1-(1-Skills!J4/100)^Skills!K4</f>
        <v/>
      </c>
      <c r="I2275" t="inlineStr">
        <is>
          <t>1</t>
        </is>
      </c>
      <c r="J2275">
        <f>((Inputs!$B$6*(1+Inputs!$B$7/100))+(((Inputs!$B$12*(1+Inputs!$B$13/100))-(Inputs!$B$12*(1+Inputs!$B$13/100)))+0.25*(Inputs!$B$14-Inputs!$B$14))*(1+Inputs!$B$7/100))*(F2275/100)</f>
        <v/>
      </c>
      <c r="K2275">
        <f>J2275*(1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2287=TRUE,F2287,0)/100)*(1+(IF(Skills!A4="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2275)</f>
        <v/>
      </c>
      <c r="L2275">
        <f>K2275*(MIN(Inputs!$B$22+((C2293=TRUE)*(F2293-Calc!F22)),(Inputs!$B$23+0+(IF(ArtifactsInput!$M$15,CHOOSE(ArtifactsInput!$N$15+1,25,30,35,40,45,50)/100*(Inputs!$B$11-Inputs!$B$11),0))))/100+(Inputs!$B$23+0+(IF(ArtifactsInput!$M$15,CHOOSE(ArtifactsInput!$N$15+1,25,30,35,40,45,50)/100*(Inputs!$B$11-Inputs!$B$11),0)))/100)/2</f>
        <v/>
      </c>
      <c r="M2275">
        <f>L2275*(1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75">
        <f>L2275*(1-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2275*(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5">
        <f>(1-Summary!$B$11)*T2275+Summary!$B$11*V2275</f>
        <v/>
      </c>
      <c r="P2275">
        <f>IF(B2312=0,0,O2275/B2312)</f>
        <v/>
      </c>
      <c r="Q2275">
        <f>IFERROR(1/(IF(Inputs!$B$38="pvp",15,MAX(0.1,Skills!D4-IF(Skills!E4=TRUE,Inputs!$B$32,0)))*(1-IF(AND(ArtifactsInput!$M$27,Inputs!$B$4="Chapter Hunt"),CHOOSE(ArtifactsInput!$N$27+1,20,24,28,32,36,40),0)/100)),0)</f>
        <v/>
      </c>
      <c r="R2275">
        <f>IF(AND(Inputs!$B$38&lt;&gt;"pvp",Inputs!$B$43&gt;0),IF(MAX(0,Inputs!$B$43-B2309)&lt;=0,0,(INT(MAX(0,Inputs!$B$43-B2309)/(IF(Inputs!$B$38="pvp",15,MAX(0.1,Skills!D4-IF(Skills!E4=TRUE,Inputs!$B$32,0)))*(1-IF(AND(ArtifactsInput!$M$27,Inputs!$B$4="Chapter Hunt"),CHOOSE(ArtifactsInput!$N$27+1,20,24,28,32,36,40),0)/100)))+1)),0)</f>
        <v/>
      </c>
      <c r="S2275">
        <f>IFERROR(O2275/N2275,0)</f>
        <v/>
      </c>
      <c r="T2275">
        <f>IF(C2275,(H2275*N2275*IF(AND(Inputs!$B$38&lt;&gt;"pvp",Inputs!$B$43&gt;0),((Skills!G4*((R2275-1)*IF(Skills!H4&gt;0,Skills!I4/Skills!H4,1)+IF(Skills!H4&gt;0,MIN(Skills!I4,MAX(0,MAX(0,Inputs!$B$43-B2309)-((R2275-1)*(IF(Inputs!$B$38="pvp",15,MAX(0.1,Skills!D4-IF(Skills!E4=TRUE,Inputs!$B$32,0)))*(1-IF(AND(ArtifactsInput!$M$27,Inputs!$B$4="Chapter Hunt"),CHOOSE(ArtifactsInput!$N$27+1,20,24,28,32,36,40),0)/100)))))/Skills!H4,1)))/Inputs!$B$43),G2275*Q2275)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2275*(1-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2275*(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2275*(1-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2275*(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5">
        <f>290*U2274/1000</f>
        <v/>
      </c>
      <c r="V2275">
        <f>IF(C2275,(H2275*N2275*IF(AND(Inputs!$B$38&lt;&gt;"pvp",Inputs!$B$43&gt;0),((Skills!G4*((R2275-1)*IF(Skills!H4&gt;0,Skills!I4/Skills!H4,1)+IF(Skills!H4&gt;0,MIN(Skills!I4,MAX(0,MAX(0,Inputs!$B$43-B2309)-((R2275-1)*(IF(Inputs!$B$38="pvp",15,MAX(0.1,Skills!D4-IF(Skills!E4=TRUE,Inputs!$B$32,0)))*(1-IF(AND(ArtifactsInput!$M$27,Inputs!$B$4="Chapter Hunt"),CHOOSE(ArtifactsInput!$N$27+1,20,24,28,32,36,40),0)/100)))))/Skills!H4,1)))/Inputs!$B$43),G2275*Q2275))*IF(Inputs!$B$38="pvp",1,(1+(Inputs!$B$21+Skills!Q4+(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6">
      <c r="A2276">
        <f>Skills!A5</f>
        <v/>
      </c>
      <c r="B2276">
        <f>Skills!B5</f>
        <v/>
      </c>
      <c r="C2276">
        <f>Inputs!$B$3&gt;=45</f>
        <v/>
      </c>
      <c r="D2276">
        <f>IF(Skills!C5=1,60+Inputs!$B$25+Inputs!$B$29,IF(Skills!C5=2,90+Inputs!$B$26+Inputs!$B$29,IF(Skills!C5=3,120+Inputs!$B$27+Inputs!$B$29,MAX(0,(Inputs!$B$3-100)*3)+Inputs!$B$28+Inputs!$B$29)))</f>
        <v/>
      </c>
      <c r="E2276">
        <f>INDEX(FactorTable!$B$2:$Y$301, MATCH(ROUND(MIN(300,MAX(1,D2276)),0), FactorTable!$A$2:$A$301,0), Skills!M5+1)</f>
        <v/>
      </c>
      <c r="F2276">
        <f>IF(Skills!N5=TRUE,(Skills!L5/10)*(E2276/1000),Skills!L5/10)+Skills!O5</f>
        <v/>
      </c>
      <c r="G2276">
        <f>Skills!G5*IF(Skills!H5&gt;0,Skills!I5/Skills!H5,1)</f>
        <v/>
      </c>
      <c r="H2276">
        <f>1-(1-Skills!J5/100)^Skills!K5</f>
        <v/>
      </c>
      <c r="I2276" t="inlineStr">
        <is>
          <t>1</t>
        </is>
      </c>
      <c r="J2276">
        <f>((Inputs!$B$6*(1+Inputs!$B$7/100))+(((Inputs!$B$12*(1+Inputs!$B$13/100))-(Inputs!$B$12*(1+Inputs!$B$13/100)))+0.25*(Inputs!$B$14-Inputs!$B$14))*(1+Inputs!$B$7/100))*(F2276/100)</f>
        <v/>
      </c>
      <c r="K2276">
        <f>J2276*(1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2287=TRUE,F2287,0)/100)*(1+(IF(Skills!A5="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2276)</f>
        <v/>
      </c>
      <c r="L2276">
        <f>K2276*(MIN(Inputs!$B$22+((C2293=TRUE)*(F2293-Calc!F22)),(Inputs!$B$23+0+(IF(ArtifactsInput!$M$15,CHOOSE(ArtifactsInput!$N$15+1,25,30,35,40,45,50)/100*(Inputs!$B$11-Inputs!$B$11),0))))/100+(Inputs!$B$23+0+(IF(ArtifactsInput!$M$15,CHOOSE(ArtifactsInput!$N$15+1,25,30,35,40,45,50)/100*(Inputs!$B$11-Inputs!$B$11),0)))/100)/2</f>
        <v/>
      </c>
      <c r="M2276">
        <f>L2276*(1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76">
        <f>L2276*(1-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2276*(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6">
        <f>(1-Summary!$B$11)*T2276+Summary!$B$11*V2276</f>
        <v/>
      </c>
      <c r="P2276">
        <f>IF(B2312=0,0,O2276/B2312)</f>
        <v/>
      </c>
      <c r="Q2276">
        <f>IFERROR(1/(IF(Inputs!$B$38="pvp",15,MAX(0.1,Skills!D5-IF(Skills!E5=TRUE,Inputs!$B$32,0)))*(1-IF(AND(ArtifactsInput!$M$27,Inputs!$B$4="Chapter Hunt"),CHOOSE(ArtifactsInput!$N$27+1,20,24,28,32,36,40),0)/100)),0)</f>
        <v/>
      </c>
      <c r="R2276">
        <f>IF(AND(Inputs!$B$38&lt;&gt;"pvp",Inputs!$B$43&gt;0),IF(MAX(0,Inputs!$B$43-B2309)&lt;=0,0,(INT(MAX(0,Inputs!$B$43-B2309)/(IF(Inputs!$B$38="pvp",15,MAX(0.1,Skills!D5-IF(Skills!E5=TRUE,Inputs!$B$32,0)))*(1-IF(AND(ArtifactsInput!$M$27,Inputs!$B$4="Chapter Hunt"),CHOOSE(ArtifactsInput!$N$27+1,20,24,28,32,36,40),0)/100)))+1)),0)</f>
        <v/>
      </c>
      <c r="S2276">
        <f>IFERROR(O2276/N2276,0)</f>
        <v/>
      </c>
      <c r="T2276">
        <f>IF(C2276,(H2276*N2276*IF(AND(Inputs!$B$38&lt;&gt;"pvp",Inputs!$B$43&gt;0),((Skills!G5*((R2276-1)*IF(Skills!H5&gt;0,Skills!I5/Skills!H5,1)+IF(Skills!H5&gt;0,MIN(Skills!I5,MAX(0,MAX(0,Inputs!$B$43-B2309)-((R2276-1)*(IF(Inputs!$B$38="pvp",15,MAX(0.1,Skills!D5-IF(Skills!E5=TRUE,Inputs!$B$32,0)))*(1-IF(AND(ArtifactsInput!$M$27,Inputs!$B$4="Chapter Hunt"),CHOOSE(ArtifactsInput!$N$27+1,20,24,28,32,36,40),0)/100)))))/Skills!H5,1)))/Inputs!$B$43),G2276*Q2276)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2276*(1-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2276*(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2276*(1-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2276*(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6">
        <f>IF(C2276,(H2276*N2276*IF(AND(Inputs!$B$38&lt;&gt;"pvp",Inputs!$B$43&gt;0),((Skills!G5*((R2276-1)*IF(Skills!H5&gt;0,Skills!I5/Skills!H5,1)+IF(Skills!H5&gt;0,MIN(Skills!I5,MAX(0,MAX(0,Inputs!$B$43-B2309)-((R2276-1)*(IF(Inputs!$B$38="pvp",15,MAX(0.1,Skills!D5-IF(Skills!E5=TRUE,Inputs!$B$32,0)))*(1-IF(AND(ArtifactsInput!$M$27,Inputs!$B$4="Chapter Hunt"),CHOOSE(ArtifactsInput!$N$27+1,20,24,28,32,36,40),0)/100)))))/Skills!H5,1)))/Inputs!$B$43),G2276*Q2276))*IF(Inputs!$B$38="pvp",1,(1+(Inputs!$B$21+Skills!Q5+(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7">
      <c r="A2277">
        <f>Skills!A6</f>
        <v/>
      </c>
      <c r="B2277">
        <f>Skills!B6</f>
        <v/>
      </c>
      <c r="C2277">
        <f>Inputs!$B$3&gt;=63</f>
        <v/>
      </c>
      <c r="D2277">
        <f>IF(Skills!C6=1,60+Inputs!$B$25+Inputs!$B$29,IF(Skills!C6=2,90+Inputs!$B$26+Inputs!$B$29,IF(Skills!C6=3,120+Inputs!$B$27+Inputs!$B$29,MAX(0,(Inputs!$B$3-100)*3)+Inputs!$B$28+Inputs!$B$29)))</f>
        <v/>
      </c>
      <c r="E2277">
        <f>INDEX(FactorTable!$B$2:$Y$301, MATCH(ROUND(MIN(300,MAX(1,D2277)),0), FactorTable!$A$2:$A$301,0), Skills!M6+1)</f>
        <v/>
      </c>
      <c r="F2277">
        <f>IF(Skills!N6=TRUE,(Skills!L6/10)*(E2277/1000),Skills!L6/10)+Skills!O6</f>
        <v/>
      </c>
      <c r="G2277">
        <f>Skills!G6*IF(Skills!H6&gt;0,Skills!I6/Skills!H6,1)</f>
        <v/>
      </c>
      <c r="H2277">
        <f>1-(1-Skills!J6/100)^Skills!K6</f>
        <v/>
      </c>
      <c r="I2277" t="inlineStr">
        <is>
          <t>1</t>
        </is>
      </c>
      <c r="J2277">
        <f>((Inputs!$B$6*(1+Inputs!$B$7/100))+(((Inputs!$B$12*(1+Inputs!$B$13/100))-(Inputs!$B$12*(1+Inputs!$B$13/100)))+0.25*(Inputs!$B$14-Inputs!$B$14))*(1+Inputs!$B$7/100))*(F2277/100)</f>
        <v/>
      </c>
      <c r="K2277">
        <f>J2277*(1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2286=TRUE,F2286,0)/100)*(1+(IF(Skills!A6="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2277)</f>
        <v/>
      </c>
      <c r="L2277">
        <f>K2277*(MIN(Inputs!$B$22+((C2293=TRUE)*(F2293-Calc!F22)),(Inputs!$B$23+0+(IF(ArtifactsInput!$M$15,CHOOSE(ArtifactsInput!$N$15+1,25,30,35,40,45,50)/100*(Inputs!$B$11-Inputs!$B$11),0))))/100+(Inputs!$B$23+0+(IF(ArtifactsInput!$M$15,CHOOSE(ArtifactsInput!$N$15+1,25,30,35,40,45,50)/100*(Inputs!$B$11-Inputs!$B$11),0)))/100)/2</f>
        <v/>
      </c>
      <c r="M2277">
        <f>L2277*(1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77">
        <f>L2277*(1-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2277*(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7">
        <f>(1-Summary!$B$11)*T2277+Summary!$B$11*V2277</f>
        <v/>
      </c>
      <c r="P2277">
        <f>IF(B2312=0,0,O2277/B2312)</f>
        <v/>
      </c>
      <c r="Q2277">
        <f>IFERROR(1/(IF(Inputs!$B$38="pvp",15,MAX(0.1,Skills!D6-IF(Skills!E6=TRUE,Inputs!$B$32,0)))*(1-IF(AND(ArtifactsInput!$M$27,Inputs!$B$4="Chapter Hunt"),CHOOSE(ArtifactsInput!$N$27+1,20,24,28,32,36,40),0)/100)),0)</f>
        <v/>
      </c>
      <c r="R2277">
        <f>IF(AND(Inputs!$B$38&lt;&gt;"pvp",Inputs!$B$43&gt;0),IF(MAX(0,Inputs!$B$43-B2309)&lt;=0,0,(INT(MAX(0,Inputs!$B$43-B2309)/(IF(Inputs!$B$38="pvp",15,MAX(0.1,Skills!D6-IF(Skills!E6=TRUE,Inputs!$B$32,0)))*(1-IF(AND(ArtifactsInput!$M$27,Inputs!$B$4="Chapter Hunt"),CHOOSE(ArtifactsInput!$N$27+1,20,24,28,32,36,40),0)/100)))+1)),0)</f>
        <v/>
      </c>
      <c r="S2277">
        <f>IFERROR(O2277/N2277,0)</f>
        <v/>
      </c>
      <c r="T2277">
        <f>IF(C2277,(H2277*N2277*IF(AND(Inputs!$B$38&lt;&gt;"pvp",Inputs!$B$43&gt;0),((Skills!G6*((R2277-1)*IF(Skills!H6&gt;0,Skills!I6/Skills!H6,1)+IF(Skills!H6&gt;0,MIN(Skills!I6,MAX(0,MAX(0,Inputs!$B$43-B2309)-((R2277-1)*(IF(Inputs!$B$38="pvp",15,MAX(0.1,Skills!D6-IF(Skills!E6=TRUE,Inputs!$B$32,0)))*(1-IF(AND(ArtifactsInput!$M$27,Inputs!$B$4="Chapter Hunt"),CHOOSE(ArtifactsInput!$N$27+1,20,24,28,32,36,40),0)/100)))))/Skills!H6,1)))/Inputs!$B$43),G2277*Q2277)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2277*(1-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2277*(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2277*(1-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2277*(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7">
        <f>IF(C2277,(H2277*N2277*IF(AND(Inputs!$B$38&lt;&gt;"pvp",Inputs!$B$43&gt;0),((Skills!G6*((R2277-1)*IF(Skills!H6&gt;0,Skills!I6/Skills!H6,1)+IF(Skills!H6&gt;0,MIN(Skills!I6,MAX(0,MAX(0,Inputs!$B$43-B2309)-((R2277-1)*(IF(Inputs!$B$38="pvp",15,MAX(0.1,Skills!D6-IF(Skills!E6=TRUE,Inputs!$B$32,0)))*(1-IF(AND(ArtifactsInput!$M$27,Inputs!$B$4="Chapter Hunt"),CHOOSE(ArtifactsInput!$N$27+1,20,24,28,32,36,40),0)/100)))))/Skills!H6,1)))/Inputs!$B$43),G2277*Q2277))*IF(Inputs!$B$38="pvp",1,(1+(Inputs!$B$21+Skills!Q6+(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8">
      <c r="A2278">
        <f>Skills!A7</f>
        <v/>
      </c>
      <c r="B2278">
        <f>Skills!B7</f>
        <v/>
      </c>
      <c r="C2278">
        <f>Inputs!$B$3&gt;=66</f>
        <v/>
      </c>
      <c r="D2278">
        <f>IF(Skills!C7=1,60+Inputs!$B$25+Inputs!$B$29,IF(Skills!C7=2,90+Inputs!$B$26+Inputs!$B$29,IF(Skills!C7=3,120+Inputs!$B$27+Inputs!$B$29,MAX(0,(Inputs!$B$3-100)*3)+Inputs!$B$28+Inputs!$B$29)))</f>
        <v/>
      </c>
      <c r="E2278">
        <f>INDEX(FactorTable!$B$2:$Y$301, MATCH(ROUND(MIN(300,MAX(1,D2278)),0), FactorTable!$A$2:$A$301,0), Skills!M7+1)</f>
        <v/>
      </c>
      <c r="F2278">
        <f>IF(Skills!N7=TRUE,(Skills!L7/10)*(E2278/1000),Skills!L7/10)+Skills!O7</f>
        <v/>
      </c>
      <c r="G2278">
        <f>Skills!G7*IF(Skills!H7&gt;0,Skills!I7/Skills!H7,1)</f>
        <v/>
      </c>
      <c r="H2278">
        <f>1-(1-Skills!J7/100)^Skills!K7</f>
        <v/>
      </c>
      <c r="I2278" t="inlineStr">
        <is>
          <t>1</t>
        </is>
      </c>
      <c r="J2278">
        <f>((Inputs!$B$6*(1+Inputs!$B$7/100))+(((Inputs!$B$12*(1+Inputs!$B$13/100))-(Inputs!$B$12*(1+Inputs!$B$13/100)))+0.25*(Inputs!$B$14-Inputs!$B$14))*(1+Inputs!$B$7/100))*(F2278/100)</f>
        <v/>
      </c>
      <c r="K2278">
        <f>J2278*(1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2286=TRUE,F2286,0)/100)*(1+(IF(Skills!A7="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2278)</f>
        <v/>
      </c>
      <c r="L2278">
        <f>K2278*(MIN(Inputs!$B$22+((C2293=TRUE)*(F2293-Calc!F22)),(Inputs!$B$23+0+(IF(ArtifactsInput!$M$15,CHOOSE(ArtifactsInput!$N$15+1,25,30,35,40,45,50)/100*(Inputs!$B$11-Inputs!$B$11),0))))/100+(Inputs!$B$23+0+(IF(ArtifactsInput!$M$15,CHOOSE(ArtifactsInput!$N$15+1,25,30,35,40,45,50)/100*(Inputs!$B$11-Inputs!$B$11),0)))/100)/2</f>
        <v/>
      </c>
      <c r="M2278">
        <f>L2278*(1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78">
        <f>L2278*(1-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2278*(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8">
        <f>(1-Summary!$B$11)*T2278+Summary!$B$11*V2278</f>
        <v/>
      </c>
      <c r="P2278">
        <f>IF(B2312=0,0,O2278/B2312)</f>
        <v/>
      </c>
      <c r="Q2278">
        <f>IFERROR(1/(IF(Inputs!$B$38="pvp",15,MAX(0.1,Skills!D7-IF(Skills!E7=TRUE,Inputs!$B$32,0)))*(1-IF(AND(ArtifactsInput!$M$27,Inputs!$B$4="Chapter Hunt"),CHOOSE(ArtifactsInput!$N$27+1,20,24,28,32,36,40),0)/100)),0)</f>
        <v/>
      </c>
      <c r="R2278">
        <f>IF(AND(Inputs!$B$38&lt;&gt;"pvp",Inputs!$B$43&gt;0),IF(MAX(0,Inputs!$B$43-B2309)&lt;=0,0,(INT(MAX(0,Inputs!$B$43-B2309)/(IF(Inputs!$B$38="pvp",15,MAX(0.1,Skills!D7-IF(Skills!E7=TRUE,Inputs!$B$32,0)))*(1-IF(AND(ArtifactsInput!$M$27,Inputs!$B$4="Chapter Hunt"),CHOOSE(ArtifactsInput!$N$27+1,20,24,28,32,36,40),0)/100)))+1)),0)</f>
        <v/>
      </c>
      <c r="S2278">
        <f>IFERROR(O2278/N2278,0)</f>
        <v/>
      </c>
      <c r="T2278">
        <f>IF(C2278,(H2278*N2278*IF(AND(Inputs!$B$38&lt;&gt;"pvp",Inputs!$B$43&gt;0),((Skills!G7*((R2278-1)*IF(Skills!H7&gt;0,Skills!I7/Skills!H7,1)+IF(Skills!H7&gt;0,MIN(Skills!I7,MAX(0,MAX(0,Inputs!$B$43-B2309)-((R2278-1)*(IF(Inputs!$B$38="pvp",15,MAX(0.1,Skills!D7-IF(Skills!E7=TRUE,Inputs!$B$32,0)))*(1-IF(AND(ArtifactsInput!$M$27,Inputs!$B$4="Chapter Hunt"),CHOOSE(ArtifactsInput!$N$27+1,20,24,28,32,36,40),0)/100)))))/Skills!H7,1)))/Inputs!$B$43),G2278*Q2278)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2278*(1-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2278*(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2278*(1-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2278*(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8">
        <f>IF(C2278,(H2278*N2278*IF(AND(Inputs!$B$38&lt;&gt;"pvp",Inputs!$B$43&gt;0),((Skills!G7*((R2278-1)*IF(Skills!H7&gt;0,Skills!I7/Skills!H7,1)+IF(Skills!H7&gt;0,MIN(Skills!I7,MAX(0,MAX(0,Inputs!$B$43-B2309)-((R2278-1)*(IF(Inputs!$B$38="pvp",15,MAX(0.1,Skills!D7-IF(Skills!E7=TRUE,Inputs!$B$32,0)))*(1-IF(AND(ArtifactsInput!$M$27,Inputs!$B$4="Chapter Hunt"),CHOOSE(ArtifactsInput!$N$27+1,20,24,28,32,36,40),0)/100)))))/Skills!H7,1)))/Inputs!$B$43),G2278*Q2278))*IF(Inputs!$B$38="pvp",1,(1+(Inputs!$B$21+Skills!Q7+(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9">
      <c r="A2279">
        <f>Skills!A8</f>
        <v/>
      </c>
      <c r="B2279">
        <f>Skills!B8</f>
        <v/>
      </c>
      <c r="C2279">
        <f>Inputs!$B$3&gt;=100</f>
        <v/>
      </c>
      <c r="D2279">
        <f>IF(Skills!C8=1,60+Inputs!$B$25+Inputs!$B$29,IF(Skills!C8=2,90+Inputs!$B$26+Inputs!$B$29,IF(Skills!C8=3,120+Inputs!$B$27+Inputs!$B$29,MAX(0,(Inputs!$B$3-100)*3)+Inputs!$B$28+Inputs!$B$29)))</f>
        <v/>
      </c>
      <c r="E2279">
        <f>INDEX(FactorTable!$B$2:$Y$301, MATCH(ROUND(MIN(300,MAX(1,D2279)),0), FactorTable!$A$2:$A$301,0), Skills!M8+1)</f>
        <v/>
      </c>
      <c r="F2279">
        <f>IF(Skills!N8=TRUE,(Skills!L8/10)*(E2279/1000),Skills!L8/10)+Skills!O8</f>
        <v/>
      </c>
      <c r="G2279">
        <f>Skills!G8*IF(Skills!H8&gt;0,Skills!I8/Skills!H8,1)</f>
        <v/>
      </c>
      <c r="H2279">
        <f>1-(1-Skills!J8/100)^Skills!K8</f>
        <v/>
      </c>
      <c r="I2279" t="inlineStr">
        <is>
          <t>1</t>
        </is>
      </c>
      <c r="J2279">
        <f>((Inputs!$B$6*(1+Inputs!$B$7/100))+(((Inputs!$B$12*(1+Inputs!$B$13/100))-(Inputs!$B$12*(1+Inputs!$B$13/100)))+0.25*(Inputs!$B$14-Inputs!$B$14))*(1+Inputs!$B$7/100))*(F2279/100)</f>
        <v/>
      </c>
      <c r="K2279">
        <f>J2279*(1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2279)</f>
        <v/>
      </c>
      <c r="L2279">
        <f>K2279*(MIN(Inputs!$B$22+((C2293=TRUE)*(F2293-Calc!F22)),(Inputs!$B$23+0+(IF(ArtifactsInput!$M$15,CHOOSE(ArtifactsInput!$N$15+1,25,30,35,40,45,50)/100*(Inputs!$B$11-Inputs!$B$11),0))))/100+(Inputs!$B$23+0+(IF(ArtifactsInput!$M$15,CHOOSE(ArtifactsInput!$N$15+1,25,30,35,40,45,50)/100*(Inputs!$B$11-Inputs!$B$11),0)))/100)/2</f>
        <v/>
      </c>
      <c r="M2279">
        <f>L2279*(1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79">
        <f>L2279*(1-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2279*(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9">
        <f>(1-Summary!$B$11)*T2279+Summary!$B$11*V2279</f>
        <v/>
      </c>
      <c r="P2279">
        <f>IF(B2312=0,0,O2279/B2312)</f>
        <v/>
      </c>
      <c r="Q2279">
        <f>IFERROR(1/(IF(Inputs!$B$38="pvp",15,MAX(0.1,Skills!D8-IF(Skills!E8=TRUE,Inputs!$B$32,0)))*(1-IF(AND(ArtifactsInput!$M$27,Inputs!$B$4="Chapter Hunt"),CHOOSE(ArtifactsInput!$N$27+1,20,24,28,32,36,40),0)/100)),0)</f>
        <v/>
      </c>
      <c r="R2279">
        <f>IF(AND(Inputs!$B$38&lt;&gt;"pvp",Inputs!$B$43&gt;0),IF(MAX(0,Inputs!$B$43-B2309)&lt;=0,0,(INT(MAX(0,Inputs!$B$43-B2309)/(IF(Inputs!$B$38="pvp",15,MAX(0.1,Skills!D8-IF(Skills!E8=TRUE,Inputs!$B$32,0)))*(1-IF(AND(ArtifactsInput!$M$27,Inputs!$B$4="Chapter Hunt"),CHOOSE(ArtifactsInput!$N$27+1,20,24,28,32,36,40),0)/100)))+1)),0)</f>
        <v/>
      </c>
      <c r="S2279">
        <f>IFERROR(O2279/N2279,0)</f>
        <v/>
      </c>
      <c r="T2279">
        <f>IF(C2279,(H2279*N2279*IF(AND(Inputs!$B$38&lt;&gt;"pvp",Inputs!$B$43&gt;0),((Skills!G8*((R2279-1)*IF(Skills!H8&gt;0,Skills!I8/Skills!H8,1)+IF(Skills!H8&gt;0,MIN(Skills!I8,MAX(0,MAX(0,Inputs!$B$43-B2309)-((R2279-1)*(IF(Inputs!$B$38="pvp",15,MAX(0.1,Skills!D8-IF(Skills!E8=TRUE,Inputs!$B$32,0)))*(1-IF(AND(ArtifactsInput!$M$27,Inputs!$B$4="Chapter Hunt"),CHOOSE(ArtifactsInput!$N$27+1,20,24,28,32,36,40),0)/100)))))/Skills!H8,1)))/Inputs!$B$43),G2279*Q2279)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2279*(1-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2279*(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2279*(1-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2279*(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9">
        <f>IF(C2279,(H2279*N2279*IF(AND(Inputs!$B$38&lt;&gt;"pvp",Inputs!$B$43&gt;0),((Skills!G8*((R2279-1)*IF(Skills!H8&gt;0,Skills!I8/Skills!H8,1)+IF(Skills!H8&gt;0,MIN(Skills!I8,MAX(0,MAX(0,Inputs!$B$43-B2309)-((R2279-1)*(IF(Inputs!$B$38="pvp",15,MAX(0.1,Skills!D8-IF(Skills!E8=TRUE,Inputs!$B$32,0)))*(1-IF(AND(ArtifactsInput!$M$27,Inputs!$B$4="Chapter Hunt"),CHOOSE(ArtifactsInput!$N$27+1,20,24,28,32,36,40),0)/100)))))/Skills!H8,1)))/Inputs!$B$43),G2279*Q2279))*IF(Inputs!$B$38="pvp",1,(1+(Inputs!$B$21+Skills!Q8+(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0">
      <c r="A2280">
        <f>Skills!A9</f>
        <v/>
      </c>
      <c r="B2280">
        <f>Skills!B9</f>
        <v/>
      </c>
      <c r="C2280">
        <f>Inputs!$B$3&gt;=103</f>
        <v/>
      </c>
      <c r="D2280">
        <f>IF(Skills!C9=1,60+Inputs!$B$25+Inputs!$B$29,IF(Skills!C9=2,90+Inputs!$B$26+Inputs!$B$29,IF(Skills!C9=3,120+Inputs!$B$27+Inputs!$B$29,MAX(0,(Inputs!$B$3-100)*3)+Inputs!$B$28+Inputs!$B$29)))</f>
        <v/>
      </c>
      <c r="E2280">
        <f>INDEX(FactorTable!$B$2:$Y$301, MATCH(ROUND(MIN(300,MAX(1,D2280)),0), FactorTable!$A$2:$A$301,0), Skills!M9+1)</f>
        <v/>
      </c>
      <c r="F2280">
        <f>IF(Skills!N9=TRUE,(Skills!L9/10)*(E2280/1000),Skills!L9/10)+Skills!O9</f>
        <v/>
      </c>
      <c r="G2280">
        <f>Skills!G9*IF(Skills!H9&gt;0,Skills!I9/Skills!H9,1)</f>
        <v/>
      </c>
      <c r="H2280">
        <f>1-(1-Skills!J9/100)^Skills!K9</f>
        <v/>
      </c>
      <c r="I2280" t="inlineStr">
        <is>
          <t>1</t>
        </is>
      </c>
      <c r="J2280">
        <f>((Inputs!$B$6*(1+Inputs!$B$7/100))+(((Inputs!$B$12*(1+Inputs!$B$13/100))-(Inputs!$B$12*(1+Inputs!$B$13/100)))+0.25*(Inputs!$B$14-Inputs!$B$14))*(1+Inputs!$B$7/100))*(F2280/100)</f>
        <v/>
      </c>
      <c r="K2280">
        <f>J2280*(1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2280)</f>
        <v/>
      </c>
      <c r="L2280">
        <f>K2280*(MIN(Inputs!$B$22+((C2293=TRUE)*(F2293-Calc!F22)),(Inputs!$B$23+0+(IF(ArtifactsInput!$M$15,CHOOSE(ArtifactsInput!$N$15+1,25,30,35,40,45,50)/100*(Inputs!$B$11-Inputs!$B$11),0))))/100+(Inputs!$B$23+0+(IF(ArtifactsInput!$M$15,CHOOSE(ArtifactsInput!$N$15+1,25,30,35,40,45,50)/100*(Inputs!$B$11-Inputs!$B$11),0)))/100)/2</f>
        <v/>
      </c>
      <c r="M2280">
        <f>L2280*(1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80">
        <f>L2280*(1-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2280*(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0">
        <f>(1-Summary!$B$11)*T2280+Summary!$B$11*V2280</f>
        <v/>
      </c>
      <c r="P2280">
        <f>IF(B2312=0,0,O2280/B2312)</f>
        <v/>
      </c>
      <c r="Q2280">
        <f>IFERROR(1/(IF(Inputs!$B$38="pvp",15,MAX(0.1,Skills!D9-IF(Skills!E9=TRUE,Inputs!$B$32,0)))*(1-IF(AND(ArtifactsInput!$M$27,Inputs!$B$4="Chapter Hunt"),CHOOSE(ArtifactsInput!$N$27+1,20,24,28,32,36,40),0)/100)),0)</f>
        <v/>
      </c>
      <c r="R2280">
        <f>IF(AND(Inputs!$B$38&lt;&gt;"pvp",Inputs!$B$43&gt;0),IF(MAX(0,Inputs!$B$43-B2309)&lt;=0,0,(INT(MAX(0,Inputs!$B$43-B2309)/(IF(Inputs!$B$38="pvp",15,MAX(0.1,Skills!D9-IF(Skills!E9=TRUE,Inputs!$B$32,0)))*(1-IF(AND(ArtifactsInput!$M$27,Inputs!$B$4="Chapter Hunt"),CHOOSE(ArtifactsInput!$N$27+1,20,24,28,32,36,40),0)/100)))+1)),0)</f>
        <v/>
      </c>
      <c r="S2280">
        <f>IFERROR(O2280/N2280,0)</f>
        <v/>
      </c>
      <c r="T2280">
        <f>IF(C2280,(H2280*N2280*IF(AND(Inputs!$B$38&lt;&gt;"pvp",Inputs!$B$43&gt;0),((Skills!G9*((R2280-1)*IF(Skills!H9&gt;0,Skills!I9/Skills!H9,1)+IF(Skills!H9&gt;0,MIN(Skills!I9,MAX(0,MAX(0,Inputs!$B$43-B2309)-((R2280-1)*(IF(Inputs!$B$38="pvp",15,MAX(0.1,Skills!D9-IF(Skills!E9=TRUE,Inputs!$B$32,0)))*(1-IF(AND(ArtifactsInput!$M$27,Inputs!$B$4="Chapter Hunt"),CHOOSE(ArtifactsInput!$N$27+1,20,24,28,32,36,40),0)/100)))))/Skills!H9,1)))/Inputs!$B$43),G2280*Q2280)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2280*(1-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2280*(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2280*(1-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2280*(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0">
        <f>IF(C2280,(H2280*N2280*IF(AND(Inputs!$B$38&lt;&gt;"pvp",Inputs!$B$43&gt;0),((Skills!G9*((R2280-1)*IF(Skills!H9&gt;0,Skills!I9/Skills!H9,1)+IF(Skills!H9&gt;0,MIN(Skills!I9,MAX(0,MAX(0,Inputs!$B$43-B2309)-((R2280-1)*(IF(Inputs!$B$38="pvp",15,MAX(0.1,Skills!D9-IF(Skills!E9=TRUE,Inputs!$B$32,0)))*(1-IF(AND(ArtifactsInput!$M$27,Inputs!$B$4="Chapter Hunt"),CHOOSE(ArtifactsInput!$N$27+1,20,24,28,32,36,40),0)/100)))))/Skills!H9,1)))/Inputs!$B$43),G2280*Q2280))*IF(Inputs!$B$38="pvp",1,(1+(Inputs!$B$21+Skills!Q9+(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1">
      <c r="A2281">
        <f>Skills!A10</f>
        <v/>
      </c>
      <c r="B2281">
        <f>Skills!B10</f>
        <v/>
      </c>
      <c r="C2281">
        <f>Inputs!$B$3&gt;=113</f>
        <v/>
      </c>
      <c r="D2281">
        <f>IF(Skills!C10=1,60+Inputs!$B$25+Inputs!$B$29,IF(Skills!C10=2,90+Inputs!$B$26+Inputs!$B$29,IF(Skills!C10=3,120+Inputs!$B$27+Inputs!$B$29,MAX(0,(Inputs!$B$3-100)*3)+Inputs!$B$28+Inputs!$B$29)))</f>
        <v/>
      </c>
      <c r="E2281">
        <f>INDEX(FactorTable!$B$2:$Y$301, MATCH(ROUND(MIN(300,MAX(1,D2281)),0), FactorTable!$A$2:$A$301,0), Skills!M10+1)</f>
        <v/>
      </c>
      <c r="F2281">
        <f>IF(Skills!N10=TRUE,(Skills!L10/10)*(E2281/1000),Skills!L10/10)+Skills!O10</f>
        <v/>
      </c>
      <c r="G2281">
        <f>Skills!G10*IF(Skills!H10&gt;0,Skills!I10/Skills!H10,1)</f>
        <v/>
      </c>
      <c r="H2281">
        <f>1-(1-Skills!J10/100)^Skills!K10</f>
        <v/>
      </c>
      <c r="I2281" t="inlineStr">
        <is>
          <t>1</t>
        </is>
      </c>
      <c r="J2281">
        <f>((Inputs!$B$6*(1+Inputs!$B$7/100))+(((Inputs!$B$12*(1+Inputs!$B$13/100))-(Inputs!$B$12*(1+Inputs!$B$13/100)))+0.25*(Inputs!$B$14-Inputs!$B$14))*(1+Inputs!$B$7/100))*(F2281/100)</f>
        <v/>
      </c>
      <c r="K2281">
        <f>J2281*(1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2281)</f>
        <v/>
      </c>
      <c r="L2281">
        <f>K2281*(MIN(Inputs!$B$22+((C2293=TRUE)*(F2293-Calc!F22)),(Inputs!$B$23+0+(IF(ArtifactsInput!$M$15,CHOOSE(ArtifactsInput!$N$15+1,25,30,35,40,45,50)/100*(Inputs!$B$11-Inputs!$B$11),0))))/100+(Inputs!$B$23+0+(IF(ArtifactsInput!$M$15,CHOOSE(ArtifactsInput!$N$15+1,25,30,35,40,45,50)/100*(Inputs!$B$11-Inputs!$B$11),0)))/100)/2</f>
        <v/>
      </c>
      <c r="M2281">
        <f>L2281*(1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81">
        <f>L2281*(1-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1">
        <f>(1-Summary!$B$11)*T2281+Summary!$B$11*V2281</f>
        <v/>
      </c>
      <c r="P2281">
        <f>IF(B2312=0,0,O2281/B2312)</f>
        <v/>
      </c>
      <c r="Q2281">
        <f>IFERROR(1/(IF(Inputs!$B$38="pvp",15,MAX(0.1,Skills!D10-IF(Skills!E10=TRUE,Inputs!$B$32,0)))*(1-IF(AND(ArtifactsInput!$M$27,Inputs!$B$4="Chapter Hunt"),CHOOSE(ArtifactsInput!$N$27+1,20,24,28,32,36,40),0)/100)),0)</f>
        <v/>
      </c>
      <c r="R2281">
        <f>IF(AND(Inputs!$B$38&lt;&gt;"pvp",Inputs!$B$43&gt;0),IF(MAX(0,Inputs!$B$43-B2309)&lt;=0,0,(INT(MAX(0,Inputs!$B$43-B2309)/(IF(Inputs!$B$38="pvp",15,MAX(0.1,Skills!D10-IF(Skills!E10=TRUE,Inputs!$B$32,0)))*(1-IF(AND(ArtifactsInput!$M$27,Inputs!$B$4="Chapter Hunt"),CHOOSE(ArtifactsInput!$N$27+1,20,24,28,32,36,40),0)/100)))+1)),0)</f>
        <v/>
      </c>
      <c r="S2281">
        <f>IFERROR(O2281/N2281,0)</f>
        <v/>
      </c>
      <c r="T2281">
        <f>IF(C2281,(H2281*N2281*IF(AND(Inputs!$B$38&lt;&gt;"pvp",Inputs!$B$43&gt;0),((Skills!G10*((R2281-1)*IF(Skills!H10&gt;0,Skills!I10/Skills!H10,1)+IF(Skills!H10&gt;0,MIN(Skills!I10,MAX(0,MAX(0,Inputs!$B$43-B2309)-((R2281-1)*(IF(Inputs!$B$38="pvp",15,MAX(0.1,Skills!D10-IF(Skills!E10=TRUE,Inputs!$B$32,0)))*(1-IF(AND(ArtifactsInput!$M$27,Inputs!$B$4="Chapter Hunt"),CHOOSE(ArtifactsInput!$N$27+1,20,24,28,32,36,40),0)/100)))))/Skills!H10,1)))/Inputs!$B$43),G2281*Q2281)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2281*(1-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2281*(1-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1">
        <f>IF(C2281,(H2281*N2281*IF(AND(Inputs!$B$38&lt;&gt;"pvp",Inputs!$B$43&gt;0),((Skills!G10*((R2281-1)*IF(Skills!H10&gt;0,Skills!I10/Skills!H10,1)+IF(Skills!H10&gt;0,MIN(Skills!I10,MAX(0,MAX(0,Inputs!$B$43-B2309)-((R2281-1)*(IF(Inputs!$B$38="pvp",15,MAX(0.1,Skills!D10-IF(Skills!E10=TRUE,Inputs!$B$32,0)))*(1-IF(AND(ArtifactsInput!$M$27,Inputs!$B$4="Chapter Hunt"),CHOOSE(ArtifactsInput!$N$27+1,20,24,28,32,36,40),0)/100)))))/Skills!H10,1)))/Inputs!$B$43),G2281*Q2281))*IF(Inputs!$B$38="pvp",1,(1+(Inputs!$B$21+Skills!Q10+(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2">
      <c r="A2282">
        <f>Skills!A11</f>
        <v/>
      </c>
      <c r="B2282">
        <f>Skills!B11</f>
        <v/>
      </c>
      <c r="C2282">
        <f>Inputs!$B$3&gt;=107</f>
        <v/>
      </c>
      <c r="D2282">
        <f>IF(Skills!C11=1,60+Inputs!$B$25+Inputs!$B$29,IF(Skills!C11=2,90+Inputs!$B$26+Inputs!$B$29,IF(Skills!C11=3,120+Inputs!$B$27+Inputs!$B$29,MAX(0,(Inputs!$B$3-100)*3)+Inputs!$B$28+Inputs!$B$29)))</f>
        <v/>
      </c>
      <c r="E2282">
        <f>INDEX(FactorTable!$B$2:$Y$301, MATCH(ROUND(MIN(300,MAX(1,D2282)),0), FactorTable!$A$2:$A$301,0), Skills!M11+1)</f>
        <v/>
      </c>
      <c r="F2282">
        <f>IF(Skills!N11=TRUE,(Skills!L11/10)*(E2282/1000),Skills!L11/10)+Skills!O11</f>
        <v/>
      </c>
      <c r="G2282">
        <f>Skills!G11*IF(Skills!H11&gt;0,Skills!I11/Skills!H11,1)</f>
        <v/>
      </c>
      <c r="H2282">
        <f>1-(1-Skills!J11/100)^Skills!K11</f>
        <v/>
      </c>
      <c r="I2282" t="inlineStr">
        <is>
          <t>1</t>
        </is>
      </c>
      <c r="J2282">
        <f>((Inputs!$B$6*(1+Inputs!$B$7/100))+(((Inputs!$B$12*(1+Inputs!$B$13/100))-(Inputs!$B$12*(1+Inputs!$B$13/100)))+0.25*(Inputs!$B$14-Inputs!$B$14))*(1+Inputs!$B$7/100))*(F2282/100)</f>
        <v/>
      </c>
      <c r="K2282">
        <f>J2282*(1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2282)</f>
        <v/>
      </c>
      <c r="L2282">
        <f>K2282*(MIN(Inputs!$B$22+((C2293=TRUE)*(F2293-Calc!F22)),(Inputs!$B$23+0+(IF(ArtifactsInput!$M$15,CHOOSE(ArtifactsInput!$N$15+1,25,30,35,40,45,50)/100*(Inputs!$B$11-Inputs!$B$11),0))))/100+(Inputs!$B$23+0+(IF(ArtifactsInput!$M$15,CHOOSE(ArtifactsInput!$N$15+1,25,30,35,40,45,50)/100*(Inputs!$B$11-Inputs!$B$11),0)))/100)/2</f>
        <v/>
      </c>
      <c r="M2282">
        <f>L2282*(1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82">
        <f>L2282*(1-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2282*(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2">
        <f>(1-Summary!$B$11)*T2282+Summary!$B$11*V2282</f>
        <v/>
      </c>
      <c r="P2282">
        <f>IF(B2312=0,0,O2282/B2312)</f>
        <v/>
      </c>
      <c r="Q2282">
        <f>IFERROR(1/(IF(Inputs!$B$38="pvp",15,MAX(0.1,Skills!D11-IF(Skills!E11=TRUE,Inputs!$B$32,0)))*(1-IF(AND(ArtifactsInput!$M$27,Inputs!$B$4="Chapter Hunt"),CHOOSE(ArtifactsInput!$N$27+1,20,24,28,32,36,40),0)/100)),0)</f>
        <v/>
      </c>
      <c r="R2282">
        <f>IF(AND(Inputs!$B$38&lt;&gt;"pvp",Inputs!$B$43&gt;0),IF(MAX(0,Inputs!$B$43-B2309)&lt;=0,0,(INT(MAX(0,Inputs!$B$43-B2309)/(IF(Inputs!$B$38="pvp",15,MAX(0.1,Skills!D11-IF(Skills!E11=TRUE,Inputs!$B$32,0)))*(1-IF(AND(ArtifactsInput!$M$27,Inputs!$B$4="Chapter Hunt"),CHOOSE(ArtifactsInput!$N$27+1,20,24,28,32,36,40),0)/100)))+1)),0)</f>
        <v/>
      </c>
      <c r="S2282">
        <f>IFERROR(O2282/N2282,0)</f>
        <v/>
      </c>
      <c r="T2282">
        <f>IF(C2282,(H2282*N2282*IF(AND(Inputs!$B$38&lt;&gt;"pvp",Inputs!$B$43&gt;0),((Skills!G11*((R2282-1)*IF(Skills!H11&gt;0,Skills!I11/Skills!H11,1)+IF(Skills!H11&gt;0,MIN(Skills!I11,MAX(0,MAX(0,Inputs!$B$43-B2309)-((R2282-1)*(IF(Inputs!$B$38="pvp",15,MAX(0.1,Skills!D11-IF(Skills!E11=TRUE,Inputs!$B$32,0)))*(1-IF(AND(ArtifactsInput!$M$27,Inputs!$B$4="Chapter Hunt"),CHOOSE(ArtifactsInput!$N$27+1,20,24,28,32,36,40),0)/100)))))/Skills!H11,1)))/Inputs!$B$43),G2282*Q2282)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2282*(1-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2282*(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2282*(1-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2282*(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2">
        <f>IF(C2282,(H2282*N2282*IF(AND(Inputs!$B$38&lt;&gt;"pvp",Inputs!$B$43&gt;0),((Skills!G11*((R2282-1)*IF(Skills!H11&gt;0,Skills!I11/Skills!H11,1)+IF(Skills!H11&gt;0,MIN(Skills!I11,MAX(0,MAX(0,Inputs!$B$43-B2309)-((R2282-1)*(IF(Inputs!$B$38="pvp",15,MAX(0.1,Skills!D11-IF(Skills!E11=TRUE,Inputs!$B$32,0)))*(1-IF(AND(ArtifactsInput!$M$27,Inputs!$B$4="Chapter Hunt"),CHOOSE(ArtifactsInput!$N$27+1,20,24,28,32,36,40),0)/100)))))/Skills!H11,1)))/Inputs!$B$43),G2282*Q2282))*IF(Inputs!$B$38="pvp",1,(1+(Inputs!$B$21+Skills!Q11+(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3">
      <c r="A2283">
        <f>Skills!A12</f>
        <v/>
      </c>
      <c r="B2283">
        <f>Skills!B12</f>
        <v/>
      </c>
      <c r="C2283">
        <f>Inputs!$B$3&gt;=110</f>
        <v/>
      </c>
      <c r="D2283">
        <f>IF(Skills!C12=1,60+Inputs!$B$25+Inputs!$B$29,IF(Skills!C12=2,90+Inputs!$B$26+Inputs!$B$29,IF(Skills!C12=3,120+Inputs!$B$27+Inputs!$B$29,MAX(0,(Inputs!$B$3-100)*3)+Inputs!$B$28+Inputs!$B$29)))</f>
        <v/>
      </c>
      <c r="E2283">
        <f>INDEX(FactorTable!$B$2:$Y$301, MATCH(ROUND(MIN(300,MAX(1,D2283)),0), FactorTable!$A$2:$A$301,0), Skills!M12+1)</f>
        <v/>
      </c>
      <c r="F2283">
        <f>IF(Skills!N12=TRUE,(Skills!L12/10)*(E2283/1000),Skills!L12/10)+Skills!O12</f>
        <v/>
      </c>
      <c r="G2283">
        <f>Skills!G12*IF(Skills!H12&gt;0,Skills!I12/Skills!H12,1)</f>
        <v/>
      </c>
      <c r="H2283">
        <f>1-(1-Skills!J12/100)^Skills!K12</f>
        <v/>
      </c>
      <c r="I2283" t="inlineStr">
        <is>
          <t>1</t>
        </is>
      </c>
      <c r="J2283">
        <f>((Inputs!$B$6*(1+Inputs!$B$7/100))+(((Inputs!$B$12*(1+Inputs!$B$13/100))-(Inputs!$B$12*(1+Inputs!$B$13/100)))+0.25*(Inputs!$B$14-Inputs!$B$14))*(1+Inputs!$B$7/100))*(F2283/100)</f>
        <v/>
      </c>
      <c r="K2283">
        <f>J2283*(1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2283)</f>
        <v/>
      </c>
      <c r="L2283">
        <f>K2283*(MIN(Inputs!$B$22+((C2293=TRUE)*(F2293-Calc!F22)),(Inputs!$B$23+0+(IF(ArtifactsInput!$M$15,CHOOSE(ArtifactsInput!$N$15+1,25,30,35,40,45,50)/100*(Inputs!$B$11-Inputs!$B$11),0))))/100+(Inputs!$B$23+0+(IF(ArtifactsInput!$M$15,CHOOSE(ArtifactsInput!$N$15+1,25,30,35,40,45,50)/100*(Inputs!$B$11-Inputs!$B$11),0)))/100)/2</f>
        <v/>
      </c>
      <c r="M2283">
        <f>L2283*(1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83">
        <f>L2283*(1-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2283*(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3">
        <f>(1-Summary!$B$11)*T2283+Summary!$B$11*V2283</f>
        <v/>
      </c>
      <c r="P2283">
        <f>IF(B2312=0,0,O2283/B2312)</f>
        <v/>
      </c>
      <c r="Q2283">
        <f>IFERROR(1/(IF(Inputs!$B$38="pvp",15,MAX(0.1,Skills!D12-IF(Skills!E12=TRUE,Inputs!$B$32,0)))*(1-IF(AND(ArtifactsInput!$M$27,Inputs!$B$4="Chapter Hunt"),CHOOSE(ArtifactsInput!$N$27+1,20,24,28,32,36,40),0)/100)),0)</f>
        <v/>
      </c>
      <c r="R2283">
        <f>IF(AND(Inputs!$B$38&lt;&gt;"pvp",Inputs!$B$43&gt;0),IF(MAX(0,Inputs!$B$43-B2309)&lt;=0,0,(INT(MAX(0,Inputs!$B$43-B2309)/(IF(Inputs!$B$38="pvp",15,MAX(0.1,Skills!D12-IF(Skills!E12=TRUE,Inputs!$B$32,0)))*(1-IF(AND(ArtifactsInput!$M$27,Inputs!$B$4="Chapter Hunt"),CHOOSE(ArtifactsInput!$N$27+1,20,24,28,32,36,40),0)/100)))+1)),0)</f>
        <v/>
      </c>
      <c r="S2283">
        <f>IFERROR(O2283/N2283,0)</f>
        <v/>
      </c>
      <c r="T2283">
        <f>IF(C2283,(H2283*N2283*IF(AND(Inputs!$B$38&lt;&gt;"pvp",Inputs!$B$43&gt;0),((Skills!G12*((R2283-1)*IF(Skills!H12&gt;0,Skills!I12/Skills!H12,1)+IF(Skills!H12&gt;0,MIN(Skills!I12,MAX(0,MAX(0,Inputs!$B$43-B2309)-((R2283-1)*(IF(Inputs!$B$38="pvp",15,MAX(0.1,Skills!D12-IF(Skills!E12=TRUE,Inputs!$B$32,0)))*(1-IF(AND(ArtifactsInput!$M$27,Inputs!$B$4="Chapter Hunt"),CHOOSE(ArtifactsInput!$N$27+1,20,24,28,32,36,40),0)/100)))))/Skills!H12,1)))/Inputs!$B$43),G2283*Q2283)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2283*(1-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2283*(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2283*(1-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2283*(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3">
        <f>IF(C2283,(H2283*N2283*IF(AND(Inputs!$B$38&lt;&gt;"pvp",Inputs!$B$43&gt;0),((Skills!G12*((R2283-1)*IF(Skills!H12&gt;0,Skills!I12/Skills!H12,1)+IF(Skills!H12&gt;0,MIN(Skills!I12,MAX(0,MAX(0,Inputs!$B$43-B2309)-((R2283-1)*(IF(Inputs!$B$38="pvp",15,MAX(0.1,Skills!D12-IF(Skills!E12=TRUE,Inputs!$B$32,0)))*(1-IF(AND(ArtifactsInput!$M$27,Inputs!$B$4="Chapter Hunt"),CHOOSE(ArtifactsInput!$N$27+1,20,24,28,32,36,40),0)/100)))))/Skills!H12,1)))/Inputs!$B$43),G2283*Q2283))*IF(Inputs!$B$38="pvp",1,(1+(Inputs!$B$21+Skills!Q12+(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4">
      <c r="A2284">
        <f>Skills!A13</f>
        <v/>
      </c>
      <c r="B2284">
        <f>Skills!B13</f>
        <v/>
      </c>
      <c r="C2284">
        <f>Inputs!$B$3&gt;=110</f>
        <v/>
      </c>
      <c r="D2284">
        <f>IF(Skills!C13=1,60+Inputs!$B$25+Inputs!$B$29,IF(Skills!C13=2,90+Inputs!$B$26+Inputs!$B$29,IF(Skills!C13=3,120+Inputs!$B$27+Inputs!$B$29,MAX(0,(Inputs!$B$3-100)*3)+Inputs!$B$28+Inputs!$B$29)))</f>
        <v/>
      </c>
      <c r="E2284">
        <f>INDEX(FactorTable!$B$2:$Y$301, MATCH(ROUND(MIN(300,MAX(1,D2284)),0), FactorTable!$A$2:$A$301,0), Skills!M13+1)</f>
        <v/>
      </c>
      <c r="F2284">
        <f>IF(Skills!N13=TRUE,(Skills!L13/10)*(E2284/1000),Skills!L13/10)+Skills!O13</f>
        <v/>
      </c>
      <c r="G2284">
        <f>Skills!G13*IF(Skills!H13&gt;0,Skills!I13/Skills!H13,1)</f>
        <v/>
      </c>
      <c r="H2284">
        <f>1-(1-Skills!J13/100)^Skills!K13</f>
        <v/>
      </c>
      <c r="I2284" t="inlineStr">
        <is>
          <t>1</t>
        </is>
      </c>
      <c r="J2284">
        <f>((Inputs!$B$6*(1+Inputs!$B$7/100))+(((Inputs!$B$12*(1+Inputs!$B$13/100))-(Inputs!$B$12*(1+Inputs!$B$13/100)))+0.25*(Inputs!$B$14-Inputs!$B$14))*(1+Inputs!$B$7/100))*(F2284/100)</f>
        <v/>
      </c>
      <c r="K2284">
        <f>J2284*(1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2284)</f>
        <v/>
      </c>
      <c r="L2284">
        <f>K2284*(MIN(Inputs!$B$22+((C2293=TRUE)*(F2293-Calc!F22)),(Inputs!$B$23+0+(IF(ArtifactsInput!$M$15,CHOOSE(ArtifactsInput!$N$15+1,25,30,35,40,45,50)/100*(Inputs!$B$11-Inputs!$B$11),0))))/100+(Inputs!$B$23+0+(IF(ArtifactsInput!$M$15,CHOOSE(ArtifactsInput!$N$15+1,25,30,35,40,45,50)/100*(Inputs!$B$11-Inputs!$B$11),0)))/100)/2</f>
        <v/>
      </c>
      <c r="M2284">
        <f>L2284*(1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84">
        <f>L2284*(1-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2284*(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4">
        <f>(1-Summary!$B$11)*T2284+Summary!$B$11*V2284</f>
        <v/>
      </c>
      <c r="P2284">
        <f>IF(B2312=0,0,O2284/B2312)</f>
        <v/>
      </c>
      <c r="Q2284">
        <f>IFERROR(1/(IF(Inputs!$B$38="pvp",15,MAX(0.1,Skills!D13-IF(Skills!E13=TRUE,Inputs!$B$32,0)))*(1-IF(AND(ArtifactsInput!$M$27,Inputs!$B$4="Chapter Hunt"),CHOOSE(ArtifactsInput!$N$27+1,20,24,28,32,36,40),0)/100)),0)</f>
        <v/>
      </c>
      <c r="R2284">
        <f>IF(AND(Inputs!$B$38&lt;&gt;"pvp",Inputs!$B$43&gt;0),IF(MAX(0,Inputs!$B$43-B2309)&lt;=0,0,(INT(MAX(0,Inputs!$B$43-B2309)/(IF(Inputs!$B$38="pvp",15,MAX(0.1,Skills!D13-IF(Skills!E13=TRUE,Inputs!$B$32,0)))*(1-IF(AND(ArtifactsInput!$M$27,Inputs!$B$4="Chapter Hunt"),CHOOSE(ArtifactsInput!$N$27+1,20,24,28,32,36,40),0)/100)))+1)),0)</f>
        <v/>
      </c>
      <c r="S2284">
        <f>IFERROR(O2284/N2284,0)</f>
        <v/>
      </c>
      <c r="T2284">
        <f>IF(C2284,(H2284*N2284*IF(AND(Inputs!$B$38&lt;&gt;"pvp",Inputs!$B$43&gt;0),((Skills!G13*((R2284-1)*IF(Skills!H13&gt;0,Skills!I13/Skills!H13,1)+IF(Skills!H13&gt;0,MIN(Skills!I13,MAX(0,MAX(0,Inputs!$B$43-B2309)-((R2284-1)*(IF(Inputs!$B$38="pvp",15,MAX(0.1,Skills!D13-IF(Skills!E13=TRUE,Inputs!$B$32,0)))*(1-IF(AND(ArtifactsInput!$M$27,Inputs!$B$4="Chapter Hunt"),CHOOSE(ArtifactsInput!$N$27+1,20,24,28,32,36,40),0)/100)))))/Skills!H13,1)))/Inputs!$B$43),G2284*Q2284)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2284*(1-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2284*(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2284*(1-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2284*(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4">
        <f>IF(C2284,(H2284*N2284*IF(AND(Inputs!$B$38&lt;&gt;"pvp",Inputs!$B$43&gt;0),((Skills!G13*((R2284-1)*IF(Skills!H13&gt;0,Skills!I13/Skills!H13,1)+IF(Skills!H13&gt;0,MIN(Skills!I13,MAX(0,MAX(0,Inputs!$B$43-B2309)-((R2284-1)*(IF(Inputs!$B$38="pvp",15,MAX(0.1,Skills!D13-IF(Skills!E13=TRUE,Inputs!$B$32,0)))*(1-IF(AND(ArtifactsInput!$M$27,Inputs!$B$4="Chapter Hunt"),CHOOSE(ArtifactsInput!$N$27+1,20,24,28,32,36,40),0)/100)))))/Skills!H13,1)))/Inputs!$B$43),G2284*Q2284))*IF(Inputs!$B$38="pvp",1,(1+(Inputs!$B$21+Skills!Q13+(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5">
      <c r="A2285">
        <f>Skills!A14</f>
        <v/>
      </c>
      <c r="B2285">
        <f>Skills!B14</f>
        <v/>
      </c>
      <c r="C2285">
        <f>Inputs!$B$3&gt;=125</f>
        <v/>
      </c>
      <c r="D2285">
        <f>IF(Skills!C14=1,60+Inputs!$B$25+Inputs!$B$29,IF(Skills!C14=2,90+Inputs!$B$26+Inputs!$B$29,IF(Skills!C14=3,120+Inputs!$B$27+Inputs!$B$29,MAX(0,(Inputs!$B$3-100)*3)+Inputs!$B$28+Inputs!$B$29)))</f>
        <v/>
      </c>
      <c r="E2285">
        <f>INDEX(FactorTable!$B$2:$Y$301, MATCH(ROUND(MIN(300,MAX(1,D2285)),0), FactorTable!$A$2:$A$301,0), Skills!M14+1)</f>
        <v/>
      </c>
      <c r="F2285">
        <f>IF(Skills!N14=TRUE,(Skills!L14/10)*(E2285/1000),Skills!L14/10)+Skills!O14</f>
        <v/>
      </c>
      <c r="G2285">
        <f>Skills!G14*IF(Skills!H14&gt;0,Skills!I14/Skills!H14,1)</f>
        <v/>
      </c>
      <c r="H2285">
        <f>1-(1-Skills!J14/100)^Skills!K14</f>
        <v/>
      </c>
      <c r="I2285" t="inlineStr">
        <is>
          <t>1</t>
        </is>
      </c>
      <c r="J2285">
        <f>((Inputs!$B$6*(1+Inputs!$B$7/100))+(((Inputs!$B$12*(1+Inputs!$B$13/100))-(Inputs!$B$12*(1+Inputs!$B$13/100)))+0.25*(Inputs!$B$14-Inputs!$B$14))*(1+Inputs!$B$7/100))*(F2285/100)</f>
        <v/>
      </c>
      <c r="K2285">
        <f>J2285*(1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2285)</f>
        <v/>
      </c>
      <c r="L2285">
        <f>K2285*(MIN(Inputs!$B$22+((C2293=TRUE)*(F2293-Calc!F22)),(Inputs!$B$23+0+(IF(ArtifactsInput!$M$15,CHOOSE(ArtifactsInput!$N$15+1,25,30,35,40,45,50)/100*(Inputs!$B$11-Inputs!$B$11),0))))/100+(Inputs!$B$23+0+(IF(ArtifactsInput!$M$15,CHOOSE(ArtifactsInput!$N$15+1,25,30,35,40,45,50)/100*(Inputs!$B$11-Inputs!$B$11),0)))/100)/2</f>
        <v/>
      </c>
      <c r="M2285">
        <f>L2285*(1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85">
        <f>L2285*(1-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2285*(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5">
        <f>(1-Summary!$B$11)*T2285+Summary!$B$11*V2285</f>
        <v/>
      </c>
      <c r="P2285">
        <f>IF(B2312=0,0,O2285/B2312)</f>
        <v/>
      </c>
      <c r="Q2285" t="n">
        <v>0</v>
      </c>
      <c r="R2285" t="n">
        <v>0</v>
      </c>
      <c r="S2285">
        <f>IFERROR(O2285/N2285,0)</f>
        <v/>
      </c>
      <c r="T2285">
        <f>IF(C2285,(H2285*N2285*(B2306+IF(AND(Inputs!$B$38&lt;&gt;"pvp",Inputs!$B$43&gt;0),((Skills!G8*((R2279-1)*IF(Skills!H8&gt;0,Skills!I8/Skills!H8,1)+IF(Skills!H8&gt;0,MIN(Skills!I8,MAX(0,MAX(0,Inputs!$B$43-B2309)-((R2279-1)*(IF(Inputs!$B$38="pvp",15,MAX(0.1,Skills!D8-IF(Skills!E8=TRUE,Inputs!$B$32,0)))*(1-IF(AND(ArtifactsInput!$M$27,Inputs!$B$4="Chapter Hunt"),CHOOSE(ArtifactsInput!$N$27+1,20,24,28,32,36,40),0)/100)))))/Skills!H8,1)))/Inputs!$B$43),G2279*Q2279)+IF(AND(Inputs!$B$38&lt;&gt;"pvp",Inputs!$B$43&gt;0),((Skills!G11*((R2282-1)*IF(Skills!H11&gt;0,Skills!I11/Skills!H11,1)+IF(Skills!H11&gt;0,MIN(Skills!I11,MAX(0,MAX(0,Inputs!$B$43-B2309)-((R2282-1)*(IF(Inputs!$B$38="pvp",15,MAX(0.1,Skills!D11-IF(Skills!E11=TRUE,Inputs!$B$32,0)))*(1-IF(AND(ArtifactsInput!$M$27,Inputs!$B$4="Chapter Hunt"),CHOOSE(ArtifactsInput!$N$27+1,20,24,28,32,36,40),0)/100)))))/Skills!H11,1)))/Inputs!$B$43),G2282*Q2282)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2285*(1-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2285*(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2285*(1-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2285*(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5">
        <f>IF(C2285,(H2285*N2285*(B2306+IF(AND(Inputs!$B$38&lt;&gt;"pvp",Inputs!$B$43&gt;0),((Skills!G8*((R2279-1)*IF(Skills!H8&gt;0,Skills!I8/Skills!H8,1)+IF(Skills!H8&gt;0,MIN(Skills!I8,MAX(0,MAX(0,Inputs!$B$43-B2309)-((R2279-1)*(IF(Inputs!$B$38="pvp",15,MAX(0.1,Skills!D8-IF(Skills!E8=TRUE,Inputs!$B$32,0)))*(1-IF(AND(ArtifactsInput!$M$27,Inputs!$B$4="Chapter Hunt"),CHOOSE(ArtifactsInput!$N$27+1,20,24,28,32,36,40),0)/100)))))/Skills!H8,1)))/Inputs!$B$43),G2279*Q2279)+IF(AND(Inputs!$B$38&lt;&gt;"pvp",Inputs!$B$43&gt;0),((Skills!G11*((R2282-1)*IF(Skills!H11&gt;0,Skills!I11/Skills!H11,1)+IF(Skills!H11&gt;0,MIN(Skills!I11,MAX(0,MAX(0,Inputs!$B$43-B2309)-((R2282-1)*(IF(Inputs!$B$38="pvp",15,MAX(0.1,Skills!D11-IF(Skills!E11=TRUE,Inputs!$B$32,0)))*(1-IF(AND(ArtifactsInput!$M$27,Inputs!$B$4="Chapter Hunt"),CHOOSE(ArtifactsInput!$N$27+1,20,24,28,32,36,40),0)/100)))))/Skills!H11,1)))/Inputs!$B$43),G2282*Q2282)))*IF(Inputs!$B$38="pvp",1,(1+(Inputs!$B$21+Skills!Q14+(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6">
      <c r="A2286">
        <f>Skills!A15</f>
        <v/>
      </c>
      <c r="B2286">
        <f>Skills!B15</f>
        <v/>
      </c>
      <c r="C2286">
        <f>Inputs!$B$3&gt;=100</f>
        <v/>
      </c>
      <c r="D2286">
        <f>IF(Skills!C15=1,60+Inputs!$B$25+Inputs!$B$29,IF(Skills!C15=2,90+Inputs!$B$26+Inputs!$B$29,IF(Skills!C15=3,120+Inputs!$B$27+Inputs!$B$29,MAX(0,(Inputs!$B$3-100)*3)+Inputs!$B$28+Inputs!$B$29)))</f>
        <v/>
      </c>
      <c r="E2286">
        <f>INDEX(FactorTable!$B$2:$Y$301, MATCH(ROUND(MIN(300,MAX(1,D2286)),0), FactorTable!$A$2:$A$301,0), Skills!M15+1)</f>
        <v/>
      </c>
      <c r="F2286">
        <f>IF(Skills!N15=TRUE,(Skills!L15/10)*(E2286/1000),Skills!L15/10)+Skills!O15</f>
        <v/>
      </c>
      <c r="G2286" t="inlineStr"/>
      <c r="H2286" t="inlineStr"/>
      <c r="I2286" t="inlineStr">
        <is>
          <t>1</t>
        </is>
      </c>
      <c r="J2286" t="inlineStr"/>
      <c r="K2286" t="inlineStr"/>
      <c r="L2286" t="inlineStr"/>
      <c r="M2286" t="inlineStr"/>
      <c r="N2286" t="inlineStr"/>
      <c r="O2286" t="inlineStr"/>
      <c r="P2286" t="inlineStr"/>
      <c r="Q2286" t="inlineStr"/>
      <c r="R2286" t="inlineStr"/>
      <c r="S2286" t="inlineStr"/>
    </row>
    <row r="2287">
      <c r="A2287">
        <f>Skills!A16</f>
        <v/>
      </c>
      <c r="B2287">
        <f>Skills!B16</f>
        <v/>
      </c>
      <c r="C2287">
        <f>Inputs!$B$3&gt;=120</f>
        <v/>
      </c>
      <c r="D2287">
        <f>IF(Skills!C16=1,60+Inputs!$B$25+Inputs!$B$29,IF(Skills!C16=2,90+Inputs!$B$26+Inputs!$B$29,IF(Skills!C16=3,120+Inputs!$B$27+Inputs!$B$29,MAX(0,(Inputs!$B$3-100)*3)+Inputs!$B$28+Inputs!$B$29)))</f>
        <v/>
      </c>
      <c r="E2287">
        <f>INDEX(FactorTable!$B$2:$Y$301, MATCH(ROUND(MIN(300,MAX(1,D2287)),0), FactorTable!$A$2:$A$301,0), Skills!M16+1)</f>
        <v/>
      </c>
      <c r="F2287">
        <f>IF(Skills!N16=TRUE,(Skills!L16/10)*(E2287/1000),Skills!L16/10)+Skills!O16</f>
        <v/>
      </c>
      <c r="G2287" t="inlineStr"/>
      <c r="H2287" t="inlineStr"/>
      <c r="I2287" t="inlineStr">
        <is>
          <t>1</t>
        </is>
      </c>
      <c r="J2287" t="inlineStr"/>
      <c r="K2287" t="inlineStr"/>
      <c r="L2287" t="inlineStr"/>
      <c r="M2287" t="inlineStr"/>
      <c r="N2287" t="inlineStr"/>
      <c r="O2287" t="inlineStr"/>
      <c r="P2287" t="inlineStr"/>
      <c r="Q2287" t="inlineStr"/>
      <c r="R2287" t="inlineStr"/>
      <c r="S2287" t="inlineStr"/>
    </row>
    <row r="2288">
      <c r="A2288">
        <f>Skills!A17</f>
        <v/>
      </c>
      <c r="B2288">
        <f>Skills!B17</f>
        <v/>
      </c>
      <c r="C2288">
        <f>Inputs!$B$3&gt;=66</f>
        <v/>
      </c>
      <c r="D2288">
        <f>IF(Skills!C17=1,60+Inputs!$B$25+Inputs!$B$29,IF(Skills!C17=2,90+Inputs!$B$26+Inputs!$B$29,IF(Skills!C17=3,120+Inputs!$B$27+Inputs!$B$29,MAX(0,(Inputs!$B$3-100)*3)+Inputs!$B$28+Inputs!$B$29)))</f>
        <v/>
      </c>
      <c r="E2288">
        <f>INDEX(FactorTable!$B$2:$Y$301, MATCH(ROUND(MIN(300,MAX(1,D2288)),0), FactorTable!$A$2:$A$301,0), Skills!M17+1)</f>
        <v/>
      </c>
      <c r="F2288">
        <f>IF(Skills!N17=TRUE,(Skills!L17/10)*(E2288/1000),Skills!L17/10)+Skills!O17</f>
        <v/>
      </c>
      <c r="G2288">
        <f>Skills!G17*IF(Skills!H17&gt;0,Skills!I17/Skills!H17,1)</f>
        <v/>
      </c>
      <c r="H2288">
        <f>1-(1-Skills!J17/100)^Skills!K17</f>
        <v/>
      </c>
      <c r="I2288" t="inlineStr">
        <is>
          <t>1</t>
        </is>
      </c>
      <c r="J2288" t="inlineStr"/>
      <c r="K2288" t="inlineStr"/>
      <c r="L2288" t="inlineStr"/>
      <c r="M2288" t="inlineStr"/>
      <c r="N2288" t="inlineStr"/>
      <c r="O2288">
        <f>(1-Summary!$B$11)*T2288+Summary!$B$11*V2288</f>
        <v/>
      </c>
      <c r="P2288">
        <f>IF(B2312=0,0,O2288/B2312)</f>
        <v/>
      </c>
      <c r="Q2288" t="n">
        <v>0</v>
      </c>
      <c r="R2288" t="n">
        <v>0</v>
      </c>
      <c r="S2288">
        <f>IFERROR(O2288/N2288,0)</f>
        <v/>
      </c>
      <c r="T2288" t="n">
        <v>0</v>
      </c>
      <c r="V2288" t="n">
        <v>0</v>
      </c>
    </row>
    <row r="2289">
      <c r="A2289">
        <f>Skills!A18</f>
        <v/>
      </c>
      <c r="B2289">
        <f>Skills!B18</f>
        <v/>
      </c>
      <c r="C2289">
        <f>Inputs!$B$3&gt;=115</f>
        <v/>
      </c>
      <c r="D2289">
        <f>IF(Skills!C18=1,60+Inputs!$B$25+Inputs!$B$29,IF(Skills!C18=2,90+Inputs!$B$26+Inputs!$B$29,IF(Skills!C18=3,120+Inputs!$B$27+Inputs!$B$29,MAX(0,(Inputs!$B$3-100)*3)+Inputs!$B$28+Inputs!$B$29)))</f>
        <v/>
      </c>
      <c r="E2289">
        <f>INDEX(FactorTable!$B$2:$Y$301, MATCH(ROUND(MIN(300,MAX(1,D2289)),0), FactorTable!$A$2:$A$301,0), Skills!M18+1)</f>
        <v/>
      </c>
      <c r="F2289">
        <f>IF(Skills!N18=TRUE,(Skills!L18/10)*(E2289/1000),Skills!L18/10)+Skills!O18</f>
        <v/>
      </c>
      <c r="G2289">
        <f>Skills!G18*IF(Skills!H18&gt;0,Skills!I18/Skills!H18,1)</f>
        <v/>
      </c>
      <c r="H2289">
        <f>1-(1-Skills!J18/100)^Skills!K18</f>
        <v/>
      </c>
      <c r="I2289" t="inlineStr">
        <is>
          <t>1</t>
        </is>
      </c>
      <c r="J2289" t="inlineStr"/>
      <c r="K2289" t="inlineStr"/>
      <c r="L2289" t="inlineStr"/>
      <c r="M2289" t="inlineStr"/>
      <c r="N2289" t="inlineStr"/>
      <c r="O2289">
        <f>(1-Summary!$B$11)*T2289+Summary!$B$11*V2289</f>
        <v/>
      </c>
      <c r="P2289">
        <f>IF(B2312=0,0,O2289/B2312)</f>
        <v/>
      </c>
      <c r="Q2289">
        <f>IFERROR(1/(IF(Inputs!$B$38="pvp",15,MAX(0.1,Skills!D18-IF(Skills!E18=TRUE,Inputs!$B$32,0)))*(1-IF(AND(ArtifactsInput!$M$27,Inputs!$B$4="Chapter Hunt"),CHOOSE(ArtifactsInput!$N$27+1,20,24,28,32,36,40),0)/100)),0)</f>
        <v/>
      </c>
      <c r="R2289">
        <f>IF(AND(Inputs!$B$38&lt;&gt;"pvp",Inputs!$B$43&gt;0),IF(Inputs!$B$43&lt;=0,0,(INT(Inputs!$B$43/(IF(Inputs!$B$38="pvp",15,MAX(0.1,Skills!D18-IF(Skills!E18=TRUE,Inputs!$B$32,0)))*(1-IF(AND(ArtifactsInput!$M$27,Inputs!$B$4="Chapter Hunt"),CHOOSE(ArtifactsInput!$N$27+1,20,24,28,32,36,40),0)/100)))+1)),0)</f>
        <v/>
      </c>
      <c r="S2289">
        <f>IFERROR(O2289/N2289,0)</f>
        <v/>
      </c>
      <c r="T2289" t="n">
        <v>0</v>
      </c>
      <c r="V2289" t="n">
        <v>0</v>
      </c>
    </row>
    <row r="2290">
      <c r="A2290">
        <f>Skills!A19</f>
        <v/>
      </c>
      <c r="B2290">
        <f>Skills!B19</f>
        <v/>
      </c>
      <c r="C2290">
        <f>Inputs!$B$3&gt;=15</f>
        <v/>
      </c>
      <c r="D2290">
        <f>IF(Skills!C19=1,60+Inputs!$B$25+Inputs!$B$29,IF(Skills!C19=2,90+Inputs!$B$26+Inputs!$B$29,IF(Skills!C19=3,120+Inputs!$B$27+Inputs!$B$29,MAX(0,(Inputs!$B$3-100)*3)+Inputs!$B$28+Inputs!$B$29)))</f>
        <v/>
      </c>
      <c r="E2290">
        <f>INDEX(FactorTable!$B$2:$Y$301, MATCH(ROUND(MIN(300,MAX(1,D2290)),0), FactorTable!$A$2:$A$301,0), Skills!M19+1)</f>
        <v/>
      </c>
      <c r="F2290">
        <f>IF(Skills!N19=TRUE,(Skills!L19/10)*(E2290/1000),Skills!L19/10)+Skills!O19</f>
        <v/>
      </c>
      <c r="G2290">
        <f>Skills!G19*IF(Skills!H19&gt;0,Skills!I19/Skills!H19,1)</f>
        <v/>
      </c>
      <c r="H2290">
        <f>1-(1-Skills!J19/100)^Skills!K19</f>
        <v/>
      </c>
      <c r="I2290" t="inlineStr">
        <is>
          <t>1</t>
        </is>
      </c>
      <c r="J2290" t="inlineStr"/>
      <c r="K2290" t="inlineStr"/>
      <c r="L2290" t="inlineStr"/>
      <c r="M2290" t="inlineStr"/>
      <c r="N2290" t="inlineStr"/>
      <c r="O2290">
        <f>(1-Summary!$B$11)*T2290+Summary!$B$11*V2290</f>
        <v/>
      </c>
      <c r="P2290">
        <f>IF(B2312=0,0,O2290/B2312)</f>
        <v/>
      </c>
      <c r="Q2290" t="n">
        <v>0</v>
      </c>
      <c r="R2290" t="n">
        <v>0</v>
      </c>
      <c r="S2290">
        <f>IFERROR(O2290/N2290,0)</f>
        <v/>
      </c>
      <c r="T2290" t="n">
        <v>0</v>
      </c>
      <c r="V2290" t="n">
        <v>0</v>
      </c>
    </row>
    <row r="2291">
      <c r="A2291">
        <f>Skills!A20</f>
        <v/>
      </c>
      <c r="B2291">
        <f>Skills!B20</f>
        <v/>
      </c>
      <c r="C2291">
        <f>Inputs!$B$3&gt;=10</f>
        <v/>
      </c>
      <c r="D2291">
        <f>IF(Skills!C20=1,60+Inputs!$B$25+Inputs!$B$29,IF(Skills!C20=2,90+Inputs!$B$26+Inputs!$B$29,IF(Skills!C20=3,120+Inputs!$B$27+Inputs!$B$29,MAX(0,(Inputs!$B$3-100)*3)+Inputs!$B$28+Inputs!$B$29)))</f>
        <v/>
      </c>
      <c r="E2291">
        <f>INDEX(FactorTable!$B$2:$Y$301, MATCH(ROUND(MIN(300,MAX(1,D2291)),0), FactorTable!$A$2:$A$301,0), Skills!M20+1)</f>
        <v/>
      </c>
      <c r="F2291">
        <f>IF(Skills!N20=TRUE,(Skills!L20/10)*(E2291/1000),Skills!L20/10)+Skills!O20</f>
        <v/>
      </c>
      <c r="G2291">
        <f>Skills!G20*IF(Skills!H20&gt;0,Skills!I20/Skills!H20,1)</f>
        <v/>
      </c>
      <c r="H2291">
        <f>1-(1-Skills!J20/100)^Skills!K20</f>
        <v/>
      </c>
      <c r="I2291" t="inlineStr">
        <is>
          <t>1</t>
        </is>
      </c>
      <c r="J2291" t="inlineStr"/>
      <c r="K2291" t="inlineStr"/>
      <c r="L2291" t="inlineStr"/>
      <c r="M2291" t="inlineStr"/>
      <c r="N2291" t="inlineStr"/>
      <c r="O2291">
        <f>(1-Summary!$B$11)*T2291+Summary!$B$11*V2291</f>
        <v/>
      </c>
      <c r="P2291">
        <f>IF(B2312=0,0,O2291/B2312)</f>
        <v/>
      </c>
      <c r="Q2291" t="n">
        <v>0</v>
      </c>
      <c r="R2291" t="n">
        <v>0</v>
      </c>
      <c r="S2291">
        <f>IFERROR(O2291/N2291,0)</f>
        <v/>
      </c>
      <c r="T2291" t="n">
        <v>0</v>
      </c>
      <c r="V2291" t="n">
        <v>0</v>
      </c>
    </row>
    <row r="2292">
      <c r="A2292">
        <f>Skills!A21</f>
        <v/>
      </c>
      <c r="B2292">
        <f>Skills!B21</f>
        <v/>
      </c>
      <c r="C2292">
        <f>Inputs!$B$3&gt;=33</f>
        <v/>
      </c>
      <c r="D2292">
        <f>IF(Skills!C21=1,60+Inputs!$B$25+Inputs!$B$29,IF(Skills!C21=2,90+Inputs!$B$26+Inputs!$B$29,IF(Skills!C21=3,120+Inputs!$B$27+Inputs!$B$29,MAX(0,(Inputs!$B$3-100)*3)+Inputs!$B$28+Inputs!$B$29)))</f>
        <v/>
      </c>
      <c r="E2292">
        <f>INDEX(FactorTable!$B$2:$Y$301, MATCH(ROUND(MIN(300,MAX(1,D2292)),0), FactorTable!$A$2:$A$301,0), Skills!M21+1)</f>
        <v/>
      </c>
      <c r="F2292">
        <f>IF(Skills!N21=TRUE,(Skills!L21/10)*(E2292/1000),Skills!L21/10)+Skills!O21</f>
        <v/>
      </c>
      <c r="G2292">
        <f>Skills!G21*IF(Skills!H21&gt;0,Skills!I21/Skills!H21,1)</f>
        <v/>
      </c>
      <c r="H2292">
        <f>1-(1-Skills!J21/100)^Skills!K21</f>
        <v/>
      </c>
      <c r="I2292" t="inlineStr">
        <is>
          <t>1</t>
        </is>
      </c>
      <c r="J2292" t="inlineStr"/>
      <c r="K2292" t="inlineStr"/>
      <c r="L2292" t="inlineStr"/>
      <c r="M2292" t="inlineStr"/>
      <c r="N2292" t="inlineStr"/>
      <c r="O2292">
        <f>(1-Summary!$B$11)*T2292+Summary!$B$11*V2292</f>
        <v/>
      </c>
      <c r="P2292">
        <f>IF(B2312=0,0,O2292/B2312)</f>
        <v/>
      </c>
      <c r="Q2292" t="n">
        <v>0</v>
      </c>
      <c r="R2292" t="n">
        <v>0</v>
      </c>
      <c r="S2292">
        <f>IFERROR(O2292/N2292,0)</f>
        <v/>
      </c>
      <c r="T2292" t="n">
        <v>0</v>
      </c>
      <c r="V2292" t="n">
        <v>0</v>
      </c>
    </row>
    <row r="2293">
      <c r="A2293">
        <f>Skills!A22</f>
        <v/>
      </c>
      <c r="B2293">
        <f>Skills!B22</f>
        <v/>
      </c>
      <c r="C2293">
        <f>Inputs!$B$3&gt;=43</f>
        <v/>
      </c>
      <c r="D2293">
        <f>IF(Skills!C22=1,60+Inputs!$B$25+Inputs!$B$29,IF(Skills!C22=2,90+Inputs!$B$26+Inputs!$B$29,IF(Skills!C22=3,120+Inputs!$B$27+Inputs!$B$29,MAX(0,(Inputs!$B$3-100)*3)+Inputs!$B$28+Inputs!$B$29)))</f>
        <v/>
      </c>
      <c r="E2293">
        <f>INDEX(FactorTable!$B$2:$Y$301, MATCH(ROUND(MIN(300,MAX(1,D2293)),0), FactorTable!$A$2:$A$301,0), Skills!M22+1)</f>
        <v/>
      </c>
      <c r="F2293">
        <f>IF(Skills!N22=TRUE,(Skills!L22/10)*(E2293/1000),Skills!L22/10)+Skills!O22</f>
        <v/>
      </c>
      <c r="G2293">
        <f>Skills!G22*IF(Skills!H22&gt;0,Skills!I22/Skills!H22,1)</f>
        <v/>
      </c>
      <c r="H2293">
        <f>1-(1-Skills!J22/100)^Skills!K22</f>
        <v/>
      </c>
      <c r="I2293" t="inlineStr">
        <is>
          <t>1</t>
        </is>
      </c>
      <c r="J2293" t="inlineStr"/>
      <c r="K2293" t="inlineStr"/>
      <c r="L2293" t="inlineStr"/>
      <c r="M2293" t="inlineStr"/>
      <c r="N2293" t="inlineStr"/>
      <c r="O2293">
        <f>(1-Summary!$B$11)*T2293+Summary!$B$11*V2293</f>
        <v/>
      </c>
      <c r="P2293">
        <f>IF(B2312=0,0,O2293/B2312)</f>
        <v/>
      </c>
      <c r="Q2293" t="n">
        <v>0</v>
      </c>
      <c r="R2293" t="n">
        <v>0</v>
      </c>
      <c r="S2293">
        <f>IFERROR(O2293/N2293,0)</f>
        <v/>
      </c>
      <c r="T2293" t="n">
        <v>0</v>
      </c>
      <c r="V2293" t="n">
        <v>0</v>
      </c>
    </row>
    <row r="2294">
      <c r="A2294">
        <f>Skills!A23</f>
        <v/>
      </c>
      <c r="B2294">
        <f>Skills!B23</f>
        <v/>
      </c>
      <c r="C2294">
        <f>Inputs!$B$3&gt;=38</f>
        <v/>
      </c>
      <c r="D2294">
        <f>IF(Skills!C23=1,60+Inputs!$B$25+Inputs!$B$29,IF(Skills!C23=2,90+Inputs!$B$26+Inputs!$B$29,IF(Skills!C23=3,120+Inputs!$B$27+Inputs!$B$29,MAX(0,(Inputs!$B$3-100)*3)+Inputs!$B$28+Inputs!$B$29)))</f>
        <v/>
      </c>
      <c r="E2294">
        <f>INDEX(FactorTable!$B$2:$Y$301, MATCH(ROUND(MIN(300,MAX(1,D2294)),0), FactorTable!$A$2:$A$301,0), Skills!M23+1)</f>
        <v/>
      </c>
      <c r="F2294">
        <f>IF(Skills!N23=TRUE,(Skills!L23/10)*(E2294/1000),Skills!L23/10)+Skills!O23</f>
        <v/>
      </c>
      <c r="G2294">
        <f>Skills!G23*IF(Skills!H23&gt;0,Skills!I23/Skills!H23,1)</f>
        <v/>
      </c>
      <c r="H2294">
        <f>1-(1-Skills!J23/100)^Skills!K23</f>
        <v/>
      </c>
      <c r="I2294" t="inlineStr">
        <is>
          <t>1</t>
        </is>
      </c>
      <c r="J2294" t="inlineStr"/>
      <c r="K2294" t="inlineStr"/>
      <c r="L2294" t="inlineStr"/>
      <c r="M2294" t="inlineStr"/>
      <c r="N2294" t="inlineStr"/>
      <c r="O2294">
        <f>(1-Summary!$B$11)*T2294+Summary!$B$11*V2294</f>
        <v/>
      </c>
      <c r="P2294">
        <f>IF(B2312=0,0,O2294/B2312)</f>
        <v/>
      </c>
      <c r="Q2294" t="n">
        <v>0</v>
      </c>
      <c r="R2294" t="n">
        <v>0</v>
      </c>
      <c r="S2294">
        <f>IFERROR(O2294/N2294,0)</f>
        <v/>
      </c>
      <c r="T2294" t="n">
        <v>0</v>
      </c>
      <c r="V2294" t="n">
        <v>0</v>
      </c>
    </row>
    <row r="2295">
      <c r="A2295">
        <f>Skills!A24</f>
        <v/>
      </c>
      <c r="B2295">
        <f>Skills!B24</f>
        <v/>
      </c>
      <c r="C2295">
        <f>Inputs!$B$3&gt;=40</f>
        <v/>
      </c>
      <c r="D2295">
        <f>IF(Skills!C24=1,60+Inputs!$B$25+Inputs!$B$29,IF(Skills!C24=2,90+Inputs!$B$26+Inputs!$B$29,IF(Skills!C24=3,120+Inputs!$B$27+Inputs!$B$29,MAX(0,(Inputs!$B$3-100)*3)+Inputs!$B$28+Inputs!$B$29)))</f>
        <v/>
      </c>
      <c r="E2295">
        <f>INDEX(FactorTable!$B$2:$Y$301, MATCH(ROUND(MIN(300,MAX(1,D2295)),0), FactorTable!$A$2:$A$301,0), Skills!M24+1)</f>
        <v/>
      </c>
      <c r="F2295">
        <f>IF(Skills!N24=TRUE,(Skills!L24/10)*(E2295/1000),Skills!L24/10)+Skills!O24</f>
        <v/>
      </c>
      <c r="G2295">
        <f>Skills!G24*IF(Skills!H24&gt;0,Skills!I24/Skills!H24,1)</f>
        <v/>
      </c>
      <c r="H2295">
        <f>1-(1-Skills!J24/100)^Skills!K24</f>
        <v/>
      </c>
      <c r="I2295" t="inlineStr">
        <is>
          <t>1</t>
        </is>
      </c>
      <c r="J2295" t="inlineStr"/>
      <c r="K2295" t="inlineStr"/>
      <c r="L2295" t="inlineStr"/>
      <c r="M2295" t="inlineStr"/>
      <c r="N2295" t="inlineStr"/>
      <c r="O2295">
        <f>(1-Summary!$B$11)*T2295+Summary!$B$11*V2295</f>
        <v/>
      </c>
      <c r="P2295">
        <f>IF(B2312=0,0,O2295/B2312)</f>
        <v/>
      </c>
      <c r="Q2295" t="n">
        <v>0</v>
      </c>
      <c r="R2295" t="n">
        <v>0</v>
      </c>
      <c r="S2295">
        <f>IFERROR(O2295/N2295,0)</f>
        <v/>
      </c>
      <c r="T2295" t="n">
        <v>0</v>
      </c>
      <c r="V2295" t="n">
        <v>0</v>
      </c>
    </row>
    <row r="2296">
      <c r="A2296">
        <f>Skills!A25</f>
        <v/>
      </c>
      <c r="B2296">
        <f>Skills!B25</f>
        <v/>
      </c>
      <c r="C2296">
        <f>Inputs!$B$3&gt;=72</f>
        <v/>
      </c>
      <c r="D2296">
        <f>IF(Skills!C25=1,60+Inputs!$B$25+Inputs!$B$29,IF(Skills!C25=2,90+Inputs!$B$26+Inputs!$B$29,IF(Skills!C25=3,120+Inputs!$B$27+Inputs!$B$29,MAX(0,(Inputs!$B$3-100)*3)+Inputs!$B$28+Inputs!$B$29)))</f>
        <v/>
      </c>
      <c r="E2296">
        <f>INDEX(FactorTable!$B$2:$Y$301, MATCH(ROUND(MIN(300,MAX(1,D2296)),0), FactorTable!$A$2:$A$301,0), Skills!M25+1)</f>
        <v/>
      </c>
      <c r="F2296">
        <f>IF(Skills!N25=TRUE,(Skills!L25/10)*(E2296/1000),Skills!L25/10)+Skills!O25</f>
        <v/>
      </c>
      <c r="G2296">
        <f>Skills!G25*IF(Skills!H25&gt;0,Skills!I25/Skills!H25,1)</f>
        <v/>
      </c>
      <c r="H2296">
        <f>1-(1-Skills!J25/100)^Skills!K25</f>
        <v/>
      </c>
      <c r="I2296" t="inlineStr">
        <is>
          <t>1</t>
        </is>
      </c>
      <c r="J2296" t="inlineStr"/>
      <c r="K2296" t="inlineStr"/>
      <c r="L2296" t="inlineStr"/>
      <c r="M2296" t="inlineStr"/>
      <c r="N2296" t="inlineStr"/>
      <c r="O2296">
        <f>(1-Summary!$B$11)*T2296+Summary!$B$11*V2296</f>
        <v/>
      </c>
      <c r="P2296">
        <f>IF(B2312=0,0,O2296/B2312)</f>
        <v/>
      </c>
      <c r="Q2296" t="n">
        <v>0</v>
      </c>
      <c r="R2296" t="n">
        <v>0</v>
      </c>
      <c r="S2296">
        <f>IFERROR(O2296/N2296,0)</f>
        <v/>
      </c>
      <c r="T2296" t="n">
        <v>0</v>
      </c>
      <c r="V2296" t="n">
        <v>0</v>
      </c>
    </row>
    <row r="2297">
      <c r="A2297">
        <f>Skills!A26</f>
        <v/>
      </c>
      <c r="B2297">
        <f>Skills!B26</f>
        <v/>
      </c>
      <c r="C2297">
        <f>Inputs!$B$3&gt;=75</f>
        <v/>
      </c>
      <c r="D2297">
        <f>IF(Skills!C26=1,60+Inputs!$B$25+Inputs!$B$29,IF(Skills!C26=2,90+Inputs!$B$26+Inputs!$B$29,IF(Skills!C26=3,120+Inputs!$B$27+Inputs!$B$29,MAX(0,(Inputs!$B$3-100)*3)+Inputs!$B$28+Inputs!$B$29)))</f>
        <v/>
      </c>
      <c r="E2297">
        <f>INDEX(FactorTable!$B$2:$Y$301, MATCH(ROUND(MIN(300,MAX(1,D2297)),0), FactorTable!$A$2:$A$301,0), Skills!M26+1)</f>
        <v/>
      </c>
      <c r="F2297">
        <f>IF(Skills!N26=TRUE,(Skills!L26/10)*(E2297/1000),Skills!L26/10)+Skills!O26</f>
        <v/>
      </c>
      <c r="G2297">
        <f>Skills!G26*IF(Skills!H26&gt;0,Skills!I26/Skills!H26,1)</f>
        <v/>
      </c>
      <c r="H2297">
        <f>1-(1-Skills!J26/100)^Skills!K26</f>
        <v/>
      </c>
      <c r="I2297" t="inlineStr">
        <is>
          <t>1</t>
        </is>
      </c>
      <c r="J2297" t="inlineStr"/>
      <c r="K2297" t="inlineStr"/>
      <c r="L2297" t="inlineStr"/>
      <c r="M2297" t="inlineStr"/>
      <c r="N2297" t="inlineStr"/>
      <c r="O2297">
        <f>(1-Summary!$B$11)*T2297+Summary!$B$11*V2297</f>
        <v/>
      </c>
      <c r="P2297">
        <f>IF(B2312=0,0,O2297/B2312)</f>
        <v/>
      </c>
      <c r="Q2297" t="n">
        <v>0</v>
      </c>
      <c r="R2297" t="n">
        <v>0</v>
      </c>
      <c r="S2297">
        <f>IFERROR(O2297/N2297,0)</f>
        <v/>
      </c>
      <c r="T2297" t="n">
        <v>0</v>
      </c>
      <c r="V2297" t="n">
        <v>0</v>
      </c>
    </row>
    <row r="2298">
      <c r="A2298">
        <f>Skills!A27</f>
        <v/>
      </c>
      <c r="B2298">
        <f>Skills!B27</f>
        <v/>
      </c>
      <c r="C2298">
        <f>Inputs!$B$3&gt;=117</f>
        <v/>
      </c>
      <c r="D2298">
        <f>IF(Skills!C27=1,60+Inputs!$B$25+Inputs!$B$29,IF(Skills!C27=2,90+Inputs!$B$26+Inputs!$B$29,IF(Skills!C27=3,120+Inputs!$B$27+Inputs!$B$29,MAX(0,(Inputs!$B$3-100)*3)+Inputs!$B$28+Inputs!$B$29)))</f>
        <v/>
      </c>
      <c r="E2298">
        <f>INDEX(FactorTable!$B$2:$Y$301, MATCH(ROUND(MIN(300,MAX(1,D2298)),0), FactorTable!$A$2:$A$301,0), Skills!M27+1)</f>
        <v/>
      </c>
      <c r="F2298">
        <f>IF(Skills!N27=TRUE,(Skills!L27/10)*(E2298/1000),Skills!L27/10)+Skills!O27</f>
        <v/>
      </c>
      <c r="G2298">
        <f>Skills!G27*IF(Skills!H27&gt;0,Skills!I27/Skills!H27,1)</f>
        <v/>
      </c>
      <c r="H2298">
        <f>1-(1-Skills!J27/100)^Skills!K27</f>
        <v/>
      </c>
      <c r="I2298" t="inlineStr">
        <is>
          <t>1</t>
        </is>
      </c>
      <c r="J2298" t="inlineStr"/>
      <c r="K2298" t="inlineStr"/>
      <c r="L2298" t="inlineStr"/>
      <c r="M2298" t="inlineStr"/>
      <c r="N2298" t="inlineStr"/>
      <c r="O2298">
        <f>(1-Summary!$B$11)*T2298+Summary!$B$11*V2298</f>
        <v/>
      </c>
      <c r="P2298">
        <f>IF(B2312=0,0,O2298/B2312)</f>
        <v/>
      </c>
      <c r="Q2298" t="n">
        <v>0</v>
      </c>
      <c r="R2298" t="n">
        <v>0</v>
      </c>
      <c r="S2298">
        <f>IFERROR(O2298/N2298,0)</f>
        <v/>
      </c>
      <c r="T2298" t="n">
        <v>0</v>
      </c>
      <c r="V2298" t="n">
        <v>0</v>
      </c>
    </row>
    <row r="2299">
      <c r="A2299">
        <f>Skills!A28</f>
        <v/>
      </c>
      <c r="B2299">
        <f>Skills!B28</f>
        <v/>
      </c>
      <c r="C2299">
        <f>TRUE</f>
        <v/>
      </c>
      <c r="D2299">
        <f>IF(Skills!C28=1,60+Inputs!$B$25+Inputs!$B$29,IF(Skills!C28=2,90+Inputs!$B$26+Inputs!$B$29,IF(Skills!C28=3,120+Inputs!$B$27+Inputs!$B$29,MAX(0,(Inputs!$B$3-100)*3)+Inputs!$B$28+Inputs!$B$29)))</f>
        <v/>
      </c>
      <c r="E2299">
        <f>INDEX(FactorTable!$B$2:$Y$301, MATCH(ROUND(MIN(300,MAX(1,D2299)),0), FactorTable!$A$2:$A$301,0), Skills!M28+1)</f>
        <v/>
      </c>
      <c r="F2299">
        <f>IF(Skills!N28=TRUE,(Skills!L28/10)*(E2299/1000),Skills!L28/10)+Skills!O28</f>
        <v/>
      </c>
      <c r="G2299">
        <f>Skills!G28*IF(Skills!H28&gt;0,Skills!I28/Skills!H28,1)</f>
        <v/>
      </c>
      <c r="H2299">
        <f>1-(1-Skills!J28/100)^Skills!K28</f>
        <v/>
      </c>
      <c r="I2299" t="inlineStr">
        <is>
          <t>1</t>
        </is>
      </c>
      <c r="J2299" t="inlineStr"/>
      <c r="K2299" t="inlineStr"/>
      <c r="L2299" t="inlineStr"/>
      <c r="M2299" t="inlineStr"/>
      <c r="N2299" t="inlineStr"/>
      <c r="O2299">
        <f>(1-Summary!$B$11)*T2299+Summary!$B$11*V2299</f>
        <v/>
      </c>
      <c r="P2299">
        <f>IF(B2312=0,0,O2299/B2312)</f>
        <v/>
      </c>
      <c r="Q2299">
        <f>IFERROR(1/(IF(Inputs!$B$38="pvp",15,MAX(0.1,Skills!D28-IF(Skills!E28=TRUE,Inputs!$B$32,0)))*(1-IF(AND(ArtifactsInput!$M$27,Inputs!$B$4="Chapter Hunt"),CHOOSE(ArtifactsInput!$N$27+1,20,24,28,32,36,40),0)/100)),0)</f>
        <v/>
      </c>
      <c r="R2299">
        <f>IF(AND(Inputs!$B$38&lt;&gt;"pvp",Inputs!$B$43&gt;0),IF(Inputs!$B$43&lt;=0,0,(INT(Inputs!$B$43/(IF(Inputs!$B$38="pvp",15,MAX(0.1,Skills!D28-IF(Skills!E28=TRUE,Inputs!$B$32,0)))*(1-IF(AND(ArtifactsInput!$M$27,Inputs!$B$4="Chapter Hunt"),CHOOSE(ArtifactsInput!$N$27+1,20,24,28,32,36,40),0)/100)))+1)),0)</f>
        <v/>
      </c>
      <c r="S2299">
        <f>IFERROR(O2299/N2299,0)</f>
        <v/>
      </c>
      <c r="T2299" t="n">
        <v>0</v>
      </c>
      <c r="V2299" t="n">
        <v>0</v>
      </c>
    </row>
    <row r="2301">
      <c r="A2301" t="inlineStr">
        <is>
          <t>Attack% Bucket Multiplier</t>
        </is>
      </c>
      <c r="B2301">
        <f>(1+(((C2288=TRUE)*F2288*5/7)+((C2295=TRUE)*(F2295-Calc!F24))+(IF(ArtifactsInput!$M$21,CHOOSE(ArtifactsInput!$N$21+1,25,30,35,40,45,50)*(IF(OR(Inputs!$B$4="Chapter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02">
      <c r="A2302" t="inlineStr">
        <is>
          <t>Global Crit Rate Bonus %</t>
        </is>
      </c>
      <c r="B2302" t="n">
        <v>0</v>
      </c>
    </row>
    <row r="2303">
      <c r="A2303" t="inlineStr">
        <is>
          <t>Attack Speed Buff Bonus % (Nimble Feet, duty-cycle averaged)</t>
        </is>
      </c>
      <c r="B2303">
        <f>((C2299=TRUE)*F2299*IF(AND(Inputs!$B$38&lt;&gt;"pvp",Inputs!$B$43&gt;0),(((R2299-1)*(Skills!T28*(1+Inputs!$B$34/100))+MIN((Skills!T28*(1+Inputs!$B$34/100)),MAX(0,Inputs!$B$43-((R2299-1)*Skills!D28))))/Inputs!$B$43),IF(Inputs!$B$38="pvp",MIN((Skills!T28*(1+Inputs!$B$34/100)),15)/15,(Skills!T28*(1+Inputs!$B$34/100))/Skills!D28)))</f>
        <v/>
      </c>
    </row>
    <row r="2304">
      <c r="A2304" t="inlineStr">
        <is>
          <t>Actions Per Second</t>
        </is>
      </c>
      <c r="B2304">
        <f>1+MIN(150,150*(1-(1-(Inputs!$B$11+((C2291=TRUE)*(F2291-Calc!F20))+((C2292=TRUE)*(F2292-Calc!F21)))/150)*(1-B2303/150)))/100</f>
        <v/>
      </c>
    </row>
    <row r="2305">
      <c r="A2305" t="inlineStr">
        <is>
          <t>Skill + Buff Cast Rate</t>
        </is>
      </c>
      <c r="B2305">
        <f>IF(AND(Inputs!$B$38&lt;&gt;"pvp",Inputs!$B$43&gt;0),SUMPRODUCT((Skills!E2:E28=TRUE)*(C2273:C2299=TRUE)*R2273:R2299*Skills!F2:F28)/Inputs!$B$43,SUMPRODUCT((Skills!E2:E28=TRUE)*(C2273:C2299=TRUE)*Q2273:Q2299*Skills!F2:F28))</f>
        <v/>
      </c>
    </row>
    <row r="2306">
      <c r="A2306" t="inlineStr">
        <is>
          <t>Eight-Legs Easton Casts Per Second</t>
        </is>
      </c>
      <c r="B2306">
        <f>MAX(0,B2304-B2305)</f>
        <v/>
      </c>
    </row>
    <row r="2307">
      <c r="A2307" t="inlineStr">
        <is>
          <t>Global Critical Damage Bonus % (unused)</t>
        </is>
      </c>
      <c r="B2307" t="n">
        <v>0</v>
      </c>
    </row>
    <row r="2308">
      <c r="A2308" t="inlineStr">
        <is>
          <t>Global Final Damage Bonus % (Jolly Roger + Ahoy Mateys - Final Damage proc)</t>
        </is>
      </c>
      <c r="B2308">
        <f>((C2289=TRUE)*F2289*IF(AND(Inputs!$B$38&lt;&gt;"pvp",Inputs!$B$43&gt;0),(((R2289-1)*(Skills!T18*(1+Inputs!$B$34/100))+MIN((Skills!T18*(1+Inputs!$B$34/100)),MAX(0,Inputs!$B$43-((R2289-1)*Skills!D18))))/Inputs!$B$43),IF(Inputs!$B$38="pvp",MIN((Skills!T18*(1+Inputs!$B$34/100)),15)/15,(Skills!T18*(1+Inputs!$B$34/100))/Skills!D18)))+IF(Inputs!$B$3&gt;=122,20*IF(Inputs!$B$38="pvp",MIN((20*(1+Inputs!$B$34/100)),15)/15,(20*(1+Inputs!$B$34/100))/Skills!D4),0)</f>
        <v/>
      </c>
    </row>
    <row r="2309">
      <c r="A2309" t="inlineStr">
        <is>
          <t>Buff-Casting Startup Delay (s, fixed-duration only)</t>
        </is>
      </c>
      <c r="B2309">
        <f>IF(AND(Inputs!$B$38&lt;&gt;"pvp",Inputs!$B$43&gt;0),SUMPRODUCT((Skills!T2:T28&gt;0)*(Skills!E2:E28=TRUE)*(C2273:C2299=TRUE))/B2304,0)</f>
        <v/>
      </c>
    </row>
    <row r="2310">
      <c r="A2310" t="inlineStr">
        <is>
          <t>Boss-Only Total DPS (this block's swept value)</t>
        </is>
      </c>
      <c r="B2310">
        <f>SUM(T2273:T2299)</f>
        <v/>
      </c>
    </row>
    <row r="2311">
      <c r="A2311" t="inlineStr">
        <is>
          <t>Normal-Only Total DPS (this block's swept value)</t>
        </is>
      </c>
      <c r="B2311">
        <f>SUM(V2273:V2299)</f>
        <v/>
      </c>
    </row>
    <row r="2312">
      <c r="A2312" s="6" t="inlineStr">
        <is>
          <t>TOTAL DPS</t>
        </is>
      </c>
      <c r="B2312" s="6">
        <f>SUM(O2273:O2299)</f>
        <v/>
      </c>
    </row>
    <row r="2315">
      <c r="A2315" s="6" t="inlineStr">
        <is>
          <t>Stat: Flaming Lava (Equip)</t>
        </is>
      </c>
    </row>
    <row r="2316">
      <c r="A2316" s="5" t="inlineStr">
        <is>
          <t>Key</t>
        </is>
      </c>
      <c r="B2316" s="5" t="inlineStr">
        <is>
          <t>Name</t>
        </is>
      </c>
      <c r="C2316" s="5" t="inlineStr">
        <is>
          <t>Unlocked</t>
        </is>
      </c>
      <c r="D2316" s="5" t="inlineStr">
        <is>
          <t>InputLevel</t>
        </is>
      </c>
      <c r="E2316" s="5" t="inlineStr">
        <is>
          <t>Factor</t>
        </is>
      </c>
      <c r="F2316" s="5" t="inlineStr">
        <is>
          <t>CoefficientPercent</t>
        </is>
      </c>
      <c r="G2316" s="5" t="inlineStr">
        <is>
          <t>EffectiveHits</t>
        </is>
      </c>
      <c r="H2316" s="5" t="inlineStr">
        <is>
          <t>ProcProbability</t>
        </is>
      </c>
      <c r="I2316" s="5" t="inlineStr">
        <is>
          <t>MapleHeroMultiplier</t>
        </is>
      </c>
      <c r="J2316" s="5" t="inlineStr">
        <is>
          <t>BaseDamage</t>
        </is>
      </c>
      <c r="K2316" s="5" t="inlineStr">
        <is>
          <t>BaseHitDamage</t>
        </is>
      </c>
      <c r="L2316" s="5" t="inlineStr">
        <is>
          <t>NonCritAvg</t>
        </is>
      </c>
      <c r="M2316" s="5" t="inlineStr">
        <is>
          <t>CritAvg</t>
        </is>
      </c>
      <c r="N2316" s="5" t="inlineStr">
        <is>
          <t>ExpectedDamage(perHit)</t>
        </is>
      </c>
      <c r="O2316" s="5" t="inlineStr">
        <is>
          <t>DPS</t>
        </is>
      </c>
      <c r="P2316" s="5" t="inlineStr">
        <is>
          <t>% of Total</t>
        </is>
      </c>
      <c r="Q2316" s="5" t="inlineStr">
        <is>
          <t>InvCooldown</t>
        </is>
      </c>
      <c r="R2316" s="5" t="inlineStr">
        <is>
          <t>CastsInFight</t>
        </is>
      </c>
      <c r="S2316" s="5" t="inlineStr">
        <is>
          <t>HitRate(perSec)</t>
        </is>
      </c>
      <c r="U2316" t="inlineStr">
        <is>
          <t>helpers</t>
        </is>
      </c>
    </row>
    <row r="2317">
      <c r="A2317">
        <f>Skills!A2</f>
        <v/>
      </c>
      <c r="B2317">
        <f>Skills!B2</f>
        <v/>
      </c>
      <c r="C2317">
        <f>Inputs!$B$3&gt;=100</f>
        <v/>
      </c>
      <c r="D2317" t="inlineStr"/>
      <c r="E2317" t="inlineStr"/>
      <c r="F2317">
        <f>U2319+Skills!O2</f>
        <v/>
      </c>
      <c r="G2317">
        <f>Skills!G2*IF(Skills!H2&gt;0,Skills!I2/Skills!H2,1)</f>
        <v/>
      </c>
      <c r="H2317">
        <f>1-(1-Skills!J2/100)^Skills!K2</f>
        <v/>
      </c>
      <c r="I2317" t="inlineStr">
        <is>
          <t>1</t>
        </is>
      </c>
      <c r="J2317">
        <f>((Inputs!$B$6*(1+Inputs!$B$7/100))+(((Inputs!$B$12*(1+Inputs!$B$13/100))-(Inputs!$B$12*(1+Inputs!$B$13/100)))+0.25*(Inputs!$B$14-Inputs!$B$14))*(1+Inputs!$B$7/100))*(F2317/100)</f>
        <v/>
      </c>
      <c r="K2317">
        <f>J2317*(1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2317)</f>
        <v/>
      </c>
      <c r="L2317">
        <f>K2317*(MIN(Inputs!$B$22+((C2337=TRUE)*(F2337-Calc!F22)),(Inputs!$B$23+0+(IF(ArtifactsInput!$M$15,CHOOSE(ArtifactsInput!$N$15+1,25,30,35,40,45,50)/100*(Inputs!$B$11-Inputs!$B$11),0))))/100+(Inputs!$B$23+0+(IF(ArtifactsInput!$M$15,CHOOSE(ArtifactsInput!$N$15+1,25,30,35,40,45,50)/100*(Inputs!$B$11-Inputs!$B$11),0)))/100)/2</f>
        <v/>
      </c>
      <c r="M2317">
        <f>L2317*(1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7">
        <f>L2317*(1-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2317*(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7">
        <f>(1-Summary!$B$11)*T2317+Summary!$B$11*V2317</f>
        <v/>
      </c>
      <c r="P2317">
        <f>IF(B2356=0,0,O2317/B2356)</f>
        <v/>
      </c>
      <c r="Q2317" t="n">
        <v>0</v>
      </c>
      <c r="R2317" t="n">
        <v>0</v>
      </c>
      <c r="S2317">
        <f>IFERROR(O2317/N2317,0)</f>
        <v/>
      </c>
      <c r="T2317">
        <f>IF(C2317,(Skills!G2*N2317*B2350)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2317*(1-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2317*(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2317*(1-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2317*(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7">
        <f>MAX(0,(Inputs!$B$3-100)*3)+Inputs!$B$28+Inputs!$B$29</f>
        <v/>
      </c>
      <c r="V2317">
        <f>IF(C2317,(Skills!G2*N2317*B2350)*IF(Inputs!$B$38="pvp",1,(1+(Inputs!$B$21+Skills!Q2+(IF(ArtifactsInput!$M$33,CHOOSE(ArtifactsInput!$N$33+1,30,36,42,48,54,60),0))+(IF(AND(ArtifactsInput!$M$35,Inputs!$B$4&lt;&gt;"Chapter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8">
      <c r="A2318">
        <f>Skills!A3</f>
        <v/>
      </c>
      <c r="B2318">
        <f>Skills!B3</f>
        <v/>
      </c>
      <c r="C2318">
        <f>Inputs!$B$3&gt;=35</f>
        <v/>
      </c>
      <c r="D2318">
        <f>IF(Skills!C3=1,60+Inputs!$B$25+Inputs!$B$29,IF(Skills!C3=2,90+Inputs!$B$26+Inputs!$B$29,IF(Skills!C3=3,120+Inputs!$B$27+Inputs!$B$29,MAX(0,(Inputs!$B$3-100)*3)+Inputs!$B$28+Inputs!$B$29)))</f>
        <v/>
      </c>
      <c r="E2318">
        <f>INDEX(FactorTable!$B$2:$Y$301, MATCH(ROUND(MIN(300,MAX(1,D2318)),0), FactorTable!$A$2:$A$301,0), Skills!M3+1)</f>
        <v/>
      </c>
      <c r="F2318">
        <f>IF(Skills!N3=TRUE,(Skills!L3/10)*(E2318/1000),Skills!L3/10)+Skills!O3</f>
        <v/>
      </c>
      <c r="G2318">
        <f>Skills!G3*IF(Skills!H3&gt;0,Skills!I3/Skills!H3,1)</f>
        <v/>
      </c>
      <c r="H2318">
        <f>1-(1-Skills!J3/100)^Skills!K3</f>
        <v/>
      </c>
      <c r="I2318" t="inlineStr">
        <is>
          <t>1</t>
        </is>
      </c>
      <c r="J2318">
        <f>((Inputs!$B$6*(1+Inputs!$B$7/100))+(((Inputs!$B$12*(1+Inputs!$B$13/100))-(Inputs!$B$12*(1+Inputs!$B$13/100)))+0.25*(Inputs!$B$14-Inputs!$B$14))*(1+Inputs!$B$7/100))*(F2318/100)</f>
        <v/>
      </c>
      <c r="K2318">
        <f>J2318*(1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2330=TRUE,F2330,0)/100)*(1+(IF(Skills!A3="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2318)</f>
        <v/>
      </c>
      <c r="L2318">
        <f>K2318*(MIN(Inputs!$B$22+((C2337=TRUE)*(F2337-Calc!F22)),(Inputs!$B$23+0+(IF(ArtifactsInput!$M$15,CHOOSE(ArtifactsInput!$N$15+1,25,30,35,40,45,50)/100*(Inputs!$B$11-Inputs!$B$11),0))))/100+(Inputs!$B$23+0+(IF(ArtifactsInput!$M$15,CHOOSE(ArtifactsInput!$N$15+1,25,30,35,40,45,50)/100*(Inputs!$B$11-Inputs!$B$11),0)))/100)/2</f>
        <v/>
      </c>
      <c r="M2318">
        <f>L2318*(1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8">
        <f>L2318*(1-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2318*(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8">
        <f>(1-Summary!$B$11)*T2318+Summary!$B$11*V2318</f>
        <v/>
      </c>
      <c r="P2318">
        <f>IF(B2356=0,0,O2318/B2356)</f>
        <v/>
      </c>
      <c r="Q2318">
        <f>IFERROR(1/(IF(Inputs!$B$38="pvp",15,MAX(0.1,Skills!D3-IF(Skills!E3=TRUE,Inputs!$B$32,0)))*(1-IF(AND(ArtifactsInput!$M$27,Inputs!$B$4="Chapter Hunt"),CHOOSE(ArtifactsInput!$N$27+1,20,24,28,32,36,40),0)/100)),0)</f>
        <v/>
      </c>
      <c r="R2318">
        <f>IF(AND(Inputs!$B$38&lt;&gt;"pvp",Inputs!$B$43&gt;0),IF(MAX(0,Inputs!$B$43-B2353)&lt;=0,0,(INT(MAX(0,Inputs!$B$43-B2353)/(IF(Inputs!$B$38="pvp",15,MAX(0.1,Skills!D3-IF(Skills!E3=TRUE,Inputs!$B$32,0)))*(1-IF(AND(ArtifactsInput!$M$27,Inputs!$B$4="Chapter Hunt"),CHOOSE(ArtifactsInput!$N$27+1,20,24,28,32,36,40),0)/100)))+1)),0)</f>
        <v/>
      </c>
      <c r="S2318">
        <f>IFERROR(O2318/N2318,0)</f>
        <v/>
      </c>
      <c r="T2318">
        <f>IF(C2318,(H2318*N2318*IF(AND(Inputs!$B$38&lt;&gt;"pvp",Inputs!$B$43&gt;0),((Skills!G3*((R2318-1)*IF(Skills!H3&gt;0,Skills!I3/Skills!H3,1)+IF(Skills!H3&gt;0,MIN(Skills!I3,MAX(0,MAX(0,Inputs!$B$43-B2353)-((R2318-1)*(IF(Inputs!$B$38="pvp",15,MAX(0.1,Skills!D3-IF(Skills!E3=TRUE,Inputs!$B$32,0)))*(1-IF(AND(ArtifactsInput!$M$27,Inputs!$B$4="Chapter Hunt"),CHOOSE(ArtifactsInput!$N$27+1,20,24,28,32,36,40),0)/100)))))/Skills!H3,1)))/Inputs!$B$43),G2318*Q2318)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2318*(1-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2318*(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2318*(1-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2318*(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8">
        <f>INDEX(FactorTable!$B$2:$Y$301, MATCH(ROUND(MIN(300,MAX(1,U2317)),0), FactorTable!$A$2:$A$301,0), 22)</f>
        <v/>
      </c>
      <c r="V2318">
        <f>IF(C2318,(H2318*N2318*IF(AND(Inputs!$B$38&lt;&gt;"pvp",Inputs!$B$43&gt;0),((Skills!G3*((R2318-1)*IF(Skills!H3&gt;0,Skills!I3/Skills!H3,1)+IF(Skills!H3&gt;0,MIN(Skills!I3,MAX(0,MAX(0,Inputs!$B$43-B2353)-((R2318-1)*(IF(Inputs!$B$38="pvp",15,MAX(0.1,Skills!D3-IF(Skills!E3=TRUE,Inputs!$B$32,0)))*(1-IF(AND(ArtifactsInput!$M$27,Inputs!$B$4="Chapter Hunt"),CHOOSE(ArtifactsInput!$N$27+1,20,24,28,32,36,40),0)/100)))))/Skills!H3,1)))/Inputs!$B$43),G2318*Q2318))*IF(Inputs!$B$38="pvp",1,(1+(Inputs!$B$21+Skills!Q3+(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9">
      <c r="A2319">
        <f>Skills!A4</f>
        <v/>
      </c>
      <c r="B2319">
        <f>Skills!B4</f>
        <v/>
      </c>
      <c r="C2319">
        <f>Inputs!$B$3&gt;=40</f>
        <v/>
      </c>
      <c r="D2319">
        <f>IF(Skills!C4=1,60+Inputs!$B$25+Inputs!$B$29,IF(Skills!C4=2,90+Inputs!$B$26+Inputs!$B$29,IF(Skills!C4=3,120+Inputs!$B$27+Inputs!$B$29,MAX(0,(Inputs!$B$3-100)*3)+Inputs!$B$28+Inputs!$B$29)))</f>
        <v/>
      </c>
      <c r="E2319">
        <f>INDEX(FactorTable!$B$2:$Y$301, MATCH(ROUND(MIN(300,MAX(1,D2319)),0), FactorTable!$A$2:$A$301,0), Skills!M4+1)</f>
        <v/>
      </c>
      <c r="F2319">
        <f>IF(Skills!N4=TRUE,(Skills!L4/10)*(E2319/1000),Skills!L4/10)+Skills!O4</f>
        <v/>
      </c>
      <c r="G2319">
        <f>Skills!G4*IF(Skills!H4&gt;0,Skills!I4/Skills!H4,1)</f>
        <v/>
      </c>
      <c r="H2319">
        <f>1-(1-Skills!J4/100)^Skills!K4</f>
        <v/>
      </c>
      <c r="I2319" t="inlineStr">
        <is>
          <t>1</t>
        </is>
      </c>
      <c r="J2319">
        <f>((Inputs!$B$6*(1+Inputs!$B$7/100))+(((Inputs!$B$12*(1+Inputs!$B$13/100))-(Inputs!$B$12*(1+Inputs!$B$13/100)))+0.25*(Inputs!$B$14-Inputs!$B$14))*(1+Inputs!$B$7/100))*(F2319/100)</f>
        <v/>
      </c>
      <c r="K2319">
        <f>J2319*(1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2331=TRUE,F2331,0)/100)*(1+(IF(Skills!A4="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2319)</f>
        <v/>
      </c>
      <c r="L2319">
        <f>K2319*(MIN(Inputs!$B$22+((C2337=TRUE)*(F2337-Calc!F22)),(Inputs!$B$23+0+(IF(ArtifactsInput!$M$15,CHOOSE(ArtifactsInput!$N$15+1,25,30,35,40,45,50)/100*(Inputs!$B$11-Inputs!$B$11),0))))/100+(Inputs!$B$23+0+(IF(ArtifactsInput!$M$15,CHOOSE(ArtifactsInput!$N$15+1,25,30,35,40,45,50)/100*(Inputs!$B$11-Inputs!$B$11),0)))/100)/2</f>
        <v/>
      </c>
      <c r="M2319">
        <f>L2319*(1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9">
        <f>L2319*(1-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2319*(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9">
        <f>(1-Summary!$B$11)*T2319+Summary!$B$11*V2319</f>
        <v/>
      </c>
      <c r="P2319">
        <f>IF(B2356=0,0,O2319/B2356)</f>
        <v/>
      </c>
      <c r="Q2319">
        <f>IFERROR(1/(IF(Inputs!$B$38="pvp",15,MAX(0.1,Skills!D4-IF(Skills!E4=TRUE,Inputs!$B$32,0)))*(1-IF(AND(ArtifactsInput!$M$27,Inputs!$B$4="Chapter Hunt"),CHOOSE(ArtifactsInput!$N$27+1,20,24,28,32,36,40),0)/100)),0)</f>
        <v/>
      </c>
      <c r="R2319">
        <f>IF(AND(Inputs!$B$38&lt;&gt;"pvp",Inputs!$B$43&gt;0),IF(MAX(0,Inputs!$B$43-B2353)&lt;=0,0,(INT(MAX(0,Inputs!$B$43-B2353)/(IF(Inputs!$B$38="pvp",15,MAX(0.1,Skills!D4-IF(Skills!E4=TRUE,Inputs!$B$32,0)))*(1-IF(AND(ArtifactsInput!$M$27,Inputs!$B$4="Chapter Hunt"),CHOOSE(ArtifactsInput!$N$27+1,20,24,28,32,36,40),0)/100)))+1)),0)</f>
        <v/>
      </c>
      <c r="S2319">
        <f>IFERROR(O2319/N2319,0)</f>
        <v/>
      </c>
      <c r="T2319">
        <f>IF(C2319,(H2319*N2319*IF(AND(Inputs!$B$38&lt;&gt;"pvp",Inputs!$B$43&gt;0),((Skills!G4*((R2319-1)*IF(Skills!H4&gt;0,Skills!I4/Skills!H4,1)+IF(Skills!H4&gt;0,MIN(Skills!I4,MAX(0,MAX(0,Inputs!$B$43-B2353)-((R2319-1)*(IF(Inputs!$B$38="pvp",15,MAX(0.1,Skills!D4-IF(Skills!E4=TRUE,Inputs!$B$32,0)))*(1-IF(AND(ArtifactsInput!$M$27,Inputs!$B$4="Chapter Hunt"),CHOOSE(ArtifactsInput!$N$27+1,20,24,28,32,36,40),0)/100)))))/Skills!H4,1)))/Inputs!$B$43),G2319*Q2319)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2319*(1-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2319*(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2319*(1-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2319*(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9">
        <f>290*U2318/1000</f>
        <v/>
      </c>
      <c r="V2319">
        <f>IF(C2319,(H2319*N2319*IF(AND(Inputs!$B$38&lt;&gt;"pvp",Inputs!$B$43&gt;0),((Skills!G4*((R2319-1)*IF(Skills!H4&gt;0,Skills!I4/Skills!H4,1)+IF(Skills!H4&gt;0,MIN(Skills!I4,MAX(0,MAX(0,Inputs!$B$43-B2353)-((R2319-1)*(IF(Inputs!$B$38="pvp",15,MAX(0.1,Skills!D4-IF(Skills!E4=TRUE,Inputs!$B$32,0)))*(1-IF(AND(ArtifactsInput!$M$27,Inputs!$B$4="Chapter Hunt"),CHOOSE(ArtifactsInput!$N$27+1,20,24,28,32,36,40),0)/100)))))/Skills!H4,1)))/Inputs!$B$43),G2319*Q2319))*IF(Inputs!$B$38="pvp",1,(1+(Inputs!$B$21+Skills!Q4+(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0">
      <c r="A2320">
        <f>Skills!A5</f>
        <v/>
      </c>
      <c r="B2320">
        <f>Skills!B5</f>
        <v/>
      </c>
      <c r="C2320">
        <f>Inputs!$B$3&gt;=45</f>
        <v/>
      </c>
      <c r="D2320">
        <f>IF(Skills!C5=1,60+Inputs!$B$25+Inputs!$B$29,IF(Skills!C5=2,90+Inputs!$B$26+Inputs!$B$29,IF(Skills!C5=3,120+Inputs!$B$27+Inputs!$B$29,MAX(0,(Inputs!$B$3-100)*3)+Inputs!$B$28+Inputs!$B$29)))</f>
        <v/>
      </c>
      <c r="E2320">
        <f>INDEX(FactorTable!$B$2:$Y$301, MATCH(ROUND(MIN(300,MAX(1,D2320)),0), FactorTable!$A$2:$A$301,0), Skills!M5+1)</f>
        <v/>
      </c>
      <c r="F2320">
        <f>IF(Skills!N5=TRUE,(Skills!L5/10)*(E2320/1000),Skills!L5/10)+Skills!O5</f>
        <v/>
      </c>
      <c r="G2320">
        <f>Skills!G5*IF(Skills!H5&gt;0,Skills!I5/Skills!H5,1)</f>
        <v/>
      </c>
      <c r="H2320">
        <f>1-(1-Skills!J5/100)^Skills!K5</f>
        <v/>
      </c>
      <c r="I2320" t="inlineStr">
        <is>
          <t>1</t>
        </is>
      </c>
      <c r="J2320">
        <f>((Inputs!$B$6*(1+Inputs!$B$7/100))+(((Inputs!$B$12*(1+Inputs!$B$13/100))-(Inputs!$B$12*(1+Inputs!$B$13/100)))+0.25*(Inputs!$B$14-Inputs!$B$14))*(1+Inputs!$B$7/100))*(F2320/100)</f>
        <v/>
      </c>
      <c r="K2320">
        <f>J2320*(1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2331=TRUE,F2331,0)/100)*(1+(IF(Skills!A5="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2320)</f>
        <v/>
      </c>
      <c r="L2320">
        <f>K2320*(MIN(Inputs!$B$22+((C2337=TRUE)*(F2337-Calc!F22)),(Inputs!$B$23+0+(IF(ArtifactsInput!$M$15,CHOOSE(ArtifactsInput!$N$15+1,25,30,35,40,45,50)/100*(Inputs!$B$11-Inputs!$B$11),0))))/100+(Inputs!$B$23+0+(IF(ArtifactsInput!$M$15,CHOOSE(ArtifactsInput!$N$15+1,25,30,35,40,45,50)/100*(Inputs!$B$11-Inputs!$B$11),0)))/100)/2</f>
        <v/>
      </c>
      <c r="M2320">
        <f>L2320*(1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0">
        <f>L2320*(1-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2320*(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0">
        <f>(1-Summary!$B$11)*T2320+Summary!$B$11*V2320</f>
        <v/>
      </c>
      <c r="P2320">
        <f>IF(B2356=0,0,O2320/B2356)</f>
        <v/>
      </c>
      <c r="Q2320">
        <f>IFERROR(1/(IF(Inputs!$B$38="pvp",15,MAX(0.1,Skills!D5-IF(Skills!E5=TRUE,Inputs!$B$32,0)))*(1-IF(AND(ArtifactsInput!$M$27,Inputs!$B$4="Chapter Hunt"),CHOOSE(ArtifactsInput!$N$27+1,20,24,28,32,36,40),0)/100)),0)</f>
        <v/>
      </c>
      <c r="R2320">
        <f>IF(AND(Inputs!$B$38&lt;&gt;"pvp",Inputs!$B$43&gt;0),IF(MAX(0,Inputs!$B$43-B2353)&lt;=0,0,(INT(MAX(0,Inputs!$B$43-B2353)/(IF(Inputs!$B$38="pvp",15,MAX(0.1,Skills!D5-IF(Skills!E5=TRUE,Inputs!$B$32,0)))*(1-IF(AND(ArtifactsInput!$M$27,Inputs!$B$4="Chapter Hunt"),CHOOSE(ArtifactsInput!$N$27+1,20,24,28,32,36,40),0)/100)))+1)),0)</f>
        <v/>
      </c>
      <c r="S2320">
        <f>IFERROR(O2320/N2320,0)</f>
        <v/>
      </c>
      <c r="T2320">
        <f>IF(C2320,(H2320*N2320*IF(AND(Inputs!$B$38&lt;&gt;"pvp",Inputs!$B$43&gt;0),((Skills!G5*((R2320-1)*IF(Skills!H5&gt;0,Skills!I5/Skills!H5,1)+IF(Skills!H5&gt;0,MIN(Skills!I5,MAX(0,MAX(0,Inputs!$B$43-B2353)-((R2320-1)*(IF(Inputs!$B$38="pvp",15,MAX(0.1,Skills!D5-IF(Skills!E5=TRUE,Inputs!$B$32,0)))*(1-IF(AND(ArtifactsInput!$M$27,Inputs!$B$4="Chapter Hunt"),CHOOSE(ArtifactsInput!$N$27+1,20,24,28,32,36,40),0)/100)))))/Skills!H5,1)))/Inputs!$B$43),G2320*Q2320)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2320*(1-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2320*(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2320*(1-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2320*(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0">
        <f>IF(C2320,(H2320*N2320*IF(AND(Inputs!$B$38&lt;&gt;"pvp",Inputs!$B$43&gt;0),((Skills!G5*((R2320-1)*IF(Skills!H5&gt;0,Skills!I5/Skills!H5,1)+IF(Skills!H5&gt;0,MIN(Skills!I5,MAX(0,MAX(0,Inputs!$B$43-B2353)-((R2320-1)*(IF(Inputs!$B$38="pvp",15,MAX(0.1,Skills!D5-IF(Skills!E5=TRUE,Inputs!$B$32,0)))*(1-IF(AND(ArtifactsInput!$M$27,Inputs!$B$4="Chapter Hunt"),CHOOSE(ArtifactsInput!$N$27+1,20,24,28,32,36,40),0)/100)))))/Skills!H5,1)))/Inputs!$B$43),G2320*Q2320))*IF(Inputs!$B$38="pvp",1,(1+(Inputs!$B$21+Skills!Q5+(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1">
      <c r="A2321">
        <f>Skills!A6</f>
        <v/>
      </c>
      <c r="B2321">
        <f>Skills!B6</f>
        <v/>
      </c>
      <c r="C2321">
        <f>Inputs!$B$3&gt;=63</f>
        <v/>
      </c>
      <c r="D2321">
        <f>IF(Skills!C6=1,60+Inputs!$B$25+Inputs!$B$29,IF(Skills!C6=2,90+Inputs!$B$26+Inputs!$B$29,IF(Skills!C6=3,120+Inputs!$B$27+Inputs!$B$29,MAX(0,(Inputs!$B$3-100)*3)+Inputs!$B$28+Inputs!$B$29)))</f>
        <v/>
      </c>
      <c r="E2321">
        <f>INDEX(FactorTable!$B$2:$Y$301, MATCH(ROUND(MIN(300,MAX(1,D2321)),0), FactorTable!$A$2:$A$301,0), Skills!M6+1)</f>
        <v/>
      </c>
      <c r="F2321">
        <f>IF(Skills!N6=TRUE,(Skills!L6/10)*(E2321/1000),Skills!L6/10)+Skills!O6</f>
        <v/>
      </c>
      <c r="G2321">
        <f>Skills!G6*IF(Skills!H6&gt;0,Skills!I6/Skills!H6,1)</f>
        <v/>
      </c>
      <c r="H2321">
        <f>1-(1-Skills!J6/100)^Skills!K6</f>
        <v/>
      </c>
      <c r="I2321" t="inlineStr">
        <is>
          <t>1</t>
        </is>
      </c>
      <c r="J2321">
        <f>((Inputs!$B$6*(1+Inputs!$B$7/100))+(((Inputs!$B$12*(1+Inputs!$B$13/100))-(Inputs!$B$12*(1+Inputs!$B$13/100)))+0.25*(Inputs!$B$14-Inputs!$B$14))*(1+Inputs!$B$7/100))*(F2321/100)</f>
        <v/>
      </c>
      <c r="K2321">
        <f>J2321*(1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2330=TRUE,F2330,0)/100)*(1+(IF(Skills!A6="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2321)</f>
        <v/>
      </c>
      <c r="L2321">
        <f>K2321*(MIN(Inputs!$B$22+((C2337=TRUE)*(F2337-Calc!F22)),(Inputs!$B$23+0+(IF(ArtifactsInput!$M$15,CHOOSE(ArtifactsInput!$N$15+1,25,30,35,40,45,50)/100*(Inputs!$B$11-Inputs!$B$11),0))))/100+(Inputs!$B$23+0+(IF(ArtifactsInput!$M$15,CHOOSE(ArtifactsInput!$N$15+1,25,30,35,40,45,50)/100*(Inputs!$B$11-Inputs!$B$11),0)))/100)/2</f>
        <v/>
      </c>
      <c r="M2321">
        <f>L2321*(1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1">
        <f>L2321*(1-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1">
        <f>(1-Summary!$B$11)*T2321+Summary!$B$11*V2321</f>
        <v/>
      </c>
      <c r="P2321">
        <f>IF(B2356=0,0,O2321/B2356)</f>
        <v/>
      </c>
      <c r="Q2321">
        <f>IFERROR(1/(IF(Inputs!$B$38="pvp",15,MAX(0.1,Skills!D6-IF(Skills!E6=TRUE,Inputs!$B$32,0)))*(1-IF(AND(ArtifactsInput!$M$27,Inputs!$B$4="Chapter Hunt"),CHOOSE(ArtifactsInput!$N$27+1,20,24,28,32,36,40),0)/100)),0)</f>
        <v/>
      </c>
      <c r="R2321">
        <f>IF(AND(Inputs!$B$38&lt;&gt;"pvp",Inputs!$B$43&gt;0),IF(MAX(0,Inputs!$B$43-B2353)&lt;=0,0,(INT(MAX(0,Inputs!$B$43-B2353)/(IF(Inputs!$B$38="pvp",15,MAX(0.1,Skills!D6-IF(Skills!E6=TRUE,Inputs!$B$32,0)))*(1-IF(AND(ArtifactsInput!$M$27,Inputs!$B$4="Chapter Hunt"),CHOOSE(ArtifactsInput!$N$27+1,20,24,28,32,36,40),0)/100)))+1)),0)</f>
        <v/>
      </c>
      <c r="S2321">
        <f>IFERROR(O2321/N2321,0)</f>
        <v/>
      </c>
      <c r="T2321">
        <f>IF(C2321,(H2321*N2321*IF(AND(Inputs!$B$38&lt;&gt;"pvp",Inputs!$B$43&gt;0),((Skills!G6*((R2321-1)*IF(Skills!H6&gt;0,Skills!I6/Skills!H6,1)+IF(Skills!H6&gt;0,MIN(Skills!I6,MAX(0,MAX(0,Inputs!$B$43-B2353)-((R2321-1)*(IF(Inputs!$B$38="pvp",15,MAX(0.1,Skills!D6-IF(Skills!E6=TRUE,Inputs!$B$32,0)))*(1-IF(AND(ArtifactsInput!$M$27,Inputs!$B$4="Chapter Hunt"),CHOOSE(ArtifactsInput!$N$27+1,20,24,28,32,36,40),0)/100)))))/Skills!H6,1)))/Inputs!$B$43),G2321*Q2321)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2321*(1-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2321*(1-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1">
        <f>IF(C2321,(H2321*N2321*IF(AND(Inputs!$B$38&lt;&gt;"pvp",Inputs!$B$43&gt;0),((Skills!G6*((R2321-1)*IF(Skills!H6&gt;0,Skills!I6/Skills!H6,1)+IF(Skills!H6&gt;0,MIN(Skills!I6,MAX(0,MAX(0,Inputs!$B$43-B2353)-((R2321-1)*(IF(Inputs!$B$38="pvp",15,MAX(0.1,Skills!D6-IF(Skills!E6=TRUE,Inputs!$B$32,0)))*(1-IF(AND(ArtifactsInput!$M$27,Inputs!$B$4="Chapter Hunt"),CHOOSE(ArtifactsInput!$N$27+1,20,24,28,32,36,40),0)/100)))))/Skills!H6,1)))/Inputs!$B$43),G2321*Q2321))*IF(Inputs!$B$38="pvp",1,(1+(Inputs!$B$21+Skills!Q6+(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2">
      <c r="A2322">
        <f>Skills!A7</f>
        <v/>
      </c>
      <c r="B2322">
        <f>Skills!B7</f>
        <v/>
      </c>
      <c r="C2322">
        <f>Inputs!$B$3&gt;=66</f>
        <v/>
      </c>
      <c r="D2322">
        <f>IF(Skills!C7=1,60+Inputs!$B$25+Inputs!$B$29,IF(Skills!C7=2,90+Inputs!$B$26+Inputs!$B$29,IF(Skills!C7=3,120+Inputs!$B$27+Inputs!$B$29,MAX(0,(Inputs!$B$3-100)*3)+Inputs!$B$28+Inputs!$B$29)))</f>
        <v/>
      </c>
      <c r="E2322">
        <f>INDEX(FactorTable!$B$2:$Y$301, MATCH(ROUND(MIN(300,MAX(1,D2322)),0), FactorTable!$A$2:$A$301,0), Skills!M7+1)</f>
        <v/>
      </c>
      <c r="F2322">
        <f>IF(Skills!N7=TRUE,(Skills!L7/10)*(E2322/1000),Skills!L7/10)+Skills!O7</f>
        <v/>
      </c>
      <c r="G2322">
        <f>Skills!G7*IF(Skills!H7&gt;0,Skills!I7/Skills!H7,1)</f>
        <v/>
      </c>
      <c r="H2322">
        <f>1-(1-Skills!J7/100)^Skills!K7</f>
        <v/>
      </c>
      <c r="I2322" t="inlineStr">
        <is>
          <t>1</t>
        </is>
      </c>
      <c r="J2322">
        <f>((Inputs!$B$6*(1+Inputs!$B$7/100))+(((Inputs!$B$12*(1+Inputs!$B$13/100))-(Inputs!$B$12*(1+Inputs!$B$13/100)))+0.25*(Inputs!$B$14-Inputs!$B$14))*(1+Inputs!$B$7/100))*(F2322/100)</f>
        <v/>
      </c>
      <c r="K2322">
        <f>J2322*(1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2330=TRUE,F2330,0)/100)*(1+(IF(Skills!A7="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2322)</f>
        <v/>
      </c>
      <c r="L2322">
        <f>K2322*(MIN(Inputs!$B$22+((C2337=TRUE)*(F2337-Calc!F22)),(Inputs!$B$23+0+(IF(ArtifactsInput!$M$15,CHOOSE(ArtifactsInput!$N$15+1,25,30,35,40,45,50)/100*(Inputs!$B$11-Inputs!$B$11),0))))/100+(Inputs!$B$23+0+(IF(ArtifactsInput!$M$15,CHOOSE(ArtifactsInput!$N$15+1,25,30,35,40,45,50)/100*(Inputs!$B$11-Inputs!$B$11),0)))/100)/2</f>
        <v/>
      </c>
      <c r="M2322">
        <f>L2322*(1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2">
        <f>L2322*(1-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2322*(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2">
        <f>(1-Summary!$B$11)*T2322+Summary!$B$11*V2322</f>
        <v/>
      </c>
      <c r="P2322">
        <f>IF(B2356=0,0,O2322/B2356)</f>
        <v/>
      </c>
      <c r="Q2322">
        <f>IFERROR(1/(IF(Inputs!$B$38="pvp",15,MAX(0.1,Skills!D7-IF(Skills!E7=TRUE,Inputs!$B$32,0)))*(1-IF(AND(ArtifactsInput!$M$27,Inputs!$B$4="Chapter Hunt"),CHOOSE(ArtifactsInput!$N$27+1,20,24,28,32,36,40),0)/100)),0)</f>
        <v/>
      </c>
      <c r="R2322">
        <f>IF(AND(Inputs!$B$38&lt;&gt;"pvp",Inputs!$B$43&gt;0),IF(MAX(0,Inputs!$B$43-B2353)&lt;=0,0,(INT(MAX(0,Inputs!$B$43-B2353)/(IF(Inputs!$B$38="pvp",15,MAX(0.1,Skills!D7-IF(Skills!E7=TRUE,Inputs!$B$32,0)))*(1-IF(AND(ArtifactsInput!$M$27,Inputs!$B$4="Chapter Hunt"),CHOOSE(ArtifactsInput!$N$27+1,20,24,28,32,36,40),0)/100)))+1)),0)</f>
        <v/>
      </c>
      <c r="S2322">
        <f>IFERROR(O2322/N2322,0)</f>
        <v/>
      </c>
      <c r="T2322">
        <f>IF(C2322,(H2322*N2322*IF(AND(Inputs!$B$38&lt;&gt;"pvp",Inputs!$B$43&gt;0),((Skills!G7*((R2322-1)*IF(Skills!H7&gt;0,Skills!I7/Skills!H7,1)+IF(Skills!H7&gt;0,MIN(Skills!I7,MAX(0,MAX(0,Inputs!$B$43-B2353)-((R2322-1)*(IF(Inputs!$B$38="pvp",15,MAX(0.1,Skills!D7-IF(Skills!E7=TRUE,Inputs!$B$32,0)))*(1-IF(AND(ArtifactsInput!$M$27,Inputs!$B$4="Chapter Hunt"),CHOOSE(ArtifactsInput!$N$27+1,20,24,28,32,36,40),0)/100)))))/Skills!H7,1)))/Inputs!$B$43),G2322*Q2322)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2322*(1-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2322*(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2322*(1-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2322*(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2">
        <f>IF(C2322,(H2322*N2322*IF(AND(Inputs!$B$38&lt;&gt;"pvp",Inputs!$B$43&gt;0),((Skills!G7*((R2322-1)*IF(Skills!H7&gt;0,Skills!I7/Skills!H7,1)+IF(Skills!H7&gt;0,MIN(Skills!I7,MAX(0,MAX(0,Inputs!$B$43-B2353)-((R2322-1)*(IF(Inputs!$B$38="pvp",15,MAX(0.1,Skills!D7-IF(Skills!E7=TRUE,Inputs!$B$32,0)))*(1-IF(AND(ArtifactsInput!$M$27,Inputs!$B$4="Chapter Hunt"),CHOOSE(ArtifactsInput!$N$27+1,20,24,28,32,36,40),0)/100)))))/Skills!H7,1)))/Inputs!$B$43),G2322*Q2322))*IF(Inputs!$B$38="pvp",1,(1+(Inputs!$B$21+Skills!Q7+(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3">
      <c r="A2323">
        <f>Skills!A8</f>
        <v/>
      </c>
      <c r="B2323">
        <f>Skills!B8</f>
        <v/>
      </c>
      <c r="C2323">
        <f>Inputs!$B$3&gt;=100</f>
        <v/>
      </c>
      <c r="D2323">
        <f>IF(Skills!C8=1,60+Inputs!$B$25+Inputs!$B$29,IF(Skills!C8=2,90+Inputs!$B$26+Inputs!$B$29,IF(Skills!C8=3,120+Inputs!$B$27+Inputs!$B$29,MAX(0,(Inputs!$B$3-100)*3)+Inputs!$B$28+Inputs!$B$29)))</f>
        <v/>
      </c>
      <c r="E2323">
        <f>INDEX(FactorTable!$B$2:$Y$301, MATCH(ROUND(MIN(300,MAX(1,D2323)),0), FactorTable!$A$2:$A$301,0), Skills!M8+1)</f>
        <v/>
      </c>
      <c r="F2323">
        <f>IF(Skills!N8=TRUE,(Skills!L8/10)*(E2323/1000),Skills!L8/10)+Skills!O8</f>
        <v/>
      </c>
      <c r="G2323">
        <f>Skills!G8*IF(Skills!H8&gt;0,Skills!I8/Skills!H8,1)</f>
        <v/>
      </c>
      <c r="H2323">
        <f>1-(1-Skills!J8/100)^Skills!K8</f>
        <v/>
      </c>
      <c r="I2323" t="inlineStr">
        <is>
          <t>1</t>
        </is>
      </c>
      <c r="J2323">
        <f>((Inputs!$B$6*(1+Inputs!$B$7/100))+(((Inputs!$B$12*(1+Inputs!$B$13/100))-(Inputs!$B$12*(1+Inputs!$B$13/100)))+0.25*(Inputs!$B$14-Inputs!$B$14))*(1+Inputs!$B$7/100))*(F2323/100)</f>
        <v/>
      </c>
      <c r="K2323">
        <f>J2323*(1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2323)</f>
        <v/>
      </c>
      <c r="L2323">
        <f>K2323*(MIN(Inputs!$B$22+((C2337=TRUE)*(F2337-Calc!F22)),(Inputs!$B$23+0+(IF(ArtifactsInput!$M$15,CHOOSE(ArtifactsInput!$N$15+1,25,30,35,40,45,50)/100*(Inputs!$B$11-Inputs!$B$11),0))))/100+(Inputs!$B$23+0+(IF(ArtifactsInput!$M$15,CHOOSE(ArtifactsInput!$N$15+1,25,30,35,40,45,50)/100*(Inputs!$B$11-Inputs!$B$11),0)))/100)/2</f>
        <v/>
      </c>
      <c r="M2323">
        <f>L2323*(1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3">
        <f>L2323*(1-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2323*(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3">
        <f>(1-Summary!$B$11)*T2323+Summary!$B$11*V2323</f>
        <v/>
      </c>
      <c r="P2323">
        <f>IF(B2356=0,0,O2323/B2356)</f>
        <v/>
      </c>
      <c r="Q2323">
        <f>IFERROR(1/(IF(Inputs!$B$38="pvp",15,MAX(0.1,Skills!D8-IF(Skills!E8=TRUE,Inputs!$B$32,0)))*(1-IF(AND(ArtifactsInput!$M$27,Inputs!$B$4="Chapter Hunt"),CHOOSE(ArtifactsInput!$N$27+1,20,24,28,32,36,40),0)/100)),0)</f>
        <v/>
      </c>
      <c r="R2323">
        <f>IF(AND(Inputs!$B$38&lt;&gt;"pvp",Inputs!$B$43&gt;0),IF(MAX(0,Inputs!$B$43-B2353)&lt;=0,0,(INT(MAX(0,Inputs!$B$43-B2353)/(IF(Inputs!$B$38="pvp",15,MAX(0.1,Skills!D8-IF(Skills!E8=TRUE,Inputs!$B$32,0)))*(1-IF(AND(ArtifactsInput!$M$27,Inputs!$B$4="Chapter Hunt"),CHOOSE(ArtifactsInput!$N$27+1,20,24,28,32,36,40),0)/100)))+1)),0)</f>
        <v/>
      </c>
      <c r="S2323">
        <f>IFERROR(O2323/N2323,0)</f>
        <v/>
      </c>
      <c r="T2323">
        <f>IF(C2323,(H2323*N2323*IF(AND(Inputs!$B$38&lt;&gt;"pvp",Inputs!$B$43&gt;0),((Skills!G8*((R2323-1)*IF(Skills!H8&gt;0,Skills!I8/Skills!H8,1)+IF(Skills!H8&gt;0,MIN(Skills!I8,MAX(0,MAX(0,Inputs!$B$43-B2353)-((R2323-1)*(IF(Inputs!$B$38="pvp",15,MAX(0.1,Skills!D8-IF(Skills!E8=TRUE,Inputs!$B$32,0)))*(1-IF(AND(ArtifactsInput!$M$27,Inputs!$B$4="Chapter Hunt"),CHOOSE(ArtifactsInput!$N$27+1,20,24,28,32,36,40),0)/100)))))/Skills!H8,1)))/Inputs!$B$43),G2323*Q2323)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2323*(1-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2323*(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2323*(1-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2323*(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3">
        <f>IF(C2323,(H2323*N2323*IF(AND(Inputs!$B$38&lt;&gt;"pvp",Inputs!$B$43&gt;0),((Skills!G8*((R2323-1)*IF(Skills!H8&gt;0,Skills!I8/Skills!H8,1)+IF(Skills!H8&gt;0,MIN(Skills!I8,MAX(0,MAX(0,Inputs!$B$43-B2353)-((R2323-1)*(IF(Inputs!$B$38="pvp",15,MAX(0.1,Skills!D8-IF(Skills!E8=TRUE,Inputs!$B$32,0)))*(1-IF(AND(ArtifactsInput!$M$27,Inputs!$B$4="Chapter Hunt"),CHOOSE(ArtifactsInput!$N$27+1,20,24,28,32,36,40),0)/100)))))/Skills!H8,1)))/Inputs!$B$43),G2323*Q2323))*IF(Inputs!$B$38="pvp",1,(1+(Inputs!$B$21+Skills!Q8+(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4">
      <c r="A2324">
        <f>Skills!A9</f>
        <v/>
      </c>
      <c r="B2324">
        <f>Skills!B9</f>
        <v/>
      </c>
      <c r="C2324">
        <f>Inputs!$B$3&gt;=103</f>
        <v/>
      </c>
      <c r="D2324">
        <f>IF(Skills!C9=1,60+Inputs!$B$25+Inputs!$B$29,IF(Skills!C9=2,90+Inputs!$B$26+Inputs!$B$29,IF(Skills!C9=3,120+Inputs!$B$27+Inputs!$B$29,MAX(0,(Inputs!$B$3-100)*3)+Inputs!$B$28+Inputs!$B$29)))</f>
        <v/>
      </c>
      <c r="E2324">
        <f>INDEX(FactorTable!$B$2:$Y$301, MATCH(ROUND(MIN(300,MAX(1,D2324)),0), FactorTable!$A$2:$A$301,0), Skills!M9+1)</f>
        <v/>
      </c>
      <c r="F2324">
        <f>IF(Skills!N9=TRUE,(Skills!L9/10)*(E2324/1000),Skills!L9/10)+Skills!O9</f>
        <v/>
      </c>
      <c r="G2324">
        <f>Skills!G9*IF(Skills!H9&gt;0,Skills!I9/Skills!H9,1)</f>
        <v/>
      </c>
      <c r="H2324">
        <f>1-(1-Skills!J9/100)^Skills!K9</f>
        <v/>
      </c>
      <c r="I2324" t="inlineStr">
        <is>
          <t>1</t>
        </is>
      </c>
      <c r="J2324">
        <f>((Inputs!$B$6*(1+Inputs!$B$7/100))+(((Inputs!$B$12*(1+Inputs!$B$13/100))-(Inputs!$B$12*(1+Inputs!$B$13/100)))+0.25*(Inputs!$B$14-Inputs!$B$14))*(1+Inputs!$B$7/100))*(F2324/100)</f>
        <v/>
      </c>
      <c r="K2324">
        <f>J2324*(1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2324)</f>
        <v/>
      </c>
      <c r="L2324">
        <f>K2324*(MIN(Inputs!$B$22+((C2337=TRUE)*(F2337-Calc!F22)),(Inputs!$B$23+0+(IF(ArtifactsInput!$M$15,CHOOSE(ArtifactsInput!$N$15+1,25,30,35,40,45,50)/100*(Inputs!$B$11-Inputs!$B$11),0))))/100+(Inputs!$B$23+0+(IF(ArtifactsInput!$M$15,CHOOSE(ArtifactsInput!$N$15+1,25,30,35,40,45,50)/100*(Inputs!$B$11-Inputs!$B$11),0)))/100)/2</f>
        <v/>
      </c>
      <c r="M2324">
        <f>L2324*(1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4">
        <f>L2324*(1-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2324*(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4">
        <f>(1-Summary!$B$11)*T2324+Summary!$B$11*V2324</f>
        <v/>
      </c>
      <c r="P2324">
        <f>IF(B2356=0,0,O2324/B2356)</f>
        <v/>
      </c>
      <c r="Q2324">
        <f>IFERROR(1/(IF(Inputs!$B$38="pvp",15,MAX(0.1,Skills!D9-IF(Skills!E9=TRUE,Inputs!$B$32,0)))*(1-IF(AND(ArtifactsInput!$M$27,Inputs!$B$4="Chapter Hunt"),CHOOSE(ArtifactsInput!$N$27+1,20,24,28,32,36,40),0)/100)),0)</f>
        <v/>
      </c>
      <c r="R2324">
        <f>IF(AND(Inputs!$B$38&lt;&gt;"pvp",Inputs!$B$43&gt;0),IF(MAX(0,Inputs!$B$43-B2353)&lt;=0,0,(INT(MAX(0,Inputs!$B$43-B2353)/(IF(Inputs!$B$38="pvp",15,MAX(0.1,Skills!D9-IF(Skills!E9=TRUE,Inputs!$B$32,0)))*(1-IF(AND(ArtifactsInput!$M$27,Inputs!$B$4="Chapter Hunt"),CHOOSE(ArtifactsInput!$N$27+1,20,24,28,32,36,40),0)/100)))+1)),0)</f>
        <v/>
      </c>
      <c r="S2324">
        <f>IFERROR(O2324/N2324,0)</f>
        <v/>
      </c>
      <c r="T2324">
        <f>IF(C2324,(H2324*N2324*IF(AND(Inputs!$B$38&lt;&gt;"pvp",Inputs!$B$43&gt;0),((Skills!G9*((R2324-1)*IF(Skills!H9&gt;0,Skills!I9/Skills!H9,1)+IF(Skills!H9&gt;0,MIN(Skills!I9,MAX(0,MAX(0,Inputs!$B$43-B2353)-((R2324-1)*(IF(Inputs!$B$38="pvp",15,MAX(0.1,Skills!D9-IF(Skills!E9=TRUE,Inputs!$B$32,0)))*(1-IF(AND(ArtifactsInput!$M$27,Inputs!$B$4="Chapter Hunt"),CHOOSE(ArtifactsInput!$N$27+1,20,24,28,32,36,40),0)/100)))))/Skills!H9,1)))/Inputs!$B$43),G2324*Q2324)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2324*(1-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2324*(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2324*(1-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2324*(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4">
        <f>IF(C2324,(H2324*N2324*IF(AND(Inputs!$B$38&lt;&gt;"pvp",Inputs!$B$43&gt;0),((Skills!G9*((R2324-1)*IF(Skills!H9&gt;0,Skills!I9/Skills!H9,1)+IF(Skills!H9&gt;0,MIN(Skills!I9,MAX(0,MAX(0,Inputs!$B$43-B2353)-((R2324-1)*(IF(Inputs!$B$38="pvp",15,MAX(0.1,Skills!D9-IF(Skills!E9=TRUE,Inputs!$B$32,0)))*(1-IF(AND(ArtifactsInput!$M$27,Inputs!$B$4="Chapter Hunt"),CHOOSE(ArtifactsInput!$N$27+1,20,24,28,32,36,40),0)/100)))))/Skills!H9,1)))/Inputs!$B$43),G2324*Q2324))*IF(Inputs!$B$38="pvp",1,(1+(Inputs!$B$21+Skills!Q9+(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5">
      <c r="A2325">
        <f>Skills!A10</f>
        <v/>
      </c>
      <c r="B2325">
        <f>Skills!B10</f>
        <v/>
      </c>
      <c r="C2325">
        <f>Inputs!$B$3&gt;=113</f>
        <v/>
      </c>
      <c r="D2325">
        <f>IF(Skills!C10=1,60+Inputs!$B$25+Inputs!$B$29,IF(Skills!C10=2,90+Inputs!$B$26+Inputs!$B$29,IF(Skills!C10=3,120+Inputs!$B$27+Inputs!$B$29,MAX(0,(Inputs!$B$3-100)*3)+Inputs!$B$28+Inputs!$B$29)))</f>
        <v/>
      </c>
      <c r="E2325">
        <f>INDEX(FactorTable!$B$2:$Y$301, MATCH(ROUND(MIN(300,MAX(1,D2325)),0), FactorTable!$A$2:$A$301,0), Skills!M10+1)</f>
        <v/>
      </c>
      <c r="F2325">
        <f>IF(Skills!N10=TRUE,(Skills!L10/10)*(E2325/1000),Skills!L10/10)+Skills!O10</f>
        <v/>
      </c>
      <c r="G2325">
        <f>Skills!G10*IF(Skills!H10&gt;0,Skills!I10/Skills!H10,1)</f>
        <v/>
      </c>
      <c r="H2325">
        <f>1-(1-Skills!J10/100)^Skills!K10</f>
        <v/>
      </c>
      <c r="I2325" t="inlineStr">
        <is>
          <t>1</t>
        </is>
      </c>
      <c r="J2325">
        <f>((Inputs!$B$6*(1+Inputs!$B$7/100))+(((Inputs!$B$12*(1+Inputs!$B$13/100))-(Inputs!$B$12*(1+Inputs!$B$13/100)))+0.25*(Inputs!$B$14-Inputs!$B$14))*(1+Inputs!$B$7/100))*(F2325/100)</f>
        <v/>
      </c>
      <c r="K2325">
        <f>J2325*(1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2325)</f>
        <v/>
      </c>
      <c r="L2325">
        <f>K2325*(MIN(Inputs!$B$22+((C2337=TRUE)*(F2337-Calc!F22)),(Inputs!$B$23+0+(IF(ArtifactsInput!$M$15,CHOOSE(ArtifactsInput!$N$15+1,25,30,35,40,45,50)/100*(Inputs!$B$11-Inputs!$B$11),0))))/100+(Inputs!$B$23+0+(IF(ArtifactsInput!$M$15,CHOOSE(ArtifactsInput!$N$15+1,25,30,35,40,45,50)/100*(Inputs!$B$11-Inputs!$B$11),0)))/100)/2</f>
        <v/>
      </c>
      <c r="M2325">
        <f>L2325*(1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5">
        <f>L2325*(1-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2325*(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5">
        <f>(1-Summary!$B$11)*T2325+Summary!$B$11*V2325</f>
        <v/>
      </c>
      <c r="P2325">
        <f>IF(B2356=0,0,O2325/B2356)</f>
        <v/>
      </c>
      <c r="Q2325">
        <f>IFERROR(1/(IF(Inputs!$B$38="pvp",15,MAX(0.1,Skills!D10-IF(Skills!E10=TRUE,Inputs!$B$32,0)))*(1-IF(AND(ArtifactsInput!$M$27,Inputs!$B$4="Chapter Hunt"),CHOOSE(ArtifactsInput!$N$27+1,20,24,28,32,36,40),0)/100)),0)</f>
        <v/>
      </c>
      <c r="R2325">
        <f>IF(AND(Inputs!$B$38&lt;&gt;"pvp",Inputs!$B$43&gt;0),IF(MAX(0,Inputs!$B$43-B2353)&lt;=0,0,(INT(MAX(0,Inputs!$B$43-B2353)/(IF(Inputs!$B$38="pvp",15,MAX(0.1,Skills!D10-IF(Skills!E10=TRUE,Inputs!$B$32,0)))*(1-IF(AND(ArtifactsInput!$M$27,Inputs!$B$4="Chapter Hunt"),CHOOSE(ArtifactsInput!$N$27+1,20,24,28,32,36,40),0)/100)))+1)),0)</f>
        <v/>
      </c>
      <c r="S2325">
        <f>IFERROR(O2325/N2325,0)</f>
        <v/>
      </c>
      <c r="T2325">
        <f>IF(C2325,(H2325*N2325*IF(AND(Inputs!$B$38&lt;&gt;"pvp",Inputs!$B$43&gt;0),((Skills!G10*((R2325-1)*IF(Skills!H10&gt;0,Skills!I10/Skills!H10,1)+IF(Skills!H10&gt;0,MIN(Skills!I10,MAX(0,MAX(0,Inputs!$B$43-B2353)-((R2325-1)*(IF(Inputs!$B$38="pvp",15,MAX(0.1,Skills!D10-IF(Skills!E10=TRUE,Inputs!$B$32,0)))*(1-IF(AND(ArtifactsInput!$M$27,Inputs!$B$4="Chapter Hunt"),CHOOSE(ArtifactsInput!$N$27+1,20,24,28,32,36,40),0)/100)))))/Skills!H10,1)))/Inputs!$B$43),G2325*Q2325)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2325*(1-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2325*(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2325*(1-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2325*(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5">
        <f>IF(C2325,(H2325*N2325*IF(AND(Inputs!$B$38&lt;&gt;"pvp",Inputs!$B$43&gt;0),((Skills!G10*((R2325-1)*IF(Skills!H10&gt;0,Skills!I10/Skills!H10,1)+IF(Skills!H10&gt;0,MIN(Skills!I10,MAX(0,MAX(0,Inputs!$B$43-B2353)-((R2325-1)*(IF(Inputs!$B$38="pvp",15,MAX(0.1,Skills!D10-IF(Skills!E10=TRUE,Inputs!$B$32,0)))*(1-IF(AND(ArtifactsInput!$M$27,Inputs!$B$4="Chapter Hunt"),CHOOSE(ArtifactsInput!$N$27+1,20,24,28,32,36,40),0)/100)))))/Skills!H10,1)))/Inputs!$B$43),G2325*Q2325))*IF(Inputs!$B$38="pvp",1,(1+(Inputs!$B$21+Skills!Q10+(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6">
      <c r="A2326">
        <f>Skills!A11</f>
        <v/>
      </c>
      <c r="B2326">
        <f>Skills!B11</f>
        <v/>
      </c>
      <c r="C2326">
        <f>Inputs!$B$3&gt;=107</f>
        <v/>
      </c>
      <c r="D2326">
        <f>IF(Skills!C11=1,60+Inputs!$B$25+Inputs!$B$29,IF(Skills!C11=2,90+Inputs!$B$26+Inputs!$B$29,IF(Skills!C11=3,120+Inputs!$B$27+Inputs!$B$29,MAX(0,(Inputs!$B$3-100)*3)+Inputs!$B$28+Inputs!$B$29)))</f>
        <v/>
      </c>
      <c r="E2326">
        <f>INDEX(FactorTable!$B$2:$Y$301, MATCH(ROUND(MIN(300,MAX(1,D2326)),0), FactorTable!$A$2:$A$301,0), Skills!M11+1)</f>
        <v/>
      </c>
      <c r="F2326">
        <f>IF(Skills!N11=TRUE,(Skills!L11/10)*(E2326/1000),Skills!L11/10)+Skills!O11</f>
        <v/>
      </c>
      <c r="G2326">
        <f>Skills!G11*IF(Skills!H11&gt;0,Skills!I11/Skills!H11,1)</f>
        <v/>
      </c>
      <c r="H2326">
        <f>1-(1-Skills!J11/100)^Skills!K11</f>
        <v/>
      </c>
      <c r="I2326" t="inlineStr">
        <is>
          <t>1</t>
        </is>
      </c>
      <c r="J2326">
        <f>((Inputs!$B$6*(1+Inputs!$B$7/100))+(((Inputs!$B$12*(1+Inputs!$B$13/100))-(Inputs!$B$12*(1+Inputs!$B$13/100)))+0.25*(Inputs!$B$14-Inputs!$B$14))*(1+Inputs!$B$7/100))*(F2326/100)</f>
        <v/>
      </c>
      <c r="K2326">
        <f>J2326*(1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2326)</f>
        <v/>
      </c>
      <c r="L2326">
        <f>K2326*(MIN(Inputs!$B$22+((C2337=TRUE)*(F2337-Calc!F22)),(Inputs!$B$23+0+(IF(ArtifactsInput!$M$15,CHOOSE(ArtifactsInput!$N$15+1,25,30,35,40,45,50)/100*(Inputs!$B$11-Inputs!$B$11),0))))/100+(Inputs!$B$23+0+(IF(ArtifactsInput!$M$15,CHOOSE(ArtifactsInput!$N$15+1,25,30,35,40,45,50)/100*(Inputs!$B$11-Inputs!$B$11),0)))/100)/2</f>
        <v/>
      </c>
      <c r="M2326">
        <f>L2326*(1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6">
        <f>L2326*(1-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2326*(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6">
        <f>(1-Summary!$B$11)*T2326+Summary!$B$11*V2326</f>
        <v/>
      </c>
      <c r="P2326">
        <f>IF(B2356=0,0,O2326/B2356)</f>
        <v/>
      </c>
      <c r="Q2326">
        <f>IFERROR(1/(IF(Inputs!$B$38="pvp",15,MAX(0.1,Skills!D11-IF(Skills!E11=TRUE,Inputs!$B$32,0)))*(1-IF(AND(ArtifactsInput!$M$27,Inputs!$B$4="Chapter Hunt"),CHOOSE(ArtifactsInput!$N$27+1,20,24,28,32,36,40),0)/100)),0)</f>
        <v/>
      </c>
      <c r="R2326">
        <f>IF(AND(Inputs!$B$38&lt;&gt;"pvp",Inputs!$B$43&gt;0),IF(MAX(0,Inputs!$B$43-B2353)&lt;=0,0,(INT(MAX(0,Inputs!$B$43-B2353)/(IF(Inputs!$B$38="pvp",15,MAX(0.1,Skills!D11-IF(Skills!E11=TRUE,Inputs!$B$32,0)))*(1-IF(AND(ArtifactsInput!$M$27,Inputs!$B$4="Chapter Hunt"),CHOOSE(ArtifactsInput!$N$27+1,20,24,28,32,36,40),0)/100)))+1)),0)</f>
        <v/>
      </c>
      <c r="S2326">
        <f>IFERROR(O2326/N2326,0)</f>
        <v/>
      </c>
      <c r="T2326">
        <f>IF(C2326,(H2326*N2326*IF(AND(Inputs!$B$38&lt;&gt;"pvp",Inputs!$B$43&gt;0),((Skills!G11*((R2326-1)*IF(Skills!H11&gt;0,Skills!I11/Skills!H11,1)+IF(Skills!H11&gt;0,MIN(Skills!I11,MAX(0,MAX(0,Inputs!$B$43-B2353)-((R2326-1)*(IF(Inputs!$B$38="pvp",15,MAX(0.1,Skills!D11-IF(Skills!E11=TRUE,Inputs!$B$32,0)))*(1-IF(AND(ArtifactsInput!$M$27,Inputs!$B$4="Chapter Hunt"),CHOOSE(ArtifactsInput!$N$27+1,20,24,28,32,36,40),0)/100)))))/Skills!H11,1)))/Inputs!$B$43),G2326*Q2326)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2326*(1-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2326*(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2326*(1-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2326*(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6">
        <f>IF(C2326,(H2326*N2326*IF(AND(Inputs!$B$38&lt;&gt;"pvp",Inputs!$B$43&gt;0),((Skills!G11*((R2326-1)*IF(Skills!H11&gt;0,Skills!I11/Skills!H11,1)+IF(Skills!H11&gt;0,MIN(Skills!I11,MAX(0,MAX(0,Inputs!$B$43-B2353)-((R2326-1)*(IF(Inputs!$B$38="pvp",15,MAX(0.1,Skills!D11-IF(Skills!E11=TRUE,Inputs!$B$32,0)))*(1-IF(AND(ArtifactsInput!$M$27,Inputs!$B$4="Chapter Hunt"),CHOOSE(ArtifactsInput!$N$27+1,20,24,28,32,36,40),0)/100)))))/Skills!H11,1)))/Inputs!$B$43),G2326*Q2326))*IF(Inputs!$B$38="pvp",1,(1+(Inputs!$B$21+Skills!Q11+(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7">
      <c r="A2327">
        <f>Skills!A12</f>
        <v/>
      </c>
      <c r="B2327">
        <f>Skills!B12</f>
        <v/>
      </c>
      <c r="C2327">
        <f>Inputs!$B$3&gt;=110</f>
        <v/>
      </c>
      <c r="D2327">
        <f>IF(Skills!C12=1,60+Inputs!$B$25+Inputs!$B$29,IF(Skills!C12=2,90+Inputs!$B$26+Inputs!$B$29,IF(Skills!C12=3,120+Inputs!$B$27+Inputs!$B$29,MAX(0,(Inputs!$B$3-100)*3)+Inputs!$B$28+Inputs!$B$29)))</f>
        <v/>
      </c>
      <c r="E2327">
        <f>INDEX(FactorTable!$B$2:$Y$301, MATCH(ROUND(MIN(300,MAX(1,D2327)),0), FactorTable!$A$2:$A$301,0), Skills!M12+1)</f>
        <v/>
      </c>
      <c r="F2327">
        <f>IF(Skills!N12=TRUE,(Skills!L12/10)*(E2327/1000),Skills!L12/10)+Skills!O12</f>
        <v/>
      </c>
      <c r="G2327">
        <f>Skills!G12*IF(Skills!H12&gt;0,Skills!I12/Skills!H12,1)</f>
        <v/>
      </c>
      <c r="H2327">
        <f>1-(1-Skills!J12/100)^Skills!K12</f>
        <v/>
      </c>
      <c r="I2327" t="inlineStr">
        <is>
          <t>1</t>
        </is>
      </c>
      <c r="J2327">
        <f>((Inputs!$B$6*(1+Inputs!$B$7/100))+(((Inputs!$B$12*(1+Inputs!$B$13/100))-(Inputs!$B$12*(1+Inputs!$B$13/100)))+0.25*(Inputs!$B$14-Inputs!$B$14))*(1+Inputs!$B$7/100))*(F2327/100)</f>
        <v/>
      </c>
      <c r="K2327">
        <f>J2327*(1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2327)</f>
        <v/>
      </c>
      <c r="L2327">
        <f>K2327*(MIN(Inputs!$B$22+((C2337=TRUE)*(F2337-Calc!F22)),(Inputs!$B$23+0+(IF(ArtifactsInput!$M$15,CHOOSE(ArtifactsInput!$N$15+1,25,30,35,40,45,50)/100*(Inputs!$B$11-Inputs!$B$11),0))))/100+(Inputs!$B$23+0+(IF(ArtifactsInput!$M$15,CHOOSE(ArtifactsInput!$N$15+1,25,30,35,40,45,50)/100*(Inputs!$B$11-Inputs!$B$11),0)))/100)/2</f>
        <v/>
      </c>
      <c r="M2327">
        <f>L2327*(1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7">
        <f>L2327*(1-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2327*(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7">
        <f>(1-Summary!$B$11)*T2327+Summary!$B$11*V2327</f>
        <v/>
      </c>
      <c r="P2327">
        <f>IF(B2356=0,0,O2327/B2356)</f>
        <v/>
      </c>
      <c r="Q2327">
        <f>IFERROR(1/(IF(Inputs!$B$38="pvp",15,MAX(0.1,Skills!D12-IF(Skills!E12=TRUE,Inputs!$B$32,0)))*(1-IF(AND(ArtifactsInput!$M$27,Inputs!$B$4="Chapter Hunt"),CHOOSE(ArtifactsInput!$N$27+1,20,24,28,32,36,40),0)/100)),0)</f>
        <v/>
      </c>
      <c r="R2327">
        <f>IF(AND(Inputs!$B$38&lt;&gt;"pvp",Inputs!$B$43&gt;0),IF(MAX(0,Inputs!$B$43-B2353)&lt;=0,0,(INT(MAX(0,Inputs!$B$43-B2353)/(IF(Inputs!$B$38="pvp",15,MAX(0.1,Skills!D12-IF(Skills!E12=TRUE,Inputs!$B$32,0)))*(1-IF(AND(ArtifactsInput!$M$27,Inputs!$B$4="Chapter Hunt"),CHOOSE(ArtifactsInput!$N$27+1,20,24,28,32,36,40),0)/100)))+1)),0)</f>
        <v/>
      </c>
      <c r="S2327">
        <f>IFERROR(O2327/N2327,0)</f>
        <v/>
      </c>
      <c r="T2327">
        <f>IF(C2327,(H2327*N2327*IF(AND(Inputs!$B$38&lt;&gt;"pvp",Inputs!$B$43&gt;0),((Skills!G12*((R2327-1)*IF(Skills!H12&gt;0,Skills!I12/Skills!H12,1)+IF(Skills!H12&gt;0,MIN(Skills!I12,MAX(0,MAX(0,Inputs!$B$43-B2353)-((R2327-1)*(IF(Inputs!$B$38="pvp",15,MAX(0.1,Skills!D12-IF(Skills!E12=TRUE,Inputs!$B$32,0)))*(1-IF(AND(ArtifactsInput!$M$27,Inputs!$B$4="Chapter Hunt"),CHOOSE(ArtifactsInput!$N$27+1,20,24,28,32,36,40),0)/100)))))/Skills!H12,1)))/Inputs!$B$43),G2327*Q2327)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2327*(1-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2327*(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2327*(1-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2327*(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7">
        <f>IF(C2327,(H2327*N2327*IF(AND(Inputs!$B$38&lt;&gt;"pvp",Inputs!$B$43&gt;0),((Skills!G12*((R2327-1)*IF(Skills!H12&gt;0,Skills!I12/Skills!H12,1)+IF(Skills!H12&gt;0,MIN(Skills!I12,MAX(0,MAX(0,Inputs!$B$43-B2353)-((R2327-1)*(IF(Inputs!$B$38="pvp",15,MAX(0.1,Skills!D12-IF(Skills!E12=TRUE,Inputs!$B$32,0)))*(1-IF(AND(ArtifactsInput!$M$27,Inputs!$B$4="Chapter Hunt"),CHOOSE(ArtifactsInput!$N$27+1,20,24,28,32,36,40),0)/100)))))/Skills!H12,1)))/Inputs!$B$43),G2327*Q2327))*IF(Inputs!$B$38="pvp",1,(1+(Inputs!$B$21+Skills!Q12+(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8">
      <c r="A2328">
        <f>Skills!A13</f>
        <v/>
      </c>
      <c r="B2328">
        <f>Skills!B13</f>
        <v/>
      </c>
      <c r="C2328">
        <f>Inputs!$B$3&gt;=110</f>
        <v/>
      </c>
      <c r="D2328">
        <f>IF(Skills!C13=1,60+Inputs!$B$25+Inputs!$B$29,IF(Skills!C13=2,90+Inputs!$B$26+Inputs!$B$29,IF(Skills!C13=3,120+Inputs!$B$27+Inputs!$B$29,MAX(0,(Inputs!$B$3-100)*3)+Inputs!$B$28+Inputs!$B$29)))</f>
        <v/>
      </c>
      <c r="E2328">
        <f>INDEX(FactorTable!$B$2:$Y$301, MATCH(ROUND(MIN(300,MAX(1,D2328)),0), FactorTable!$A$2:$A$301,0), Skills!M13+1)</f>
        <v/>
      </c>
      <c r="F2328">
        <f>IF(Skills!N13=TRUE,(Skills!L13/10)*(E2328/1000),Skills!L13/10)+Skills!O13</f>
        <v/>
      </c>
      <c r="G2328">
        <f>Skills!G13*IF(Skills!H13&gt;0,Skills!I13/Skills!H13,1)</f>
        <v/>
      </c>
      <c r="H2328">
        <f>1-(1-Skills!J13/100)^Skills!K13</f>
        <v/>
      </c>
      <c r="I2328" t="inlineStr">
        <is>
          <t>1</t>
        </is>
      </c>
      <c r="J2328">
        <f>((Inputs!$B$6*(1+Inputs!$B$7/100))+(((Inputs!$B$12*(1+Inputs!$B$13/100))-(Inputs!$B$12*(1+Inputs!$B$13/100)))+0.25*(Inputs!$B$14-Inputs!$B$14))*(1+Inputs!$B$7/100))*(F2328/100)</f>
        <v/>
      </c>
      <c r="K2328">
        <f>J2328*(1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2328)</f>
        <v/>
      </c>
      <c r="L2328">
        <f>K2328*(MIN(Inputs!$B$22+((C2337=TRUE)*(F2337-Calc!F22)),(Inputs!$B$23+0+(IF(ArtifactsInput!$M$15,CHOOSE(ArtifactsInput!$N$15+1,25,30,35,40,45,50)/100*(Inputs!$B$11-Inputs!$B$11),0))))/100+(Inputs!$B$23+0+(IF(ArtifactsInput!$M$15,CHOOSE(ArtifactsInput!$N$15+1,25,30,35,40,45,50)/100*(Inputs!$B$11-Inputs!$B$11),0)))/100)/2</f>
        <v/>
      </c>
      <c r="M2328">
        <f>L2328*(1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8">
        <f>L2328*(1-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2328*(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8">
        <f>(1-Summary!$B$11)*T2328+Summary!$B$11*V2328</f>
        <v/>
      </c>
      <c r="P2328">
        <f>IF(B2356=0,0,O2328/B2356)</f>
        <v/>
      </c>
      <c r="Q2328">
        <f>IFERROR(1/(IF(Inputs!$B$38="pvp",15,MAX(0.1,Skills!D13-IF(Skills!E13=TRUE,Inputs!$B$32,0)))*(1-IF(AND(ArtifactsInput!$M$27,Inputs!$B$4="Chapter Hunt"),CHOOSE(ArtifactsInput!$N$27+1,20,24,28,32,36,40),0)/100)),0)</f>
        <v/>
      </c>
      <c r="R2328">
        <f>IF(AND(Inputs!$B$38&lt;&gt;"pvp",Inputs!$B$43&gt;0),IF(MAX(0,Inputs!$B$43-B2353)&lt;=0,0,(INT(MAX(0,Inputs!$B$43-B2353)/(IF(Inputs!$B$38="pvp",15,MAX(0.1,Skills!D13-IF(Skills!E13=TRUE,Inputs!$B$32,0)))*(1-IF(AND(ArtifactsInput!$M$27,Inputs!$B$4="Chapter Hunt"),CHOOSE(ArtifactsInput!$N$27+1,20,24,28,32,36,40),0)/100)))+1)),0)</f>
        <v/>
      </c>
      <c r="S2328">
        <f>IFERROR(O2328/N2328,0)</f>
        <v/>
      </c>
      <c r="T2328">
        <f>IF(C2328,(H2328*N2328*IF(AND(Inputs!$B$38&lt;&gt;"pvp",Inputs!$B$43&gt;0),((Skills!G13*((R2328-1)*IF(Skills!H13&gt;0,Skills!I13/Skills!H13,1)+IF(Skills!H13&gt;0,MIN(Skills!I13,MAX(0,MAX(0,Inputs!$B$43-B2353)-((R2328-1)*(IF(Inputs!$B$38="pvp",15,MAX(0.1,Skills!D13-IF(Skills!E13=TRUE,Inputs!$B$32,0)))*(1-IF(AND(ArtifactsInput!$M$27,Inputs!$B$4="Chapter Hunt"),CHOOSE(ArtifactsInput!$N$27+1,20,24,28,32,36,40),0)/100)))))/Skills!H13,1)))/Inputs!$B$43),G2328*Q2328)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2328*(1-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2328*(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2328*(1-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2328*(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8">
        <f>IF(C2328,(H2328*N2328*IF(AND(Inputs!$B$38&lt;&gt;"pvp",Inputs!$B$43&gt;0),((Skills!G13*((R2328-1)*IF(Skills!H13&gt;0,Skills!I13/Skills!H13,1)+IF(Skills!H13&gt;0,MIN(Skills!I13,MAX(0,MAX(0,Inputs!$B$43-B2353)-((R2328-1)*(IF(Inputs!$B$38="pvp",15,MAX(0.1,Skills!D13-IF(Skills!E13=TRUE,Inputs!$B$32,0)))*(1-IF(AND(ArtifactsInput!$M$27,Inputs!$B$4="Chapter Hunt"),CHOOSE(ArtifactsInput!$N$27+1,20,24,28,32,36,40),0)/100)))))/Skills!H13,1)))/Inputs!$B$43),G2328*Q2328))*IF(Inputs!$B$38="pvp",1,(1+(Inputs!$B$21+Skills!Q13+(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9">
      <c r="A2329">
        <f>Skills!A14</f>
        <v/>
      </c>
      <c r="B2329">
        <f>Skills!B14</f>
        <v/>
      </c>
      <c r="C2329">
        <f>Inputs!$B$3&gt;=125</f>
        <v/>
      </c>
      <c r="D2329">
        <f>IF(Skills!C14=1,60+Inputs!$B$25+Inputs!$B$29,IF(Skills!C14=2,90+Inputs!$B$26+Inputs!$B$29,IF(Skills!C14=3,120+Inputs!$B$27+Inputs!$B$29,MAX(0,(Inputs!$B$3-100)*3)+Inputs!$B$28+Inputs!$B$29)))</f>
        <v/>
      </c>
      <c r="E2329">
        <f>INDEX(FactorTable!$B$2:$Y$301, MATCH(ROUND(MIN(300,MAX(1,D2329)),0), FactorTable!$A$2:$A$301,0), Skills!M14+1)</f>
        <v/>
      </c>
      <c r="F2329">
        <f>IF(Skills!N14=TRUE,(Skills!L14/10)*(E2329/1000),Skills!L14/10)+Skills!O14</f>
        <v/>
      </c>
      <c r="G2329">
        <f>Skills!G14*IF(Skills!H14&gt;0,Skills!I14/Skills!H14,1)</f>
        <v/>
      </c>
      <c r="H2329">
        <f>1-(1-Skills!J14/100)^Skills!K14</f>
        <v/>
      </c>
      <c r="I2329" t="inlineStr">
        <is>
          <t>1</t>
        </is>
      </c>
      <c r="J2329">
        <f>((Inputs!$B$6*(1+Inputs!$B$7/100))+(((Inputs!$B$12*(1+Inputs!$B$13/100))-(Inputs!$B$12*(1+Inputs!$B$13/100)))+0.25*(Inputs!$B$14-Inputs!$B$14))*(1+Inputs!$B$7/100))*(F2329/100)</f>
        <v/>
      </c>
      <c r="K2329">
        <f>J2329*(1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2329)</f>
        <v/>
      </c>
      <c r="L2329">
        <f>K2329*(MIN(Inputs!$B$22+((C2337=TRUE)*(F2337-Calc!F22)),(Inputs!$B$23+0+(IF(ArtifactsInput!$M$15,CHOOSE(ArtifactsInput!$N$15+1,25,30,35,40,45,50)/100*(Inputs!$B$11-Inputs!$B$11),0))))/100+(Inputs!$B$23+0+(IF(ArtifactsInput!$M$15,CHOOSE(ArtifactsInput!$N$15+1,25,30,35,40,45,50)/100*(Inputs!$B$11-Inputs!$B$11),0)))/100)/2</f>
        <v/>
      </c>
      <c r="M2329">
        <f>L2329*(1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9">
        <f>L2329*(1-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2329*(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9">
        <f>(1-Summary!$B$11)*T2329+Summary!$B$11*V2329</f>
        <v/>
      </c>
      <c r="P2329">
        <f>IF(B2356=0,0,O2329/B2356)</f>
        <v/>
      </c>
      <c r="Q2329" t="n">
        <v>0</v>
      </c>
      <c r="R2329" t="n">
        <v>0</v>
      </c>
      <c r="S2329">
        <f>IFERROR(O2329/N2329,0)</f>
        <v/>
      </c>
      <c r="T2329">
        <f>IF(C2329,(H2329*N2329*(B2350+IF(AND(Inputs!$B$38&lt;&gt;"pvp",Inputs!$B$43&gt;0),((Skills!G8*((R2323-1)*IF(Skills!H8&gt;0,Skills!I8/Skills!H8,1)+IF(Skills!H8&gt;0,MIN(Skills!I8,MAX(0,MAX(0,Inputs!$B$43-B2353)-((R2323-1)*(IF(Inputs!$B$38="pvp",15,MAX(0.1,Skills!D8-IF(Skills!E8=TRUE,Inputs!$B$32,0)))*(1-IF(AND(ArtifactsInput!$M$27,Inputs!$B$4="Chapter Hunt"),CHOOSE(ArtifactsInput!$N$27+1,20,24,28,32,36,40),0)/100)))))/Skills!H8,1)))/Inputs!$B$43),G2323*Q2323)+IF(AND(Inputs!$B$38&lt;&gt;"pvp",Inputs!$B$43&gt;0),((Skills!G11*((R2326-1)*IF(Skills!H11&gt;0,Skills!I11/Skills!H11,1)+IF(Skills!H11&gt;0,MIN(Skills!I11,MAX(0,MAX(0,Inputs!$B$43-B2353)-((R2326-1)*(IF(Inputs!$B$38="pvp",15,MAX(0.1,Skills!D11-IF(Skills!E11=TRUE,Inputs!$B$32,0)))*(1-IF(AND(ArtifactsInput!$M$27,Inputs!$B$4="Chapter Hunt"),CHOOSE(ArtifactsInput!$N$27+1,20,24,28,32,36,40),0)/100)))))/Skills!H11,1)))/Inputs!$B$43),G2326*Q2326)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2329*(1-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2329*(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2329*(1-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2329*(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9">
        <f>IF(C2329,(H2329*N2329*(B2350+IF(AND(Inputs!$B$38&lt;&gt;"pvp",Inputs!$B$43&gt;0),((Skills!G8*((R2323-1)*IF(Skills!H8&gt;0,Skills!I8/Skills!H8,1)+IF(Skills!H8&gt;0,MIN(Skills!I8,MAX(0,MAX(0,Inputs!$B$43-B2353)-((R2323-1)*(IF(Inputs!$B$38="pvp",15,MAX(0.1,Skills!D8-IF(Skills!E8=TRUE,Inputs!$B$32,0)))*(1-IF(AND(ArtifactsInput!$M$27,Inputs!$B$4="Chapter Hunt"),CHOOSE(ArtifactsInput!$N$27+1,20,24,28,32,36,40),0)/100)))))/Skills!H8,1)))/Inputs!$B$43),G2323*Q2323)+IF(AND(Inputs!$B$38&lt;&gt;"pvp",Inputs!$B$43&gt;0),((Skills!G11*((R2326-1)*IF(Skills!H11&gt;0,Skills!I11/Skills!H11,1)+IF(Skills!H11&gt;0,MIN(Skills!I11,MAX(0,MAX(0,Inputs!$B$43-B2353)-((R2326-1)*(IF(Inputs!$B$38="pvp",15,MAX(0.1,Skills!D11-IF(Skills!E11=TRUE,Inputs!$B$32,0)))*(1-IF(AND(ArtifactsInput!$M$27,Inputs!$B$4="Chapter Hunt"),CHOOSE(ArtifactsInput!$N$27+1,20,24,28,32,36,40),0)/100)))))/Skills!H11,1)))/Inputs!$B$43),G2326*Q2326)))*IF(Inputs!$B$38="pvp",1,(1+(Inputs!$B$21+Skills!Q14+(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0">
      <c r="A2330">
        <f>Skills!A15</f>
        <v/>
      </c>
      <c r="B2330">
        <f>Skills!B15</f>
        <v/>
      </c>
      <c r="C2330">
        <f>Inputs!$B$3&gt;=100</f>
        <v/>
      </c>
      <c r="D2330">
        <f>IF(Skills!C15=1,60+Inputs!$B$25+Inputs!$B$29,IF(Skills!C15=2,90+Inputs!$B$26+Inputs!$B$29,IF(Skills!C15=3,120+Inputs!$B$27+Inputs!$B$29,MAX(0,(Inputs!$B$3-100)*3)+Inputs!$B$28+Inputs!$B$29)))</f>
        <v/>
      </c>
      <c r="E2330">
        <f>INDEX(FactorTable!$B$2:$Y$301, MATCH(ROUND(MIN(300,MAX(1,D2330)),0), FactorTable!$A$2:$A$301,0), Skills!M15+1)</f>
        <v/>
      </c>
      <c r="F2330">
        <f>IF(Skills!N15=TRUE,(Skills!L15/10)*(E2330/1000),Skills!L15/10)+Skills!O15</f>
        <v/>
      </c>
      <c r="G2330" t="inlineStr"/>
      <c r="H2330" t="inlineStr"/>
      <c r="I2330" t="inlineStr">
        <is>
          <t>1</t>
        </is>
      </c>
      <c r="J2330" t="inlineStr"/>
      <c r="K2330" t="inlineStr"/>
      <c r="L2330" t="inlineStr"/>
      <c r="M2330" t="inlineStr"/>
      <c r="N2330" t="inlineStr"/>
      <c r="O2330" t="inlineStr"/>
      <c r="P2330" t="inlineStr"/>
      <c r="Q2330" t="inlineStr"/>
      <c r="R2330" t="inlineStr"/>
      <c r="S2330" t="inlineStr"/>
    </row>
    <row r="2331">
      <c r="A2331">
        <f>Skills!A16</f>
        <v/>
      </c>
      <c r="B2331">
        <f>Skills!B16</f>
        <v/>
      </c>
      <c r="C2331">
        <f>Inputs!$B$3&gt;=120</f>
        <v/>
      </c>
      <c r="D2331">
        <f>IF(Skills!C16=1,60+Inputs!$B$25+Inputs!$B$29,IF(Skills!C16=2,90+Inputs!$B$26+Inputs!$B$29,IF(Skills!C16=3,120+Inputs!$B$27+Inputs!$B$29,MAX(0,(Inputs!$B$3-100)*3)+Inputs!$B$28+Inputs!$B$29)))</f>
        <v/>
      </c>
      <c r="E2331">
        <f>INDEX(FactorTable!$B$2:$Y$301, MATCH(ROUND(MIN(300,MAX(1,D2331)),0), FactorTable!$A$2:$A$301,0), Skills!M16+1)</f>
        <v/>
      </c>
      <c r="F2331">
        <f>IF(Skills!N16=TRUE,(Skills!L16/10)*(E2331/1000),Skills!L16/10)+Skills!O16</f>
        <v/>
      </c>
      <c r="G2331" t="inlineStr"/>
      <c r="H2331" t="inlineStr"/>
      <c r="I2331" t="inlineStr">
        <is>
          <t>1</t>
        </is>
      </c>
      <c r="J2331" t="inlineStr"/>
      <c r="K2331" t="inlineStr"/>
      <c r="L2331" t="inlineStr"/>
      <c r="M2331" t="inlineStr"/>
      <c r="N2331" t="inlineStr"/>
      <c r="O2331" t="inlineStr"/>
      <c r="P2331" t="inlineStr"/>
      <c r="Q2331" t="inlineStr"/>
      <c r="R2331" t="inlineStr"/>
      <c r="S2331" t="inlineStr"/>
    </row>
    <row r="2332">
      <c r="A2332">
        <f>Skills!A17</f>
        <v/>
      </c>
      <c r="B2332">
        <f>Skills!B17</f>
        <v/>
      </c>
      <c r="C2332">
        <f>Inputs!$B$3&gt;=66</f>
        <v/>
      </c>
      <c r="D2332">
        <f>IF(Skills!C17=1,60+Inputs!$B$25+Inputs!$B$29,IF(Skills!C17=2,90+Inputs!$B$26+Inputs!$B$29,IF(Skills!C17=3,120+Inputs!$B$27+Inputs!$B$29,MAX(0,(Inputs!$B$3-100)*3)+Inputs!$B$28+Inputs!$B$29)))</f>
        <v/>
      </c>
      <c r="E2332">
        <f>INDEX(FactorTable!$B$2:$Y$301, MATCH(ROUND(MIN(300,MAX(1,D2332)),0), FactorTable!$A$2:$A$301,0), Skills!M17+1)</f>
        <v/>
      </c>
      <c r="F2332">
        <f>IF(Skills!N17=TRUE,(Skills!L17/10)*(E2332/1000),Skills!L17/10)+Skills!O17</f>
        <v/>
      </c>
      <c r="G2332">
        <f>Skills!G17*IF(Skills!H17&gt;0,Skills!I17/Skills!H17,1)</f>
        <v/>
      </c>
      <c r="H2332">
        <f>1-(1-Skills!J17/100)^Skills!K17</f>
        <v/>
      </c>
      <c r="I2332" t="inlineStr">
        <is>
          <t>1</t>
        </is>
      </c>
      <c r="J2332" t="inlineStr"/>
      <c r="K2332" t="inlineStr"/>
      <c r="L2332" t="inlineStr"/>
      <c r="M2332" t="inlineStr"/>
      <c r="N2332" t="inlineStr"/>
      <c r="O2332">
        <f>(1-Summary!$B$11)*T2332+Summary!$B$11*V2332</f>
        <v/>
      </c>
      <c r="P2332">
        <f>IF(B2356=0,0,O2332/B2356)</f>
        <v/>
      </c>
      <c r="Q2332" t="n">
        <v>0</v>
      </c>
      <c r="R2332" t="n">
        <v>0</v>
      </c>
      <c r="S2332">
        <f>IFERROR(O2332/N2332,0)</f>
        <v/>
      </c>
      <c r="T2332" t="n">
        <v>0</v>
      </c>
      <c r="V2332" t="n">
        <v>0</v>
      </c>
    </row>
    <row r="2333">
      <c r="A2333">
        <f>Skills!A18</f>
        <v/>
      </c>
      <c r="B2333">
        <f>Skills!B18</f>
        <v/>
      </c>
      <c r="C2333">
        <f>Inputs!$B$3&gt;=115</f>
        <v/>
      </c>
      <c r="D2333">
        <f>IF(Skills!C18=1,60+Inputs!$B$25+Inputs!$B$29,IF(Skills!C18=2,90+Inputs!$B$26+Inputs!$B$29,IF(Skills!C18=3,120+Inputs!$B$27+Inputs!$B$29,MAX(0,(Inputs!$B$3-100)*3)+Inputs!$B$28+Inputs!$B$29)))</f>
        <v/>
      </c>
      <c r="E2333">
        <f>INDEX(FactorTable!$B$2:$Y$301, MATCH(ROUND(MIN(300,MAX(1,D2333)),0), FactorTable!$A$2:$A$301,0), Skills!M18+1)</f>
        <v/>
      </c>
      <c r="F2333">
        <f>IF(Skills!N18=TRUE,(Skills!L18/10)*(E2333/1000),Skills!L18/10)+Skills!O18</f>
        <v/>
      </c>
      <c r="G2333">
        <f>Skills!G18*IF(Skills!H18&gt;0,Skills!I18/Skills!H18,1)</f>
        <v/>
      </c>
      <c r="H2333">
        <f>1-(1-Skills!J18/100)^Skills!K18</f>
        <v/>
      </c>
      <c r="I2333" t="inlineStr">
        <is>
          <t>1</t>
        </is>
      </c>
      <c r="J2333" t="inlineStr"/>
      <c r="K2333" t="inlineStr"/>
      <c r="L2333" t="inlineStr"/>
      <c r="M2333" t="inlineStr"/>
      <c r="N2333" t="inlineStr"/>
      <c r="O2333">
        <f>(1-Summary!$B$11)*T2333+Summary!$B$11*V2333</f>
        <v/>
      </c>
      <c r="P2333">
        <f>IF(B2356=0,0,O2333/B2356)</f>
        <v/>
      </c>
      <c r="Q2333">
        <f>IFERROR(1/(IF(Inputs!$B$38="pvp",15,MAX(0.1,Skills!D18-IF(Skills!E18=TRUE,Inputs!$B$32,0)))*(1-IF(AND(ArtifactsInput!$M$27,Inputs!$B$4="Chapter Hunt"),CHOOSE(ArtifactsInput!$N$27+1,20,24,28,32,36,40),0)/100)),0)</f>
        <v/>
      </c>
      <c r="R2333">
        <f>IF(AND(Inputs!$B$38&lt;&gt;"pvp",Inputs!$B$43&gt;0),IF(Inputs!$B$43&lt;=0,0,(INT(Inputs!$B$43/(IF(Inputs!$B$38="pvp",15,MAX(0.1,Skills!D18-IF(Skills!E18=TRUE,Inputs!$B$32,0)))*(1-IF(AND(ArtifactsInput!$M$27,Inputs!$B$4="Chapter Hunt"),CHOOSE(ArtifactsInput!$N$27+1,20,24,28,32,36,40),0)/100)))+1)),0)</f>
        <v/>
      </c>
      <c r="S2333">
        <f>IFERROR(O2333/N2333,0)</f>
        <v/>
      </c>
      <c r="T2333" t="n">
        <v>0</v>
      </c>
      <c r="V2333" t="n">
        <v>0</v>
      </c>
    </row>
    <row r="2334">
      <c r="A2334">
        <f>Skills!A19</f>
        <v/>
      </c>
      <c r="B2334">
        <f>Skills!B19</f>
        <v/>
      </c>
      <c r="C2334">
        <f>Inputs!$B$3&gt;=15</f>
        <v/>
      </c>
      <c r="D2334">
        <f>IF(Skills!C19=1,60+Inputs!$B$25+Inputs!$B$29,IF(Skills!C19=2,90+Inputs!$B$26+Inputs!$B$29,IF(Skills!C19=3,120+Inputs!$B$27+Inputs!$B$29,MAX(0,(Inputs!$B$3-100)*3)+Inputs!$B$28+Inputs!$B$29)))</f>
        <v/>
      </c>
      <c r="E2334">
        <f>INDEX(FactorTable!$B$2:$Y$301, MATCH(ROUND(MIN(300,MAX(1,D2334)),0), FactorTable!$A$2:$A$301,0), Skills!M19+1)</f>
        <v/>
      </c>
      <c r="F2334">
        <f>IF(Skills!N19=TRUE,(Skills!L19/10)*(E2334/1000),Skills!L19/10)+Skills!O19</f>
        <v/>
      </c>
      <c r="G2334">
        <f>Skills!G19*IF(Skills!H19&gt;0,Skills!I19/Skills!H19,1)</f>
        <v/>
      </c>
      <c r="H2334">
        <f>1-(1-Skills!J19/100)^Skills!K19</f>
        <v/>
      </c>
      <c r="I2334" t="inlineStr">
        <is>
          <t>1</t>
        </is>
      </c>
      <c r="J2334" t="inlineStr"/>
      <c r="K2334" t="inlineStr"/>
      <c r="L2334" t="inlineStr"/>
      <c r="M2334" t="inlineStr"/>
      <c r="N2334" t="inlineStr"/>
      <c r="O2334">
        <f>(1-Summary!$B$11)*T2334+Summary!$B$11*V2334</f>
        <v/>
      </c>
      <c r="P2334">
        <f>IF(B2356=0,0,O2334/B2356)</f>
        <v/>
      </c>
      <c r="Q2334" t="n">
        <v>0</v>
      </c>
      <c r="R2334" t="n">
        <v>0</v>
      </c>
      <c r="S2334">
        <f>IFERROR(O2334/N2334,0)</f>
        <v/>
      </c>
      <c r="T2334" t="n">
        <v>0</v>
      </c>
      <c r="V2334" t="n">
        <v>0</v>
      </c>
    </row>
    <row r="2335">
      <c r="A2335">
        <f>Skills!A20</f>
        <v/>
      </c>
      <c r="B2335">
        <f>Skills!B20</f>
        <v/>
      </c>
      <c r="C2335">
        <f>Inputs!$B$3&gt;=10</f>
        <v/>
      </c>
      <c r="D2335">
        <f>IF(Skills!C20=1,60+Inputs!$B$25+Inputs!$B$29,IF(Skills!C20=2,90+Inputs!$B$26+Inputs!$B$29,IF(Skills!C20=3,120+Inputs!$B$27+Inputs!$B$29,MAX(0,(Inputs!$B$3-100)*3)+Inputs!$B$28+Inputs!$B$29)))</f>
        <v/>
      </c>
      <c r="E2335">
        <f>INDEX(FactorTable!$B$2:$Y$301, MATCH(ROUND(MIN(300,MAX(1,D2335)),0), FactorTable!$A$2:$A$301,0), Skills!M20+1)</f>
        <v/>
      </c>
      <c r="F2335">
        <f>IF(Skills!N20=TRUE,(Skills!L20/10)*(E2335/1000),Skills!L20/10)+Skills!O20</f>
        <v/>
      </c>
      <c r="G2335">
        <f>Skills!G20*IF(Skills!H20&gt;0,Skills!I20/Skills!H20,1)</f>
        <v/>
      </c>
      <c r="H2335">
        <f>1-(1-Skills!J20/100)^Skills!K20</f>
        <v/>
      </c>
      <c r="I2335" t="inlineStr">
        <is>
          <t>1</t>
        </is>
      </c>
      <c r="J2335" t="inlineStr"/>
      <c r="K2335" t="inlineStr"/>
      <c r="L2335" t="inlineStr"/>
      <c r="M2335" t="inlineStr"/>
      <c r="N2335" t="inlineStr"/>
      <c r="O2335">
        <f>(1-Summary!$B$11)*T2335+Summary!$B$11*V2335</f>
        <v/>
      </c>
      <c r="P2335">
        <f>IF(B2356=0,0,O2335/B2356)</f>
        <v/>
      </c>
      <c r="Q2335" t="n">
        <v>0</v>
      </c>
      <c r="R2335" t="n">
        <v>0</v>
      </c>
      <c r="S2335">
        <f>IFERROR(O2335/N2335,0)</f>
        <v/>
      </c>
      <c r="T2335" t="n">
        <v>0</v>
      </c>
      <c r="V2335" t="n">
        <v>0</v>
      </c>
    </row>
    <row r="2336">
      <c r="A2336">
        <f>Skills!A21</f>
        <v/>
      </c>
      <c r="B2336">
        <f>Skills!B21</f>
        <v/>
      </c>
      <c r="C2336">
        <f>Inputs!$B$3&gt;=33</f>
        <v/>
      </c>
      <c r="D2336">
        <f>IF(Skills!C21=1,60+Inputs!$B$25+Inputs!$B$29,IF(Skills!C21=2,90+Inputs!$B$26+Inputs!$B$29,IF(Skills!C21=3,120+Inputs!$B$27+Inputs!$B$29,MAX(0,(Inputs!$B$3-100)*3)+Inputs!$B$28+Inputs!$B$29)))</f>
        <v/>
      </c>
      <c r="E2336">
        <f>INDEX(FactorTable!$B$2:$Y$301, MATCH(ROUND(MIN(300,MAX(1,D2336)),0), FactorTable!$A$2:$A$301,0), Skills!M21+1)</f>
        <v/>
      </c>
      <c r="F2336">
        <f>IF(Skills!N21=TRUE,(Skills!L21/10)*(E2336/1000),Skills!L21/10)+Skills!O21</f>
        <v/>
      </c>
      <c r="G2336">
        <f>Skills!G21*IF(Skills!H21&gt;0,Skills!I21/Skills!H21,1)</f>
        <v/>
      </c>
      <c r="H2336">
        <f>1-(1-Skills!J21/100)^Skills!K21</f>
        <v/>
      </c>
      <c r="I2336" t="inlineStr">
        <is>
          <t>1</t>
        </is>
      </c>
      <c r="J2336" t="inlineStr"/>
      <c r="K2336" t="inlineStr"/>
      <c r="L2336" t="inlineStr"/>
      <c r="M2336" t="inlineStr"/>
      <c r="N2336" t="inlineStr"/>
      <c r="O2336">
        <f>(1-Summary!$B$11)*T2336+Summary!$B$11*V2336</f>
        <v/>
      </c>
      <c r="P2336">
        <f>IF(B2356=0,0,O2336/B2356)</f>
        <v/>
      </c>
      <c r="Q2336" t="n">
        <v>0</v>
      </c>
      <c r="R2336" t="n">
        <v>0</v>
      </c>
      <c r="S2336">
        <f>IFERROR(O2336/N2336,0)</f>
        <v/>
      </c>
      <c r="T2336" t="n">
        <v>0</v>
      </c>
      <c r="V2336" t="n">
        <v>0</v>
      </c>
    </row>
    <row r="2337">
      <c r="A2337">
        <f>Skills!A22</f>
        <v/>
      </c>
      <c r="B2337">
        <f>Skills!B22</f>
        <v/>
      </c>
      <c r="C2337">
        <f>Inputs!$B$3&gt;=43</f>
        <v/>
      </c>
      <c r="D2337">
        <f>IF(Skills!C22=1,60+Inputs!$B$25+Inputs!$B$29,IF(Skills!C22=2,90+Inputs!$B$26+Inputs!$B$29,IF(Skills!C22=3,120+Inputs!$B$27+Inputs!$B$29,MAX(0,(Inputs!$B$3-100)*3)+Inputs!$B$28+Inputs!$B$29)))</f>
        <v/>
      </c>
      <c r="E2337">
        <f>INDEX(FactorTable!$B$2:$Y$301, MATCH(ROUND(MIN(300,MAX(1,D2337)),0), FactorTable!$A$2:$A$301,0), Skills!M22+1)</f>
        <v/>
      </c>
      <c r="F2337">
        <f>IF(Skills!N22=TRUE,(Skills!L22/10)*(E2337/1000),Skills!L22/10)+Skills!O22</f>
        <v/>
      </c>
      <c r="G2337">
        <f>Skills!G22*IF(Skills!H22&gt;0,Skills!I22/Skills!H22,1)</f>
        <v/>
      </c>
      <c r="H2337">
        <f>1-(1-Skills!J22/100)^Skills!K22</f>
        <v/>
      </c>
      <c r="I2337" t="inlineStr">
        <is>
          <t>1</t>
        </is>
      </c>
      <c r="J2337" t="inlineStr"/>
      <c r="K2337" t="inlineStr"/>
      <c r="L2337" t="inlineStr"/>
      <c r="M2337" t="inlineStr"/>
      <c r="N2337" t="inlineStr"/>
      <c r="O2337">
        <f>(1-Summary!$B$11)*T2337+Summary!$B$11*V2337</f>
        <v/>
      </c>
      <c r="P2337">
        <f>IF(B2356=0,0,O2337/B2356)</f>
        <v/>
      </c>
      <c r="Q2337" t="n">
        <v>0</v>
      </c>
      <c r="R2337" t="n">
        <v>0</v>
      </c>
      <c r="S2337">
        <f>IFERROR(O2337/N2337,0)</f>
        <v/>
      </c>
      <c r="T2337" t="n">
        <v>0</v>
      </c>
      <c r="V2337" t="n">
        <v>0</v>
      </c>
    </row>
    <row r="2338">
      <c r="A2338">
        <f>Skills!A23</f>
        <v/>
      </c>
      <c r="B2338">
        <f>Skills!B23</f>
        <v/>
      </c>
      <c r="C2338">
        <f>Inputs!$B$3&gt;=38</f>
        <v/>
      </c>
      <c r="D2338">
        <f>IF(Skills!C23=1,60+Inputs!$B$25+Inputs!$B$29,IF(Skills!C23=2,90+Inputs!$B$26+Inputs!$B$29,IF(Skills!C23=3,120+Inputs!$B$27+Inputs!$B$29,MAX(0,(Inputs!$B$3-100)*3)+Inputs!$B$28+Inputs!$B$29)))</f>
        <v/>
      </c>
      <c r="E2338">
        <f>INDEX(FactorTable!$B$2:$Y$301, MATCH(ROUND(MIN(300,MAX(1,D2338)),0), FactorTable!$A$2:$A$301,0), Skills!M23+1)</f>
        <v/>
      </c>
      <c r="F2338">
        <f>IF(Skills!N23=TRUE,(Skills!L23/10)*(E2338/1000),Skills!L23/10)+Skills!O23</f>
        <v/>
      </c>
      <c r="G2338">
        <f>Skills!G23*IF(Skills!H23&gt;0,Skills!I23/Skills!H23,1)</f>
        <v/>
      </c>
      <c r="H2338">
        <f>1-(1-Skills!J23/100)^Skills!K23</f>
        <v/>
      </c>
      <c r="I2338" t="inlineStr">
        <is>
          <t>1</t>
        </is>
      </c>
      <c r="J2338" t="inlineStr"/>
      <c r="K2338" t="inlineStr"/>
      <c r="L2338" t="inlineStr"/>
      <c r="M2338" t="inlineStr"/>
      <c r="N2338" t="inlineStr"/>
      <c r="O2338">
        <f>(1-Summary!$B$11)*T2338+Summary!$B$11*V2338</f>
        <v/>
      </c>
      <c r="P2338">
        <f>IF(B2356=0,0,O2338/B2356)</f>
        <v/>
      </c>
      <c r="Q2338" t="n">
        <v>0</v>
      </c>
      <c r="R2338" t="n">
        <v>0</v>
      </c>
      <c r="S2338">
        <f>IFERROR(O2338/N2338,0)</f>
        <v/>
      </c>
      <c r="T2338" t="n">
        <v>0</v>
      </c>
      <c r="V2338" t="n">
        <v>0</v>
      </c>
    </row>
    <row r="2339">
      <c r="A2339">
        <f>Skills!A24</f>
        <v/>
      </c>
      <c r="B2339">
        <f>Skills!B24</f>
        <v/>
      </c>
      <c r="C2339">
        <f>Inputs!$B$3&gt;=40</f>
        <v/>
      </c>
      <c r="D2339">
        <f>IF(Skills!C24=1,60+Inputs!$B$25+Inputs!$B$29,IF(Skills!C24=2,90+Inputs!$B$26+Inputs!$B$29,IF(Skills!C24=3,120+Inputs!$B$27+Inputs!$B$29,MAX(0,(Inputs!$B$3-100)*3)+Inputs!$B$28+Inputs!$B$29)))</f>
        <v/>
      </c>
      <c r="E2339">
        <f>INDEX(FactorTable!$B$2:$Y$301, MATCH(ROUND(MIN(300,MAX(1,D2339)),0), FactorTable!$A$2:$A$301,0), Skills!M24+1)</f>
        <v/>
      </c>
      <c r="F2339">
        <f>IF(Skills!N24=TRUE,(Skills!L24/10)*(E2339/1000),Skills!L24/10)+Skills!O24</f>
        <v/>
      </c>
      <c r="G2339">
        <f>Skills!G24*IF(Skills!H24&gt;0,Skills!I24/Skills!H24,1)</f>
        <v/>
      </c>
      <c r="H2339">
        <f>1-(1-Skills!J24/100)^Skills!K24</f>
        <v/>
      </c>
      <c r="I2339" t="inlineStr">
        <is>
          <t>1</t>
        </is>
      </c>
      <c r="J2339" t="inlineStr"/>
      <c r="K2339" t="inlineStr"/>
      <c r="L2339" t="inlineStr"/>
      <c r="M2339" t="inlineStr"/>
      <c r="N2339" t="inlineStr"/>
      <c r="O2339">
        <f>(1-Summary!$B$11)*T2339+Summary!$B$11*V2339</f>
        <v/>
      </c>
      <c r="P2339">
        <f>IF(B2356=0,0,O2339/B2356)</f>
        <v/>
      </c>
      <c r="Q2339" t="n">
        <v>0</v>
      </c>
      <c r="R2339" t="n">
        <v>0</v>
      </c>
      <c r="S2339">
        <f>IFERROR(O2339/N2339,0)</f>
        <v/>
      </c>
      <c r="T2339" t="n">
        <v>0</v>
      </c>
      <c r="V2339" t="n">
        <v>0</v>
      </c>
    </row>
    <row r="2340">
      <c r="A2340">
        <f>Skills!A25</f>
        <v/>
      </c>
      <c r="B2340">
        <f>Skills!B25</f>
        <v/>
      </c>
      <c r="C2340">
        <f>Inputs!$B$3&gt;=72</f>
        <v/>
      </c>
      <c r="D2340">
        <f>IF(Skills!C25=1,60+Inputs!$B$25+Inputs!$B$29,IF(Skills!C25=2,90+Inputs!$B$26+Inputs!$B$29,IF(Skills!C25=3,120+Inputs!$B$27+Inputs!$B$29,MAX(0,(Inputs!$B$3-100)*3)+Inputs!$B$28+Inputs!$B$29)))</f>
        <v/>
      </c>
      <c r="E2340">
        <f>INDEX(FactorTable!$B$2:$Y$301, MATCH(ROUND(MIN(300,MAX(1,D2340)),0), FactorTable!$A$2:$A$301,0), Skills!M25+1)</f>
        <v/>
      </c>
      <c r="F2340">
        <f>IF(Skills!N25=TRUE,(Skills!L25/10)*(E2340/1000),Skills!L25/10)+Skills!O25</f>
        <v/>
      </c>
      <c r="G2340">
        <f>Skills!G25*IF(Skills!H25&gt;0,Skills!I25/Skills!H25,1)</f>
        <v/>
      </c>
      <c r="H2340">
        <f>1-(1-Skills!J25/100)^Skills!K25</f>
        <v/>
      </c>
      <c r="I2340" t="inlineStr">
        <is>
          <t>1</t>
        </is>
      </c>
      <c r="J2340" t="inlineStr"/>
      <c r="K2340" t="inlineStr"/>
      <c r="L2340" t="inlineStr"/>
      <c r="M2340" t="inlineStr"/>
      <c r="N2340" t="inlineStr"/>
      <c r="O2340">
        <f>(1-Summary!$B$11)*T2340+Summary!$B$11*V2340</f>
        <v/>
      </c>
      <c r="P2340">
        <f>IF(B2356=0,0,O2340/B2356)</f>
        <v/>
      </c>
      <c r="Q2340" t="n">
        <v>0</v>
      </c>
      <c r="R2340" t="n">
        <v>0</v>
      </c>
      <c r="S2340">
        <f>IFERROR(O2340/N2340,0)</f>
        <v/>
      </c>
      <c r="T2340" t="n">
        <v>0</v>
      </c>
      <c r="V2340" t="n">
        <v>0</v>
      </c>
    </row>
    <row r="2341">
      <c r="A2341">
        <f>Skills!A26</f>
        <v/>
      </c>
      <c r="B2341">
        <f>Skills!B26</f>
        <v/>
      </c>
      <c r="C2341">
        <f>Inputs!$B$3&gt;=75</f>
        <v/>
      </c>
      <c r="D2341">
        <f>IF(Skills!C26=1,60+Inputs!$B$25+Inputs!$B$29,IF(Skills!C26=2,90+Inputs!$B$26+Inputs!$B$29,IF(Skills!C26=3,120+Inputs!$B$27+Inputs!$B$29,MAX(0,(Inputs!$B$3-100)*3)+Inputs!$B$28+Inputs!$B$29)))</f>
        <v/>
      </c>
      <c r="E2341">
        <f>INDEX(FactorTable!$B$2:$Y$301, MATCH(ROUND(MIN(300,MAX(1,D2341)),0), FactorTable!$A$2:$A$301,0), Skills!M26+1)</f>
        <v/>
      </c>
      <c r="F2341">
        <f>IF(Skills!N26=TRUE,(Skills!L26/10)*(E2341/1000),Skills!L26/10)+Skills!O26</f>
        <v/>
      </c>
      <c r="G2341">
        <f>Skills!G26*IF(Skills!H26&gt;0,Skills!I26/Skills!H26,1)</f>
        <v/>
      </c>
      <c r="H2341">
        <f>1-(1-Skills!J26/100)^Skills!K26</f>
        <v/>
      </c>
      <c r="I2341" t="inlineStr">
        <is>
          <t>1</t>
        </is>
      </c>
      <c r="J2341" t="inlineStr"/>
      <c r="K2341" t="inlineStr"/>
      <c r="L2341" t="inlineStr"/>
      <c r="M2341" t="inlineStr"/>
      <c r="N2341" t="inlineStr"/>
      <c r="O2341">
        <f>(1-Summary!$B$11)*T2341+Summary!$B$11*V2341</f>
        <v/>
      </c>
      <c r="P2341">
        <f>IF(B2356=0,0,O2341/B2356)</f>
        <v/>
      </c>
      <c r="Q2341" t="n">
        <v>0</v>
      </c>
      <c r="R2341" t="n">
        <v>0</v>
      </c>
      <c r="S2341">
        <f>IFERROR(O2341/N2341,0)</f>
        <v/>
      </c>
      <c r="T2341" t="n">
        <v>0</v>
      </c>
      <c r="V2341" t="n">
        <v>0</v>
      </c>
    </row>
    <row r="2342">
      <c r="A2342">
        <f>Skills!A27</f>
        <v/>
      </c>
      <c r="B2342">
        <f>Skills!B27</f>
        <v/>
      </c>
      <c r="C2342">
        <f>Inputs!$B$3&gt;=117</f>
        <v/>
      </c>
      <c r="D2342">
        <f>IF(Skills!C27=1,60+Inputs!$B$25+Inputs!$B$29,IF(Skills!C27=2,90+Inputs!$B$26+Inputs!$B$29,IF(Skills!C27=3,120+Inputs!$B$27+Inputs!$B$29,MAX(0,(Inputs!$B$3-100)*3)+Inputs!$B$28+Inputs!$B$29)))</f>
        <v/>
      </c>
      <c r="E2342">
        <f>INDEX(FactorTable!$B$2:$Y$301, MATCH(ROUND(MIN(300,MAX(1,D2342)),0), FactorTable!$A$2:$A$301,0), Skills!M27+1)</f>
        <v/>
      </c>
      <c r="F2342">
        <f>IF(Skills!N27=TRUE,(Skills!L27/10)*(E2342/1000),Skills!L27/10)+Skills!O27</f>
        <v/>
      </c>
      <c r="G2342">
        <f>Skills!G27*IF(Skills!H27&gt;0,Skills!I27/Skills!H27,1)</f>
        <v/>
      </c>
      <c r="H2342">
        <f>1-(1-Skills!J27/100)^Skills!K27</f>
        <v/>
      </c>
      <c r="I2342" t="inlineStr">
        <is>
          <t>1</t>
        </is>
      </c>
      <c r="J2342" t="inlineStr"/>
      <c r="K2342" t="inlineStr"/>
      <c r="L2342" t="inlineStr"/>
      <c r="M2342" t="inlineStr"/>
      <c r="N2342" t="inlineStr"/>
      <c r="O2342">
        <f>(1-Summary!$B$11)*T2342+Summary!$B$11*V2342</f>
        <v/>
      </c>
      <c r="P2342">
        <f>IF(B2356=0,0,O2342/B2356)</f>
        <v/>
      </c>
      <c r="Q2342" t="n">
        <v>0</v>
      </c>
      <c r="R2342" t="n">
        <v>0</v>
      </c>
      <c r="S2342">
        <f>IFERROR(O2342/N2342,0)</f>
        <v/>
      </c>
      <c r="T2342" t="n">
        <v>0</v>
      </c>
      <c r="V2342" t="n">
        <v>0</v>
      </c>
    </row>
    <row r="2343">
      <c r="A2343">
        <f>Skills!A28</f>
        <v/>
      </c>
      <c r="B2343">
        <f>Skills!B28</f>
        <v/>
      </c>
      <c r="C2343">
        <f>TRUE</f>
        <v/>
      </c>
      <c r="D2343">
        <f>IF(Skills!C28=1,60+Inputs!$B$25+Inputs!$B$29,IF(Skills!C28=2,90+Inputs!$B$26+Inputs!$B$29,IF(Skills!C28=3,120+Inputs!$B$27+Inputs!$B$29,MAX(0,(Inputs!$B$3-100)*3)+Inputs!$B$28+Inputs!$B$29)))</f>
        <v/>
      </c>
      <c r="E2343">
        <f>INDEX(FactorTable!$B$2:$Y$301, MATCH(ROUND(MIN(300,MAX(1,D2343)),0), FactorTable!$A$2:$A$301,0), Skills!M28+1)</f>
        <v/>
      </c>
      <c r="F2343">
        <f>IF(Skills!N28=TRUE,(Skills!L28/10)*(E2343/1000),Skills!L28/10)+Skills!O28</f>
        <v/>
      </c>
      <c r="G2343">
        <f>Skills!G28*IF(Skills!H28&gt;0,Skills!I28/Skills!H28,1)</f>
        <v/>
      </c>
      <c r="H2343">
        <f>1-(1-Skills!J28/100)^Skills!K28</f>
        <v/>
      </c>
      <c r="I2343" t="inlineStr">
        <is>
          <t>1</t>
        </is>
      </c>
      <c r="J2343" t="inlineStr"/>
      <c r="K2343" t="inlineStr"/>
      <c r="L2343" t="inlineStr"/>
      <c r="M2343" t="inlineStr"/>
      <c r="N2343" t="inlineStr"/>
      <c r="O2343">
        <f>(1-Summary!$B$11)*T2343+Summary!$B$11*V2343</f>
        <v/>
      </c>
      <c r="P2343">
        <f>IF(B2356=0,0,O2343/B2356)</f>
        <v/>
      </c>
      <c r="Q2343">
        <f>IFERROR(1/(IF(Inputs!$B$38="pvp",15,MAX(0.1,Skills!D28-IF(Skills!E28=TRUE,Inputs!$B$32,0)))*(1-IF(AND(ArtifactsInput!$M$27,Inputs!$B$4="Chapter Hunt"),CHOOSE(ArtifactsInput!$N$27+1,20,24,28,32,36,40),0)/100)),0)</f>
        <v/>
      </c>
      <c r="R2343">
        <f>IF(AND(Inputs!$B$38&lt;&gt;"pvp",Inputs!$B$43&gt;0),IF(Inputs!$B$43&lt;=0,0,(INT(Inputs!$B$43/(IF(Inputs!$B$38="pvp",15,MAX(0.1,Skills!D28-IF(Skills!E28=TRUE,Inputs!$B$32,0)))*(1-IF(AND(ArtifactsInput!$M$27,Inputs!$B$4="Chapter Hunt"),CHOOSE(ArtifactsInput!$N$27+1,20,24,28,32,36,40),0)/100)))+1)),0)</f>
        <v/>
      </c>
      <c r="S2343">
        <f>IFERROR(O2343/N2343,0)</f>
        <v/>
      </c>
      <c r="T2343" t="n">
        <v>0</v>
      </c>
      <c r="V2343" t="n">
        <v>0</v>
      </c>
    </row>
    <row r="2345">
      <c r="A2345" t="inlineStr">
        <is>
          <t>Attack% Bucket Multiplier</t>
        </is>
      </c>
      <c r="B2345">
        <f>(1+(((C2332=TRUE)*F2332*5/7)+((C2339=TRUE)*(F2339-Calc!F24))+(IF(ArtifactsInput!$M$21,CHOOSE(ArtifactsInput!$N$21+1,25,30,35,40,45,50)*(IF(OR(Inputs!$B$4="Chapter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46">
      <c r="A2346" t="inlineStr">
        <is>
          <t>Global Crit Rate Bonus %</t>
        </is>
      </c>
      <c r="B2346" t="n">
        <v>0</v>
      </c>
    </row>
    <row r="2347">
      <c r="A2347" t="inlineStr">
        <is>
          <t>Attack Speed Buff Bonus % (Nimble Feet, duty-cycle averaged)</t>
        </is>
      </c>
      <c r="B2347">
        <f>((C2343=TRUE)*F2343*IF(AND(Inputs!$B$38&lt;&gt;"pvp",Inputs!$B$43&gt;0),(((R2343-1)*(Skills!T28*(1+Inputs!$B$34/100))+MIN((Skills!T28*(1+Inputs!$B$34/100)),MAX(0,Inputs!$B$43-((R2343-1)*Skills!D28))))/Inputs!$B$43),IF(Inputs!$B$38="pvp",MIN((Skills!T28*(1+Inputs!$B$34/100)),15)/15,(Skills!T28*(1+Inputs!$B$34/100))/Skills!D28)))</f>
        <v/>
      </c>
    </row>
    <row r="2348">
      <c r="A2348" t="inlineStr">
        <is>
          <t>Actions Per Second</t>
        </is>
      </c>
      <c r="B2348">
        <f>1+MIN(150,150*(1-(1-(Inputs!$B$11+((C2335=TRUE)*(F2335-Calc!F20))+((C2336=TRUE)*(F2336-Calc!F21)))/150)*(1-B2347/150)))/100</f>
        <v/>
      </c>
    </row>
    <row r="2349">
      <c r="A2349" t="inlineStr">
        <is>
          <t>Skill + Buff Cast Rate</t>
        </is>
      </c>
      <c r="B2349">
        <f>IF(AND(Inputs!$B$38&lt;&gt;"pvp",Inputs!$B$43&gt;0),SUMPRODUCT((Skills!E2:E28=TRUE)*(C2317:C2343=TRUE)*R2317:R2343*Skills!F2:F28)/Inputs!$B$43,SUMPRODUCT((Skills!E2:E28=TRUE)*(C2317:C2343=TRUE)*Q2317:Q2343*Skills!F2:F28))</f>
        <v/>
      </c>
    </row>
    <row r="2350">
      <c r="A2350" t="inlineStr">
        <is>
          <t>Eight-Legs Easton Casts Per Second</t>
        </is>
      </c>
      <c r="B2350">
        <f>MAX(0,B2348-B2349)</f>
        <v/>
      </c>
    </row>
    <row r="2351">
      <c r="A2351" t="inlineStr">
        <is>
          <t>Global Critical Damage Bonus % (unused)</t>
        </is>
      </c>
      <c r="B2351" t="n">
        <v>0</v>
      </c>
    </row>
    <row r="2352">
      <c r="A2352" t="inlineStr">
        <is>
          <t>Global Final Damage Bonus % (Jolly Roger + Ahoy Mateys - Final Damage proc)</t>
        </is>
      </c>
      <c r="B2352">
        <f>((C2333=TRUE)*F2333*IF(AND(Inputs!$B$38&lt;&gt;"pvp",Inputs!$B$43&gt;0),(((R2333-1)*(Skills!T18*(1+Inputs!$B$34/100))+MIN((Skills!T18*(1+Inputs!$B$34/100)),MAX(0,Inputs!$B$43-((R2333-1)*Skills!D18))))/Inputs!$B$43),IF(Inputs!$B$38="pvp",MIN((Skills!T18*(1+Inputs!$B$34/100)),15)/15,(Skills!T18*(1+Inputs!$B$34/100))/Skills!D18)))+IF(Inputs!$B$3&gt;=122,20*IF(Inputs!$B$38="pvp",MIN((20*(1+Inputs!$B$34/100)),15)/15,(20*(1+Inputs!$B$34/100))/Skills!D4),0)</f>
        <v/>
      </c>
    </row>
    <row r="2353">
      <c r="A2353" t="inlineStr">
        <is>
          <t>Buff-Casting Startup Delay (s, fixed-duration only)</t>
        </is>
      </c>
      <c r="B2353">
        <f>IF(AND(Inputs!$B$38&lt;&gt;"pvp",Inputs!$B$43&gt;0),SUMPRODUCT((Skills!T2:T28&gt;0)*(Skills!E2:E28=TRUE)*(C2317:C2343=TRUE))/B2348,0)</f>
        <v/>
      </c>
    </row>
    <row r="2354">
      <c r="A2354" t="inlineStr">
        <is>
          <t>Boss-Only Total DPS (this block's swept value)</t>
        </is>
      </c>
      <c r="B2354">
        <f>SUM(T2317:T2343)</f>
        <v/>
      </c>
    </row>
    <row r="2355">
      <c r="A2355" t="inlineStr">
        <is>
          <t>Normal-Only Total DPS (this block's swept value)</t>
        </is>
      </c>
      <c r="B2355">
        <f>SUM(V2317:V2343)</f>
        <v/>
      </c>
    </row>
    <row r="2356">
      <c r="A2356" s="6" t="inlineStr">
        <is>
          <t>TOTAL DPS</t>
        </is>
      </c>
      <c r="B2356" s="6">
        <f>SUM(O2317:O2343)</f>
        <v/>
      </c>
    </row>
    <row r="2359">
      <c r="A2359" s="6" t="inlineStr">
        <is>
          <t>Stat: Sayram's Necklace (Equip)</t>
        </is>
      </c>
    </row>
    <row r="2360">
      <c r="A2360" s="5" t="inlineStr">
        <is>
          <t>Key</t>
        </is>
      </c>
      <c r="B2360" s="5" t="inlineStr">
        <is>
          <t>Name</t>
        </is>
      </c>
      <c r="C2360" s="5" t="inlineStr">
        <is>
          <t>Unlocked</t>
        </is>
      </c>
      <c r="D2360" s="5" t="inlineStr">
        <is>
          <t>InputLevel</t>
        </is>
      </c>
      <c r="E2360" s="5" t="inlineStr">
        <is>
          <t>Factor</t>
        </is>
      </c>
      <c r="F2360" s="5" t="inlineStr">
        <is>
          <t>CoefficientPercent</t>
        </is>
      </c>
      <c r="G2360" s="5" t="inlineStr">
        <is>
          <t>EffectiveHits</t>
        </is>
      </c>
      <c r="H2360" s="5" t="inlineStr">
        <is>
          <t>ProcProbability</t>
        </is>
      </c>
      <c r="I2360" s="5" t="inlineStr">
        <is>
          <t>MapleHeroMultiplier</t>
        </is>
      </c>
      <c r="J2360" s="5" t="inlineStr">
        <is>
          <t>BaseDamage</t>
        </is>
      </c>
      <c r="K2360" s="5" t="inlineStr">
        <is>
          <t>BaseHitDamage</t>
        </is>
      </c>
      <c r="L2360" s="5" t="inlineStr">
        <is>
          <t>NonCritAvg</t>
        </is>
      </c>
      <c r="M2360" s="5" t="inlineStr">
        <is>
          <t>CritAvg</t>
        </is>
      </c>
      <c r="N2360" s="5" t="inlineStr">
        <is>
          <t>ExpectedDamage(perHit)</t>
        </is>
      </c>
      <c r="O2360" s="5" t="inlineStr">
        <is>
          <t>DPS</t>
        </is>
      </c>
      <c r="P2360" s="5" t="inlineStr">
        <is>
          <t>% of Total</t>
        </is>
      </c>
      <c r="Q2360" s="5" t="inlineStr">
        <is>
          <t>InvCooldown</t>
        </is>
      </c>
      <c r="R2360" s="5" t="inlineStr">
        <is>
          <t>CastsInFight</t>
        </is>
      </c>
      <c r="S2360" s="5" t="inlineStr">
        <is>
          <t>HitRate(perSec)</t>
        </is>
      </c>
      <c r="U2360" t="inlineStr">
        <is>
          <t>helpers</t>
        </is>
      </c>
    </row>
    <row r="2361">
      <c r="A2361">
        <f>Skills!A2</f>
        <v/>
      </c>
      <c r="B2361">
        <f>Skills!B2</f>
        <v/>
      </c>
      <c r="C2361">
        <f>Inputs!$B$3&gt;=100</f>
        <v/>
      </c>
      <c r="D2361" t="inlineStr"/>
      <c r="E2361" t="inlineStr"/>
      <c r="F2361">
        <f>U2363+Skills!O2</f>
        <v/>
      </c>
      <c r="G2361">
        <f>Skills!G2*IF(Skills!H2&gt;0,Skills!I2/Skills!H2,1)</f>
        <v/>
      </c>
      <c r="H2361">
        <f>1-(1-Skills!J2/100)^Skills!K2</f>
        <v/>
      </c>
      <c r="I2361" t="inlineStr">
        <is>
          <t>1</t>
        </is>
      </c>
      <c r="J2361">
        <f>((Inputs!$B$6*(1+Inputs!$B$7/100))+(((Inputs!$B$12*(1+Inputs!$B$13/100))-(Inputs!$B$12*(1+Inputs!$B$13/100)))+0.25*(Inputs!$B$14-Inputs!$B$14))*(1+Inputs!$B$7/100))*(F2361/100)</f>
        <v/>
      </c>
      <c r="K2361">
        <f>J2361*(1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2361)</f>
        <v/>
      </c>
      <c r="L2361">
        <f>K2361*(MIN(Inputs!$B$22+((C2381=TRUE)*(F2381-Calc!F22)),(Inputs!$B$23+0+(IF(ArtifactsInput!$M$15,CHOOSE(ArtifactsInput!$N$15+1,25,30,35,40,45,50)/100*(Inputs!$B$11-Inputs!$B$11),0))))/100+(Inputs!$B$23+0+(IF(ArtifactsInput!$M$15,CHOOSE(ArtifactsInput!$N$15+1,25,30,35,40,45,50)/100*(Inputs!$B$11-Inputs!$B$11),0)))/100)/2</f>
        <v/>
      </c>
      <c r="M2361">
        <f>L2361*(1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1">
        <f>L2361*(1-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1">
        <f>(1-Summary!$B$11)*T2361+Summary!$B$11*V2361</f>
        <v/>
      </c>
      <c r="P2361">
        <f>IF(B2400=0,0,O2361/B2400)</f>
        <v/>
      </c>
      <c r="Q2361" t="n">
        <v>0</v>
      </c>
      <c r="R2361" t="n">
        <v>0</v>
      </c>
      <c r="S2361">
        <f>IFERROR(O2361/N2361,0)</f>
        <v/>
      </c>
      <c r="T2361">
        <f>IF(C2361,(Skills!G2*N2361*B2394)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2361*(1-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1">
        <f>MAX(0,(Inputs!$B$3-100)*3)+Inputs!$B$28+Inputs!$B$29</f>
        <v/>
      </c>
      <c r="V2361">
        <f>IF(C2361,(Skills!G2*N2361*B2394)*IF(Inputs!$B$38="pvp",1,(1+(Inputs!$B$21+Skills!Q2+(IF(IF(ArtifactsInput!$M$33,FALSE,TRUE),CHOOSE(ArtifactsInput!$N$33+1,30,36,42,48,54,60),0))+(IF(AND(ArtifactsInput!$M$35,Inputs!$B$4&lt;&gt;"Chapter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2">
      <c r="A2362">
        <f>Skills!A3</f>
        <v/>
      </c>
      <c r="B2362">
        <f>Skills!B3</f>
        <v/>
      </c>
      <c r="C2362">
        <f>Inputs!$B$3&gt;=35</f>
        <v/>
      </c>
      <c r="D2362">
        <f>IF(Skills!C3=1,60+Inputs!$B$25+Inputs!$B$29,IF(Skills!C3=2,90+Inputs!$B$26+Inputs!$B$29,IF(Skills!C3=3,120+Inputs!$B$27+Inputs!$B$29,MAX(0,(Inputs!$B$3-100)*3)+Inputs!$B$28+Inputs!$B$29)))</f>
        <v/>
      </c>
      <c r="E2362">
        <f>INDEX(FactorTable!$B$2:$Y$301, MATCH(ROUND(MIN(300,MAX(1,D2362)),0), FactorTable!$A$2:$A$301,0), Skills!M3+1)</f>
        <v/>
      </c>
      <c r="F2362">
        <f>IF(Skills!N3=TRUE,(Skills!L3/10)*(E2362/1000),Skills!L3/10)+Skills!O3</f>
        <v/>
      </c>
      <c r="G2362">
        <f>Skills!G3*IF(Skills!H3&gt;0,Skills!I3/Skills!H3,1)</f>
        <v/>
      </c>
      <c r="H2362">
        <f>1-(1-Skills!J3/100)^Skills!K3</f>
        <v/>
      </c>
      <c r="I2362" t="inlineStr">
        <is>
          <t>1</t>
        </is>
      </c>
      <c r="J2362">
        <f>((Inputs!$B$6*(1+Inputs!$B$7/100))+(((Inputs!$B$12*(1+Inputs!$B$13/100))-(Inputs!$B$12*(1+Inputs!$B$13/100)))+0.25*(Inputs!$B$14-Inputs!$B$14))*(1+Inputs!$B$7/100))*(F2362/100)</f>
        <v/>
      </c>
      <c r="K2362">
        <f>J2362*(1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2374=TRUE,F2374,0)/100)*(1+(IF(Skills!A3="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2362)</f>
        <v/>
      </c>
      <c r="L2362">
        <f>K2362*(MIN(Inputs!$B$22+((C2381=TRUE)*(F2381-Calc!F22)),(Inputs!$B$23+0+(IF(ArtifactsInput!$M$15,CHOOSE(ArtifactsInput!$N$15+1,25,30,35,40,45,50)/100*(Inputs!$B$11-Inputs!$B$11),0))))/100+(Inputs!$B$23+0+(IF(ArtifactsInput!$M$15,CHOOSE(ArtifactsInput!$N$15+1,25,30,35,40,45,50)/100*(Inputs!$B$11-Inputs!$B$11),0)))/100)/2</f>
        <v/>
      </c>
      <c r="M2362">
        <f>L2362*(1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2">
        <f>L2362*(1-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2362*(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2">
        <f>(1-Summary!$B$11)*T2362+Summary!$B$11*V2362</f>
        <v/>
      </c>
      <c r="P2362">
        <f>IF(B2400=0,0,O2362/B2400)</f>
        <v/>
      </c>
      <c r="Q2362">
        <f>IFERROR(1/(IF(Inputs!$B$38="pvp",15,MAX(0.1,Skills!D3-IF(Skills!E3=TRUE,Inputs!$B$32,0)))*(1-IF(AND(ArtifactsInput!$M$27,Inputs!$B$4="Chapter Hunt"),CHOOSE(ArtifactsInput!$N$27+1,20,24,28,32,36,40),0)/100)),0)</f>
        <v/>
      </c>
      <c r="R2362">
        <f>IF(AND(Inputs!$B$38&lt;&gt;"pvp",Inputs!$B$43&gt;0),IF(MAX(0,Inputs!$B$43-B2397)&lt;=0,0,(INT(MAX(0,Inputs!$B$43-B2397)/(IF(Inputs!$B$38="pvp",15,MAX(0.1,Skills!D3-IF(Skills!E3=TRUE,Inputs!$B$32,0)))*(1-IF(AND(ArtifactsInput!$M$27,Inputs!$B$4="Chapter Hunt"),CHOOSE(ArtifactsInput!$N$27+1,20,24,28,32,36,40),0)/100)))+1)),0)</f>
        <v/>
      </c>
      <c r="S2362">
        <f>IFERROR(O2362/N2362,0)</f>
        <v/>
      </c>
      <c r="T2362">
        <f>IF(C2362,(H2362*N2362*IF(AND(Inputs!$B$38&lt;&gt;"pvp",Inputs!$B$43&gt;0),((Skills!G3*((R2362-1)*IF(Skills!H3&gt;0,Skills!I3/Skills!H3,1)+IF(Skills!H3&gt;0,MIN(Skills!I3,MAX(0,MAX(0,Inputs!$B$43-B2397)-((R2362-1)*(IF(Inputs!$B$38="pvp",15,MAX(0.1,Skills!D3-IF(Skills!E3=TRUE,Inputs!$B$32,0)))*(1-IF(AND(ArtifactsInput!$M$27,Inputs!$B$4="Chapter Hunt"),CHOOSE(ArtifactsInput!$N$27+1,20,24,28,32,36,40),0)/100)))))/Skills!H3,1)))/Inputs!$B$43),G2362*Q2362)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2362*(1-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2362*(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2362*(1-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2362*(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2">
        <f>INDEX(FactorTable!$B$2:$Y$301, MATCH(ROUND(MIN(300,MAX(1,U2361)),0), FactorTable!$A$2:$A$301,0), 22)</f>
        <v/>
      </c>
      <c r="V2362">
        <f>IF(C2362,(H2362*N2362*IF(AND(Inputs!$B$38&lt;&gt;"pvp",Inputs!$B$43&gt;0),((Skills!G3*((R2362-1)*IF(Skills!H3&gt;0,Skills!I3/Skills!H3,1)+IF(Skills!H3&gt;0,MIN(Skills!I3,MAX(0,MAX(0,Inputs!$B$43-B2397)-((R2362-1)*(IF(Inputs!$B$38="pvp",15,MAX(0.1,Skills!D3-IF(Skills!E3=TRUE,Inputs!$B$32,0)))*(1-IF(AND(ArtifactsInput!$M$27,Inputs!$B$4="Chapter Hunt"),CHOOSE(ArtifactsInput!$N$27+1,20,24,28,32,36,40),0)/100)))))/Skills!H3,1)))/Inputs!$B$43),G2362*Q2362))*IF(Inputs!$B$38="pvp",1,(1+(Inputs!$B$21+Skills!Q3+(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3">
      <c r="A2363">
        <f>Skills!A4</f>
        <v/>
      </c>
      <c r="B2363">
        <f>Skills!B4</f>
        <v/>
      </c>
      <c r="C2363">
        <f>Inputs!$B$3&gt;=40</f>
        <v/>
      </c>
      <c r="D2363">
        <f>IF(Skills!C4=1,60+Inputs!$B$25+Inputs!$B$29,IF(Skills!C4=2,90+Inputs!$B$26+Inputs!$B$29,IF(Skills!C4=3,120+Inputs!$B$27+Inputs!$B$29,MAX(0,(Inputs!$B$3-100)*3)+Inputs!$B$28+Inputs!$B$29)))</f>
        <v/>
      </c>
      <c r="E2363">
        <f>INDEX(FactorTable!$B$2:$Y$301, MATCH(ROUND(MIN(300,MAX(1,D2363)),0), FactorTable!$A$2:$A$301,0), Skills!M4+1)</f>
        <v/>
      </c>
      <c r="F2363">
        <f>IF(Skills!N4=TRUE,(Skills!L4/10)*(E2363/1000),Skills!L4/10)+Skills!O4</f>
        <v/>
      </c>
      <c r="G2363">
        <f>Skills!G4*IF(Skills!H4&gt;0,Skills!I4/Skills!H4,1)</f>
        <v/>
      </c>
      <c r="H2363">
        <f>1-(1-Skills!J4/100)^Skills!K4</f>
        <v/>
      </c>
      <c r="I2363" t="inlineStr">
        <is>
          <t>1</t>
        </is>
      </c>
      <c r="J2363">
        <f>((Inputs!$B$6*(1+Inputs!$B$7/100))+(((Inputs!$B$12*(1+Inputs!$B$13/100))-(Inputs!$B$12*(1+Inputs!$B$13/100)))+0.25*(Inputs!$B$14-Inputs!$B$14))*(1+Inputs!$B$7/100))*(F2363/100)</f>
        <v/>
      </c>
      <c r="K2363">
        <f>J2363*(1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2375=TRUE,F2375,0)/100)*(1+(IF(Skills!A4="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2363)</f>
        <v/>
      </c>
      <c r="L2363">
        <f>K2363*(MIN(Inputs!$B$22+((C2381=TRUE)*(F2381-Calc!F22)),(Inputs!$B$23+0+(IF(ArtifactsInput!$M$15,CHOOSE(ArtifactsInput!$N$15+1,25,30,35,40,45,50)/100*(Inputs!$B$11-Inputs!$B$11),0))))/100+(Inputs!$B$23+0+(IF(ArtifactsInput!$M$15,CHOOSE(ArtifactsInput!$N$15+1,25,30,35,40,45,50)/100*(Inputs!$B$11-Inputs!$B$11),0)))/100)/2</f>
        <v/>
      </c>
      <c r="M2363">
        <f>L2363*(1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3">
        <f>L2363*(1-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2363*(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3">
        <f>(1-Summary!$B$11)*T2363+Summary!$B$11*V2363</f>
        <v/>
      </c>
      <c r="P2363">
        <f>IF(B2400=0,0,O2363/B2400)</f>
        <v/>
      </c>
      <c r="Q2363">
        <f>IFERROR(1/(IF(Inputs!$B$38="pvp",15,MAX(0.1,Skills!D4-IF(Skills!E4=TRUE,Inputs!$B$32,0)))*(1-IF(AND(ArtifactsInput!$M$27,Inputs!$B$4="Chapter Hunt"),CHOOSE(ArtifactsInput!$N$27+1,20,24,28,32,36,40),0)/100)),0)</f>
        <v/>
      </c>
      <c r="R2363">
        <f>IF(AND(Inputs!$B$38&lt;&gt;"pvp",Inputs!$B$43&gt;0),IF(MAX(0,Inputs!$B$43-B2397)&lt;=0,0,(INT(MAX(0,Inputs!$B$43-B2397)/(IF(Inputs!$B$38="pvp",15,MAX(0.1,Skills!D4-IF(Skills!E4=TRUE,Inputs!$B$32,0)))*(1-IF(AND(ArtifactsInput!$M$27,Inputs!$B$4="Chapter Hunt"),CHOOSE(ArtifactsInput!$N$27+1,20,24,28,32,36,40),0)/100)))+1)),0)</f>
        <v/>
      </c>
      <c r="S2363">
        <f>IFERROR(O2363/N2363,0)</f>
        <v/>
      </c>
      <c r="T2363">
        <f>IF(C2363,(H2363*N2363*IF(AND(Inputs!$B$38&lt;&gt;"pvp",Inputs!$B$43&gt;0),((Skills!G4*((R2363-1)*IF(Skills!H4&gt;0,Skills!I4/Skills!H4,1)+IF(Skills!H4&gt;0,MIN(Skills!I4,MAX(0,MAX(0,Inputs!$B$43-B2397)-((R2363-1)*(IF(Inputs!$B$38="pvp",15,MAX(0.1,Skills!D4-IF(Skills!E4=TRUE,Inputs!$B$32,0)))*(1-IF(AND(ArtifactsInput!$M$27,Inputs!$B$4="Chapter Hunt"),CHOOSE(ArtifactsInput!$N$27+1,20,24,28,32,36,40),0)/100)))))/Skills!H4,1)))/Inputs!$B$43),G2363*Q2363)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2363*(1-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2363*(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2363*(1-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2363*(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3">
        <f>290*U2362/1000</f>
        <v/>
      </c>
      <c r="V2363">
        <f>IF(C2363,(H2363*N2363*IF(AND(Inputs!$B$38&lt;&gt;"pvp",Inputs!$B$43&gt;0),((Skills!G4*((R2363-1)*IF(Skills!H4&gt;0,Skills!I4/Skills!H4,1)+IF(Skills!H4&gt;0,MIN(Skills!I4,MAX(0,MAX(0,Inputs!$B$43-B2397)-((R2363-1)*(IF(Inputs!$B$38="pvp",15,MAX(0.1,Skills!D4-IF(Skills!E4=TRUE,Inputs!$B$32,0)))*(1-IF(AND(ArtifactsInput!$M$27,Inputs!$B$4="Chapter Hunt"),CHOOSE(ArtifactsInput!$N$27+1,20,24,28,32,36,40),0)/100)))))/Skills!H4,1)))/Inputs!$B$43),G2363*Q2363))*IF(Inputs!$B$38="pvp",1,(1+(Inputs!$B$21+Skills!Q4+(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4">
      <c r="A2364">
        <f>Skills!A5</f>
        <v/>
      </c>
      <c r="B2364">
        <f>Skills!B5</f>
        <v/>
      </c>
      <c r="C2364">
        <f>Inputs!$B$3&gt;=45</f>
        <v/>
      </c>
      <c r="D2364">
        <f>IF(Skills!C5=1,60+Inputs!$B$25+Inputs!$B$29,IF(Skills!C5=2,90+Inputs!$B$26+Inputs!$B$29,IF(Skills!C5=3,120+Inputs!$B$27+Inputs!$B$29,MAX(0,(Inputs!$B$3-100)*3)+Inputs!$B$28+Inputs!$B$29)))</f>
        <v/>
      </c>
      <c r="E2364">
        <f>INDEX(FactorTable!$B$2:$Y$301, MATCH(ROUND(MIN(300,MAX(1,D2364)),0), FactorTable!$A$2:$A$301,0), Skills!M5+1)</f>
        <v/>
      </c>
      <c r="F2364">
        <f>IF(Skills!N5=TRUE,(Skills!L5/10)*(E2364/1000),Skills!L5/10)+Skills!O5</f>
        <v/>
      </c>
      <c r="G2364">
        <f>Skills!G5*IF(Skills!H5&gt;0,Skills!I5/Skills!H5,1)</f>
        <v/>
      </c>
      <c r="H2364">
        <f>1-(1-Skills!J5/100)^Skills!K5</f>
        <v/>
      </c>
      <c r="I2364" t="inlineStr">
        <is>
          <t>1</t>
        </is>
      </c>
      <c r="J2364">
        <f>((Inputs!$B$6*(1+Inputs!$B$7/100))+(((Inputs!$B$12*(1+Inputs!$B$13/100))-(Inputs!$B$12*(1+Inputs!$B$13/100)))+0.25*(Inputs!$B$14-Inputs!$B$14))*(1+Inputs!$B$7/100))*(F2364/100)</f>
        <v/>
      </c>
      <c r="K2364">
        <f>J2364*(1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2375=TRUE,F2375,0)/100)*(1+(IF(Skills!A5="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2364)</f>
        <v/>
      </c>
      <c r="L2364">
        <f>K2364*(MIN(Inputs!$B$22+((C2381=TRUE)*(F2381-Calc!F22)),(Inputs!$B$23+0+(IF(ArtifactsInput!$M$15,CHOOSE(ArtifactsInput!$N$15+1,25,30,35,40,45,50)/100*(Inputs!$B$11-Inputs!$B$11),0))))/100+(Inputs!$B$23+0+(IF(ArtifactsInput!$M$15,CHOOSE(ArtifactsInput!$N$15+1,25,30,35,40,45,50)/100*(Inputs!$B$11-Inputs!$B$11),0)))/100)/2</f>
        <v/>
      </c>
      <c r="M2364">
        <f>L2364*(1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4">
        <f>L2364*(1-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2364*(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4">
        <f>(1-Summary!$B$11)*T2364+Summary!$B$11*V2364</f>
        <v/>
      </c>
      <c r="P2364">
        <f>IF(B2400=0,0,O2364/B2400)</f>
        <v/>
      </c>
      <c r="Q2364">
        <f>IFERROR(1/(IF(Inputs!$B$38="pvp",15,MAX(0.1,Skills!D5-IF(Skills!E5=TRUE,Inputs!$B$32,0)))*(1-IF(AND(ArtifactsInput!$M$27,Inputs!$B$4="Chapter Hunt"),CHOOSE(ArtifactsInput!$N$27+1,20,24,28,32,36,40),0)/100)),0)</f>
        <v/>
      </c>
      <c r="R2364">
        <f>IF(AND(Inputs!$B$38&lt;&gt;"pvp",Inputs!$B$43&gt;0),IF(MAX(0,Inputs!$B$43-B2397)&lt;=0,0,(INT(MAX(0,Inputs!$B$43-B2397)/(IF(Inputs!$B$38="pvp",15,MAX(0.1,Skills!D5-IF(Skills!E5=TRUE,Inputs!$B$32,0)))*(1-IF(AND(ArtifactsInput!$M$27,Inputs!$B$4="Chapter Hunt"),CHOOSE(ArtifactsInput!$N$27+1,20,24,28,32,36,40),0)/100)))+1)),0)</f>
        <v/>
      </c>
      <c r="S2364">
        <f>IFERROR(O2364/N2364,0)</f>
        <v/>
      </c>
      <c r="T2364">
        <f>IF(C2364,(H2364*N2364*IF(AND(Inputs!$B$38&lt;&gt;"pvp",Inputs!$B$43&gt;0),((Skills!G5*((R2364-1)*IF(Skills!H5&gt;0,Skills!I5/Skills!H5,1)+IF(Skills!H5&gt;0,MIN(Skills!I5,MAX(0,MAX(0,Inputs!$B$43-B2397)-((R2364-1)*(IF(Inputs!$B$38="pvp",15,MAX(0.1,Skills!D5-IF(Skills!E5=TRUE,Inputs!$B$32,0)))*(1-IF(AND(ArtifactsInput!$M$27,Inputs!$B$4="Chapter Hunt"),CHOOSE(ArtifactsInput!$N$27+1,20,24,28,32,36,40),0)/100)))))/Skills!H5,1)))/Inputs!$B$43),G2364*Q2364)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2364*(1-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2364*(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2364*(1-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2364*(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4">
        <f>IF(C2364,(H2364*N2364*IF(AND(Inputs!$B$38&lt;&gt;"pvp",Inputs!$B$43&gt;0),((Skills!G5*((R2364-1)*IF(Skills!H5&gt;0,Skills!I5/Skills!H5,1)+IF(Skills!H5&gt;0,MIN(Skills!I5,MAX(0,MAX(0,Inputs!$B$43-B2397)-((R2364-1)*(IF(Inputs!$B$38="pvp",15,MAX(0.1,Skills!D5-IF(Skills!E5=TRUE,Inputs!$B$32,0)))*(1-IF(AND(ArtifactsInput!$M$27,Inputs!$B$4="Chapter Hunt"),CHOOSE(ArtifactsInput!$N$27+1,20,24,28,32,36,40),0)/100)))))/Skills!H5,1)))/Inputs!$B$43),G2364*Q2364))*IF(Inputs!$B$38="pvp",1,(1+(Inputs!$B$21+Skills!Q5+(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5">
      <c r="A2365">
        <f>Skills!A6</f>
        <v/>
      </c>
      <c r="B2365">
        <f>Skills!B6</f>
        <v/>
      </c>
      <c r="C2365">
        <f>Inputs!$B$3&gt;=63</f>
        <v/>
      </c>
      <c r="D2365">
        <f>IF(Skills!C6=1,60+Inputs!$B$25+Inputs!$B$29,IF(Skills!C6=2,90+Inputs!$B$26+Inputs!$B$29,IF(Skills!C6=3,120+Inputs!$B$27+Inputs!$B$29,MAX(0,(Inputs!$B$3-100)*3)+Inputs!$B$28+Inputs!$B$29)))</f>
        <v/>
      </c>
      <c r="E2365">
        <f>INDEX(FactorTable!$B$2:$Y$301, MATCH(ROUND(MIN(300,MAX(1,D2365)),0), FactorTable!$A$2:$A$301,0), Skills!M6+1)</f>
        <v/>
      </c>
      <c r="F2365">
        <f>IF(Skills!N6=TRUE,(Skills!L6/10)*(E2365/1000),Skills!L6/10)+Skills!O6</f>
        <v/>
      </c>
      <c r="G2365">
        <f>Skills!G6*IF(Skills!H6&gt;0,Skills!I6/Skills!H6,1)</f>
        <v/>
      </c>
      <c r="H2365">
        <f>1-(1-Skills!J6/100)^Skills!K6</f>
        <v/>
      </c>
      <c r="I2365" t="inlineStr">
        <is>
          <t>1</t>
        </is>
      </c>
      <c r="J2365">
        <f>((Inputs!$B$6*(1+Inputs!$B$7/100))+(((Inputs!$B$12*(1+Inputs!$B$13/100))-(Inputs!$B$12*(1+Inputs!$B$13/100)))+0.25*(Inputs!$B$14-Inputs!$B$14))*(1+Inputs!$B$7/100))*(F2365/100)</f>
        <v/>
      </c>
      <c r="K2365">
        <f>J2365*(1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2374=TRUE,F2374,0)/100)*(1+(IF(Skills!A6="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2365)</f>
        <v/>
      </c>
      <c r="L2365">
        <f>K2365*(MIN(Inputs!$B$22+((C2381=TRUE)*(F2381-Calc!F22)),(Inputs!$B$23+0+(IF(ArtifactsInput!$M$15,CHOOSE(ArtifactsInput!$N$15+1,25,30,35,40,45,50)/100*(Inputs!$B$11-Inputs!$B$11),0))))/100+(Inputs!$B$23+0+(IF(ArtifactsInput!$M$15,CHOOSE(ArtifactsInput!$N$15+1,25,30,35,40,45,50)/100*(Inputs!$B$11-Inputs!$B$11),0)))/100)/2</f>
        <v/>
      </c>
      <c r="M2365">
        <f>L2365*(1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5">
        <f>L2365*(1-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2365*(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5">
        <f>(1-Summary!$B$11)*T2365+Summary!$B$11*V2365</f>
        <v/>
      </c>
      <c r="P2365">
        <f>IF(B2400=0,0,O2365/B2400)</f>
        <v/>
      </c>
      <c r="Q2365">
        <f>IFERROR(1/(IF(Inputs!$B$38="pvp",15,MAX(0.1,Skills!D6-IF(Skills!E6=TRUE,Inputs!$B$32,0)))*(1-IF(AND(ArtifactsInput!$M$27,Inputs!$B$4="Chapter Hunt"),CHOOSE(ArtifactsInput!$N$27+1,20,24,28,32,36,40),0)/100)),0)</f>
        <v/>
      </c>
      <c r="R2365">
        <f>IF(AND(Inputs!$B$38&lt;&gt;"pvp",Inputs!$B$43&gt;0),IF(MAX(0,Inputs!$B$43-B2397)&lt;=0,0,(INT(MAX(0,Inputs!$B$43-B2397)/(IF(Inputs!$B$38="pvp",15,MAX(0.1,Skills!D6-IF(Skills!E6=TRUE,Inputs!$B$32,0)))*(1-IF(AND(ArtifactsInput!$M$27,Inputs!$B$4="Chapter Hunt"),CHOOSE(ArtifactsInput!$N$27+1,20,24,28,32,36,40),0)/100)))+1)),0)</f>
        <v/>
      </c>
      <c r="S2365">
        <f>IFERROR(O2365/N2365,0)</f>
        <v/>
      </c>
      <c r="T2365">
        <f>IF(C2365,(H2365*N2365*IF(AND(Inputs!$B$38&lt;&gt;"pvp",Inputs!$B$43&gt;0),((Skills!G6*((R2365-1)*IF(Skills!H6&gt;0,Skills!I6/Skills!H6,1)+IF(Skills!H6&gt;0,MIN(Skills!I6,MAX(0,MAX(0,Inputs!$B$43-B2397)-((R2365-1)*(IF(Inputs!$B$38="pvp",15,MAX(0.1,Skills!D6-IF(Skills!E6=TRUE,Inputs!$B$32,0)))*(1-IF(AND(ArtifactsInput!$M$27,Inputs!$B$4="Chapter Hunt"),CHOOSE(ArtifactsInput!$N$27+1,20,24,28,32,36,40),0)/100)))))/Skills!H6,1)))/Inputs!$B$43),G2365*Q2365)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2365*(1-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2365*(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2365*(1-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2365*(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5">
        <f>IF(C2365,(H2365*N2365*IF(AND(Inputs!$B$38&lt;&gt;"pvp",Inputs!$B$43&gt;0),((Skills!G6*((R2365-1)*IF(Skills!H6&gt;0,Skills!I6/Skills!H6,1)+IF(Skills!H6&gt;0,MIN(Skills!I6,MAX(0,MAX(0,Inputs!$B$43-B2397)-((R2365-1)*(IF(Inputs!$B$38="pvp",15,MAX(0.1,Skills!D6-IF(Skills!E6=TRUE,Inputs!$B$32,0)))*(1-IF(AND(ArtifactsInput!$M$27,Inputs!$B$4="Chapter Hunt"),CHOOSE(ArtifactsInput!$N$27+1,20,24,28,32,36,40),0)/100)))))/Skills!H6,1)))/Inputs!$B$43),G2365*Q2365))*IF(Inputs!$B$38="pvp",1,(1+(Inputs!$B$21+Skills!Q6+(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6">
      <c r="A2366">
        <f>Skills!A7</f>
        <v/>
      </c>
      <c r="B2366">
        <f>Skills!B7</f>
        <v/>
      </c>
      <c r="C2366">
        <f>Inputs!$B$3&gt;=66</f>
        <v/>
      </c>
      <c r="D2366">
        <f>IF(Skills!C7=1,60+Inputs!$B$25+Inputs!$B$29,IF(Skills!C7=2,90+Inputs!$B$26+Inputs!$B$29,IF(Skills!C7=3,120+Inputs!$B$27+Inputs!$B$29,MAX(0,(Inputs!$B$3-100)*3)+Inputs!$B$28+Inputs!$B$29)))</f>
        <v/>
      </c>
      <c r="E2366">
        <f>INDEX(FactorTable!$B$2:$Y$301, MATCH(ROUND(MIN(300,MAX(1,D2366)),0), FactorTable!$A$2:$A$301,0), Skills!M7+1)</f>
        <v/>
      </c>
      <c r="F2366">
        <f>IF(Skills!N7=TRUE,(Skills!L7/10)*(E2366/1000),Skills!L7/10)+Skills!O7</f>
        <v/>
      </c>
      <c r="G2366">
        <f>Skills!G7*IF(Skills!H7&gt;0,Skills!I7/Skills!H7,1)</f>
        <v/>
      </c>
      <c r="H2366">
        <f>1-(1-Skills!J7/100)^Skills!K7</f>
        <v/>
      </c>
      <c r="I2366" t="inlineStr">
        <is>
          <t>1</t>
        </is>
      </c>
      <c r="J2366">
        <f>((Inputs!$B$6*(1+Inputs!$B$7/100))+(((Inputs!$B$12*(1+Inputs!$B$13/100))-(Inputs!$B$12*(1+Inputs!$B$13/100)))+0.25*(Inputs!$B$14-Inputs!$B$14))*(1+Inputs!$B$7/100))*(F2366/100)</f>
        <v/>
      </c>
      <c r="K2366">
        <f>J2366*(1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2374=TRUE,F2374,0)/100)*(1+(IF(Skills!A7="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2366)</f>
        <v/>
      </c>
      <c r="L2366">
        <f>K2366*(MIN(Inputs!$B$22+((C2381=TRUE)*(F2381-Calc!F22)),(Inputs!$B$23+0+(IF(ArtifactsInput!$M$15,CHOOSE(ArtifactsInput!$N$15+1,25,30,35,40,45,50)/100*(Inputs!$B$11-Inputs!$B$11),0))))/100+(Inputs!$B$23+0+(IF(ArtifactsInput!$M$15,CHOOSE(ArtifactsInput!$N$15+1,25,30,35,40,45,50)/100*(Inputs!$B$11-Inputs!$B$11),0)))/100)/2</f>
        <v/>
      </c>
      <c r="M2366">
        <f>L2366*(1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6">
        <f>L2366*(1-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2366*(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6">
        <f>(1-Summary!$B$11)*T2366+Summary!$B$11*V2366</f>
        <v/>
      </c>
      <c r="P2366">
        <f>IF(B2400=0,0,O2366/B2400)</f>
        <v/>
      </c>
      <c r="Q2366">
        <f>IFERROR(1/(IF(Inputs!$B$38="pvp",15,MAX(0.1,Skills!D7-IF(Skills!E7=TRUE,Inputs!$B$32,0)))*(1-IF(AND(ArtifactsInput!$M$27,Inputs!$B$4="Chapter Hunt"),CHOOSE(ArtifactsInput!$N$27+1,20,24,28,32,36,40),0)/100)),0)</f>
        <v/>
      </c>
      <c r="R2366">
        <f>IF(AND(Inputs!$B$38&lt;&gt;"pvp",Inputs!$B$43&gt;0),IF(MAX(0,Inputs!$B$43-B2397)&lt;=0,0,(INT(MAX(0,Inputs!$B$43-B2397)/(IF(Inputs!$B$38="pvp",15,MAX(0.1,Skills!D7-IF(Skills!E7=TRUE,Inputs!$B$32,0)))*(1-IF(AND(ArtifactsInput!$M$27,Inputs!$B$4="Chapter Hunt"),CHOOSE(ArtifactsInput!$N$27+1,20,24,28,32,36,40),0)/100)))+1)),0)</f>
        <v/>
      </c>
      <c r="S2366">
        <f>IFERROR(O2366/N2366,0)</f>
        <v/>
      </c>
      <c r="T2366">
        <f>IF(C2366,(H2366*N2366*IF(AND(Inputs!$B$38&lt;&gt;"pvp",Inputs!$B$43&gt;0),((Skills!G7*((R2366-1)*IF(Skills!H7&gt;0,Skills!I7/Skills!H7,1)+IF(Skills!H7&gt;0,MIN(Skills!I7,MAX(0,MAX(0,Inputs!$B$43-B2397)-((R2366-1)*(IF(Inputs!$B$38="pvp",15,MAX(0.1,Skills!D7-IF(Skills!E7=TRUE,Inputs!$B$32,0)))*(1-IF(AND(ArtifactsInput!$M$27,Inputs!$B$4="Chapter Hunt"),CHOOSE(ArtifactsInput!$N$27+1,20,24,28,32,36,40),0)/100)))))/Skills!H7,1)))/Inputs!$B$43),G2366*Q2366)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2366*(1-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2366*(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2366*(1-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2366*(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6">
        <f>IF(C2366,(H2366*N2366*IF(AND(Inputs!$B$38&lt;&gt;"pvp",Inputs!$B$43&gt;0),((Skills!G7*((R2366-1)*IF(Skills!H7&gt;0,Skills!I7/Skills!H7,1)+IF(Skills!H7&gt;0,MIN(Skills!I7,MAX(0,MAX(0,Inputs!$B$43-B2397)-((R2366-1)*(IF(Inputs!$B$38="pvp",15,MAX(0.1,Skills!D7-IF(Skills!E7=TRUE,Inputs!$B$32,0)))*(1-IF(AND(ArtifactsInput!$M$27,Inputs!$B$4="Chapter Hunt"),CHOOSE(ArtifactsInput!$N$27+1,20,24,28,32,36,40),0)/100)))))/Skills!H7,1)))/Inputs!$B$43),G2366*Q2366))*IF(Inputs!$B$38="pvp",1,(1+(Inputs!$B$21+Skills!Q7+(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7">
      <c r="A2367">
        <f>Skills!A8</f>
        <v/>
      </c>
      <c r="B2367">
        <f>Skills!B8</f>
        <v/>
      </c>
      <c r="C2367">
        <f>Inputs!$B$3&gt;=100</f>
        <v/>
      </c>
      <c r="D2367">
        <f>IF(Skills!C8=1,60+Inputs!$B$25+Inputs!$B$29,IF(Skills!C8=2,90+Inputs!$B$26+Inputs!$B$29,IF(Skills!C8=3,120+Inputs!$B$27+Inputs!$B$29,MAX(0,(Inputs!$B$3-100)*3)+Inputs!$B$28+Inputs!$B$29)))</f>
        <v/>
      </c>
      <c r="E2367">
        <f>INDEX(FactorTable!$B$2:$Y$301, MATCH(ROUND(MIN(300,MAX(1,D2367)),0), FactorTable!$A$2:$A$301,0), Skills!M8+1)</f>
        <v/>
      </c>
      <c r="F2367">
        <f>IF(Skills!N8=TRUE,(Skills!L8/10)*(E2367/1000),Skills!L8/10)+Skills!O8</f>
        <v/>
      </c>
      <c r="G2367">
        <f>Skills!G8*IF(Skills!H8&gt;0,Skills!I8/Skills!H8,1)</f>
        <v/>
      </c>
      <c r="H2367">
        <f>1-(1-Skills!J8/100)^Skills!K8</f>
        <v/>
      </c>
      <c r="I2367" t="inlineStr">
        <is>
          <t>1</t>
        </is>
      </c>
      <c r="J2367">
        <f>((Inputs!$B$6*(1+Inputs!$B$7/100))+(((Inputs!$B$12*(1+Inputs!$B$13/100))-(Inputs!$B$12*(1+Inputs!$B$13/100)))+0.25*(Inputs!$B$14-Inputs!$B$14))*(1+Inputs!$B$7/100))*(F2367/100)</f>
        <v/>
      </c>
      <c r="K2367">
        <f>J2367*(1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2367)</f>
        <v/>
      </c>
      <c r="L2367">
        <f>K2367*(MIN(Inputs!$B$22+((C2381=TRUE)*(F2381-Calc!F22)),(Inputs!$B$23+0+(IF(ArtifactsInput!$M$15,CHOOSE(ArtifactsInput!$N$15+1,25,30,35,40,45,50)/100*(Inputs!$B$11-Inputs!$B$11),0))))/100+(Inputs!$B$23+0+(IF(ArtifactsInput!$M$15,CHOOSE(ArtifactsInput!$N$15+1,25,30,35,40,45,50)/100*(Inputs!$B$11-Inputs!$B$11),0)))/100)/2</f>
        <v/>
      </c>
      <c r="M2367">
        <f>L2367*(1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7">
        <f>L2367*(1-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2367*(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7">
        <f>(1-Summary!$B$11)*T2367+Summary!$B$11*V2367</f>
        <v/>
      </c>
      <c r="P2367">
        <f>IF(B2400=0,0,O2367/B2400)</f>
        <v/>
      </c>
      <c r="Q2367">
        <f>IFERROR(1/(IF(Inputs!$B$38="pvp",15,MAX(0.1,Skills!D8-IF(Skills!E8=TRUE,Inputs!$B$32,0)))*(1-IF(AND(ArtifactsInput!$M$27,Inputs!$B$4="Chapter Hunt"),CHOOSE(ArtifactsInput!$N$27+1,20,24,28,32,36,40),0)/100)),0)</f>
        <v/>
      </c>
      <c r="R2367">
        <f>IF(AND(Inputs!$B$38&lt;&gt;"pvp",Inputs!$B$43&gt;0),IF(MAX(0,Inputs!$B$43-B2397)&lt;=0,0,(INT(MAX(0,Inputs!$B$43-B2397)/(IF(Inputs!$B$38="pvp",15,MAX(0.1,Skills!D8-IF(Skills!E8=TRUE,Inputs!$B$32,0)))*(1-IF(AND(ArtifactsInput!$M$27,Inputs!$B$4="Chapter Hunt"),CHOOSE(ArtifactsInput!$N$27+1,20,24,28,32,36,40),0)/100)))+1)),0)</f>
        <v/>
      </c>
      <c r="S2367">
        <f>IFERROR(O2367/N2367,0)</f>
        <v/>
      </c>
      <c r="T2367">
        <f>IF(C2367,(H2367*N2367*IF(AND(Inputs!$B$38&lt;&gt;"pvp",Inputs!$B$43&gt;0),((Skills!G8*((R2367-1)*IF(Skills!H8&gt;0,Skills!I8/Skills!H8,1)+IF(Skills!H8&gt;0,MIN(Skills!I8,MAX(0,MAX(0,Inputs!$B$43-B2397)-((R2367-1)*(IF(Inputs!$B$38="pvp",15,MAX(0.1,Skills!D8-IF(Skills!E8=TRUE,Inputs!$B$32,0)))*(1-IF(AND(ArtifactsInput!$M$27,Inputs!$B$4="Chapter Hunt"),CHOOSE(ArtifactsInput!$N$27+1,20,24,28,32,36,40),0)/100)))))/Skills!H8,1)))/Inputs!$B$43),G2367*Q2367)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2367*(1-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2367*(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2367*(1-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2367*(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7">
        <f>IF(C2367,(H2367*N2367*IF(AND(Inputs!$B$38&lt;&gt;"pvp",Inputs!$B$43&gt;0),((Skills!G8*((R2367-1)*IF(Skills!H8&gt;0,Skills!I8/Skills!H8,1)+IF(Skills!H8&gt;0,MIN(Skills!I8,MAX(0,MAX(0,Inputs!$B$43-B2397)-((R2367-1)*(IF(Inputs!$B$38="pvp",15,MAX(0.1,Skills!D8-IF(Skills!E8=TRUE,Inputs!$B$32,0)))*(1-IF(AND(ArtifactsInput!$M$27,Inputs!$B$4="Chapter Hunt"),CHOOSE(ArtifactsInput!$N$27+1,20,24,28,32,36,40),0)/100)))))/Skills!H8,1)))/Inputs!$B$43),G2367*Q2367))*IF(Inputs!$B$38="pvp",1,(1+(Inputs!$B$21+Skills!Q8+(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8">
      <c r="A2368">
        <f>Skills!A9</f>
        <v/>
      </c>
      <c r="B2368">
        <f>Skills!B9</f>
        <v/>
      </c>
      <c r="C2368">
        <f>Inputs!$B$3&gt;=103</f>
        <v/>
      </c>
      <c r="D2368">
        <f>IF(Skills!C9=1,60+Inputs!$B$25+Inputs!$B$29,IF(Skills!C9=2,90+Inputs!$B$26+Inputs!$B$29,IF(Skills!C9=3,120+Inputs!$B$27+Inputs!$B$29,MAX(0,(Inputs!$B$3-100)*3)+Inputs!$B$28+Inputs!$B$29)))</f>
        <v/>
      </c>
      <c r="E2368">
        <f>INDEX(FactorTable!$B$2:$Y$301, MATCH(ROUND(MIN(300,MAX(1,D2368)),0), FactorTable!$A$2:$A$301,0), Skills!M9+1)</f>
        <v/>
      </c>
      <c r="F2368">
        <f>IF(Skills!N9=TRUE,(Skills!L9/10)*(E2368/1000),Skills!L9/10)+Skills!O9</f>
        <v/>
      </c>
      <c r="G2368">
        <f>Skills!G9*IF(Skills!H9&gt;0,Skills!I9/Skills!H9,1)</f>
        <v/>
      </c>
      <c r="H2368">
        <f>1-(1-Skills!J9/100)^Skills!K9</f>
        <v/>
      </c>
      <c r="I2368" t="inlineStr">
        <is>
          <t>1</t>
        </is>
      </c>
      <c r="J2368">
        <f>((Inputs!$B$6*(1+Inputs!$B$7/100))+(((Inputs!$B$12*(1+Inputs!$B$13/100))-(Inputs!$B$12*(1+Inputs!$B$13/100)))+0.25*(Inputs!$B$14-Inputs!$B$14))*(1+Inputs!$B$7/100))*(F2368/100)</f>
        <v/>
      </c>
      <c r="K2368">
        <f>J2368*(1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2368)</f>
        <v/>
      </c>
      <c r="L2368">
        <f>K2368*(MIN(Inputs!$B$22+((C2381=TRUE)*(F2381-Calc!F22)),(Inputs!$B$23+0+(IF(ArtifactsInput!$M$15,CHOOSE(ArtifactsInput!$N$15+1,25,30,35,40,45,50)/100*(Inputs!$B$11-Inputs!$B$11),0))))/100+(Inputs!$B$23+0+(IF(ArtifactsInput!$M$15,CHOOSE(ArtifactsInput!$N$15+1,25,30,35,40,45,50)/100*(Inputs!$B$11-Inputs!$B$11),0)))/100)/2</f>
        <v/>
      </c>
      <c r="M2368">
        <f>L2368*(1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8">
        <f>L2368*(1-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2368*(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8">
        <f>(1-Summary!$B$11)*T2368+Summary!$B$11*V2368</f>
        <v/>
      </c>
      <c r="P2368">
        <f>IF(B2400=0,0,O2368/B2400)</f>
        <v/>
      </c>
      <c r="Q2368">
        <f>IFERROR(1/(IF(Inputs!$B$38="pvp",15,MAX(0.1,Skills!D9-IF(Skills!E9=TRUE,Inputs!$B$32,0)))*(1-IF(AND(ArtifactsInput!$M$27,Inputs!$B$4="Chapter Hunt"),CHOOSE(ArtifactsInput!$N$27+1,20,24,28,32,36,40),0)/100)),0)</f>
        <v/>
      </c>
      <c r="R2368">
        <f>IF(AND(Inputs!$B$38&lt;&gt;"pvp",Inputs!$B$43&gt;0),IF(MAX(0,Inputs!$B$43-B2397)&lt;=0,0,(INT(MAX(0,Inputs!$B$43-B2397)/(IF(Inputs!$B$38="pvp",15,MAX(0.1,Skills!D9-IF(Skills!E9=TRUE,Inputs!$B$32,0)))*(1-IF(AND(ArtifactsInput!$M$27,Inputs!$B$4="Chapter Hunt"),CHOOSE(ArtifactsInput!$N$27+1,20,24,28,32,36,40),0)/100)))+1)),0)</f>
        <v/>
      </c>
      <c r="S2368">
        <f>IFERROR(O2368/N2368,0)</f>
        <v/>
      </c>
      <c r="T2368">
        <f>IF(C2368,(H2368*N2368*IF(AND(Inputs!$B$38&lt;&gt;"pvp",Inputs!$B$43&gt;0),((Skills!G9*((R2368-1)*IF(Skills!H9&gt;0,Skills!I9/Skills!H9,1)+IF(Skills!H9&gt;0,MIN(Skills!I9,MAX(0,MAX(0,Inputs!$B$43-B2397)-((R2368-1)*(IF(Inputs!$B$38="pvp",15,MAX(0.1,Skills!D9-IF(Skills!E9=TRUE,Inputs!$B$32,0)))*(1-IF(AND(ArtifactsInput!$M$27,Inputs!$B$4="Chapter Hunt"),CHOOSE(ArtifactsInput!$N$27+1,20,24,28,32,36,40),0)/100)))))/Skills!H9,1)))/Inputs!$B$43),G2368*Q2368)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2368*(1-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2368*(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2368*(1-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2368*(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8">
        <f>IF(C2368,(H2368*N2368*IF(AND(Inputs!$B$38&lt;&gt;"pvp",Inputs!$B$43&gt;0),((Skills!G9*((R2368-1)*IF(Skills!H9&gt;0,Skills!I9/Skills!H9,1)+IF(Skills!H9&gt;0,MIN(Skills!I9,MAX(0,MAX(0,Inputs!$B$43-B2397)-((R2368-1)*(IF(Inputs!$B$38="pvp",15,MAX(0.1,Skills!D9-IF(Skills!E9=TRUE,Inputs!$B$32,0)))*(1-IF(AND(ArtifactsInput!$M$27,Inputs!$B$4="Chapter Hunt"),CHOOSE(ArtifactsInput!$N$27+1,20,24,28,32,36,40),0)/100)))))/Skills!H9,1)))/Inputs!$B$43),G2368*Q2368))*IF(Inputs!$B$38="pvp",1,(1+(Inputs!$B$21+Skills!Q9+(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9">
      <c r="A2369">
        <f>Skills!A10</f>
        <v/>
      </c>
      <c r="B2369">
        <f>Skills!B10</f>
        <v/>
      </c>
      <c r="C2369">
        <f>Inputs!$B$3&gt;=113</f>
        <v/>
      </c>
      <c r="D2369">
        <f>IF(Skills!C10=1,60+Inputs!$B$25+Inputs!$B$29,IF(Skills!C10=2,90+Inputs!$B$26+Inputs!$B$29,IF(Skills!C10=3,120+Inputs!$B$27+Inputs!$B$29,MAX(0,(Inputs!$B$3-100)*3)+Inputs!$B$28+Inputs!$B$29)))</f>
        <v/>
      </c>
      <c r="E2369">
        <f>INDEX(FactorTable!$B$2:$Y$301, MATCH(ROUND(MIN(300,MAX(1,D2369)),0), FactorTable!$A$2:$A$301,0), Skills!M10+1)</f>
        <v/>
      </c>
      <c r="F2369">
        <f>IF(Skills!N10=TRUE,(Skills!L10/10)*(E2369/1000),Skills!L10/10)+Skills!O10</f>
        <v/>
      </c>
      <c r="G2369">
        <f>Skills!G10*IF(Skills!H10&gt;0,Skills!I10/Skills!H10,1)</f>
        <v/>
      </c>
      <c r="H2369">
        <f>1-(1-Skills!J10/100)^Skills!K10</f>
        <v/>
      </c>
      <c r="I2369" t="inlineStr">
        <is>
          <t>1</t>
        </is>
      </c>
      <c r="J2369">
        <f>((Inputs!$B$6*(1+Inputs!$B$7/100))+(((Inputs!$B$12*(1+Inputs!$B$13/100))-(Inputs!$B$12*(1+Inputs!$B$13/100)))+0.25*(Inputs!$B$14-Inputs!$B$14))*(1+Inputs!$B$7/100))*(F2369/100)</f>
        <v/>
      </c>
      <c r="K2369">
        <f>J2369*(1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2369)</f>
        <v/>
      </c>
      <c r="L2369">
        <f>K2369*(MIN(Inputs!$B$22+((C2381=TRUE)*(F2381-Calc!F22)),(Inputs!$B$23+0+(IF(ArtifactsInput!$M$15,CHOOSE(ArtifactsInput!$N$15+1,25,30,35,40,45,50)/100*(Inputs!$B$11-Inputs!$B$11),0))))/100+(Inputs!$B$23+0+(IF(ArtifactsInput!$M$15,CHOOSE(ArtifactsInput!$N$15+1,25,30,35,40,45,50)/100*(Inputs!$B$11-Inputs!$B$11),0)))/100)/2</f>
        <v/>
      </c>
      <c r="M2369">
        <f>L2369*(1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9">
        <f>L2369*(1-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2369*(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9">
        <f>(1-Summary!$B$11)*T2369+Summary!$B$11*V2369</f>
        <v/>
      </c>
      <c r="P2369">
        <f>IF(B2400=0,0,O2369/B2400)</f>
        <v/>
      </c>
      <c r="Q2369">
        <f>IFERROR(1/(IF(Inputs!$B$38="pvp",15,MAX(0.1,Skills!D10-IF(Skills!E10=TRUE,Inputs!$B$32,0)))*(1-IF(AND(ArtifactsInput!$M$27,Inputs!$B$4="Chapter Hunt"),CHOOSE(ArtifactsInput!$N$27+1,20,24,28,32,36,40),0)/100)),0)</f>
        <v/>
      </c>
      <c r="R2369">
        <f>IF(AND(Inputs!$B$38&lt;&gt;"pvp",Inputs!$B$43&gt;0),IF(MAX(0,Inputs!$B$43-B2397)&lt;=0,0,(INT(MAX(0,Inputs!$B$43-B2397)/(IF(Inputs!$B$38="pvp",15,MAX(0.1,Skills!D10-IF(Skills!E10=TRUE,Inputs!$B$32,0)))*(1-IF(AND(ArtifactsInput!$M$27,Inputs!$B$4="Chapter Hunt"),CHOOSE(ArtifactsInput!$N$27+1,20,24,28,32,36,40),0)/100)))+1)),0)</f>
        <v/>
      </c>
      <c r="S2369">
        <f>IFERROR(O2369/N2369,0)</f>
        <v/>
      </c>
      <c r="T2369">
        <f>IF(C2369,(H2369*N2369*IF(AND(Inputs!$B$38&lt;&gt;"pvp",Inputs!$B$43&gt;0),((Skills!G10*((R2369-1)*IF(Skills!H10&gt;0,Skills!I10/Skills!H10,1)+IF(Skills!H10&gt;0,MIN(Skills!I10,MAX(0,MAX(0,Inputs!$B$43-B2397)-((R2369-1)*(IF(Inputs!$B$38="pvp",15,MAX(0.1,Skills!D10-IF(Skills!E10=TRUE,Inputs!$B$32,0)))*(1-IF(AND(ArtifactsInput!$M$27,Inputs!$B$4="Chapter Hunt"),CHOOSE(ArtifactsInput!$N$27+1,20,24,28,32,36,40),0)/100)))))/Skills!H10,1)))/Inputs!$B$43),G2369*Q2369)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2369*(1-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2369*(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2369*(1-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2369*(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9">
        <f>IF(C2369,(H2369*N2369*IF(AND(Inputs!$B$38&lt;&gt;"pvp",Inputs!$B$43&gt;0),((Skills!G10*((R2369-1)*IF(Skills!H10&gt;0,Skills!I10/Skills!H10,1)+IF(Skills!H10&gt;0,MIN(Skills!I10,MAX(0,MAX(0,Inputs!$B$43-B2397)-((R2369-1)*(IF(Inputs!$B$38="pvp",15,MAX(0.1,Skills!D10-IF(Skills!E10=TRUE,Inputs!$B$32,0)))*(1-IF(AND(ArtifactsInput!$M$27,Inputs!$B$4="Chapter Hunt"),CHOOSE(ArtifactsInput!$N$27+1,20,24,28,32,36,40),0)/100)))))/Skills!H10,1)))/Inputs!$B$43),G2369*Q2369))*IF(Inputs!$B$38="pvp",1,(1+(Inputs!$B$21+Skills!Q10+(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0">
      <c r="A2370">
        <f>Skills!A11</f>
        <v/>
      </c>
      <c r="B2370">
        <f>Skills!B11</f>
        <v/>
      </c>
      <c r="C2370">
        <f>Inputs!$B$3&gt;=107</f>
        <v/>
      </c>
      <c r="D2370">
        <f>IF(Skills!C11=1,60+Inputs!$B$25+Inputs!$B$29,IF(Skills!C11=2,90+Inputs!$B$26+Inputs!$B$29,IF(Skills!C11=3,120+Inputs!$B$27+Inputs!$B$29,MAX(0,(Inputs!$B$3-100)*3)+Inputs!$B$28+Inputs!$B$29)))</f>
        <v/>
      </c>
      <c r="E2370">
        <f>INDEX(FactorTable!$B$2:$Y$301, MATCH(ROUND(MIN(300,MAX(1,D2370)),0), FactorTable!$A$2:$A$301,0), Skills!M11+1)</f>
        <v/>
      </c>
      <c r="F2370">
        <f>IF(Skills!N11=TRUE,(Skills!L11/10)*(E2370/1000),Skills!L11/10)+Skills!O11</f>
        <v/>
      </c>
      <c r="G2370">
        <f>Skills!G11*IF(Skills!H11&gt;0,Skills!I11/Skills!H11,1)</f>
        <v/>
      </c>
      <c r="H2370">
        <f>1-(1-Skills!J11/100)^Skills!K11</f>
        <v/>
      </c>
      <c r="I2370" t="inlineStr">
        <is>
          <t>1</t>
        </is>
      </c>
      <c r="J2370">
        <f>((Inputs!$B$6*(1+Inputs!$B$7/100))+(((Inputs!$B$12*(1+Inputs!$B$13/100))-(Inputs!$B$12*(1+Inputs!$B$13/100)))+0.25*(Inputs!$B$14-Inputs!$B$14))*(1+Inputs!$B$7/100))*(F2370/100)</f>
        <v/>
      </c>
      <c r="K2370">
        <f>J2370*(1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2370)</f>
        <v/>
      </c>
      <c r="L2370">
        <f>K2370*(MIN(Inputs!$B$22+((C2381=TRUE)*(F2381-Calc!F22)),(Inputs!$B$23+0+(IF(ArtifactsInput!$M$15,CHOOSE(ArtifactsInput!$N$15+1,25,30,35,40,45,50)/100*(Inputs!$B$11-Inputs!$B$11),0))))/100+(Inputs!$B$23+0+(IF(ArtifactsInput!$M$15,CHOOSE(ArtifactsInput!$N$15+1,25,30,35,40,45,50)/100*(Inputs!$B$11-Inputs!$B$11),0)))/100)/2</f>
        <v/>
      </c>
      <c r="M2370">
        <f>L2370*(1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0">
        <f>L2370*(1-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2370*(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0">
        <f>(1-Summary!$B$11)*T2370+Summary!$B$11*V2370</f>
        <v/>
      </c>
      <c r="P2370">
        <f>IF(B2400=0,0,O2370/B2400)</f>
        <v/>
      </c>
      <c r="Q2370">
        <f>IFERROR(1/(IF(Inputs!$B$38="pvp",15,MAX(0.1,Skills!D11-IF(Skills!E11=TRUE,Inputs!$B$32,0)))*(1-IF(AND(ArtifactsInput!$M$27,Inputs!$B$4="Chapter Hunt"),CHOOSE(ArtifactsInput!$N$27+1,20,24,28,32,36,40),0)/100)),0)</f>
        <v/>
      </c>
      <c r="R2370">
        <f>IF(AND(Inputs!$B$38&lt;&gt;"pvp",Inputs!$B$43&gt;0),IF(MAX(0,Inputs!$B$43-B2397)&lt;=0,0,(INT(MAX(0,Inputs!$B$43-B2397)/(IF(Inputs!$B$38="pvp",15,MAX(0.1,Skills!D11-IF(Skills!E11=TRUE,Inputs!$B$32,0)))*(1-IF(AND(ArtifactsInput!$M$27,Inputs!$B$4="Chapter Hunt"),CHOOSE(ArtifactsInput!$N$27+1,20,24,28,32,36,40),0)/100)))+1)),0)</f>
        <v/>
      </c>
      <c r="S2370">
        <f>IFERROR(O2370/N2370,0)</f>
        <v/>
      </c>
      <c r="T2370">
        <f>IF(C2370,(H2370*N2370*IF(AND(Inputs!$B$38&lt;&gt;"pvp",Inputs!$B$43&gt;0),((Skills!G11*((R2370-1)*IF(Skills!H11&gt;0,Skills!I11/Skills!H11,1)+IF(Skills!H11&gt;0,MIN(Skills!I11,MAX(0,MAX(0,Inputs!$B$43-B2397)-((R2370-1)*(IF(Inputs!$B$38="pvp",15,MAX(0.1,Skills!D11-IF(Skills!E11=TRUE,Inputs!$B$32,0)))*(1-IF(AND(ArtifactsInput!$M$27,Inputs!$B$4="Chapter Hunt"),CHOOSE(ArtifactsInput!$N$27+1,20,24,28,32,36,40),0)/100)))))/Skills!H11,1)))/Inputs!$B$43),G2370*Q2370)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2370*(1-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2370*(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2370*(1-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2370*(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0">
        <f>IF(C2370,(H2370*N2370*IF(AND(Inputs!$B$38&lt;&gt;"pvp",Inputs!$B$43&gt;0),((Skills!G11*((R2370-1)*IF(Skills!H11&gt;0,Skills!I11/Skills!H11,1)+IF(Skills!H11&gt;0,MIN(Skills!I11,MAX(0,MAX(0,Inputs!$B$43-B2397)-((R2370-1)*(IF(Inputs!$B$38="pvp",15,MAX(0.1,Skills!D11-IF(Skills!E11=TRUE,Inputs!$B$32,0)))*(1-IF(AND(ArtifactsInput!$M$27,Inputs!$B$4="Chapter Hunt"),CHOOSE(ArtifactsInput!$N$27+1,20,24,28,32,36,40),0)/100)))))/Skills!H11,1)))/Inputs!$B$43),G2370*Q2370))*IF(Inputs!$B$38="pvp",1,(1+(Inputs!$B$21+Skills!Q11+(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1">
      <c r="A2371">
        <f>Skills!A12</f>
        <v/>
      </c>
      <c r="B2371">
        <f>Skills!B12</f>
        <v/>
      </c>
      <c r="C2371">
        <f>Inputs!$B$3&gt;=110</f>
        <v/>
      </c>
      <c r="D2371">
        <f>IF(Skills!C12=1,60+Inputs!$B$25+Inputs!$B$29,IF(Skills!C12=2,90+Inputs!$B$26+Inputs!$B$29,IF(Skills!C12=3,120+Inputs!$B$27+Inputs!$B$29,MAX(0,(Inputs!$B$3-100)*3)+Inputs!$B$28+Inputs!$B$29)))</f>
        <v/>
      </c>
      <c r="E2371">
        <f>INDEX(FactorTable!$B$2:$Y$301, MATCH(ROUND(MIN(300,MAX(1,D2371)),0), FactorTable!$A$2:$A$301,0), Skills!M12+1)</f>
        <v/>
      </c>
      <c r="F2371">
        <f>IF(Skills!N12=TRUE,(Skills!L12/10)*(E2371/1000),Skills!L12/10)+Skills!O12</f>
        <v/>
      </c>
      <c r="G2371">
        <f>Skills!G12*IF(Skills!H12&gt;0,Skills!I12/Skills!H12,1)</f>
        <v/>
      </c>
      <c r="H2371">
        <f>1-(1-Skills!J12/100)^Skills!K12</f>
        <v/>
      </c>
      <c r="I2371" t="inlineStr">
        <is>
          <t>1</t>
        </is>
      </c>
      <c r="J2371">
        <f>((Inputs!$B$6*(1+Inputs!$B$7/100))+(((Inputs!$B$12*(1+Inputs!$B$13/100))-(Inputs!$B$12*(1+Inputs!$B$13/100)))+0.25*(Inputs!$B$14-Inputs!$B$14))*(1+Inputs!$B$7/100))*(F2371/100)</f>
        <v/>
      </c>
      <c r="K2371">
        <f>J2371*(1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2371)</f>
        <v/>
      </c>
      <c r="L2371">
        <f>K2371*(MIN(Inputs!$B$22+((C2381=TRUE)*(F2381-Calc!F22)),(Inputs!$B$23+0+(IF(ArtifactsInput!$M$15,CHOOSE(ArtifactsInput!$N$15+1,25,30,35,40,45,50)/100*(Inputs!$B$11-Inputs!$B$11),0))))/100+(Inputs!$B$23+0+(IF(ArtifactsInput!$M$15,CHOOSE(ArtifactsInput!$N$15+1,25,30,35,40,45,50)/100*(Inputs!$B$11-Inputs!$B$11),0)))/100)/2</f>
        <v/>
      </c>
      <c r="M2371">
        <f>L2371*(1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1">
        <f>L2371*(1-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1">
        <f>(1-Summary!$B$11)*T2371+Summary!$B$11*V2371</f>
        <v/>
      </c>
      <c r="P2371">
        <f>IF(B2400=0,0,O2371/B2400)</f>
        <v/>
      </c>
      <c r="Q2371">
        <f>IFERROR(1/(IF(Inputs!$B$38="pvp",15,MAX(0.1,Skills!D12-IF(Skills!E12=TRUE,Inputs!$B$32,0)))*(1-IF(AND(ArtifactsInput!$M$27,Inputs!$B$4="Chapter Hunt"),CHOOSE(ArtifactsInput!$N$27+1,20,24,28,32,36,40),0)/100)),0)</f>
        <v/>
      </c>
      <c r="R2371">
        <f>IF(AND(Inputs!$B$38&lt;&gt;"pvp",Inputs!$B$43&gt;0),IF(MAX(0,Inputs!$B$43-B2397)&lt;=0,0,(INT(MAX(0,Inputs!$B$43-B2397)/(IF(Inputs!$B$38="pvp",15,MAX(0.1,Skills!D12-IF(Skills!E12=TRUE,Inputs!$B$32,0)))*(1-IF(AND(ArtifactsInput!$M$27,Inputs!$B$4="Chapter Hunt"),CHOOSE(ArtifactsInput!$N$27+1,20,24,28,32,36,40),0)/100)))+1)),0)</f>
        <v/>
      </c>
      <c r="S2371">
        <f>IFERROR(O2371/N2371,0)</f>
        <v/>
      </c>
      <c r="T2371">
        <f>IF(C2371,(H2371*N2371*IF(AND(Inputs!$B$38&lt;&gt;"pvp",Inputs!$B$43&gt;0),((Skills!G12*((R2371-1)*IF(Skills!H12&gt;0,Skills!I12/Skills!H12,1)+IF(Skills!H12&gt;0,MIN(Skills!I12,MAX(0,MAX(0,Inputs!$B$43-B2397)-((R2371-1)*(IF(Inputs!$B$38="pvp",15,MAX(0.1,Skills!D12-IF(Skills!E12=TRUE,Inputs!$B$32,0)))*(1-IF(AND(ArtifactsInput!$M$27,Inputs!$B$4="Chapter Hunt"),CHOOSE(ArtifactsInput!$N$27+1,20,24,28,32,36,40),0)/100)))))/Skills!H12,1)))/Inputs!$B$43),G2371*Q2371)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2371*(1-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2371*(1-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1">
        <f>IF(C2371,(H2371*N2371*IF(AND(Inputs!$B$38&lt;&gt;"pvp",Inputs!$B$43&gt;0),((Skills!G12*((R2371-1)*IF(Skills!H12&gt;0,Skills!I12/Skills!H12,1)+IF(Skills!H12&gt;0,MIN(Skills!I12,MAX(0,MAX(0,Inputs!$B$43-B2397)-((R2371-1)*(IF(Inputs!$B$38="pvp",15,MAX(0.1,Skills!D12-IF(Skills!E12=TRUE,Inputs!$B$32,0)))*(1-IF(AND(ArtifactsInput!$M$27,Inputs!$B$4="Chapter Hunt"),CHOOSE(ArtifactsInput!$N$27+1,20,24,28,32,36,40),0)/100)))))/Skills!H12,1)))/Inputs!$B$43),G2371*Q2371))*IF(Inputs!$B$38="pvp",1,(1+(Inputs!$B$21+Skills!Q12+(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2">
      <c r="A2372">
        <f>Skills!A13</f>
        <v/>
      </c>
      <c r="B2372">
        <f>Skills!B13</f>
        <v/>
      </c>
      <c r="C2372">
        <f>Inputs!$B$3&gt;=110</f>
        <v/>
      </c>
      <c r="D2372">
        <f>IF(Skills!C13=1,60+Inputs!$B$25+Inputs!$B$29,IF(Skills!C13=2,90+Inputs!$B$26+Inputs!$B$29,IF(Skills!C13=3,120+Inputs!$B$27+Inputs!$B$29,MAX(0,(Inputs!$B$3-100)*3)+Inputs!$B$28+Inputs!$B$29)))</f>
        <v/>
      </c>
      <c r="E2372">
        <f>INDEX(FactorTable!$B$2:$Y$301, MATCH(ROUND(MIN(300,MAX(1,D2372)),0), FactorTable!$A$2:$A$301,0), Skills!M13+1)</f>
        <v/>
      </c>
      <c r="F2372">
        <f>IF(Skills!N13=TRUE,(Skills!L13/10)*(E2372/1000),Skills!L13/10)+Skills!O13</f>
        <v/>
      </c>
      <c r="G2372">
        <f>Skills!G13*IF(Skills!H13&gt;0,Skills!I13/Skills!H13,1)</f>
        <v/>
      </c>
      <c r="H2372">
        <f>1-(1-Skills!J13/100)^Skills!K13</f>
        <v/>
      </c>
      <c r="I2372" t="inlineStr">
        <is>
          <t>1</t>
        </is>
      </c>
      <c r="J2372">
        <f>((Inputs!$B$6*(1+Inputs!$B$7/100))+(((Inputs!$B$12*(1+Inputs!$B$13/100))-(Inputs!$B$12*(1+Inputs!$B$13/100)))+0.25*(Inputs!$B$14-Inputs!$B$14))*(1+Inputs!$B$7/100))*(F2372/100)</f>
        <v/>
      </c>
      <c r="K2372">
        <f>J2372*(1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2372)</f>
        <v/>
      </c>
      <c r="L2372">
        <f>K2372*(MIN(Inputs!$B$22+((C2381=TRUE)*(F2381-Calc!F22)),(Inputs!$B$23+0+(IF(ArtifactsInput!$M$15,CHOOSE(ArtifactsInput!$N$15+1,25,30,35,40,45,50)/100*(Inputs!$B$11-Inputs!$B$11),0))))/100+(Inputs!$B$23+0+(IF(ArtifactsInput!$M$15,CHOOSE(ArtifactsInput!$N$15+1,25,30,35,40,45,50)/100*(Inputs!$B$11-Inputs!$B$11),0)))/100)/2</f>
        <v/>
      </c>
      <c r="M2372">
        <f>L2372*(1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2">
        <f>L2372*(1-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2372*(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2">
        <f>(1-Summary!$B$11)*T2372+Summary!$B$11*V2372</f>
        <v/>
      </c>
      <c r="P2372">
        <f>IF(B2400=0,0,O2372/B2400)</f>
        <v/>
      </c>
      <c r="Q2372">
        <f>IFERROR(1/(IF(Inputs!$B$38="pvp",15,MAX(0.1,Skills!D13-IF(Skills!E13=TRUE,Inputs!$B$32,0)))*(1-IF(AND(ArtifactsInput!$M$27,Inputs!$B$4="Chapter Hunt"),CHOOSE(ArtifactsInput!$N$27+1,20,24,28,32,36,40),0)/100)),0)</f>
        <v/>
      </c>
      <c r="R2372">
        <f>IF(AND(Inputs!$B$38&lt;&gt;"pvp",Inputs!$B$43&gt;0),IF(MAX(0,Inputs!$B$43-B2397)&lt;=0,0,(INT(MAX(0,Inputs!$B$43-B2397)/(IF(Inputs!$B$38="pvp",15,MAX(0.1,Skills!D13-IF(Skills!E13=TRUE,Inputs!$B$32,0)))*(1-IF(AND(ArtifactsInput!$M$27,Inputs!$B$4="Chapter Hunt"),CHOOSE(ArtifactsInput!$N$27+1,20,24,28,32,36,40),0)/100)))+1)),0)</f>
        <v/>
      </c>
      <c r="S2372">
        <f>IFERROR(O2372/N2372,0)</f>
        <v/>
      </c>
      <c r="T2372">
        <f>IF(C2372,(H2372*N2372*IF(AND(Inputs!$B$38&lt;&gt;"pvp",Inputs!$B$43&gt;0),((Skills!G13*((R2372-1)*IF(Skills!H13&gt;0,Skills!I13/Skills!H13,1)+IF(Skills!H13&gt;0,MIN(Skills!I13,MAX(0,MAX(0,Inputs!$B$43-B2397)-((R2372-1)*(IF(Inputs!$B$38="pvp",15,MAX(0.1,Skills!D13-IF(Skills!E13=TRUE,Inputs!$B$32,0)))*(1-IF(AND(ArtifactsInput!$M$27,Inputs!$B$4="Chapter Hunt"),CHOOSE(ArtifactsInput!$N$27+1,20,24,28,32,36,40),0)/100)))))/Skills!H13,1)))/Inputs!$B$43),G2372*Q2372)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2372*(1-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2372*(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2372*(1-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2372*(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2">
        <f>IF(C2372,(H2372*N2372*IF(AND(Inputs!$B$38&lt;&gt;"pvp",Inputs!$B$43&gt;0),((Skills!G13*((R2372-1)*IF(Skills!H13&gt;0,Skills!I13/Skills!H13,1)+IF(Skills!H13&gt;0,MIN(Skills!I13,MAX(0,MAX(0,Inputs!$B$43-B2397)-((R2372-1)*(IF(Inputs!$B$38="pvp",15,MAX(0.1,Skills!D13-IF(Skills!E13=TRUE,Inputs!$B$32,0)))*(1-IF(AND(ArtifactsInput!$M$27,Inputs!$B$4="Chapter Hunt"),CHOOSE(ArtifactsInput!$N$27+1,20,24,28,32,36,40),0)/100)))))/Skills!H13,1)))/Inputs!$B$43),G2372*Q2372))*IF(Inputs!$B$38="pvp",1,(1+(Inputs!$B$21+Skills!Q13+(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3">
      <c r="A2373">
        <f>Skills!A14</f>
        <v/>
      </c>
      <c r="B2373">
        <f>Skills!B14</f>
        <v/>
      </c>
      <c r="C2373">
        <f>Inputs!$B$3&gt;=125</f>
        <v/>
      </c>
      <c r="D2373">
        <f>IF(Skills!C14=1,60+Inputs!$B$25+Inputs!$B$29,IF(Skills!C14=2,90+Inputs!$B$26+Inputs!$B$29,IF(Skills!C14=3,120+Inputs!$B$27+Inputs!$B$29,MAX(0,(Inputs!$B$3-100)*3)+Inputs!$B$28+Inputs!$B$29)))</f>
        <v/>
      </c>
      <c r="E2373">
        <f>INDEX(FactorTable!$B$2:$Y$301, MATCH(ROUND(MIN(300,MAX(1,D2373)),0), FactorTable!$A$2:$A$301,0), Skills!M14+1)</f>
        <v/>
      </c>
      <c r="F2373">
        <f>IF(Skills!N14=TRUE,(Skills!L14/10)*(E2373/1000),Skills!L14/10)+Skills!O14</f>
        <v/>
      </c>
      <c r="G2373">
        <f>Skills!G14*IF(Skills!H14&gt;0,Skills!I14/Skills!H14,1)</f>
        <v/>
      </c>
      <c r="H2373">
        <f>1-(1-Skills!J14/100)^Skills!K14</f>
        <v/>
      </c>
      <c r="I2373" t="inlineStr">
        <is>
          <t>1</t>
        </is>
      </c>
      <c r="J2373">
        <f>((Inputs!$B$6*(1+Inputs!$B$7/100))+(((Inputs!$B$12*(1+Inputs!$B$13/100))-(Inputs!$B$12*(1+Inputs!$B$13/100)))+0.25*(Inputs!$B$14-Inputs!$B$14))*(1+Inputs!$B$7/100))*(F2373/100)</f>
        <v/>
      </c>
      <c r="K2373">
        <f>J2373*(1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2373)</f>
        <v/>
      </c>
      <c r="L2373">
        <f>K2373*(MIN(Inputs!$B$22+((C2381=TRUE)*(F2381-Calc!F22)),(Inputs!$B$23+0+(IF(ArtifactsInput!$M$15,CHOOSE(ArtifactsInput!$N$15+1,25,30,35,40,45,50)/100*(Inputs!$B$11-Inputs!$B$11),0))))/100+(Inputs!$B$23+0+(IF(ArtifactsInput!$M$15,CHOOSE(ArtifactsInput!$N$15+1,25,30,35,40,45,50)/100*(Inputs!$B$11-Inputs!$B$11),0)))/100)/2</f>
        <v/>
      </c>
      <c r="M2373">
        <f>L2373*(1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3">
        <f>L2373*(1-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2373*(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3">
        <f>(1-Summary!$B$11)*T2373+Summary!$B$11*V2373</f>
        <v/>
      </c>
      <c r="P2373">
        <f>IF(B2400=0,0,O2373/B2400)</f>
        <v/>
      </c>
      <c r="Q2373" t="n">
        <v>0</v>
      </c>
      <c r="R2373" t="n">
        <v>0</v>
      </c>
      <c r="S2373">
        <f>IFERROR(O2373/N2373,0)</f>
        <v/>
      </c>
      <c r="T2373">
        <f>IF(C2373,(H2373*N2373*(B2394+IF(AND(Inputs!$B$38&lt;&gt;"pvp",Inputs!$B$43&gt;0),((Skills!G8*((R2367-1)*IF(Skills!H8&gt;0,Skills!I8/Skills!H8,1)+IF(Skills!H8&gt;0,MIN(Skills!I8,MAX(0,MAX(0,Inputs!$B$43-B2397)-((R2367-1)*(IF(Inputs!$B$38="pvp",15,MAX(0.1,Skills!D8-IF(Skills!E8=TRUE,Inputs!$B$32,0)))*(1-IF(AND(ArtifactsInput!$M$27,Inputs!$B$4="Chapter Hunt"),CHOOSE(ArtifactsInput!$N$27+1,20,24,28,32,36,40),0)/100)))))/Skills!H8,1)))/Inputs!$B$43),G2367*Q2367)+IF(AND(Inputs!$B$38&lt;&gt;"pvp",Inputs!$B$43&gt;0),((Skills!G11*((R2370-1)*IF(Skills!H11&gt;0,Skills!I11/Skills!H11,1)+IF(Skills!H11&gt;0,MIN(Skills!I11,MAX(0,MAX(0,Inputs!$B$43-B2397)-((R2370-1)*(IF(Inputs!$B$38="pvp",15,MAX(0.1,Skills!D11-IF(Skills!E11=TRUE,Inputs!$B$32,0)))*(1-IF(AND(ArtifactsInput!$M$27,Inputs!$B$4="Chapter Hunt"),CHOOSE(ArtifactsInput!$N$27+1,20,24,28,32,36,40),0)/100)))))/Skills!H11,1)))/Inputs!$B$43),G2370*Q2370)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2373*(1-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2373*(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2373*(1-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2373*(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3">
        <f>IF(C2373,(H2373*N2373*(B2394+IF(AND(Inputs!$B$38&lt;&gt;"pvp",Inputs!$B$43&gt;0),((Skills!G8*((R2367-1)*IF(Skills!H8&gt;0,Skills!I8/Skills!H8,1)+IF(Skills!H8&gt;0,MIN(Skills!I8,MAX(0,MAX(0,Inputs!$B$43-B2397)-((R2367-1)*(IF(Inputs!$B$38="pvp",15,MAX(0.1,Skills!D8-IF(Skills!E8=TRUE,Inputs!$B$32,0)))*(1-IF(AND(ArtifactsInput!$M$27,Inputs!$B$4="Chapter Hunt"),CHOOSE(ArtifactsInput!$N$27+1,20,24,28,32,36,40),0)/100)))))/Skills!H8,1)))/Inputs!$B$43),G2367*Q2367)+IF(AND(Inputs!$B$38&lt;&gt;"pvp",Inputs!$B$43&gt;0),((Skills!G11*((R2370-1)*IF(Skills!H11&gt;0,Skills!I11/Skills!H11,1)+IF(Skills!H11&gt;0,MIN(Skills!I11,MAX(0,MAX(0,Inputs!$B$43-B2397)-((R2370-1)*(IF(Inputs!$B$38="pvp",15,MAX(0.1,Skills!D11-IF(Skills!E11=TRUE,Inputs!$B$32,0)))*(1-IF(AND(ArtifactsInput!$M$27,Inputs!$B$4="Chapter Hunt"),CHOOSE(ArtifactsInput!$N$27+1,20,24,28,32,36,40),0)/100)))))/Skills!H11,1)))/Inputs!$B$43),G2370*Q2370)))*IF(Inputs!$B$38="pvp",1,(1+(Inputs!$B$21+Skills!Q14+(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4">
      <c r="A2374">
        <f>Skills!A15</f>
        <v/>
      </c>
      <c r="B2374">
        <f>Skills!B15</f>
        <v/>
      </c>
      <c r="C2374">
        <f>Inputs!$B$3&gt;=100</f>
        <v/>
      </c>
      <c r="D2374">
        <f>IF(Skills!C15=1,60+Inputs!$B$25+Inputs!$B$29,IF(Skills!C15=2,90+Inputs!$B$26+Inputs!$B$29,IF(Skills!C15=3,120+Inputs!$B$27+Inputs!$B$29,MAX(0,(Inputs!$B$3-100)*3)+Inputs!$B$28+Inputs!$B$29)))</f>
        <v/>
      </c>
      <c r="E2374">
        <f>INDEX(FactorTable!$B$2:$Y$301, MATCH(ROUND(MIN(300,MAX(1,D2374)),0), FactorTable!$A$2:$A$301,0), Skills!M15+1)</f>
        <v/>
      </c>
      <c r="F2374">
        <f>IF(Skills!N15=TRUE,(Skills!L15/10)*(E2374/1000),Skills!L15/10)+Skills!O15</f>
        <v/>
      </c>
      <c r="G2374" t="inlineStr"/>
      <c r="H2374" t="inlineStr"/>
      <c r="I2374" t="inlineStr">
        <is>
          <t>1</t>
        </is>
      </c>
      <c r="J2374" t="inlineStr"/>
      <c r="K2374" t="inlineStr"/>
      <c r="L2374" t="inlineStr"/>
      <c r="M2374" t="inlineStr"/>
      <c r="N2374" t="inlineStr"/>
      <c r="O2374" t="inlineStr"/>
      <c r="P2374" t="inlineStr"/>
      <c r="Q2374" t="inlineStr"/>
      <c r="R2374" t="inlineStr"/>
      <c r="S2374" t="inlineStr"/>
    </row>
    <row r="2375">
      <c r="A2375">
        <f>Skills!A16</f>
        <v/>
      </c>
      <c r="B2375">
        <f>Skills!B16</f>
        <v/>
      </c>
      <c r="C2375">
        <f>Inputs!$B$3&gt;=120</f>
        <v/>
      </c>
      <c r="D2375">
        <f>IF(Skills!C16=1,60+Inputs!$B$25+Inputs!$B$29,IF(Skills!C16=2,90+Inputs!$B$26+Inputs!$B$29,IF(Skills!C16=3,120+Inputs!$B$27+Inputs!$B$29,MAX(0,(Inputs!$B$3-100)*3)+Inputs!$B$28+Inputs!$B$29)))</f>
        <v/>
      </c>
      <c r="E2375">
        <f>INDEX(FactorTable!$B$2:$Y$301, MATCH(ROUND(MIN(300,MAX(1,D2375)),0), FactorTable!$A$2:$A$301,0), Skills!M16+1)</f>
        <v/>
      </c>
      <c r="F2375">
        <f>IF(Skills!N16=TRUE,(Skills!L16/10)*(E2375/1000),Skills!L16/10)+Skills!O16</f>
        <v/>
      </c>
      <c r="G2375" t="inlineStr"/>
      <c r="H2375" t="inlineStr"/>
      <c r="I2375" t="inlineStr">
        <is>
          <t>1</t>
        </is>
      </c>
      <c r="J2375" t="inlineStr"/>
      <c r="K2375" t="inlineStr"/>
      <c r="L2375" t="inlineStr"/>
      <c r="M2375" t="inlineStr"/>
      <c r="N2375" t="inlineStr"/>
      <c r="O2375" t="inlineStr"/>
      <c r="P2375" t="inlineStr"/>
      <c r="Q2375" t="inlineStr"/>
      <c r="R2375" t="inlineStr"/>
      <c r="S2375" t="inlineStr"/>
    </row>
    <row r="2376">
      <c r="A2376">
        <f>Skills!A17</f>
        <v/>
      </c>
      <c r="B2376">
        <f>Skills!B17</f>
        <v/>
      </c>
      <c r="C2376">
        <f>Inputs!$B$3&gt;=66</f>
        <v/>
      </c>
      <c r="D2376">
        <f>IF(Skills!C17=1,60+Inputs!$B$25+Inputs!$B$29,IF(Skills!C17=2,90+Inputs!$B$26+Inputs!$B$29,IF(Skills!C17=3,120+Inputs!$B$27+Inputs!$B$29,MAX(0,(Inputs!$B$3-100)*3)+Inputs!$B$28+Inputs!$B$29)))</f>
        <v/>
      </c>
      <c r="E2376">
        <f>INDEX(FactorTable!$B$2:$Y$301, MATCH(ROUND(MIN(300,MAX(1,D2376)),0), FactorTable!$A$2:$A$301,0), Skills!M17+1)</f>
        <v/>
      </c>
      <c r="F2376">
        <f>IF(Skills!N17=TRUE,(Skills!L17/10)*(E2376/1000),Skills!L17/10)+Skills!O17</f>
        <v/>
      </c>
      <c r="G2376">
        <f>Skills!G17*IF(Skills!H17&gt;0,Skills!I17/Skills!H17,1)</f>
        <v/>
      </c>
      <c r="H2376">
        <f>1-(1-Skills!J17/100)^Skills!K17</f>
        <v/>
      </c>
      <c r="I2376" t="inlineStr">
        <is>
          <t>1</t>
        </is>
      </c>
      <c r="J2376" t="inlineStr"/>
      <c r="K2376" t="inlineStr"/>
      <c r="L2376" t="inlineStr"/>
      <c r="M2376" t="inlineStr"/>
      <c r="N2376" t="inlineStr"/>
      <c r="O2376">
        <f>(1-Summary!$B$11)*T2376+Summary!$B$11*V2376</f>
        <v/>
      </c>
      <c r="P2376">
        <f>IF(B2400=0,0,O2376/B2400)</f>
        <v/>
      </c>
      <c r="Q2376" t="n">
        <v>0</v>
      </c>
      <c r="R2376" t="n">
        <v>0</v>
      </c>
      <c r="S2376">
        <f>IFERROR(O2376/N2376,0)</f>
        <v/>
      </c>
      <c r="T2376" t="n">
        <v>0</v>
      </c>
      <c r="V2376" t="n">
        <v>0</v>
      </c>
    </row>
    <row r="2377">
      <c r="A2377">
        <f>Skills!A18</f>
        <v/>
      </c>
      <c r="B2377">
        <f>Skills!B18</f>
        <v/>
      </c>
      <c r="C2377">
        <f>Inputs!$B$3&gt;=115</f>
        <v/>
      </c>
      <c r="D2377">
        <f>IF(Skills!C18=1,60+Inputs!$B$25+Inputs!$B$29,IF(Skills!C18=2,90+Inputs!$B$26+Inputs!$B$29,IF(Skills!C18=3,120+Inputs!$B$27+Inputs!$B$29,MAX(0,(Inputs!$B$3-100)*3)+Inputs!$B$28+Inputs!$B$29)))</f>
        <v/>
      </c>
      <c r="E2377">
        <f>INDEX(FactorTable!$B$2:$Y$301, MATCH(ROUND(MIN(300,MAX(1,D2377)),0), FactorTable!$A$2:$A$301,0), Skills!M18+1)</f>
        <v/>
      </c>
      <c r="F2377">
        <f>IF(Skills!N18=TRUE,(Skills!L18/10)*(E2377/1000),Skills!L18/10)+Skills!O18</f>
        <v/>
      </c>
      <c r="G2377">
        <f>Skills!G18*IF(Skills!H18&gt;0,Skills!I18/Skills!H18,1)</f>
        <v/>
      </c>
      <c r="H2377">
        <f>1-(1-Skills!J18/100)^Skills!K18</f>
        <v/>
      </c>
      <c r="I2377" t="inlineStr">
        <is>
          <t>1</t>
        </is>
      </c>
      <c r="J2377" t="inlineStr"/>
      <c r="K2377" t="inlineStr"/>
      <c r="L2377" t="inlineStr"/>
      <c r="M2377" t="inlineStr"/>
      <c r="N2377" t="inlineStr"/>
      <c r="O2377">
        <f>(1-Summary!$B$11)*T2377+Summary!$B$11*V2377</f>
        <v/>
      </c>
      <c r="P2377">
        <f>IF(B2400=0,0,O2377/B2400)</f>
        <v/>
      </c>
      <c r="Q2377">
        <f>IFERROR(1/(IF(Inputs!$B$38="pvp",15,MAX(0.1,Skills!D18-IF(Skills!E18=TRUE,Inputs!$B$32,0)))*(1-IF(AND(ArtifactsInput!$M$27,Inputs!$B$4="Chapter Hunt"),CHOOSE(ArtifactsInput!$N$27+1,20,24,28,32,36,40),0)/100)),0)</f>
        <v/>
      </c>
      <c r="R2377">
        <f>IF(AND(Inputs!$B$38&lt;&gt;"pvp",Inputs!$B$43&gt;0),IF(Inputs!$B$43&lt;=0,0,(INT(Inputs!$B$43/(IF(Inputs!$B$38="pvp",15,MAX(0.1,Skills!D18-IF(Skills!E18=TRUE,Inputs!$B$32,0)))*(1-IF(AND(ArtifactsInput!$M$27,Inputs!$B$4="Chapter Hunt"),CHOOSE(ArtifactsInput!$N$27+1,20,24,28,32,36,40),0)/100)))+1)),0)</f>
        <v/>
      </c>
      <c r="S2377">
        <f>IFERROR(O2377/N2377,0)</f>
        <v/>
      </c>
      <c r="T2377" t="n">
        <v>0</v>
      </c>
      <c r="V2377" t="n">
        <v>0</v>
      </c>
    </row>
    <row r="2378">
      <c r="A2378">
        <f>Skills!A19</f>
        <v/>
      </c>
      <c r="B2378">
        <f>Skills!B19</f>
        <v/>
      </c>
      <c r="C2378">
        <f>Inputs!$B$3&gt;=15</f>
        <v/>
      </c>
      <c r="D2378">
        <f>IF(Skills!C19=1,60+Inputs!$B$25+Inputs!$B$29,IF(Skills!C19=2,90+Inputs!$B$26+Inputs!$B$29,IF(Skills!C19=3,120+Inputs!$B$27+Inputs!$B$29,MAX(0,(Inputs!$B$3-100)*3)+Inputs!$B$28+Inputs!$B$29)))</f>
        <v/>
      </c>
      <c r="E2378">
        <f>INDEX(FactorTable!$B$2:$Y$301, MATCH(ROUND(MIN(300,MAX(1,D2378)),0), FactorTable!$A$2:$A$301,0), Skills!M19+1)</f>
        <v/>
      </c>
      <c r="F2378">
        <f>IF(Skills!N19=TRUE,(Skills!L19/10)*(E2378/1000),Skills!L19/10)+Skills!O19</f>
        <v/>
      </c>
      <c r="G2378">
        <f>Skills!G19*IF(Skills!H19&gt;0,Skills!I19/Skills!H19,1)</f>
        <v/>
      </c>
      <c r="H2378">
        <f>1-(1-Skills!J19/100)^Skills!K19</f>
        <v/>
      </c>
      <c r="I2378" t="inlineStr">
        <is>
          <t>1</t>
        </is>
      </c>
      <c r="J2378" t="inlineStr"/>
      <c r="K2378" t="inlineStr"/>
      <c r="L2378" t="inlineStr"/>
      <c r="M2378" t="inlineStr"/>
      <c r="N2378" t="inlineStr"/>
      <c r="O2378">
        <f>(1-Summary!$B$11)*T2378+Summary!$B$11*V2378</f>
        <v/>
      </c>
      <c r="P2378">
        <f>IF(B2400=0,0,O2378/B2400)</f>
        <v/>
      </c>
      <c r="Q2378" t="n">
        <v>0</v>
      </c>
      <c r="R2378" t="n">
        <v>0</v>
      </c>
      <c r="S2378">
        <f>IFERROR(O2378/N2378,0)</f>
        <v/>
      </c>
      <c r="T2378" t="n">
        <v>0</v>
      </c>
      <c r="V2378" t="n">
        <v>0</v>
      </c>
    </row>
    <row r="2379">
      <c r="A2379">
        <f>Skills!A20</f>
        <v/>
      </c>
      <c r="B2379">
        <f>Skills!B20</f>
        <v/>
      </c>
      <c r="C2379">
        <f>Inputs!$B$3&gt;=10</f>
        <v/>
      </c>
      <c r="D2379">
        <f>IF(Skills!C20=1,60+Inputs!$B$25+Inputs!$B$29,IF(Skills!C20=2,90+Inputs!$B$26+Inputs!$B$29,IF(Skills!C20=3,120+Inputs!$B$27+Inputs!$B$29,MAX(0,(Inputs!$B$3-100)*3)+Inputs!$B$28+Inputs!$B$29)))</f>
        <v/>
      </c>
      <c r="E2379">
        <f>INDEX(FactorTable!$B$2:$Y$301, MATCH(ROUND(MIN(300,MAX(1,D2379)),0), FactorTable!$A$2:$A$301,0), Skills!M20+1)</f>
        <v/>
      </c>
      <c r="F2379">
        <f>IF(Skills!N20=TRUE,(Skills!L20/10)*(E2379/1000),Skills!L20/10)+Skills!O20</f>
        <v/>
      </c>
      <c r="G2379">
        <f>Skills!G20*IF(Skills!H20&gt;0,Skills!I20/Skills!H20,1)</f>
        <v/>
      </c>
      <c r="H2379">
        <f>1-(1-Skills!J20/100)^Skills!K20</f>
        <v/>
      </c>
      <c r="I2379" t="inlineStr">
        <is>
          <t>1</t>
        </is>
      </c>
      <c r="J2379" t="inlineStr"/>
      <c r="K2379" t="inlineStr"/>
      <c r="L2379" t="inlineStr"/>
      <c r="M2379" t="inlineStr"/>
      <c r="N2379" t="inlineStr"/>
      <c r="O2379">
        <f>(1-Summary!$B$11)*T2379+Summary!$B$11*V2379</f>
        <v/>
      </c>
      <c r="P2379">
        <f>IF(B2400=0,0,O2379/B2400)</f>
        <v/>
      </c>
      <c r="Q2379" t="n">
        <v>0</v>
      </c>
      <c r="R2379" t="n">
        <v>0</v>
      </c>
      <c r="S2379">
        <f>IFERROR(O2379/N2379,0)</f>
        <v/>
      </c>
      <c r="T2379" t="n">
        <v>0</v>
      </c>
      <c r="V2379" t="n">
        <v>0</v>
      </c>
    </row>
    <row r="2380">
      <c r="A2380">
        <f>Skills!A21</f>
        <v/>
      </c>
      <c r="B2380">
        <f>Skills!B21</f>
        <v/>
      </c>
      <c r="C2380">
        <f>Inputs!$B$3&gt;=33</f>
        <v/>
      </c>
      <c r="D2380">
        <f>IF(Skills!C21=1,60+Inputs!$B$25+Inputs!$B$29,IF(Skills!C21=2,90+Inputs!$B$26+Inputs!$B$29,IF(Skills!C21=3,120+Inputs!$B$27+Inputs!$B$29,MAX(0,(Inputs!$B$3-100)*3)+Inputs!$B$28+Inputs!$B$29)))</f>
        <v/>
      </c>
      <c r="E2380">
        <f>INDEX(FactorTable!$B$2:$Y$301, MATCH(ROUND(MIN(300,MAX(1,D2380)),0), FactorTable!$A$2:$A$301,0), Skills!M21+1)</f>
        <v/>
      </c>
      <c r="F2380">
        <f>IF(Skills!N21=TRUE,(Skills!L21/10)*(E2380/1000),Skills!L21/10)+Skills!O21</f>
        <v/>
      </c>
      <c r="G2380">
        <f>Skills!G21*IF(Skills!H21&gt;0,Skills!I21/Skills!H21,1)</f>
        <v/>
      </c>
      <c r="H2380">
        <f>1-(1-Skills!J21/100)^Skills!K21</f>
        <v/>
      </c>
      <c r="I2380" t="inlineStr">
        <is>
          <t>1</t>
        </is>
      </c>
      <c r="J2380" t="inlineStr"/>
      <c r="K2380" t="inlineStr"/>
      <c r="L2380" t="inlineStr"/>
      <c r="M2380" t="inlineStr"/>
      <c r="N2380" t="inlineStr"/>
      <c r="O2380">
        <f>(1-Summary!$B$11)*T2380+Summary!$B$11*V2380</f>
        <v/>
      </c>
      <c r="P2380">
        <f>IF(B2400=0,0,O2380/B2400)</f>
        <v/>
      </c>
      <c r="Q2380" t="n">
        <v>0</v>
      </c>
      <c r="R2380" t="n">
        <v>0</v>
      </c>
      <c r="S2380">
        <f>IFERROR(O2380/N2380,0)</f>
        <v/>
      </c>
      <c r="T2380" t="n">
        <v>0</v>
      </c>
      <c r="V2380" t="n">
        <v>0</v>
      </c>
    </row>
    <row r="2381">
      <c r="A2381">
        <f>Skills!A22</f>
        <v/>
      </c>
      <c r="B2381">
        <f>Skills!B22</f>
        <v/>
      </c>
      <c r="C2381">
        <f>Inputs!$B$3&gt;=43</f>
        <v/>
      </c>
      <c r="D2381">
        <f>IF(Skills!C22=1,60+Inputs!$B$25+Inputs!$B$29,IF(Skills!C22=2,90+Inputs!$B$26+Inputs!$B$29,IF(Skills!C22=3,120+Inputs!$B$27+Inputs!$B$29,MAX(0,(Inputs!$B$3-100)*3)+Inputs!$B$28+Inputs!$B$29)))</f>
        <v/>
      </c>
      <c r="E2381">
        <f>INDEX(FactorTable!$B$2:$Y$301, MATCH(ROUND(MIN(300,MAX(1,D2381)),0), FactorTable!$A$2:$A$301,0), Skills!M22+1)</f>
        <v/>
      </c>
      <c r="F2381">
        <f>IF(Skills!N22=TRUE,(Skills!L22/10)*(E2381/1000),Skills!L22/10)+Skills!O22</f>
        <v/>
      </c>
      <c r="G2381">
        <f>Skills!G22*IF(Skills!H22&gt;0,Skills!I22/Skills!H22,1)</f>
        <v/>
      </c>
      <c r="H2381">
        <f>1-(1-Skills!J22/100)^Skills!K22</f>
        <v/>
      </c>
      <c r="I2381" t="inlineStr">
        <is>
          <t>1</t>
        </is>
      </c>
      <c r="J2381" t="inlineStr"/>
      <c r="K2381" t="inlineStr"/>
      <c r="L2381" t="inlineStr"/>
      <c r="M2381" t="inlineStr"/>
      <c r="N2381" t="inlineStr"/>
      <c r="O2381">
        <f>(1-Summary!$B$11)*T2381+Summary!$B$11*V2381</f>
        <v/>
      </c>
      <c r="P2381">
        <f>IF(B2400=0,0,O2381/B2400)</f>
        <v/>
      </c>
      <c r="Q2381" t="n">
        <v>0</v>
      </c>
      <c r="R2381" t="n">
        <v>0</v>
      </c>
      <c r="S2381">
        <f>IFERROR(O2381/N2381,0)</f>
        <v/>
      </c>
      <c r="T2381" t="n">
        <v>0</v>
      </c>
      <c r="V2381" t="n">
        <v>0</v>
      </c>
    </row>
    <row r="2382">
      <c r="A2382">
        <f>Skills!A23</f>
        <v/>
      </c>
      <c r="B2382">
        <f>Skills!B23</f>
        <v/>
      </c>
      <c r="C2382">
        <f>Inputs!$B$3&gt;=38</f>
        <v/>
      </c>
      <c r="D2382">
        <f>IF(Skills!C23=1,60+Inputs!$B$25+Inputs!$B$29,IF(Skills!C23=2,90+Inputs!$B$26+Inputs!$B$29,IF(Skills!C23=3,120+Inputs!$B$27+Inputs!$B$29,MAX(0,(Inputs!$B$3-100)*3)+Inputs!$B$28+Inputs!$B$29)))</f>
        <v/>
      </c>
      <c r="E2382">
        <f>INDEX(FactorTable!$B$2:$Y$301, MATCH(ROUND(MIN(300,MAX(1,D2382)),0), FactorTable!$A$2:$A$301,0), Skills!M23+1)</f>
        <v/>
      </c>
      <c r="F2382">
        <f>IF(Skills!N23=TRUE,(Skills!L23/10)*(E2382/1000),Skills!L23/10)+Skills!O23</f>
        <v/>
      </c>
      <c r="G2382">
        <f>Skills!G23*IF(Skills!H23&gt;0,Skills!I23/Skills!H23,1)</f>
        <v/>
      </c>
      <c r="H2382">
        <f>1-(1-Skills!J23/100)^Skills!K23</f>
        <v/>
      </c>
      <c r="I2382" t="inlineStr">
        <is>
          <t>1</t>
        </is>
      </c>
      <c r="J2382" t="inlineStr"/>
      <c r="K2382" t="inlineStr"/>
      <c r="L2382" t="inlineStr"/>
      <c r="M2382" t="inlineStr"/>
      <c r="N2382" t="inlineStr"/>
      <c r="O2382">
        <f>(1-Summary!$B$11)*T2382+Summary!$B$11*V2382</f>
        <v/>
      </c>
      <c r="P2382">
        <f>IF(B2400=0,0,O2382/B2400)</f>
        <v/>
      </c>
      <c r="Q2382" t="n">
        <v>0</v>
      </c>
      <c r="R2382" t="n">
        <v>0</v>
      </c>
      <c r="S2382">
        <f>IFERROR(O2382/N2382,0)</f>
        <v/>
      </c>
      <c r="T2382" t="n">
        <v>0</v>
      </c>
      <c r="V2382" t="n">
        <v>0</v>
      </c>
    </row>
    <row r="2383">
      <c r="A2383">
        <f>Skills!A24</f>
        <v/>
      </c>
      <c r="B2383">
        <f>Skills!B24</f>
        <v/>
      </c>
      <c r="C2383">
        <f>Inputs!$B$3&gt;=40</f>
        <v/>
      </c>
      <c r="D2383">
        <f>IF(Skills!C24=1,60+Inputs!$B$25+Inputs!$B$29,IF(Skills!C24=2,90+Inputs!$B$26+Inputs!$B$29,IF(Skills!C24=3,120+Inputs!$B$27+Inputs!$B$29,MAX(0,(Inputs!$B$3-100)*3)+Inputs!$B$28+Inputs!$B$29)))</f>
        <v/>
      </c>
      <c r="E2383">
        <f>INDEX(FactorTable!$B$2:$Y$301, MATCH(ROUND(MIN(300,MAX(1,D2383)),0), FactorTable!$A$2:$A$301,0), Skills!M24+1)</f>
        <v/>
      </c>
      <c r="F2383">
        <f>IF(Skills!N24=TRUE,(Skills!L24/10)*(E2383/1000),Skills!L24/10)+Skills!O24</f>
        <v/>
      </c>
      <c r="G2383">
        <f>Skills!G24*IF(Skills!H24&gt;0,Skills!I24/Skills!H24,1)</f>
        <v/>
      </c>
      <c r="H2383">
        <f>1-(1-Skills!J24/100)^Skills!K24</f>
        <v/>
      </c>
      <c r="I2383" t="inlineStr">
        <is>
          <t>1</t>
        </is>
      </c>
      <c r="J2383" t="inlineStr"/>
      <c r="K2383" t="inlineStr"/>
      <c r="L2383" t="inlineStr"/>
      <c r="M2383" t="inlineStr"/>
      <c r="N2383" t="inlineStr"/>
      <c r="O2383">
        <f>(1-Summary!$B$11)*T2383+Summary!$B$11*V2383</f>
        <v/>
      </c>
      <c r="P2383">
        <f>IF(B2400=0,0,O2383/B2400)</f>
        <v/>
      </c>
      <c r="Q2383" t="n">
        <v>0</v>
      </c>
      <c r="R2383" t="n">
        <v>0</v>
      </c>
      <c r="S2383">
        <f>IFERROR(O2383/N2383,0)</f>
        <v/>
      </c>
      <c r="T2383" t="n">
        <v>0</v>
      </c>
      <c r="V2383" t="n">
        <v>0</v>
      </c>
    </row>
    <row r="2384">
      <c r="A2384">
        <f>Skills!A25</f>
        <v/>
      </c>
      <c r="B2384">
        <f>Skills!B25</f>
        <v/>
      </c>
      <c r="C2384">
        <f>Inputs!$B$3&gt;=72</f>
        <v/>
      </c>
      <c r="D2384">
        <f>IF(Skills!C25=1,60+Inputs!$B$25+Inputs!$B$29,IF(Skills!C25=2,90+Inputs!$B$26+Inputs!$B$29,IF(Skills!C25=3,120+Inputs!$B$27+Inputs!$B$29,MAX(0,(Inputs!$B$3-100)*3)+Inputs!$B$28+Inputs!$B$29)))</f>
        <v/>
      </c>
      <c r="E2384">
        <f>INDEX(FactorTable!$B$2:$Y$301, MATCH(ROUND(MIN(300,MAX(1,D2384)),0), FactorTable!$A$2:$A$301,0), Skills!M25+1)</f>
        <v/>
      </c>
      <c r="F2384">
        <f>IF(Skills!N25=TRUE,(Skills!L25/10)*(E2384/1000),Skills!L25/10)+Skills!O25</f>
        <v/>
      </c>
      <c r="G2384">
        <f>Skills!G25*IF(Skills!H25&gt;0,Skills!I25/Skills!H25,1)</f>
        <v/>
      </c>
      <c r="H2384">
        <f>1-(1-Skills!J25/100)^Skills!K25</f>
        <v/>
      </c>
      <c r="I2384" t="inlineStr">
        <is>
          <t>1</t>
        </is>
      </c>
      <c r="J2384" t="inlineStr"/>
      <c r="K2384" t="inlineStr"/>
      <c r="L2384" t="inlineStr"/>
      <c r="M2384" t="inlineStr"/>
      <c r="N2384" t="inlineStr"/>
      <c r="O2384">
        <f>(1-Summary!$B$11)*T2384+Summary!$B$11*V2384</f>
        <v/>
      </c>
      <c r="P2384">
        <f>IF(B2400=0,0,O2384/B2400)</f>
        <v/>
      </c>
      <c r="Q2384" t="n">
        <v>0</v>
      </c>
      <c r="R2384" t="n">
        <v>0</v>
      </c>
      <c r="S2384">
        <f>IFERROR(O2384/N2384,0)</f>
        <v/>
      </c>
      <c r="T2384" t="n">
        <v>0</v>
      </c>
      <c r="V2384" t="n">
        <v>0</v>
      </c>
    </row>
    <row r="2385">
      <c r="A2385">
        <f>Skills!A26</f>
        <v/>
      </c>
      <c r="B2385">
        <f>Skills!B26</f>
        <v/>
      </c>
      <c r="C2385">
        <f>Inputs!$B$3&gt;=75</f>
        <v/>
      </c>
      <c r="D2385">
        <f>IF(Skills!C26=1,60+Inputs!$B$25+Inputs!$B$29,IF(Skills!C26=2,90+Inputs!$B$26+Inputs!$B$29,IF(Skills!C26=3,120+Inputs!$B$27+Inputs!$B$29,MAX(0,(Inputs!$B$3-100)*3)+Inputs!$B$28+Inputs!$B$29)))</f>
        <v/>
      </c>
      <c r="E2385">
        <f>INDEX(FactorTable!$B$2:$Y$301, MATCH(ROUND(MIN(300,MAX(1,D2385)),0), FactorTable!$A$2:$A$301,0), Skills!M26+1)</f>
        <v/>
      </c>
      <c r="F2385">
        <f>IF(Skills!N26=TRUE,(Skills!L26/10)*(E2385/1000),Skills!L26/10)+Skills!O26</f>
        <v/>
      </c>
      <c r="G2385">
        <f>Skills!G26*IF(Skills!H26&gt;0,Skills!I26/Skills!H26,1)</f>
        <v/>
      </c>
      <c r="H2385">
        <f>1-(1-Skills!J26/100)^Skills!K26</f>
        <v/>
      </c>
      <c r="I2385" t="inlineStr">
        <is>
          <t>1</t>
        </is>
      </c>
      <c r="J2385" t="inlineStr"/>
      <c r="K2385" t="inlineStr"/>
      <c r="L2385" t="inlineStr"/>
      <c r="M2385" t="inlineStr"/>
      <c r="N2385" t="inlineStr"/>
      <c r="O2385">
        <f>(1-Summary!$B$11)*T2385+Summary!$B$11*V2385</f>
        <v/>
      </c>
      <c r="P2385">
        <f>IF(B2400=0,0,O2385/B2400)</f>
        <v/>
      </c>
      <c r="Q2385" t="n">
        <v>0</v>
      </c>
      <c r="R2385" t="n">
        <v>0</v>
      </c>
      <c r="S2385">
        <f>IFERROR(O2385/N2385,0)</f>
        <v/>
      </c>
      <c r="T2385" t="n">
        <v>0</v>
      </c>
      <c r="V2385" t="n">
        <v>0</v>
      </c>
    </row>
    <row r="2386">
      <c r="A2386">
        <f>Skills!A27</f>
        <v/>
      </c>
      <c r="B2386">
        <f>Skills!B27</f>
        <v/>
      </c>
      <c r="C2386">
        <f>Inputs!$B$3&gt;=117</f>
        <v/>
      </c>
      <c r="D2386">
        <f>IF(Skills!C27=1,60+Inputs!$B$25+Inputs!$B$29,IF(Skills!C27=2,90+Inputs!$B$26+Inputs!$B$29,IF(Skills!C27=3,120+Inputs!$B$27+Inputs!$B$29,MAX(0,(Inputs!$B$3-100)*3)+Inputs!$B$28+Inputs!$B$29)))</f>
        <v/>
      </c>
      <c r="E2386">
        <f>INDEX(FactorTable!$B$2:$Y$301, MATCH(ROUND(MIN(300,MAX(1,D2386)),0), FactorTable!$A$2:$A$301,0), Skills!M27+1)</f>
        <v/>
      </c>
      <c r="F2386">
        <f>IF(Skills!N27=TRUE,(Skills!L27/10)*(E2386/1000),Skills!L27/10)+Skills!O27</f>
        <v/>
      </c>
      <c r="G2386">
        <f>Skills!G27*IF(Skills!H27&gt;0,Skills!I27/Skills!H27,1)</f>
        <v/>
      </c>
      <c r="H2386">
        <f>1-(1-Skills!J27/100)^Skills!K27</f>
        <v/>
      </c>
      <c r="I2386" t="inlineStr">
        <is>
          <t>1</t>
        </is>
      </c>
      <c r="J2386" t="inlineStr"/>
      <c r="K2386" t="inlineStr"/>
      <c r="L2386" t="inlineStr"/>
      <c r="M2386" t="inlineStr"/>
      <c r="N2386" t="inlineStr"/>
      <c r="O2386">
        <f>(1-Summary!$B$11)*T2386+Summary!$B$11*V2386</f>
        <v/>
      </c>
      <c r="P2386">
        <f>IF(B2400=0,0,O2386/B2400)</f>
        <v/>
      </c>
      <c r="Q2386" t="n">
        <v>0</v>
      </c>
      <c r="R2386" t="n">
        <v>0</v>
      </c>
      <c r="S2386">
        <f>IFERROR(O2386/N2386,0)</f>
        <v/>
      </c>
      <c r="T2386" t="n">
        <v>0</v>
      </c>
      <c r="V2386" t="n">
        <v>0</v>
      </c>
    </row>
    <row r="2387">
      <c r="A2387">
        <f>Skills!A28</f>
        <v/>
      </c>
      <c r="B2387">
        <f>Skills!B28</f>
        <v/>
      </c>
      <c r="C2387">
        <f>TRUE</f>
        <v/>
      </c>
      <c r="D2387">
        <f>IF(Skills!C28=1,60+Inputs!$B$25+Inputs!$B$29,IF(Skills!C28=2,90+Inputs!$B$26+Inputs!$B$29,IF(Skills!C28=3,120+Inputs!$B$27+Inputs!$B$29,MAX(0,(Inputs!$B$3-100)*3)+Inputs!$B$28+Inputs!$B$29)))</f>
        <v/>
      </c>
      <c r="E2387">
        <f>INDEX(FactorTable!$B$2:$Y$301, MATCH(ROUND(MIN(300,MAX(1,D2387)),0), FactorTable!$A$2:$A$301,0), Skills!M28+1)</f>
        <v/>
      </c>
      <c r="F2387">
        <f>IF(Skills!N28=TRUE,(Skills!L28/10)*(E2387/1000),Skills!L28/10)+Skills!O28</f>
        <v/>
      </c>
      <c r="G2387">
        <f>Skills!G28*IF(Skills!H28&gt;0,Skills!I28/Skills!H28,1)</f>
        <v/>
      </c>
      <c r="H2387">
        <f>1-(1-Skills!J28/100)^Skills!K28</f>
        <v/>
      </c>
      <c r="I2387" t="inlineStr">
        <is>
          <t>1</t>
        </is>
      </c>
      <c r="J2387" t="inlineStr"/>
      <c r="K2387" t="inlineStr"/>
      <c r="L2387" t="inlineStr"/>
      <c r="M2387" t="inlineStr"/>
      <c r="N2387" t="inlineStr"/>
      <c r="O2387">
        <f>(1-Summary!$B$11)*T2387+Summary!$B$11*V2387</f>
        <v/>
      </c>
      <c r="P2387">
        <f>IF(B2400=0,0,O2387/B2400)</f>
        <v/>
      </c>
      <c r="Q2387">
        <f>IFERROR(1/(IF(Inputs!$B$38="pvp",15,MAX(0.1,Skills!D28-IF(Skills!E28=TRUE,Inputs!$B$32,0)))*(1-IF(AND(ArtifactsInput!$M$27,Inputs!$B$4="Chapter Hunt"),CHOOSE(ArtifactsInput!$N$27+1,20,24,28,32,36,40),0)/100)),0)</f>
        <v/>
      </c>
      <c r="R2387">
        <f>IF(AND(Inputs!$B$38&lt;&gt;"pvp",Inputs!$B$43&gt;0),IF(Inputs!$B$43&lt;=0,0,(INT(Inputs!$B$43/(IF(Inputs!$B$38="pvp",15,MAX(0.1,Skills!D28-IF(Skills!E28=TRUE,Inputs!$B$32,0)))*(1-IF(AND(ArtifactsInput!$M$27,Inputs!$B$4="Chapter Hunt"),CHOOSE(ArtifactsInput!$N$27+1,20,24,28,32,36,40),0)/100)))+1)),0)</f>
        <v/>
      </c>
      <c r="S2387">
        <f>IFERROR(O2387/N2387,0)</f>
        <v/>
      </c>
      <c r="T2387" t="n">
        <v>0</v>
      </c>
      <c r="V2387" t="n">
        <v>0</v>
      </c>
    </row>
    <row r="2389">
      <c r="A2389" t="inlineStr">
        <is>
          <t>Attack% Bucket Multiplier</t>
        </is>
      </c>
      <c r="B2389">
        <f>(1+(((C2376=TRUE)*F2376*5/7)+((C2383=TRUE)*(F2383-Calc!F24))+(IF(ArtifactsInput!$M$21,CHOOSE(ArtifactsInput!$N$21+1,25,30,35,40,45,50)*(IF(OR(Inputs!$B$4="Chapter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90">
      <c r="A2390" t="inlineStr">
        <is>
          <t>Global Crit Rate Bonus %</t>
        </is>
      </c>
      <c r="B2390" t="n">
        <v>0</v>
      </c>
    </row>
    <row r="2391">
      <c r="A2391" t="inlineStr">
        <is>
          <t>Attack Speed Buff Bonus % (Nimble Feet, duty-cycle averaged)</t>
        </is>
      </c>
      <c r="B2391">
        <f>((C2387=TRUE)*F2387*IF(AND(Inputs!$B$38&lt;&gt;"pvp",Inputs!$B$43&gt;0),(((R2387-1)*(Skills!T28*(1+Inputs!$B$34/100))+MIN((Skills!T28*(1+Inputs!$B$34/100)),MAX(0,Inputs!$B$43-((R2387-1)*Skills!D28))))/Inputs!$B$43),IF(Inputs!$B$38="pvp",MIN((Skills!T28*(1+Inputs!$B$34/100)),15)/15,(Skills!T28*(1+Inputs!$B$34/100))/Skills!D28)))</f>
        <v/>
      </c>
    </row>
    <row r="2392">
      <c r="A2392" t="inlineStr">
        <is>
          <t>Actions Per Second</t>
        </is>
      </c>
      <c r="B2392">
        <f>1+MIN(150,150*(1-(1-(Inputs!$B$11+((C2379=TRUE)*(F2379-Calc!F20))+((C2380=TRUE)*(F2380-Calc!F21)))/150)*(1-B2391/150)))/100</f>
        <v/>
      </c>
    </row>
    <row r="2393">
      <c r="A2393" t="inlineStr">
        <is>
          <t>Skill + Buff Cast Rate</t>
        </is>
      </c>
      <c r="B2393">
        <f>IF(AND(Inputs!$B$38&lt;&gt;"pvp",Inputs!$B$43&gt;0),SUMPRODUCT((Skills!E2:E28=TRUE)*(C2361:C2387=TRUE)*R2361:R2387*Skills!F2:F28)/Inputs!$B$43,SUMPRODUCT((Skills!E2:E28=TRUE)*(C2361:C2387=TRUE)*Q2361:Q2387*Skills!F2:F28))</f>
        <v/>
      </c>
    </row>
    <row r="2394">
      <c r="A2394" t="inlineStr">
        <is>
          <t>Eight-Legs Easton Casts Per Second</t>
        </is>
      </c>
      <c r="B2394">
        <f>MAX(0,B2392-B2393)</f>
        <v/>
      </c>
    </row>
    <row r="2395">
      <c r="A2395" t="inlineStr">
        <is>
          <t>Global Critical Damage Bonus % (unused)</t>
        </is>
      </c>
      <c r="B2395" t="n">
        <v>0</v>
      </c>
    </row>
    <row r="2396">
      <c r="A2396" t="inlineStr">
        <is>
          <t>Global Final Damage Bonus % (Jolly Roger + Ahoy Mateys - Final Damage proc)</t>
        </is>
      </c>
      <c r="B2396">
        <f>((C2377=TRUE)*F2377*IF(AND(Inputs!$B$38&lt;&gt;"pvp",Inputs!$B$43&gt;0),(((R2377-1)*(Skills!T18*(1+Inputs!$B$34/100))+MIN((Skills!T18*(1+Inputs!$B$34/100)),MAX(0,Inputs!$B$43-((R2377-1)*Skills!D18))))/Inputs!$B$43),IF(Inputs!$B$38="pvp",MIN((Skills!T18*(1+Inputs!$B$34/100)),15)/15,(Skills!T18*(1+Inputs!$B$34/100))/Skills!D18)))+IF(Inputs!$B$3&gt;=122,20*IF(Inputs!$B$38="pvp",MIN((20*(1+Inputs!$B$34/100)),15)/15,(20*(1+Inputs!$B$34/100))/Skills!D4),0)</f>
        <v/>
      </c>
    </row>
    <row r="2397">
      <c r="A2397" t="inlineStr">
        <is>
          <t>Buff-Casting Startup Delay (s, fixed-duration only)</t>
        </is>
      </c>
      <c r="B2397">
        <f>IF(AND(Inputs!$B$38&lt;&gt;"pvp",Inputs!$B$43&gt;0),SUMPRODUCT((Skills!T2:T28&gt;0)*(Skills!E2:E28=TRUE)*(C2361:C2387=TRUE))/B2392,0)</f>
        <v/>
      </c>
    </row>
    <row r="2398">
      <c r="A2398" t="inlineStr">
        <is>
          <t>Boss-Only Total DPS (this block's swept value)</t>
        </is>
      </c>
      <c r="B2398">
        <f>SUM(T2361:T2387)</f>
        <v/>
      </c>
    </row>
    <row r="2399">
      <c r="A2399" t="inlineStr">
        <is>
          <t>Normal-Only Total DPS (this block's swept value)</t>
        </is>
      </c>
      <c r="B2399">
        <f>SUM(V2361:V2387)</f>
        <v/>
      </c>
    </row>
    <row r="2400">
      <c r="A2400" s="6" t="inlineStr">
        <is>
          <t>TOTAL DPS</t>
        </is>
      </c>
      <c r="B2400" s="6">
        <f>SUM(O2361:O2387)</f>
        <v/>
      </c>
    </row>
    <row r="2403">
      <c r="A2403" s="6" t="inlineStr">
        <is>
          <t>Stat: Bottle of Emotion (Equip)</t>
        </is>
      </c>
    </row>
    <row r="2404">
      <c r="A2404" s="5" t="inlineStr">
        <is>
          <t>Key</t>
        </is>
      </c>
      <c r="B2404" s="5" t="inlineStr">
        <is>
          <t>Name</t>
        </is>
      </c>
      <c r="C2404" s="5" t="inlineStr">
        <is>
          <t>Unlocked</t>
        </is>
      </c>
      <c r="D2404" s="5" t="inlineStr">
        <is>
          <t>InputLevel</t>
        </is>
      </c>
      <c r="E2404" s="5" t="inlineStr">
        <is>
          <t>Factor</t>
        </is>
      </c>
      <c r="F2404" s="5" t="inlineStr">
        <is>
          <t>CoefficientPercent</t>
        </is>
      </c>
      <c r="G2404" s="5" t="inlineStr">
        <is>
          <t>EffectiveHits</t>
        </is>
      </c>
      <c r="H2404" s="5" t="inlineStr">
        <is>
          <t>ProcProbability</t>
        </is>
      </c>
      <c r="I2404" s="5" t="inlineStr">
        <is>
          <t>MapleHeroMultiplier</t>
        </is>
      </c>
      <c r="J2404" s="5" t="inlineStr">
        <is>
          <t>BaseDamage</t>
        </is>
      </c>
      <c r="K2404" s="5" t="inlineStr">
        <is>
          <t>BaseHitDamage</t>
        </is>
      </c>
      <c r="L2404" s="5" t="inlineStr">
        <is>
          <t>NonCritAvg</t>
        </is>
      </c>
      <c r="M2404" s="5" t="inlineStr">
        <is>
          <t>CritAvg</t>
        </is>
      </c>
      <c r="N2404" s="5" t="inlineStr">
        <is>
          <t>ExpectedDamage(perHit)</t>
        </is>
      </c>
      <c r="O2404" s="5" t="inlineStr">
        <is>
          <t>DPS</t>
        </is>
      </c>
      <c r="P2404" s="5" t="inlineStr">
        <is>
          <t>% of Total</t>
        </is>
      </c>
      <c r="Q2404" s="5" t="inlineStr">
        <is>
          <t>InvCooldown</t>
        </is>
      </c>
      <c r="R2404" s="5" t="inlineStr">
        <is>
          <t>CastsInFight</t>
        </is>
      </c>
      <c r="S2404" s="5" t="inlineStr">
        <is>
          <t>HitRate(perSec)</t>
        </is>
      </c>
      <c r="U2404" t="inlineStr">
        <is>
          <t>helpers</t>
        </is>
      </c>
    </row>
    <row r="2405">
      <c r="A2405">
        <f>Skills!A2</f>
        <v/>
      </c>
      <c r="B2405">
        <f>Skills!B2</f>
        <v/>
      </c>
      <c r="C2405">
        <f>Inputs!$B$3&gt;=100</f>
        <v/>
      </c>
      <c r="D2405" t="inlineStr"/>
      <c r="E2405" t="inlineStr"/>
      <c r="F2405">
        <f>U2407+Skills!O2</f>
        <v/>
      </c>
      <c r="G2405">
        <f>Skills!G2*IF(Skills!H2&gt;0,Skills!I2/Skills!H2,1)</f>
        <v/>
      </c>
      <c r="H2405">
        <f>1-(1-Skills!J2/100)^Skills!K2</f>
        <v/>
      </c>
      <c r="I2405" t="inlineStr">
        <is>
          <t>1</t>
        </is>
      </c>
      <c r="J2405">
        <f>((Inputs!$B$6*(1+Inputs!$B$7/100))+(((Inputs!$B$12*(1+Inputs!$B$13/100))-(Inputs!$B$12*(1+Inputs!$B$13/100)))+0.25*(Inputs!$B$14-Inputs!$B$14))*(1+Inputs!$B$7/100))*(F2405/100)</f>
        <v/>
      </c>
      <c r="K2405">
        <f>J2405*(1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2405)</f>
        <v/>
      </c>
      <c r="L2405">
        <f>K2405*(MIN(Inputs!$B$22+((C2425=TRUE)*(F2425-Calc!F22)),(Inputs!$B$23+0+(IF(ArtifactsInput!$M$15,CHOOSE(ArtifactsInput!$N$15+1,25,30,35,40,45,50)/100*(Inputs!$B$11-Inputs!$B$11),0))))/100+(Inputs!$B$23+0+(IF(ArtifactsInput!$M$15,CHOOSE(ArtifactsInput!$N$15+1,25,30,35,40,45,50)/100*(Inputs!$B$11-Inputs!$B$11),0)))/100)/2</f>
        <v/>
      </c>
      <c r="M2405">
        <f>L2405*(1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5">
        <f>L2405*(1-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2405*(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5">
        <f>(1-Summary!$B$11)*T2405+Summary!$B$11*V2405</f>
        <v/>
      </c>
      <c r="P2405">
        <f>IF(B2444=0,0,O2405/B2444)</f>
        <v/>
      </c>
      <c r="Q2405" t="n">
        <v>0</v>
      </c>
      <c r="R2405" t="n">
        <v>0</v>
      </c>
      <c r="S2405">
        <f>IFERROR(O2405/N2405,0)</f>
        <v/>
      </c>
      <c r="T2405">
        <f>IF(C2405,(Skills!G2*N2405*B2438)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2405*(1-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2405*(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2405*(1-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2405*(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5">
        <f>MAX(0,(Inputs!$B$3-100)*3)+Inputs!$B$28+Inputs!$B$29</f>
        <v/>
      </c>
      <c r="V2405">
        <f>IF(C2405,(Skills!G2*N2405*B2438)*IF(Inputs!$B$38="pvp",1,(1+(Inputs!$B$21+Skills!Q2+(IF(ArtifactsInput!$M$33,CHOOSE(ArtifactsInput!$N$33+1,30,36,42,48,54,60),0))+(IF(AND(ArtifactsInput!$M$35,Inputs!$B$4&lt;&gt;"Chapter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6">
      <c r="A2406">
        <f>Skills!A3</f>
        <v/>
      </c>
      <c r="B2406">
        <f>Skills!B3</f>
        <v/>
      </c>
      <c r="C2406">
        <f>Inputs!$B$3&gt;=35</f>
        <v/>
      </c>
      <c r="D2406">
        <f>IF(Skills!C3=1,60+Inputs!$B$25+Inputs!$B$29,IF(Skills!C3=2,90+Inputs!$B$26+Inputs!$B$29,IF(Skills!C3=3,120+Inputs!$B$27+Inputs!$B$29,MAX(0,(Inputs!$B$3-100)*3)+Inputs!$B$28+Inputs!$B$29)))</f>
        <v/>
      </c>
      <c r="E2406">
        <f>INDEX(FactorTable!$B$2:$Y$301, MATCH(ROUND(MIN(300,MAX(1,D2406)),0), FactorTable!$A$2:$A$301,0), Skills!M3+1)</f>
        <v/>
      </c>
      <c r="F2406">
        <f>IF(Skills!N3=TRUE,(Skills!L3/10)*(E2406/1000),Skills!L3/10)+Skills!O3</f>
        <v/>
      </c>
      <c r="G2406">
        <f>Skills!G3*IF(Skills!H3&gt;0,Skills!I3/Skills!H3,1)</f>
        <v/>
      </c>
      <c r="H2406">
        <f>1-(1-Skills!J3/100)^Skills!K3</f>
        <v/>
      </c>
      <c r="I2406" t="inlineStr">
        <is>
          <t>1</t>
        </is>
      </c>
      <c r="J2406">
        <f>((Inputs!$B$6*(1+Inputs!$B$7/100))+(((Inputs!$B$12*(1+Inputs!$B$13/100))-(Inputs!$B$12*(1+Inputs!$B$13/100)))+0.25*(Inputs!$B$14-Inputs!$B$14))*(1+Inputs!$B$7/100))*(F2406/100)</f>
        <v/>
      </c>
      <c r="K2406">
        <f>J2406*(1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+4.0*IF(C2418=TRUE,F2418,0)/100)*(1+(IF(Skills!A3="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2406)</f>
        <v/>
      </c>
      <c r="L2406">
        <f>K2406*(MIN(Inputs!$B$22+((C2425=TRUE)*(F2425-Calc!F22)),(Inputs!$B$23+0+(IF(ArtifactsInput!$M$15,CHOOSE(ArtifactsInput!$N$15+1,25,30,35,40,45,50)/100*(Inputs!$B$11-Inputs!$B$11),0))))/100+(Inputs!$B$23+0+(IF(ArtifactsInput!$M$15,CHOOSE(ArtifactsInput!$N$15+1,25,30,35,40,45,50)/100*(Inputs!$B$11-Inputs!$B$11),0)))/100)/2</f>
        <v/>
      </c>
      <c r="M2406">
        <f>L2406*(1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6">
        <f>L2406*(1-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2406*(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6">
        <f>(1-Summary!$B$11)*T2406+Summary!$B$11*V2406</f>
        <v/>
      </c>
      <c r="P2406">
        <f>IF(B2444=0,0,O2406/B2444)</f>
        <v/>
      </c>
      <c r="Q2406">
        <f>IFERROR(1/(IF(Inputs!$B$38="pvp",15,MAX(0.1,Skills!D3-IF(Skills!E3=TRUE,Inputs!$B$32,0)))*(1-IF(AND(ArtifactsInput!$M$27,Inputs!$B$4="Chapter Hunt"),CHOOSE(ArtifactsInput!$N$27+1,20,24,28,32,36,40),0)/100)),0)</f>
        <v/>
      </c>
      <c r="R2406">
        <f>IF(AND(Inputs!$B$38&lt;&gt;"pvp",Inputs!$B$43&gt;0),IF(MAX(0,Inputs!$B$43-B2441)&lt;=0,0,(INT(MAX(0,Inputs!$B$43-B2441)/(IF(Inputs!$B$38="pvp",15,MAX(0.1,Skills!D3-IF(Skills!E3=TRUE,Inputs!$B$32,0)))*(1-IF(AND(ArtifactsInput!$M$27,Inputs!$B$4="Chapter Hunt"),CHOOSE(ArtifactsInput!$N$27+1,20,24,28,32,36,40),0)/100)))+1)),0)</f>
        <v/>
      </c>
      <c r="S2406">
        <f>IFERROR(O2406/N2406,0)</f>
        <v/>
      </c>
      <c r="T2406">
        <f>IF(C2406,(H2406*N2406*IF(AND(Inputs!$B$38&lt;&gt;"pvp",Inputs!$B$43&gt;0),((Skills!G3*((R2406-1)*IF(Skills!H3&gt;0,Skills!I3/Skills!H3,1)+IF(Skills!H3&gt;0,MIN(Skills!I3,MAX(0,MAX(0,Inputs!$B$43-B2441)-((R2406-1)*(IF(Inputs!$B$38="pvp",15,MAX(0.1,Skills!D3-IF(Skills!E3=TRUE,Inputs!$B$32,0)))*(1-IF(AND(ArtifactsInput!$M$27,Inputs!$B$4="Chapter Hunt"),CHOOSE(ArtifactsInput!$N$27+1,20,24,28,32,36,40),0)/100)))))/Skills!H3,1)))/Inputs!$B$43),G2406*Q2406)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2406*(1-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2406*(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2406*(1-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2406*(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6">
        <f>INDEX(FactorTable!$B$2:$Y$301, MATCH(ROUND(MIN(300,MAX(1,U2405)),0), FactorTable!$A$2:$A$301,0), 22)</f>
        <v/>
      </c>
      <c r="V2406">
        <f>IF(C2406,(H2406*N2406*IF(AND(Inputs!$B$38&lt;&gt;"pvp",Inputs!$B$43&gt;0),((Skills!G3*((R2406-1)*IF(Skills!H3&gt;0,Skills!I3/Skills!H3,1)+IF(Skills!H3&gt;0,MIN(Skills!I3,MAX(0,MAX(0,Inputs!$B$43-B2441)-((R2406-1)*(IF(Inputs!$B$38="pvp",15,MAX(0.1,Skills!D3-IF(Skills!E3=TRUE,Inputs!$B$32,0)))*(1-IF(AND(ArtifactsInput!$M$27,Inputs!$B$4="Chapter Hunt"),CHOOSE(ArtifactsInput!$N$27+1,20,24,28,32,36,40),0)/100)))))/Skills!H3,1)))/Inputs!$B$43),G2406*Q2406))*IF(Inputs!$B$38="pvp",1,(1+(Inputs!$B$21+Skills!Q3+(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7">
      <c r="A2407">
        <f>Skills!A4</f>
        <v/>
      </c>
      <c r="B2407">
        <f>Skills!B4</f>
        <v/>
      </c>
      <c r="C2407">
        <f>Inputs!$B$3&gt;=40</f>
        <v/>
      </c>
      <c r="D2407">
        <f>IF(Skills!C4=1,60+Inputs!$B$25+Inputs!$B$29,IF(Skills!C4=2,90+Inputs!$B$26+Inputs!$B$29,IF(Skills!C4=3,120+Inputs!$B$27+Inputs!$B$29,MAX(0,(Inputs!$B$3-100)*3)+Inputs!$B$28+Inputs!$B$29)))</f>
        <v/>
      </c>
      <c r="E2407">
        <f>INDEX(FactorTable!$B$2:$Y$301, MATCH(ROUND(MIN(300,MAX(1,D2407)),0), FactorTable!$A$2:$A$301,0), Skills!M4+1)</f>
        <v/>
      </c>
      <c r="F2407">
        <f>IF(Skills!N4=TRUE,(Skills!L4/10)*(E2407/1000),Skills!L4/10)+Skills!O4</f>
        <v/>
      </c>
      <c r="G2407">
        <f>Skills!G4*IF(Skills!H4&gt;0,Skills!I4/Skills!H4,1)</f>
        <v/>
      </c>
      <c r="H2407">
        <f>1-(1-Skills!J4/100)^Skills!K4</f>
        <v/>
      </c>
      <c r="I2407" t="inlineStr">
        <is>
          <t>1</t>
        </is>
      </c>
      <c r="J2407">
        <f>((Inputs!$B$6*(1+Inputs!$B$7/100))+(((Inputs!$B$12*(1+Inputs!$B$13/100))-(Inputs!$B$12*(1+Inputs!$B$13/100)))+0.25*(Inputs!$B$14-Inputs!$B$14))*(1+Inputs!$B$7/100))*(F2407/100)</f>
        <v/>
      </c>
      <c r="K2407">
        <f>J2407*(1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2419=TRUE,F2419,0)/100)*(1+(IF(Skills!A4="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2407)</f>
        <v/>
      </c>
      <c r="L2407">
        <f>K2407*(MIN(Inputs!$B$22+((C2425=TRUE)*(F2425-Calc!F22)),(Inputs!$B$23+0+(IF(ArtifactsInput!$M$15,CHOOSE(ArtifactsInput!$N$15+1,25,30,35,40,45,50)/100*(Inputs!$B$11-Inputs!$B$11),0))))/100+(Inputs!$B$23+0+(IF(ArtifactsInput!$M$15,CHOOSE(ArtifactsInput!$N$15+1,25,30,35,40,45,50)/100*(Inputs!$B$11-Inputs!$B$11),0)))/100)/2</f>
        <v/>
      </c>
      <c r="M2407">
        <f>L2407*(1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7">
        <f>L2407*(1-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2407*(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7">
        <f>(1-Summary!$B$11)*T2407+Summary!$B$11*V2407</f>
        <v/>
      </c>
      <c r="P2407">
        <f>IF(B2444=0,0,O2407/B2444)</f>
        <v/>
      </c>
      <c r="Q2407">
        <f>IFERROR(1/(IF(Inputs!$B$38="pvp",15,MAX(0.1,Skills!D4-IF(Skills!E4=TRUE,Inputs!$B$32,0)))*(1-IF(AND(ArtifactsInput!$M$27,Inputs!$B$4="Chapter Hunt"),CHOOSE(ArtifactsInput!$N$27+1,20,24,28,32,36,40),0)/100)),0)</f>
        <v/>
      </c>
      <c r="R2407">
        <f>IF(AND(Inputs!$B$38&lt;&gt;"pvp",Inputs!$B$43&gt;0),IF(MAX(0,Inputs!$B$43-B2441)&lt;=0,0,(INT(MAX(0,Inputs!$B$43-B2441)/(IF(Inputs!$B$38="pvp",15,MAX(0.1,Skills!D4-IF(Skills!E4=TRUE,Inputs!$B$32,0)))*(1-IF(AND(ArtifactsInput!$M$27,Inputs!$B$4="Chapter Hunt"),CHOOSE(ArtifactsInput!$N$27+1,20,24,28,32,36,40),0)/100)))+1)),0)</f>
        <v/>
      </c>
      <c r="S2407">
        <f>IFERROR(O2407/N2407,0)</f>
        <v/>
      </c>
      <c r="T2407">
        <f>IF(C2407,(H2407*N2407*IF(AND(Inputs!$B$38&lt;&gt;"pvp",Inputs!$B$43&gt;0),((Skills!G4*((R2407-1)*IF(Skills!H4&gt;0,Skills!I4/Skills!H4,1)+IF(Skills!H4&gt;0,MIN(Skills!I4,MAX(0,MAX(0,Inputs!$B$43-B2441)-((R2407-1)*(IF(Inputs!$B$38="pvp",15,MAX(0.1,Skills!D4-IF(Skills!E4=TRUE,Inputs!$B$32,0)))*(1-IF(AND(ArtifactsInput!$M$27,Inputs!$B$4="Chapter Hunt"),CHOOSE(ArtifactsInput!$N$27+1,20,24,28,32,36,40),0)/100)))))/Skills!H4,1)))/Inputs!$B$43),G2407*Q2407)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2407*(1-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2407*(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2407*(1-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2407*(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7">
        <f>290*U2406/1000</f>
        <v/>
      </c>
      <c r="V2407">
        <f>IF(C2407,(H2407*N2407*IF(AND(Inputs!$B$38&lt;&gt;"pvp",Inputs!$B$43&gt;0),((Skills!G4*((R2407-1)*IF(Skills!H4&gt;0,Skills!I4/Skills!H4,1)+IF(Skills!H4&gt;0,MIN(Skills!I4,MAX(0,MAX(0,Inputs!$B$43-B2441)-((R2407-1)*(IF(Inputs!$B$38="pvp",15,MAX(0.1,Skills!D4-IF(Skills!E4=TRUE,Inputs!$B$32,0)))*(1-IF(AND(ArtifactsInput!$M$27,Inputs!$B$4="Chapter Hunt"),CHOOSE(ArtifactsInput!$N$27+1,20,24,28,32,36,40),0)/100)))))/Skills!H4,1)))/Inputs!$B$43),G2407*Q2407))*IF(Inputs!$B$38="pvp",1,(1+(Inputs!$B$21+Skills!Q4+(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8">
      <c r="A2408">
        <f>Skills!A5</f>
        <v/>
      </c>
      <c r="B2408">
        <f>Skills!B5</f>
        <v/>
      </c>
      <c r="C2408">
        <f>Inputs!$B$3&gt;=45</f>
        <v/>
      </c>
      <c r="D2408">
        <f>IF(Skills!C5=1,60+Inputs!$B$25+Inputs!$B$29,IF(Skills!C5=2,90+Inputs!$B$26+Inputs!$B$29,IF(Skills!C5=3,120+Inputs!$B$27+Inputs!$B$29,MAX(0,(Inputs!$B$3-100)*3)+Inputs!$B$28+Inputs!$B$29)))</f>
        <v/>
      </c>
      <c r="E2408">
        <f>INDEX(FactorTable!$B$2:$Y$301, MATCH(ROUND(MIN(300,MAX(1,D2408)),0), FactorTable!$A$2:$A$301,0), Skills!M5+1)</f>
        <v/>
      </c>
      <c r="F2408">
        <f>IF(Skills!N5=TRUE,(Skills!L5/10)*(E2408/1000),Skills!L5/10)+Skills!O5</f>
        <v/>
      </c>
      <c r="G2408">
        <f>Skills!G5*IF(Skills!H5&gt;0,Skills!I5/Skills!H5,1)</f>
        <v/>
      </c>
      <c r="H2408">
        <f>1-(1-Skills!J5/100)^Skills!K5</f>
        <v/>
      </c>
      <c r="I2408" t="inlineStr">
        <is>
          <t>1</t>
        </is>
      </c>
      <c r="J2408">
        <f>((Inputs!$B$6*(1+Inputs!$B$7/100))+(((Inputs!$B$12*(1+Inputs!$B$13/100))-(Inputs!$B$12*(1+Inputs!$B$13/100)))+0.25*(Inputs!$B$14-Inputs!$B$14))*(1+Inputs!$B$7/100))*(F2408/100)</f>
        <v/>
      </c>
      <c r="K2408">
        <f>J2408*(1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+0.4*IF(C2419=TRUE,F2419,0)/100)*(1+(IF(Skills!A5="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2408)</f>
        <v/>
      </c>
      <c r="L2408">
        <f>K2408*(MIN(Inputs!$B$22+((C2425=TRUE)*(F2425-Calc!F22)),(Inputs!$B$23+0+(IF(ArtifactsInput!$M$15,CHOOSE(ArtifactsInput!$N$15+1,25,30,35,40,45,50)/100*(Inputs!$B$11-Inputs!$B$11),0))))/100+(Inputs!$B$23+0+(IF(ArtifactsInput!$M$15,CHOOSE(ArtifactsInput!$N$15+1,25,30,35,40,45,50)/100*(Inputs!$B$11-Inputs!$B$11),0)))/100)/2</f>
        <v/>
      </c>
      <c r="M2408">
        <f>L2408*(1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8">
        <f>L2408*(1-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2408*(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8">
        <f>(1-Summary!$B$11)*T2408+Summary!$B$11*V2408</f>
        <v/>
      </c>
      <c r="P2408">
        <f>IF(B2444=0,0,O2408/B2444)</f>
        <v/>
      </c>
      <c r="Q2408">
        <f>IFERROR(1/(IF(Inputs!$B$38="pvp",15,MAX(0.1,Skills!D5-IF(Skills!E5=TRUE,Inputs!$B$32,0)))*(1-IF(AND(ArtifactsInput!$M$27,Inputs!$B$4="Chapter Hunt"),CHOOSE(ArtifactsInput!$N$27+1,20,24,28,32,36,40),0)/100)),0)</f>
        <v/>
      </c>
      <c r="R2408">
        <f>IF(AND(Inputs!$B$38&lt;&gt;"pvp",Inputs!$B$43&gt;0),IF(MAX(0,Inputs!$B$43-B2441)&lt;=0,0,(INT(MAX(0,Inputs!$B$43-B2441)/(IF(Inputs!$B$38="pvp",15,MAX(0.1,Skills!D5-IF(Skills!E5=TRUE,Inputs!$B$32,0)))*(1-IF(AND(ArtifactsInput!$M$27,Inputs!$B$4="Chapter Hunt"),CHOOSE(ArtifactsInput!$N$27+1,20,24,28,32,36,40),0)/100)))+1)),0)</f>
        <v/>
      </c>
      <c r="S2408">
        <f>IFERROR(O2408/N2408,0)</f>
        <v/>
      </c>
      <c r="T2408">
        <f>IF(C2408,(H2408*N2408*IF(AND(Inputs!$B$38&lt;&gt;"pvp",Inputs!$B$43&gt;0),((Skills!G5*((R2408-1)*IF(Skills!H5&gt;0,Skills!I5/Skills!H5,1)+IF(Skills!H5&gt;0,MIN(Skills!I5,MAX(0,MAX(0,Inputs!$B$43-B2441)-((R2408-1)*(IF(Inputs!$B$38="pvp",15,MAX(0.1,Skills!D5-IF(Skills!E5=TRUE,Inputs!$B$32,0)))*(1-IF(AND(ArtifactsInput!$M$27,Inputs!$B$4="Chapter Hunt"),CHOOSE(ArtifactsInput!$N$27+1,20,24,28,32,36,40),0)/100)))))/Skills!H5,1)))/Inputs!$B$43),G2408*Q2408)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2408*(1-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2408*(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2408*(1-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2408*(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8">
        <f>IF(C2408,(H2408*N2408*IF(AND(Inputs!$B$38&lt;&gt;"pvp",Inputs!$B$43&gt;0),((Skills!G5*((R2408-1)*IF(Skills!H5&gt;0,Skills!I5/Skills!H5,1)+IF(Skills!H5&gt;0,MIN(Skills!I5,MAX(0,MAX(0,Inputs!$B$43-B2441)-((R2408-1)*(IF(Inputs!$B$38="pvp",15,MAX(0.1,Skills!D5-IF(Skills!E5=TRUE,Inputs!$B$32,0)))*(1-IF(AND(ArtifactsInput!$M$27,Inputs!$B$4="Chapter Hunt"),CHOOSE(ArtifactsInput!$N$27+1,20,24,28,32,36,40),0)/100)))))/Skills!H5,1)))/Inputs!$B$43),G2408*Q2408))*IF(Inputs!$B$38="pvp",1,(1+(Inputs!$B$21+Skills!Q5+(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9">
      <c r="A2409">
        <f>Skills!A6</f>
        <v/>
      </c>
      <c r="B2409">
        <f>Skills!B6</f>
        <v/>
      </c>
      <c r="C2409">
        <f>Inputs!$B$3&gt;=63</f>
        <v/>
      </c>
      <c r="D2409">
        <f>IF(Skills!C6=1,60+Inputs!$B$25+Inputs!$B$29,IF(Skills!C6=2,90+Inputs!$B$26+Inputs!$B$29,IF(Skills!C6=3,120+Inputs!$B$27+Inputs!$B$29,MAX(0,(Inputs!$B$3-100)*3)+Inputs!$B$28+Inputs!$B$29)))</f>
        <v/>
      </c>
      <c r="E2409">
        <f>INDEX(FactorTable!$B$2:$Y$301, MATCH(ROUND(MIN(300,MAX(1,D2409)),0), FactorTable!$A$2:$A$301,0), Skills!M6+1)</f>
        <v/>
      </c>
      <c r="F2409">
        <f>IF(Skills!N6=TRUE,(Skills!L6/10)*(E2409/1000),Skills!L6/10)+Skills!O6</f>
        <v/>
      </c>
      <c r="G2409">
        <f>Skills!G6*IF(Skills!H6&gt;0,Skills!I6/Skills!H6,1)</f>
        <v/>
      </c>
      <c r="H2409">
        <f>1-(1-Skills!J6/100)^Skills!K6</f>
        <v/>
      </c>
      <c r="I2409" t="inlineStr">
        <is>
          <t>1</t>
        </is>
      </c>
      <c r="J2409">
        <f>((Inputs!$B$6*(1+Inputs!$B$7/100))+(((Inputs!$B$12*(1+Inputs!$B$13/100))-(Inputs!$B$12*(1+Inputs!$B$13/100)))+0.25*(Inputs!$B$14-Inputs!$B$14))*(1+Inputs!$B$7/100))*(F2409/100)</f>
        <v/>
      </c>
      <c r="K2409">
        <f>J2409*(1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+2.0*IF(C2418=TRUE,F2418,0)/100)*(1+(IF(Skills!A6="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2409)</f>
        <v/>
      </c>
      <c r="L2409">
        <f>K2409*(MIN(Inputs!$B$22+((C2425=TRUE)*(F2425-Calc!F22)),(Inputs!$B$23+0+(IF(ArtifactsInput!$M$15,CHOOSE(ArtifactsInput!$N$15+1,25,30,35,40,45,50)/100*(Inputs!$B$11-Inputs!$B$11),0))))/100+(Inputs!$B$23+0+(IF(ArtifactsInput!$M$15,CHOOSE(ArtifactsInput!$N$15+1,25,30,35,40,45,50)/100*(Inputs!$B$11-Inputs!$B$11),0)))/100)/2</f>
        <v/>
      </c>
      <c r="M2409">
        <f>L2409*(1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9">
        <f>L2409*(1-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2409*(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9">
        <f>(1-Summary!$B$11)*T2409+Summary!$B$11*V2409</f>
        <v/>
      </c>
      <c r="P2409">
        <f>IF(B2444=0,0,O2409/B2444)</f>
        <v/>
      </c>
      <c r="Q2409">
        <f>IFERROR(1/(IF(Inputs!$B$38="pvp",15,MAX(0.1,Skills!D6-IF(Skills!E6=TRUE,Inputs!$B$32,0)))*(1-IF(AND(ArtifactsInput!$M$27,Inputs!$B$4="Chapter Hunt"),CHOOSE(ArtifactsInput!$N$27+1,20,24,28,32,36,40),0)/100)),0)</f>
        <v/>
      </c>
      <c r="R2409">
        <f>IF(AND(Inputs!$B$38&lt;&gt;"pvp",Inputs!$B$43&gt;0),IF(MAX(0,Inputs!$B$43-B2441)&lt;=0,0,(INT(MAX(0,Inputs!$B$43-B2441)/(IF(Inputs!$B$38="pvp",15,MAX(0.1,Skills!D6-IF(Skills!E6=TRUE,Inputs!$B$32,0)))*(1-IF(AND(ArtifactsInput!$M$27,Inputs!$B$4="Chapter Hunt"),CHOOSE(ArtifactsInput!$N$27+1,20,24,28,32,36,40),0)/100)))+1)),0)</f>
        <v/>
      </c>
      <c r="S2409">
        <f>IFERROR(O2409/N2409,0)</f>
        <v/>
      </c>
      <c r="T2409">
        <f>IF(C2409,(H2409*N2409*IF(AND(Inputs!$B$38&lt;&gt;"pvp",Inputs!$B$43&gt;0),((Skills!G6*((R2409-1)*IF(Skills!H6&gt;0,Skills!I6/Skills!H6,1)+IF(Skills!H6&gt;0,MIN(Skills!I6,MAX(0,MAX(0,Inputs!$B$43-B2441)-((R2409-1)*(IF(Inputs!$B$38="pvp",15,MAX(0.1,Skills!D6-IF(Skills!E6=TRUE,Inputs!$B$32,0)))*(1-IF(AND(ArtifactsInput!$M$27,Inputs!$B$4="Chapter Hunt"),CHOOSE(ArtifactsInput!$N$27+1,20,24,28,32,36,40),0)/100)))))/Skills!H6,1)))/Inputs!$B$43),G2409*Q2409)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2409*(1-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2409*(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2409*(1-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2409*(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9">
        <f>IF(C2409,(H2409*N2409*IF(AND(Inputs!$B$38&lt;&gt;"pvp",Inputs!$B$43&gt;0),((Skills!G6*((R2409-1)*IF(Skills!H6&gt;0,Skills!I6/Skills!H6,1)+IF(Skills!H6&gt;0,MIN(Skills!I6,MAX(0,MAX(0,Inputs!$B$43-B2441)-((R2409-1)*(IF(Inputs!$B$38="pvp",15,MAX(0.1,Skills!D6-IF(Skills!E6=TRUE,Inputs!$B$32,0)))*(1-IF(AND(ArtifactsInput!$M$27,Inputs!$B$4="Chapter Hunt"),CHOOSE(ArtifactsInput!$N$27+1,20,24,28,32,36,40),0)/100)))))/Skills!H6,1)))/Inputs!$B$43),G2409*Q2409))*IF(Inputs!$B$38="pvp",1,(1+(Inputs!$B$21+Skills!Q6+(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0">
      <c r="A2410">
        <f>Skills!A7</f>
        <v/>
      </c>
      <c r="B2410">
        <f>Skills!B7</f>
        <v/>
      </c>
      <c r="C2410">
        <f>Inputs!$B$3&gt;=66</f>
        <v/>
      </c>
      <c r="D2410">
        <f>IF(Skills!C7=1,60+Inputs!$B$25+Inputs!$B$29,IF(Skills!C7=2,90+Inputs!$B$26+Inputs!$B$29,IF(Skills!C7=3,120+Inputs!$B$27+Inputs!$B$29,MAX(0,(Inputs!$B$3-100)*3)+Inputs!$B$28+Inputs!$B$29)))</f>
        <v/>
      </c>
      <c r="E2410">
        <f>INDEX(FactorTable!$B$2:$Y$301, MATCH(ROUND(MIN(300,MAX(1,D2410)),0), FactorTable!$A$2:$A$301,0), Skills!M7+1)</f>
        <v/>
      </c>
      <c r="F2410">
        <f>IF(Skills!N7=TRUE,(Skills!L7/10)*(E2410/1000),Skills!L7/10)+Skills!O7</f>
        <v/>
      </c>
      <c r="G2410">
        <f>Skills!G7*IF(Skills!H7&gt;0,Skills!I7/Skills!H7,1)</f>
        <v/>
      </c>
      <c r="H2410">
        <f>1-(1-Skills!J7/100)^Skills!K7</f>
        <v/>
      </c>
      <c r="I2410" t="inlineStr">
        <is>
          <t>1</t>
        </is>
      </c>
      <c r="J2410">
        <f>((Inputs!$B$6*(1+Inputs!$B$7/100))+(((Inputs!$B$12*(1+Inputs!$B$13/100))-(Inputs!$B$12*(1+Inputs!$B$13/100)))+0.25*(Inputs!$B$14-Inputs!$B$14))*(1+Inputs!$B$7/100))*(F2410/100)</f>
        <v/>
      </c>
      <c r="K2410">
        <f>J2410*(1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2418=TRUE,F2418,0)/100)*(1+(IF(Skills!A7="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2410)</f>
        <v/>
      </c>
      <c r="L2410">
        <f>K2410*(MIN(Inputs!$B$22+((C2425=TRUE)*(F2425-Calc!F22)),(Inputs!$B$23+0+(IF(ArtifactsInput!$M$15,CHOOSE(ArtifactsInput!$N$15+1,25,30,35,40,45,50)/100*(Inputs!$B$11-Inputs!$B$11),0))))/100+(Inputs!$B$23+0+(IF(ArtifactsInput!$M$15,CHOOSE(ArtifactsInput!$N$15+1,25,30,35,40,45,50)/100*(Inputs!$B$11-Inputs!$B$11),0)))/100)/2</f>
        <v/>
      </c>
      <c r="M2410">
        <f>L2410*(1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0">
        <f>L2410*(1-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2410*(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0">
        <f>(1-Summary!$B$11)*T2410+Summary!$B$11*V2410</f>
        <v/>
      </c>
      <c r="P2410">
        <f>IF(B2444=0,0,O2410/B2444)</f>
        <v/>
      </c>
      <c r="Q2410">
        <f>IFERROR(1/(IF(Inputs!$B$38="pvp",15,MAX(0.1,Skills!D7-IF(Skills!E7=TRUE,Inputs!$B$32,0)))*(1-IF(AND(ArtifactsInput!$M$27,Inputs!$B$4="Chapter Hunt"),CHOOSE(ArtifactsInput!$N$27+1,20,24,28,32,36,40),0)/100)),0)</f>
        <v/>
      </c>
      <c r="R2410">
        <f>IF(AND(Inputs!$B$38&lt;&gt;"pvp",Inputs!$B$43&gt;0),IF(MAX(0,Inputs!$B$43-B2441)&lt;=0,0,(INT(MAX(0,Inputs!$B$43-B2441)/(IF(Inputs!$B$38="pvp",15,MAX(0.1,Skills!D7-IF(Skills!E7=TRUE,Inputs!$B$32,0)))*(1-IF(AND(ArtifactsInput!$M$27,Inputs!$B$4="Chapter Hunt"),CHOOSE(ArtifactsInput!$N$27+1,20,24,28,32,36,40),0)/100)))+1)),0)</f>
        <v/>
      </c>
      <c r="S2410">
        <f>IFERROR(O2410/N2410,0)</f>
        <v/>
      </c>
      <c r="T2410">
        <f>IF(C2410,(H2410*N2410*IF(AND(Inputs!$B$38&lt;&gt;"pvp",Inputs!$B$43&gt;0),((Skills!G7*((R2410-1)*IF(Skills!H7&gt;0,Skills!I7/Skills!H7,1)+IF(Skills!H7&gt;0,MIN(Skills!I7,MAX(0,MAX(0,Inputs!$B$43-B2441)-((R2410-1)*(IF(Inputs!$B$38="pvp",15,MAX(0.1,Skills!D7-IF(Skills!E7=TRUE,Inputs!$B$32,0)))*(1-IF(AND(ArtifactsInput!$M$27,Inputs!$B$4="Chapter Hunt"),CHOOSE(ArtifactsInput!$N$27+1,20,24,28,32,36,40),0)/100)))))/Skills!H7,1)))/Inputs!$B$43),G2410*Q2410)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2410*(1-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2410*(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2410*(1-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2410*(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0">
        <f>IF(C2410,(H2410*N2410*IF(AND(Inputs!$B$38&lt;&gt;"pvp",Inputs!$B$43&gt;0),((Skills!G7*((R2410-1)*IF(Skills!H7&gt;0,Skills!I7/Skills!H7,1)+IF(Skills!H7&gt;0,MIN(Skills!I7,MAX(0,MAX(0,Inputs!$B$43-B2441)-((R2410-1)*(IF(Inputs!$B$38="pvp",15,MAX(0.1,Skills!D7-IF(Skills!E7=TRUE,Inputs!$B$32,0)))*(1-IF(AND(ArtifactsInput!$M$27,Inputs!$B$4="Chapter Hunt"),CHOOSE(ArtifactsInput!$N$27+1,20,24,28,32,36,40),0)/100)))))/Skills!H7,1)))/Inputs!$B$43),G2410*Q2410))*IF(Inputs!$B$38="pvp",1,(1+(Inputs!$B$21+Skills!Q7+(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1">
      <c r="A2411">
        <f>Skills!A8</f>
        <v/>
      </c>
      <c r="B2411">
        <f>Skills!B8</f>
        <v/>
      </c>
      <c r="C2411">
        <f>Inputs!$B$3&gt;=100</f>
        <v/>
      </c>
      <c r="D2411">
        <f>IF(Skills!C8=1,60+Inputs!$B$25+Inputs!$B$29,IF(Skills!C8=2,90+Inputs!$B$26+Inputs!$B$29,IF(Skills!C8=3,120+Inputs!$B$27+Inputs!$B$29,MAX(0,(Inputs!$B$3-100)*3)+Inputs!$B$28+Inputs!$B$29)))</f>
        <v/>
      </c>
      <c r="E2411">
        <f>INDEX(FactorTable!$B$2:$Y$301, MATCH(ROUND(MIN(300,MAX(1,D2411)),0), FactorTable!$A$2:$A$301,0), Skills!M8+1)</f>
        <v/>
      </c>
      <c r="F2411">
        <f>IF(Skills!N8=TRUE,(Skills!L8/10)*(E2411/1000),Skills!L8/10)+Skills!O8</f>
        <v/>
      </c>
      <c r="G2411">
        <f>Skills!G8*IF(Skills!H8&gt;0,Skills!I8/Skills!H8,1)</f>
        <v/>
      </c>
      <c r="H2411">
        <f>1-(1-Skills!J8/100)^Skills!K8</f>
        <v/>
      </c>
      <c r="I2411" t="inlineStr">
        <is>
          <t>1</t>
        </is>
      </c>
      <c r="J2411">
        <f>((Inputs!$B$6*(1+Inputs!$B$7/100))+(((Inputs!$B$12*(1+Inputs!$B$13/100))-(Inputs!$B$12*(1+Inputs!$B$13/100)))+0.25*(Inputs!$B$14-Inputs!$B$14))*(1+Inputs!$B$7/100))*(F2411/100)</f>
        <v/>
      </c>
      <c r="K2411">
        <f>J2411*(1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8="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2411)</f>
        <v/>
      </c>
      <c r="L2411">
        <f>K2411*(MIN(Inputs!$B$22+((C2425=TRUE)*(F2425-Calc!F22)),(Inputs!$B$23+0+(IF(ArtifactsInput!$M$15,CHOOSE(ArtifactsInput!$N$15+1,25,30,35,40,45,50)/100*(Inputs!$B$11-Inputs!$B$11),0))))/100+(Inputs!$B$23+0+(IF(ArtifactsInput!$M$15,CHOOSE(ArtifactsInput!$N$15+1,25,30,35,40,45,50)/100*(Inputs!$B$11-Inputs!$B$11),0)))/100)/2</f>
        <v/>
      </c>
      <c r="M2411">
        <f>L2411*(1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1">
        <f>L2411*(1-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1">
        <f>(1-Summary!$B$11)*T2411+Summary!$B$11*V2411</f>
        <v/>
      </c>
      <c r="P2411">
        <f>IF(B2444=0,0,O2411/B2444)</f>
        <v/>
      </c>
      <c r="Q2411">
        <f>IFERROR(1/(IF(Inputs!$B$38="pvp",15,MAX(0.1,Skills!D8-IF(Skills!E8=TRUE,Inputs!$B$32,0)))*(1-IF(AND(ArtifactsInput!$M$27,Inputs!$B$4="Chapter Hunt"),CHOOSE(ArtifactsInput!$N$27+1,20,24,28,32,36,40),0)/100)),0)</f>
        <v/>
      </c>
      <c r="R2411">
        <f>IF(AND(Inputs!$B$38&lt;&gt;"pvp",Inputs!$B$43&gt;0),IF(MAX(0,Inputs!$B$43-B2441)&lt;=0,0,(INT(MAX(0,Inputs!$B$43-B2441)/(IF(Inputs!$B$38="pvp",15,MAX(0.1,Skills!D8-IF(Skills!E8=TRUE,Inputs!$B$32,0)))*(1-IF(AND(ArtifactsInput!$M$27,Inputs!$B$4="Chapter Hunt"),CHOOSE(ArtifactsInput!$N$27+1,20,24,28,32,36,40),0)/100)))+1)),0)</f>
        <v/>
      </c>
      <c r="S2411">
        <f>IFERROR(O2411/N2411,0)</f>
        <v/>
      </c>
      <c r="T2411">
        <f>IF(C2411,(H2411*N2411*IF(AND(Inputs!$B$38&lt;&gt;"pvp",Inputs!$B$43&gt;0),((Skills!G8*((R2411-1)*IF(Skills!H8&gt;0,Skills!I8/Skills!H8,1)+IF(Skills!H8&gt;0,MIN(Skills!I8,MAX(0,MAX(0,Inputs!$B$43-B2441)-((R2411-1)*(IF(Inputs!$B$38="pvp",15,MAX(0.1,Skills!D8-IF(Skills!E8=TRUE,Inputs!$B$32,0)))*(1-IF(AND(ArtifactsInput!$M$27,Inputs!$B$4="Chapter Hunt"),CHOOSE(ArtifactsInput!$N$27+1,20,24,28,32,36,40),0)/100)))))/Skills!H8,1)))/Inputs!$B$43),G2411*Q2411)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2411*(1-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2411*(1-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1">
        <f>IF(C2411,(H2411*N2411*IF(AND(Inputs!$B$38&lt;&gt;"pvp",Inputs!$B$43&gt;0),((Skills!G8*((R2411-1)*IF(Skills!H8&gt;0,Skills!I8/Skills!H8,1)+IF(Skills!H8&gt;0,MIN(Skills!I8,MAX(0,MAX(0,Inputs!$B$43-B2441)-((R2411-1)*(IF(Inputs!$B$38="pvp",15,MAX(0.1,Skills!D8-IF(Skills!E8=TRUE,Inputs!$B$32,0)))*(1-IF(AND(ArtifactsInput!$M$27,Inputs!$B$4="Chapter Hunt"),CHOOSE(ArtifactsInput!$N$27+1,20,24,28,32,36,40),0)/100)))))/Skills!H8,1)))/Inputs!$B$43),G2411*Q2411))*IF(Inputs!$B$38="pvp",1,(1+(Inputs!$B$21+Skills!Q8+(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2">
      <c r="A2412">
        <f>Skills!A9</f>
        <v/>
      </c>
      <c r="B2412">
        <f>Skills!B9</f>
        <v/>
      </c>
      <c r="C2412">
        <f>Inputs!$B$3&gt;=103</f>
        <v/>
      </c>
      <c r="D2412">
        <f>IF(Skills!C9=1,60+Inputs!$B$25+Inputs!$B$29,IF(Skills!C9=2,90+Inputs!$B$26+Inputs!$B$29,IF(Skills!C9=3,120+Inputs!$B$27+Inputs!$B$29,MAX(0,(Inputs!$B$3-100)*3)+Inputs!$B$28+Inputs!$B$29)))</f>
        <v/>
      </c>
      <c r="E2412">
        <f>INDEX(FactorTable!$B$2:$Y$301, MATCH(ROUND(MIN(300,MAX(1,D2412)),0), FactorTable!$A$2:$A$301,0), Skills!M9+1)</f>
        <v/>
      </c>
      <c r="F2412">
        <f>IF(Skills!N9=TRUE,(Skills!L9/10)*(E2412/1000),Skills!L9/10)+Skills!O9</f>
        <v/>
      </c>
      <c r="G2412">
        <f>Skills!G9*IF(Skills!H9&gt;0,Skills!I9/Skills!H9,1)</f>
        <v/>
      </c>
      <c r="H2412">
        <f>1-(1-Skills!J9/100)^Skills!K9</f>
        <v/>
      </c>
      <c r="I2412" t="inlineStr">
        <is>
          <t>1</t>
        </is>
      </c>
      <c r="J2412">
        <f>((Inputs!$B$6*(1+Inputs!$B$7/100))+(((Inputs!$B$12*(1+Inputs!$B$13/100))-(Inputs!$B$12*(1+Inputs!$B$13/100)))+0.25*(Inputs!$B$14-Inputs!$B$14))*(1+Inputs!$B$7/100))*(F2412/100)</f>
        <v/>
      </c>
      <c r="K2412">
        <f>J2412*(1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2412)</f>
        <v/>
      </c>
      <c r="L2412">
        <f>K2412*(MIN(Inputs!$B$22+((C2425=TRUE)*(F2425-Calc!F22)),(Inputs!$B$23+0+(IF(ArtifactsInput!$M$15,CHOOSE(ArtifactsInput!$N$15+1,25,30,35,40,45,50)/100*(Inputs!$B$11-Inputs!$B$11),0))))/100+(Inputs!$B$23+0+(IF(ArtifactsInput!$M$15,CHOOSE(ArtifactsInput!$N$15+1,25,30,35,40,45,50)/100*(Inputs!$B$11-Inputs!$B$11),0)))/100)/2</f>
        <v/>
      </c>
      <c r="M2412">
        <f>L2412*(1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2">
        <f>L2412*(1-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2412*(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2">
        <f>(1-Summary!$B$11)*T2412+Summary!$B$11*V2412</f>
        <v/>
      </c>
      <c r="P2412">
        <f>IF(B2444=0,0,O2412/B2444)</f>
        <v/>
      </c>
      <c r="Q2412">
        <f>IFERROR(1/(IF(Inputs!$B$38="pvp",15,MAX(0.1,Skills!D9-IF(Skills!E9=TRUE,Inputs!$B$32,0)))*(1-IF(AND(ArtifactsInput!$M$27,Inputs!$B$4="Chapter Hunt"),CHOOSE(ArtifactsInput!$N$27+1,20,24,28,32,36,40),0)/100)),0)</f>
        <v/>
      </c>
      <c r="R2412">
        <f>IF(AND(Inputs!$B$38&lt;&gt;"pvp",Inputs!$B$43&gt;0),IF(MAX(0,Inputs!$B$43-B2441)&lt;=0,0,(INT(MAX(0,Inputs!$B$43-B2441)/(IF(Inputs!$B$38="pvp",15,MAX(0.1,Skills!D9-IF(Skills!E9=TRUE,Inputs!$B$32,0)))*(1-IF(AND(ArtifactsInput!$M$27,Inputs!$B$4="Chapter Hunt"),CHOOSE(ArtifactsInput!$N$27+1,20,24,28,32,36,40),0)/100)))+1)),0)</f>
        <v/>
      </c>
      <c r="S2412">
        <f>IFERROR(O2412/N2412,0)</f>
        <v/>
      </c>
      <c r="T2412">
        <f>IF(C2412,(H2412*N2412*IF(AND(Inputs!$B$38&lt;&gt;"pvp",Inputs!$B$43&gt;0),((Skills!G9*((R2412-1)*IF(Skills!H9&gt;0,Skills!I9/Skills!H9,1)+IF(Skills!H9&gt;0,MIN(Skills!I9,MAX(0,MAX(0,Inputs!$B$43-B2441)-((R2412-1)*(IF(Inputs!$B$38="pvp",15,MAX(0.1,Skills!D9-IF(Skills!E9=TRUE,Inputs!$B$32,0)))*(1-IF(AND(ArtifactsInput!$M$27,Inputs!$B$4="Chapter Hunt"),CHOOSE(ArtifactsInput!$N$27+1,20,24,28,32,36,40),0)/100)))))/Skills!H9,1)))/Inputs!$B$43),G2412*Q2412)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2412*(1-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2412*(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2412*(1-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2412*(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2">
        <f>IF(C2412,(H2412*N2412*IF(AND(Inputs!$B$38&lt;&gt;"pvp",Inputs!$B$43&gt;0),((Skills!G9*((R2412-1)*IF(Skills!H9&gt;0,Skills!I9/Skills!H9,1)+IF(Skills!H9&gt;0,MIN(Skills!I9,MAX(0,MAX(0,Inputs!$B$43-B2441)-((R2412-1)*(IF(Inputs!$B$38="pvp",15,MAX(0.1,Skills!D9-IF(Skills!E9=TRUE,Inputs!$B$32,0)))*(1-IF(AND(ArtifactsInput!$M$27,Inputs!$B$4="Chapter Hunt"),CHOOSE(ArtifactsInput!$N$27+1,20,24,28,32,36,40),0)/100)))))/Skills!H9,1)))/Inputs!$B$43),G2412*Q2412))*IF(Inputs!$B$38="pvp",1,(1+(Inputs!$B$21+Skills!Q9+(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3">
      <c r="A2413">
        <f>Skills!A10</f>
        <v/>
      </c>
      <c r="B2413">
        <f>Skills!B10</f>
        <v/>
      </c>
      <c r="C2413">
        <f>Inputs!$B$3&gt;=113</f>
        <v/>
      </c>
      <c r="D2413">
        <f>IF(Skills!C10=1,60+Inputs!$B$25+Inputs!$B$29,IF(Skills!C10=2,90+Inputs!$B$26+Inputs!$B$29,IF(Skills!C10=3,120+Inputs!$B$27+Inputs!$B$29,MAX(0,(Inputs!$B$3-100)*3)+Inputs!$B$28+Inputs!$B$29)))</f>
        <v/>
      </c>
      <c r="E2413">
        <f>INDEX(FactorTable!$B$2:$Y$301, MATCH(ROUND(MIN(300,MAX(1,D2413)),0), FactorTable!$A$2:$A$301,0), Skills!M10+1)</f>
        <v/>
      </c>
      <c r="F2413">
        <f>IF(Skills!N10=TRUE,(Skills!L10/10)*(E2413/1000),Skills!L10/10)+Skills!O10</f>
        <v/>
      </c>
      <c r="G2413">
        <f>Skills!G10*IF(Skills!H10&gt;0,Skills!I10/Skills!H10,1)</f>
        <v/>
      </c>
      <c r="H2413">
        <f>1-(1-Skills!J10/100)^Skills!K10</f>
        <v/>
      </c>
      <c r="I2413" t="inlineStr">
        <is>
          <t>1</t>
        </is>
      </c>
      <c r="J2413">
        <f>((Inputs!$B$6*(1+Inputs!$B$7/100))+(((Inputs!$B$12*(1+Inputs!$B$13/100))-(Inputs!$B$12*(1+Inputs!$B$13/100)))+0.25*(Inputs!$B$14-Inputs!$B$14))*(1+Inputs!$B$7/100))*(F2413/100)</f>
        <v/>
      </c>
      <c r="K2413">
        <f>J2413*(1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2413)</f>
        <v/>
      </c>
      <c r="L2413">
        <f>K2413*(MIN(Inputs!$B$22+((C2425=TRUE)*(F2425-Calc!F22)),(Inputs!$B$23+0+(IF(ArtifactsInput!$M$15,CHOOSE(ArtifactsInput!$N$15+1,25,30,35,40,45,50)/100*(Inputs!$B$11-Inputs!$B$11),0))))/100+(Inputs!$B$23+0+(IF(ArtifactsInput!$M$15,CHOOSE(ArtifactsInput!$N$15+1,25,30,35,40,45,50)/100*(Inputs!$B$11-Inputs!$B$11),0)))/100)/2</f>
        <v/>
      </c>
      <c r="M2413">
        <f>L2413*(1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3">
        <f>L2413*(1-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2413*(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3">
        <f>(1-Summary!$B$11)*T2413+Summary!$B$11*V2413</f>
        <v/>
      </c>
      <c r="P2413">
        <f>IF(B2444=0,0,O2413/B2444)</f>
        <v/>
      </c>
      <c r="Q2413">
        <f>IFERROR(1/(IF(Inputs!$B$38="pvp",15,MAX(0.1,Skills!D10-IF(Skills!E10=TRUE,Inputs!$B$32,0)))*(1-IF(AND(ArtifactsInput!$M$27,Inputs!$B$4="Chapter Hunt"),CHOOSE(ArtifactsInput!$N$27+1,20,24,28,32,36,40),0)/100)),0)</f>
        <v/>
      </c>
      <c r="R2413">
        <f>IF(AND(Inputs!$B$38&lt;&gt;"pvp",Inputs!$B$43&gt;0),IF(MAX(0,Inputs!$B$43-B2441)&lt;=0,0,(INT(MAX(0,Inputs!$B$43-B2441)/(IF(Inputs!$B$38="pvp",15,MAX(0.1,Skills!D10-IF(Skills!E10=TRUE,Inputs!$B$32,0)))*(1-IF(AND(ArtifactsInput!$M$27,Inputs!$B$4="Chapter Hunt"),CHOOSE(ArtifactsInput!$N$27+1,20,24,28,32,36,40),0)/100)))+1)),0)</f>
        <v/>
      </c>
      <c r="S2413">
        <f>IFERROR(O2413/N2413,0)</f>
        <v/>
      </c>
      <c r="T2413">
        <f>IF(C2413,(H2413*N2413*IF(AND(Inputs!$B$38&lt;&gt;"pvp",Inputs!$B$43&gt;0),((Skills!G10*((R2413-1)*IF(Skills!H10&gt;0,Skills!I10/Skills!H10,1)+IF(Skills!H10&gt;0,MIN(Skills!I10,MAX(0,MAX(0,Inputs!$B$43-B2441)-((R2413-1)*(IF(Inputs!$B$38="pvp",15,MAX(0.1,Skills!D10-IF(Skills!E10=TRUE,Inputs!$B$32,0)))*(1-IF(AND(ArtifactsInput!$M$27,Inputs!$B$4="Chapter Hunt"),CHOOSE(ArtifactsInput!$N$27+1,20,24,28,32,36,40),0)/100)))))/Skills!H10,1)))/Inputs!$B$43),G2413*Q2413)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2413*(1-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2413*(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2413*(1-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2413*(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3">
        <f>IF(C2413,(H2413*N2413*IF(AND(Inputs!$B$38&lt;&gt;"pvp",Inputs!$B$43&gt;0),((Skills!G10*((R2413-1)*IF(Skills!H10&gt;0,Skills!I10/Skills!H10,1)+IF(Skills!H10&gt;0,MIN(Skills!I10,MAX(0,MAX(0,Inputs!$B$43-B2441)-((R2413-1)*(IF(Inputs!$B$38="pvp",15,MAX(0.1,Skills!D10-IF(Skills!E10=TRUE,Inputs!$B$32,0)))*(1-IF(AND(ArtifactsInput!$M$27,Inputs!$B$4="Chapter Hunt"),CHOOSE(ArtifactsInput!$N$27+1,20,24,28,32,36,40),0)/100)))))/Skills!H10,1)))/Inputs!$B$43),G2413*Q2413))*IF(Inputs!$B$38="pvp",1,(1+(Inputs!$B$21+Skills!Q10+(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4">
      <c r="A2414">
        <f>Skills!A11</f>
        <v/>
      </c>
      <c r="B2414">
        <f>Skills!B11</f>
        <v/>
      </c>
      <c r="C2414">
        <f>Inputs!$B$3&gt;=107</f>
        <v/>
      </c>
      <c r="D2414">
        <f>IF(Skills!C11=1,60+Inputs!$B$25+Inputs!$B$29,IF(Skills!C11=2,90+Inputs!$B$26+Inputs!$B$29,IF(Skills!C11=3,120+Inputs!$B$27+Inputs!$B$29,MAX(0,(Inputs!$B$3-100)*3)+Inputs!$B$28+Inputs!$B$29)))</f>
        <v/>
      </c>
      <c r="E2414">
        <f>INDEX(FactorTable!$B$2:$Y$301, MATCH(ROUND(MIN(300,MAX(1,D2414)),0), FactorTable!$A$2:$A$301,0), Skills!M11+1)</f>
        <v/>
      </c>
      <c r="F2414">
        <f>IF(Skills!N11=TRUE,(Skills!L11/10)*(E2414/1000),Skills!L11/10)+Skills!O11</f>
        <v/>
      </c>
      <c r="G2414">
        <f>Skills!G11*IF(Skills!H11&gt;0,Skills!I11/Skills!H11,1)</f>
        <v/>
      </c>
      <c r="H2414">
        <f>1-(1-Skills!J11/100)^Skills!K11</f>
        <v/>
      </c>
      <c r="I2414" t="inlineStr">
        <is>
          <t>1</t>
        </is>
      </c>
      <c r="J2414">
        <f>((Inputs!$B$6*(1+Inputs!$B$7/100))+(((Inputs!$B$12*(1+Inputs!$B$13/100))-(Inputs!$B$12*(1+Inputs!$B$13/100)))+0.25*(Inputs!$B$14-Inputs!$B$14))*(1+Inputs!$B$7/100))*(F2414/100)</f>
        <v/>
      </c>
      <c r="K2414">
        <f>J2414*(1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11="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2414)</f>
        <v/>
      </c>
      <c r="L2414">
        <f>K2414*(MIN(Inputs!$B$22+((C2425=TRUE)*(F2425-Calc!F22)),(Inputs!$B$23+0+(IF(ArtifactsInput!$M$15,CHOOSE(ArtifactsInput!$N$15+1,25,30,35,40,45,50)/100*(Inputs!$B$11-Inputs!$B$11),0))))/100+(Inputs!$B$23+0+(IF(ArtifactsInput!$M$15,CHOOSE(ArtifactsInput!$N$15+1,25,30,35,40,45,50)/100*(Inputs!$B$11-Inputs!$B$11),0)))/100)/2</f>
        <v/>
      </c>
      <c r="M2414">
        <f>L2414*(1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4">
        <f>L2414*(1-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2414*(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4">
        <f>(1-Summary!$B$11)*T2414+Summary!$B$11*V2414</f>
        <v/>
      </c>
      <c r="P2414">
        <f>IF(B2444=0,0,O2414/B2444)</f>
        <v/>
      </c>
      <c r="Q2414">
        <f>IFERROR(1/(IF(Inputs!$B$38="pvp",15,MAX(0.1,Skills!D11-IF(Skills!E11=TRUE,Inputs!$B$32,0)))*(1-IF(AND(ArtifactsInput!$M$27,Inputs!$B$4="Chapter Hunt"),CHOOSE(ArtifactsInput!$N$27+1,20,24,28,32,36,40),0)/100)),0)</f>
        <v/>
      </c>
      <c r="R2414">
        <f>IF(AND(Inputs!$B$38&lt;&gt;"pvp",Inputs!$B$43&gt;0),IF(MAX(0,Inputs!$B$43-B2441)&lt;=0,0,(INT(MAX(0,Inputs!$B$43-B2441)/(IF(Inputs!$B$38="pvp",15,MAX(0.1,Skills!D11-IF(Skills!E11=TRUE,Inputs!$B$32,0)))*(1-IF(AND(ArtifactsInput!$M$27,Inputs!$B$4="Chapter Hunt"),CHOOSE(ArtifactsInput!$N$27+1,20,24,28,32,36,40),0)/100)))+1)),0)</f>
        <v/>
      </c>
      <c r="S2414">
        <f>IFERROR(O2414/N2414,0)</f>
        <v/>
      </c>
      <c r="T2414">
        <f>IF(C2414,(H2414*N2414*IF(AND(Inputs!$B$38&lt;&gt;"pvp",Inputs!$B$43&gt;0),((Skills!G11*((R2414-1)*IF(Skills!H11&gt;0,Skills!I11/Skills!H11,1)+IF(Skills!H11&gt;0,MIN(Skills!I11,MAX(0,MAX(0,Inputs!$B$43-B2441)-((R2414-1)*(IF(Inputs!$B$38="pvp",15,MAX(0.1,Skills!D11-IF(Skills!E11=TRUE,Inputs!$B$32,0)))*(1-IF(AND(ArtifactsInput!$M$27,Inputs!$B$4="Chapter Hunt"),CHOOSE(ArtifactsInput!$N$27+1,20,24,28,32,36,40),0)/100)))))/Skills!H11,1)))/Inputs!$B$43),G2414*Q2414)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2414*(1-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2414*(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2414*(1-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2414*(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4">
        <f>IF(C2414,(H2414*N2414*IF(AND(Inputs!$B$38&lt;&gt;"pvp",Inputs!$B$43&gt;0),((Skills!G11*((R2414-1)*IF(Skills!H11&gt;0,Skills!I11/Skills!H11,1)+IF(Skills!H11&gt;0,MIN(Skills!I11,MAX(0,MAX(0,Inputs!$B$43-B2441)-((R2414-1)*(IF(Inputs!$B$38="pvp",15,MAX(0.1,Skills!D11-IF(Skills!E11=TRUE,Inputs!$B$32,0)))*(1-IF(AND(ArtifactsInput!$M$27,Inputs!$B$4="Chapter Hunt"),CHOOSE(ArtifactsInput!$N$27+1,20,24,28,32,36,40),0)/100)))))/Skills!H11,1)))/Inputs!$B$43),G2414*Q2414))*IF(Inputs!$B$38="pvp",1,(1+(Inputs!$B$21+Skills!Q11+(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5">
      <c r="A2415">
        <f>Skills!A12</f>
        <v/>
      </c>
      <c r="B2415">
        <f>Skills!B12</f>
        <v/>
      </c>
      <c r="C2415">
        <f>Inputs!$B$3&gt;=110</f>
        <v/>
      </c>
      <c r="D2415">
        <f>IF(Skills!C12=1,60+Inputs!$B$25+Inputs!$B$29,IF(Skills!C12=2,90+Inputs!$B$26+Inputs!$B$29,IF(Skills!C12=3,120+Inputs!$B$27+Inputs!$B$29,MAX(0,(Inputs!$B$3-100)*3)+Inputs!$B$28+Inputs!$B$29)))</f>
        <v/>
      </c>
      <c r="E2415">
        <f>INDEX(FactorTable!$B$2:$Y$301, MATCH(ROUND(MIN(300,MAX(1,D2415)),0), FactorTable!$A$2:$A$301,0), Skills!M12+1)</f>
        <v/>
      </c>
      <c r="F2415">
        <f>IF(Skills!N12=TRUE,(Skills!L12/10)*(E2415/1000),Skills!L12/10)+Skills!O12</f>
        <v/>
      </c>
      <c r="G2415">
        <f>Skills!G12*IF(Skills!H12&gt;0,Skills!I12/Skills!H12,1)</f>
        <v/>
      </c>
      <c r="H2415">
        <f>1-(1-Skills!J12/100)^Skills!K12</f>
        <v/>
      </c>
      <c r="I2415" t="inlineStr">
        <is>
          <t>1</t>
        </is>
      </c>
      <c r="J2415">
        <f>((Inputs!$B$6*(1+Inputs!$B$7/100))+(((Inputs!$B$12*(1+Inputs!$B$13/100))-(Inputs!$B$12*(1+Inputs!$B$13/100)))+0.25*(Inputs!$B$14-Inputs!$B$14))*(1+Inputs!$B$7/100))*(F2415/100)</f>
        <v/>
      </c>
      <c r="K2415">
        <f>J2415*(1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12="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2415)</f>
        <v/>
      </c>
      <c r="L2415">
        <f>K2415*(MIN(Inputs!$B$22+((C2425=TRUE)*(F2425-Calc!F22)),(Inputs!$B$23+0+(IF(ArtifactsInput!$M$15,CHOOSE(ArtifactsInput!$N$15+1,25,30,35,40,45,50)/100*(Inputs!$B$11-Inputs!$B$11),0))))/100+(Inputs!$B$23+0+(IF(ArtifactsInput!$M$15,CHOOSE(ArtifactsInput!$N$15+1,25,30,35,40,45,50)/100*(Inputs!$B$11-Inputs!$B$11),0)))/100)/2</f>
        <v/>
      </c>
      <c r="M2415">
        <f>L2415*(1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5">
        <f>L2415*(1-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2415*(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5">
        <f>(1-Summary!$B$11)*T2415+Summary!$B$11*V2415</f>
        <v/>
      </c>
      <c r="P2415">
        <f>IF(B2444=0,0,O2415/B2444)</f>
        <v/>
      </c>
      <c r="Q2415">
        <f>IFERROR(1/(IF(Inputs!$B$38="pvp",15,MAX(0.1,Skills!D12-IF(Skills!E12=TRUE,Inputs!$B$32,0)))*(1-IF(AND(ArtifactsInput!$M$27,Inputs!$B$4="Chapter Hunt"),CHOOSE(ArtifactsInput!$N$27+1,20,24,28,32,36,40),0)/100)),0)</f>
        <v/>
      </c>
      <c r="R2415">
        <f>IF(AND(Inputs!$B$38&lt;&gt;"pvp",Inputs!$B$43&gt;0),IF(MAX(0,Inputs!$B$43-B2441)&lt;=0,0,(INT(MAX(0,Inputs!$B$43-B2441)/(IF(Inputs!$B$38="pvp",15,MAX(0.1,Skills!D12-IF(Skills!E12=TRUE,Inputs!$B$32,0)))*(1-IF(AND(ArtifactsInput!$M$27,Inputs!$B$4="Chapter Hunt"),CHOOSE(ArtifactsInput!$N$27+1,20,24,28,32,36,40),0)/100)))+1)),0)</f>
        <v/>
      </c>
      <c r="S2415">
        <f>IFERROR(O2415/N2415,0)</f>
        <v/>
      </c>
      <c r="T2415">
        <f>IF(C2415,(H2415*N2415*IF(AND(Inputs!$B$38&lt;&gt;"pvp",Inputs!$B$43&gt;0),((Skills!G12*((R2415-1)*IF(Skills!H12&gt;0,Skills!I12/Skills!H12,1)+IF(Skills!H12&gt;0,MIN(Skills!I12,MAX(0,MAX(0,Inputs!$B$43-B2441)-((R2415-1)*(IF(Inputs!$B$38="pvp",15,MAX(0.1,Skills!D12-IF(Skills!E12=TRUE,Inputs!$B$32,0)))*(1-IF(AND(ArtifactsInput!$M$27,Inputs!$B$4="Chapter Hunt"),CHOOSE(ArtifactsInput!$N$27+1,20,24,28,32,36,40),0)/100)))))/Skills!H12,1)))/Inputs!$B$43),G2415*Q2415)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2415*(1-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2415*(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2415*(1-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2415*(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5">
        <f>IF(C2415,(H2415*N2415*IF(AND(Inputs!$B$38&lt;&gt;"pvp",Inputs!$B$43&gt;0),((Skills!G12*((R2415-1)*IF(Skills!H12&gt;0,Skills!I12/Skills!H12,1)+IF(Skills!H12&gt;0,MIN(Skills!I12,MAX(0,MAX(0,Inputs!$B$43-B2441)-((R2415-1)*(IF(Inputs!$B$38="pvp",15,MAX(0.1,Skills!D12-IF(Skills!E12=TRUE,Inputs!$B$32,0)))*(1-IF(AND(ArtifactsInput!$M$27,Inputs!$B$4="Chapter Hunt"),CHOOSE(ArtifactsInput!$N$27+1,20,24,28,32,36,40),0)/100)))))/Skills!H12,1)))/Inputs!$B$43),G2415*Q2415))*IF(Inputs!$B$38="pvp",1,(1+(Inputs!$B$21+Skills!Q12+(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6">
      <c r="A2416">
        <f>Skills!A13</f>
        <v/>
      </c>
      <c r="B2416">
        <f>Skills!B13</f>
        <v/>
      </c>
      <c r="C2416">
        <f>Inputs!$B$3&gt;=110</f>
        <v/>
      </c>
      <c r="D2416">
        <f>IF(Skills!C13=1,60+Inputs!$B$25+Inputs!$B$29,IF(Skills!C13=2,90+Inputs!$B$26+Inputs!$B$29,IF(Skills!C13=3,120+Inputs!$B$27+Inputs!$B$29,MAX(0,(Inputs!$B$3-100)*3)+Inputs!$B$28+Inputs!$B$29)))</f>
        <v/>
      </c>
      <c r="E2416">
        <f>INDEX(FactorTable!$B$2:$Y$301, MATCH(ROUND(MIN(300,MAX(1,D2416)),0), FactorTable!$A$2:$A$301,0), Skills!M13+1)</f>
        <v/>
      </c>
      <c r="F2416">
        <f>IF(Skills!N13=TRUE,(Skills!L13/10)*(E2416/1000),Skills!L13/10)+Skills!O13</f>
        <v/>
      </c>
      <c r="G2416">
        <f>Skills!G13*IF(Skills!H13&gt;0,Skills!I13/Skills!H13,1)</f>
        <v/>
      </c>
      <c r="H2416">
        <f>1-(1-Skills!J13/100)^Skills!K13</f>
        <v/>
      </c>
      <c r="I2416" t="inlineStr">
        <is>
          <t>1</t>
        </is>
      </c>
      <c r="J2416">
        <f>((Inputs!$B$6*(1+Inputs!$B$7/100))+(((Inputs!$B$12*(1+Inputs!$B$13/100))-(Inputs!$B$12*(1+Inputs!$B$13/100)))+0.25*(Inputs!$B$14-Inputs!$B$14))*(1+Inputs!$B$7/100))*(F2416/100)</f>
        <v/>
      </c>
      <c r="K2416">
        <f>J2416*(1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13="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2416)</f>
        <v/>
      </c>
      <c r="L2416">
        <f>K2416*(MIN(Inputs!$B$22+((C2425=TRUE)*(F2425-Calc!F22)),(Inputs!$B$23+0+(IF(ArtifactsInput!$M$15,CHOOSE(ArtifactsInput!$N$15+1,25,30,35,40,45,50)/100*(Inputs!$B$11-Inputs!$B$11),0))))/100+(Inputs!$B$23+0+(IF(ArtifactsInput!$M$15,CHOOSE(ArtifactsInput!$N$15+1,25,30,35,40,45,50)/100*(Inputs!$B$11-Inputs!$B$11),0)))/100)/2</f>
        <v/>
      </c>
      <c r="M2416">
        <f>L2416*(1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6">
        <f>L2416*(1-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2416*(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6">
        <f>(1-Summary!$B$11)*T2416+Summary!$B$11*V2416</f>
        <v/>
      </c>
      <c r="P2416">
        <f>IF(B2444=0,0,O2416/B2444)</f>
        <v/>
      </c>
      <c r="Q2416">
        <f>IFERROR(1/(IF(Inputs!$B$38="pvp",15,MAX(0.1,Skills!D13-IF(Skills!E13=TRUE,Inputs!$B$32,0)))*(1-IF(AND(ArtifactsInput!$M$27,Inputs!$B$4="Chapter Hunt"),CHOOSE(ArtifactsInput!$N$27+1,20,24,28,32,36,40),0)/100)),0)</f>
        <v/>
      </c>
      <c r="R2416">
        <f>IF(AND(Inputs!$B$38&lt;&gt;"pvp",Inputs!$B$43&gt;0),IF(MAX(0,Inputs!$B$43-B2441)&lt;=0,0,(INT(MAX(0,Inputs!$B$43-B2441)/(IF(Inputs!$B$38="pvp",15,MAX(0.1,Skills!D13-IF(Skills!E13=TRUE,Inputs!$B$32,0)))*(1-IF(AND(ArtifactsInput!$M$27,Inputs!$B$4="Chapter Hunt"),CHOOSE(ArtifactsInput!$N$27+1,20,24,28,32,36,40),0)/100)))+1)),0)</f>
        <v/>
      </c>
      <c r="S2416">
        <f>IFERROR(O2416/N2416,0)</f>
        <v/>
      </c>
      <c r="T2416">
        <f>IF(C2416,(H2416*N2416*IF(AND(Inputs!$B$38&lt;&gt;"pvp",Inputs!$B$43&gt;0),((Skills!G13*((R2416-1)*IF(Skills!H13&gt;0,Skills!I13/Skills!H13,1)+IF(Skills!H13&gt;0,MIN(Skills!I13,MAX(0,MAX(0,Inputs!$B$43-B2441)-((R2416-1)*(IF(Inputs!$B$38="pvp",15,MAX(0.1,Skills!D13-IF(Skills!E13=TRUE,Inputs!$B$32,0)))*(1-IF(AND(ArtifactsInput!$M$27,Inputs!$B$4="Chapter Hunt"),CHOOSE(ArtifactsInput!$N$27+1,20,24,28,32,36,40),0)/100)))))/Skills!H13,1)))/Inputs!$B$43),G2416*Q2416)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2416*(1-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2416*(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2416*(1-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2416*(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6">
        <f>IF(C2416,(H2416*N2416*IF(AND(Inputs!$B$38&lt;&gt;"pvp",Inputs!$B$43&gt;0),((Skills!G13*((R2416-1)*IF(Skills!H13&gt;0,Skills!I13/Skills!H13,1)+IF(Skills!H13&gt;0,MIN(Skills!I13,MAX(0,MAX(0,Inputs!$B$43-B2441)-((R2416-1)*(IF(Inputs!$B$38="pvp",15,MAX(0.1,Skills!D13-IF(Skills!E13=TRUE,Inputs!$B$32,0)))*(1-IF(AND(ArtifactsInput!$M$27,Inputs!$B$4="Chapter Hunt"),CHOOSE(ArtifactsInput!$N$27+1,20,24,28,32,36,40),0)/100)))))/Skills!H13,1)))/Inputs!$B$43),G2416*Q2416))*IF(Inputs!$B$38="pvp",1,(1+(Inputs!$B$21+Skills!Q13+(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7">
      <c r="A2417">
        <f>Skills!A14</f>
        <v/>
      </c>
      <c r="B2417">
        <f>Skills!B14</f>
        <v/>
      </c>
      <c r="C2417">
        <f>Inputs!$B$3&gt;=125</f>
        <v/>
      </c>
      <c r="D2417">
        <f>IF(Skills!C14=1,60+Inputs!$B$25+Inputs!$B$29,IF(Skills!C14=2,90+Inputs!$B$26+Inputs!$B$29,IF(Skills!C14=3,120+Inputs!$B$27+Inputs!$B$29,MAX(0,(Inputs!$B$3-100)*3)+Inputs!$B$28+Inputs!$B$29)))</f>
        <v/>
      </c>
      <c r="E2417">
        <f>INDEX(FactorTable!$B$2:$Y$301, MATCH(ROUND(MIN(300,MAX(1,D2417)),0), FactorTable!$A$2:$A$301,0), Skills!M14+1)</f>
        <v/>
      </c>
      <c r="F2417">
        <f>IF(Skills!N14=TRUE,(Skills!L14/10)*(E2417/1000),Skills!L14/10)+Skills!O14</f>
        <v/>
      </c>
      <c r="G2417">
        <f>Skills!G14*IF(Skills!H14&gt;0,Skills!I14/Skills!H14,1)</f>
        <v/>
      </c>
      <c r="H2417">
        <f>1-(1-Skills!J14/100)^Skills!K14</f>
        <v/>
      </c>
      <c r="I2417" t="inlineStr">
        <is>
          <t>1</t>
        </is>
      </c>
      <c r="J2417">
        <f>((Inputs!$B$6*(1+Inputs!$B$7/100))+(((Inputs!$B$12*(1+Inputs!$B$13/100))-(Inputs!$B$12*(1+Inputs!$B$13/100)))+0.25*(Inputs!$B$14-Inputs!$B$14))*(1+Inputs!$B$7/100))*(F2417/100)</f>
        <v/>
      </c>
      <c r="K2417">
        <f>J2417*(1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14="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2417)</f>
        <v/>
      </c>
      <c r="L2417">
        <f>K2417*(MIN(Inputs!$B$22+((C2425=TRUE)*(F2425-Calc!F22)),(Inputs!$B$23+0+(IF(ArtifactsInput!$M$15,CHOOSE(ArtifactsInput!$N$15+1,25,30,35,40,45,50)/100*(Inputs!$B$11-Inputs!$B$11),0))))/100+(Inputs!$B$23+0+(IF(ArtifactsInput!$M$15,CHOOSE(ArtifactsInput!$N$15+1,25,30,35,40,45,50)/100*(Inputs!$B$11-Inputs!$B$11),0)))/100)/2</f>
        <v/>
      </c>
      <c r="M2417">
        <f>L2417*(1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7">
        <f>L2417*(1-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2417*(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7">
        <f>(1-Summary!$B$11)*T2417+Summary!$B$11*V2417</f>
        <v/>
      </c>
      <c r="P2417">
        <f>IF(B2444=0,0,O2417/B2444)</f>
        <v/>
      </c>
      <c r="Q2417" t="n">
        <v>0</v>
      </c>
      <c r="R2417" t="n">
        <v>0</v>
      </c>
      <c r="S2417">
        <f>IFERROR(O2417/N2417,0)</f>
        <v/>
      </c>
      <c r="T2417">
        <f>IF(C2417,(H2417*N2417*(B2438+IF(AND(Inputs!$B$38&lt;&gt;"pvp",Inputs!$B$43&gt;0),((Skills!G8*((R2411-1)*IF(Skills!H8&gt;0,Skills!I8/Skills!H8,1)+IF(Skills!H8&gt;0,MIN(Skills!I8,MAX(0,MAX(0,Inputs!$B$43-B2441)-((R2411-1)*(IF(Inputs!$B$38="pvp",15,MAX(0.1,Skills!D8-IF(Skills!E8=TRUE,Inputs!$B$32,0)))*(1-IF(AND(ArtifactsInput!$M$27,Inputs!$B$4="Chapter Hunt"),CHOOSE(ArtifactsInput!$N$27+1,20,24,28,32,36,40),0)/100)))))/Skills!H8,1)))/Inputs!$B$43),G2411*Q2411)+IF(AND(Inputs!$B$38&lt;&gt;"pvp",Inputs!$B$43&gt;0),((Skills!G11*((R2414-1)*IF(Skills!H11&gt;0,Skills!I11/Skills!H11,1)+IF(Skills!H11&gt;0,MIN(Skills!I11,MAX(0,MAX(0,Inputs!$B$43-B2441)-((R2414-1)*(IF(Inputs!$B$38="pvp",15,MAX(0.1,Skills!D11-IF(Skills!E11=TRUE,Inputs!$B$32,0)))*(1-IF(AND(ArtifactsInput!$M$27,Inputs!$B$4="Chapter Hunt"),CHOOSE(ArtifactsInput!$N$27+1,20,24,28,32,36,40),0)/100)))))/Skills!H11,1)))/Inputs!$B$43),G2414*Q2414)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2417*(1-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2417*(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2417*(1-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2417*(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7">
        <f>IF(C2417,(H2417*N2417*(B2438+IF(AND(Inputs!$B$38&lt;&gt;"pvp",Inputs!$B$43&gt;0),((Skills!G8*((R2411-1)*IF(Skills!H8&gt;0,Skills!I8/Skills!H8,1)+IF(Skills!H8&gt;0,MIN(Skills!I8,MAX(0,MAX(0,Inputs!$B$43-B2441)-((R2411-1)*(IF(Inputs!$B$38="pvp",15,MAX(0.1,Skills!D8-IF(Skills!E8=TRUE,Inputs!$B$32,0)))*(1-IF(AND(ArtifactsInput!$M$27,Inputs!$B$4="Chapter Hunt"),CHOOSE(ArtifactsInput!$N$27+1,20,24,28,32,36,40),0)/100)))))/Skills!H8,1)))/Inputs!$B$43),G2411*Q2411)+IF(AND(Inputs!$B$38&lt;&gt;"pvp",Inputs!$B$43&gt;0),((Skills!G11*((R2414-1)*IF(Skills!H11&gt;0,Skills!I11/Skills!H11,1)+IF(Skills!H11&gt;0,MIN(Skills!I11,MAX(0,MAX(0,Inputs!$B$43-B2441)-((R2414-1)*(IF(Inputs!$B$38="pvp",15,MAX(0.1,Skills!D11-IF(Skills!E11=TRUE,Inputs!$B$32,0)))*(1-IF(AND(ArtifactsInput!$M$27,Inputs!$B$4="Chapter Hunt"),CHOOSE(ArtifactsInput!$N$27+1,20,24,28,32,36,40),0)/100)))))/Skills!H11,1)))/Inputs!$B$43),G2414*Q2414)))*IF(Inputs!$B$38="pvp",1,(1+(Inputs!$B$21+Skills!Q14+(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8">
      <c r="A2418">
        <f>Skills!A15</f>
        <v/>
      </c>
      <c r="B2418">
        <f>Skills!B15</f>
        <v/>
      </c>
      <c r="C2418">
        <f>Inputs!$B$3&gt;=100</f>
        <v/>
      </c>
      <c r="D2418">
        <f>IF(Skills!C15=1,60+Inputs!$B$25+Inputs!$B$29,IF(Skills!C15=2,90+Inputs!$B$26+Inputs!$B$29,IF(Skills!C15=3,120+Inputs!$B$27+Inputs!$B$29,MAX(0,(Inputs!$B$3-100)*3)+Inputs!$B$28+Inputs!$B$29)))</f>
        <v/>
      </c>
      <c r="E2418">
        <f>INDEX(FactorTable!$B$2:$Y$301, MATCH(ROUND(MIN(300,MAX(1,D2418)),0), FactorTable!$A$2:$A$301,0), Skills!M15+1)</f>
        <v/>
      </c>
      <c r="F2418">
        <f>IF(Skills!N15=TRUE,(Skills!L15/10)*(E2418/1000),Skills!L15/10)+Skills!O15</f>
        <v/>
      </c>
      <c r="G2418" t="inlineStr"/>
      <c r="H2418" t="inlineStr"/>
      <c r="I2418" t="inlineStr">
        <is>
          <t>1</t>
        </is>
      </c>
      <c r="J2418" t="inlineStr"/>
      <c r="K2418" t="inlineStr"/>
      <c r="L2418" t="inlineStr"/>
      <c r="M2418" t="inlineStr"/>
      <c r="N2418" t="inlineStr"/>
      <c r="O2418" t="inlineStr"/>
      <c r="P2418" t="inlineStr"/>
      <c r="Q2418" t="inlineStr"/>
      <c r="R2418" t="inlineStr"/>
      <c r="S2418" t="inlineStr"/>
    </row>
    <row r="2419">
      <c r="A2419">
        <f>Skills!A16</f>
        <v/>
      </c>
      <c r="B2419">
        <f>Skills!B16</f>
        <v/>
      </c>
      <c r="C2419">
        <f>Inputs!$B$3&gt;=120</f>
        <v/>
      </c>
      <c r="D2419">
        <f>IF(Skills!C16=1,60+Inputs!$B$25+Inputs!$B$29,IF(Skills!C16=2,90+Inputs!$B$26+Inputs!$B$29,IF(Skills!C16=3,120+Inputs!$B$27+Inputs!$B$29,MAX(0,(Inputs!$B$3-100)*3)+Inputs!$B$28+Inputs!$B$29)))</f>
        <v/>
      </c>
      <c r="E2419">
        <f>INDEX(FactorTable!$B$2:$Y$301, MATCH(ROUND(MIN(300,MAX(1,D2419)),0), FactorTable!$A$2:$A$301,0), Skills!M16+1)</f>
        <v/>
      </c>
      <c r="F2419">
        <f>IF(Skills!N16=TRUE,(Skills!L16/10)*(E2419/1000),Skills!L16/10)+Skills!O16</f>
        <v/>
      </c>
      <c r="G2419" t="inlineStr"/>
      <c r="H2419" t="inlineStr"/>
      <c r="I2419" t="inlineStr">
        <is>
          <t>1</t>
        </is>
      </c>
      <c r="J2419" t="inlineStr"/>
      <c r="K2419" t="inlineStr"/>
      <c r="L2419" t="inlineStr"/>
      <c r="M2419" t="inlineStr"/>
      <c r="N2419" t="inlineStr"/>
      <c r="O2419" t="inlineStr"/>
      <c r="P2419" t="inlineStr"/>
      <c r="Q2419" t="inlineStr"/>
      <c r="R2419" t="inlineStr"/>
      <c r="S2419" t="inlineStr"/>
    </row>
    <row r="2420">
      <c r="A2420">
        <f>Skills!A17</f>
        <v/>
      </c>
      <c r="B2420">
        <f>Skills!B17</f>
        <v/>
      </c>
      <c r="C2420">
        <f>Inputs!$B$3&gt;=66</f>
        <v/>
      </c>
      <c r="D2420">
        <f>IF(Skills!C17=1,60+Inputs!$B$25+Inputs!$B$29,IF(Skills!C17=2,90+Inputs!$B$26+Inputs!$B$29,IF(Skills!C17=3,120+Inputs!$B$27+Inputs!$B$29,MAX(0,(Inputs!$B$3-100)*3)+Inputs!$B$28+Inputs!$B$29)))</f>
        <v/>
      </c>
      <c r="E2420">
        <f>INDEX(FactorTable!$B$2:$Y$301, MATCH(ROUND(MIN(300,MAX(1,D2420)),0), FactorTable!$A$2:$A$301,0), Skills!M17+1)</f>
        <v/>
      </c>
      <c r="F2420">
        <f>IF(Skills!N17=TRUE,(Skills!L17/10)*(E2420/1000),Skills!L17/10)+Skills!O17</f>
        <v/>
      </c>
      <c r="G2420">
        <f>Skills!G17*IF(Skills!H17&gt;0,Skills!I17/Skills!H17,1)</f>
        <v/>
      </c>
      <c r="H2420">
        <f>1-(1-Skills!J17/100)^Skills!K17</f>
        <v/>
      </c>
      <c r="I2420" t="inlineStr">
        <is>
          <t>1</t>
        </is>
      </c>
      <c r="J2420" t="inlineStr"/>
      <c r="K2420" t="inlineStr"/>
      <c r="L2420" t="inlineStr"/>
      <c r="M2420" t="inlineStr"/>
      <c r="N2420" t="inlineStr"/>
      <c r="O2420">
        <f>(1-Summary!$B$11)*T2420+Summary!$B$11*V2420</f>
        <v/>
      </c>
      <c r="P2420">
        <f>IF(B2444=0,0,O2420/B2444)</f>
        <v/>
      </c>
      <c r="Q2420" t="n">
        <v>0</v>
      </c>
      <c r="R2420" t="n">
        <v>0</v>
      </c>
      <c r="S2420">
        <f>IFERROR(O2420/N2420,0)</f>
        <v/>
      </c>
      <c r="T2420" t="n">
        <v>0</v>
      </c>
      <c r="V2420" t="n">
        <v>0</v>
      </c>
    </row>
    <row r="2421">
      <c r="A2421">
        <f>Skills!A18</f>
        <v/>
      </c>
      <c r="B2421">
        <f>Skills!B18</f>
        <v/>
      </c>
      <c r="C2421">
        <f>Inputs!$B$3&gt;=115</f>
        <v/>
      </c>
      <c r="D2421">
        <f>IF(Skills!C18=1,60+Inputs!$B$25+Inputs!$B$29,IF(Skills!C18=2,90+Inputs!$B$26+Inputs!$B$29,IF(Skills!C18=3,120+Inputs!$B$27+Inputs!$B$29,MAX(0,(Inputs!$B$3-100)*3)+Inputs!$B$28+Inputs!$B$29)))</f>
        <v/>
      </c>
      <c r="E2421">
        <f>INDEX(FactorTable!$B$2:$Y$301, MATCH(ROUND(MIN(300,MAX(1,D2421)),0), FactorTable!$A$2:$A$301,0), Skills!M18+1)</f>
        <v/>
      </c>
      <c r="F2421">
        <f>IF(Skills!N18=TRUE,(Skills!L18/10)*(E2421/1000),Skills!L18/10)+Skills!O18</f>
        <v/>
      </c>
      <c r="G2421">
        <f>Skills!G18*IF(Skills!H18&gt;0,Skills!I18/Skills!H18,1)</f>
        <v/>
      </c>
      <c r="H2421">
        <f>1-(1-Skills!J18/100)^Skills!K18</f>
        <v/>
      </c>
      <c r="I2421" t="inlineStr">
        <is>
          <t>1</t>
        </is>
      </c>
      <c r="J2421" t="inlineStr"/>
      <c r="K2421" t="inlineStr"/>
      <c r="L2421" t="inlineStr"/>
      <c r="M2421" t="inlineStr"/>
      <c r="N2421" t="inlineStr"/>
      <c r="O2421">
        <f>(1-Summary!$B$11)*T2421+Summary!$B$11*V2421</f>
        <v/>
      </c>
      <c r="P2421">
        <f>IF(B2444=0,0,O2421/B2444)</f>
        <v/>
      </c>
      <c r="Q2421">
        <f>IFERROR(1/(IF(Inputs!$B$38="pvp",15,MAX(0.1,Skills!D18-IF(Skills!E18=TRUE,Inputs!$B$32,0)))*(1-IF(AND(ArtifactsInput!$M$27,Inputs!$B$4="Chapter Hunt"),CHOOSE(ArtifactsInput!$N$27+1,20,24,28,32,36,40),0)/100)),0)</f>
        <v/>
      </c>
      <c r="R2421">
        <f>IF(AND(Inputs!$B$38&lt;&gt;"pvp",Inputs!$B$43&gt;0),IF(Inputs!$B$43&lt;=0,0,(INT(Inputs!$B$43/(IF(Inputs!$B$38="pvp",15,MAX(0.1,Skills!D18-IF(Skills!E18=TRUE,Inputs!$B$32,0)))*(1-IF(AND(ArtifactsInput!$M$27,Inputs!$B$4="Chapter Hunt"),CHOOSE(ArtifactsInput!$N$27+1,20,24,28,32,36,40),0)/100)))+1)),0)</f>
        <v/>
      </c>
      <c r="S2421">
        <f>IFERROR(O2421/N2421,0)</f>
        <v/>
      </c>
      <c r="T2421" t="n">
        <v>0</v>
      </c>
      <c r="V2421" t="n">
        <v>0</v>
      </c>
    </row>
    <row r="2422">
      <c r="A2422">
        <f>Skills!A19</f>
        <v/>
      </c>
      <c r="B2422">
        <f>Skills!B19</f>
        <v/>
      </c>
      <c r="C2422">
        <f>Inputs!$B$3&gt;=15</f>
        <v/>
      </c>
      <c r="D2422">
        <f>IF(Skills!C19=1,60+Inputs!$B$25+Inputs!$B$29,IF(Skills!C19=2,90+Inputs!$B$26+Inputs!$B$29,IF(Skills!C19=3,120+Inputs!$B$27+Inputs!$B$29,MAX(0,(Inputs!$B$3-100)*3)+Inputs!$B$28+Inputs!$B$29)))</f>
        <v/>
      </c>
      <c r="E2422">
        <f>INDEX(FactorTable!$B$2:$Y$301, MATCH(ROUND(MIN(300,MAX(1,D2422)),0), FactorTable!$A$2:$A$301,0), Skills!M19+1)</f>
        <v/>
      </c>
      <c r="F2422">
        <f>IF(Skills!N19=TRUE,(Skills!L19/10)*(E2422/1000),Skills!L19/10)+Skills!O19</f>
        <v/>
      </c>
      <c r="G2422">
        <f>Skills!G19*IF(Skills!H19&gt;0,Skills!I19/Skills!H19,1)</f>
        <v/>
      </c>
      <c r="H2422">
        <f>1-(1-Skills!J19/100)^Skills!K19</f>
        <v/>
      </c>
      <c r="I2422" t="inlineStr">
        <is>
          <t>1</t>
        </is>
      </c>
      <c r="J2422" t="inlineStr"/>
      <c r="K2422" t="inlineStr"/>
      <c r="L2422" t="inlineStr"/>
      <c r="M2422" t="inlineStr"/>
      <c r="N2422" t="inlineStr"/>
      <c r="O2422">
        <f>(1-Summary!$B$11)*T2422+Summary!$B$11*V2422</f>
        <v/>
      </c>
      <c r="P2422">
        <f>IF(B2444=0,0,O2422/B2444)</f>
        <v/>
      </c>
      <c r="Q2422" t="n">
        <v>0</v>
      </c>
      <c r="R2422" t="n">
        <v>0</v>
      </c>
      <c r="S2422">
        <f>IFERROR(O2422/N2422,0)</f>
        <v/>
      </c>
      <c r="T2422" t="n">
        <v>0</v>
      </c>
      <c r="V2422" t="n">
        <v>0</v>
      </c>
    </row>
    <row r="2423">
      <c r="A2423">
        <f>Skills!A20</f>
        <v/>
      </c>
      <c r="B2423">
        <f>Skills!B20</f>
        <v/>
      </c>
      <c r="C2423">
        <f>Inputs!$B$3&gt;=10</f>
        <v/>
      </c>
      <c r="D2423">
        <f>IF(Skills!C20=1,60+Inputs!$B$25+Inputs!$B$29,IF(Skills!C20=2,90+Inputs!$B$26+Inputs!$B$29,IF(Skills!C20=3,120+Inputs!$B$27+Inputs!$B$29,MAX(0,(Inputs!$B$3-100)*3)+Inputs!$B$28+Inputs!$B$29)))</f>
        <v/>
      </c>
      <c r="E2423">
        <f>INDEX(FactorTable!$B$2:$Y$301, MATCH(ROUND(MIN(300,MAX(1,D2423)),0), FactorTable!$A$2:$A$301,0), Skills!M20+1)</f>
        <v/>
      </c>
      <c r="F2423">
        <f>IF(Skills!N20=TRUE,(Skills!L20/10)*(E2423/1000),Skills!L20/10)+Skills!O20</f>
        <v/>
      </c>
      <c r="G2423">
        <f>Skills!G20*IF(Skills!H20&gt;0,Skills!I20/Skills!H20,1)</f>
        <v/>
      </c>
      <c r="H2423">
        <f>1-(1-Skills!J20/100)^Skills!K20</f>
        <v/>
      </c>
      <c r="I2423" t="inlineStr">
        <is>
          <t>1</t>
        </is>
      </c>
      <c r="J2423" t="inlineStr"/>
      <c r="K2423" t="inlineStr"/>
      <c r="L2423" t="inlineStr"/>
      <c r="M2423" t="inlineStr"/>
      <c r="N2423" t="inlineStr"/>
      <c r="O2423">
        <f>(1-Summary!$B$11)*T2423+Summary!$B$11*V2423</f>
        <v/>
      </c>
      <c r="P2423">
        <f>IF(B2444=0,0,O2423/B2444)</f>
        <v/>
      </c>
      <c r="Q2423" t="n">
        <v>0</v>
      </c>
      <c r="R2423" t="n">
        <v>0</v>
      </c>
      <c r="S2423">
        <f>IFERROR(O2423/N2423,0)</f>
        <v/>
      </c>
      <c r="T2423" t="n">
        <v>0</v>
      </c>
      <c r="V2423" t="n">
        <v>0</v>
      </c>
    </row>
    <row r="2424">
      <c r="A2424">
        <f>Skills!A21</f>
        <v/>
      </c>
      <c r="B2424">
        <f>Skills!B21</f>
        <v/>
      </c>
      <c r="C2424">
        <f>Inputs!$B$3&gt;=33</f>
        <v/>
      </c>
      <c r="D2424">
        <f>IF(Skills!C21=1,60+Inputs!$B$25+Inputs!$B$29,IF(Skills!C21=2,90+Inputs!$B$26+Inputs!$B$29,IF(Skills!C21=3,120+Inputs!$B$27+Inputs!$B$29,MAX(0,(Inputs!$B$3-100)*3)+Inputs!$B$28+Inputs!$B$29)))</f>
        <v/>
      </c>
      <c r="E2424">
        <f>INDEX(FactorTable!$B$2:$Y$301, MATCH(ROUND(MIN(300,MAX(1,D2424)),0), FactorTable!$A$2:$A$301,0), Skills!M21+1)</f>
        <v/>
      </c>
      <c r="F2424">
        <f>IF(Skills!N21=TRUE,(Skills!L21/10)*(E2424/1000),Skills!L21/10)+Skills!O21</f>
        <v/>
      </c>
      <c r="G2424">
        <f>Skills!G21*IF(Skills!H21&gt;0,Skills!I21/Skills!H21,1)</f>
        <v/>
      </c>
      <c r="H2424">
        <f>1-(1-Skills!J21/100)^Skills!K21</f>
        <v/>
      </c>
      <c r="I2424" t="inlineStr">
        <is>
          <t>1</t>
        </is>
      </c>
      <c r="J2424" t="inlineStr"/>
      <c r="K2424" t="inlineStr"/>
      <c r="L2424" t="inlineStr"/>
      <c r="M2424" t="inlineStr"/>
      <c r="N2424" t="inlineStr"/>
      <c r="O2424">
        <f>(1-Summary!$B$11)*T2424+Summary!$B$11*V2424</f>
        <v/>
      </c>
      <c r="P2424">
        <f>IF(B2444=0,0,O2424/B2444)</f>
        <v/>
      </c>
      <c r="Q2424" t="n">
        <v>0</v>
      </c>
      <c r="R2424" t="n">
        <v>0</v>
      </c>
      <c r="S2424">
        <f>IFERROR(O2424/N2424,0)</f>
        <v/>
      </c>
      <c r="T2424" t="n">
        <v>0</v>
      </c>
      <c r="V2424" t="n">
        <v>0</v>
      </c>
    </row>
    <row r="2425">
      <c r="A2425">
        <f>Skills!A22</f>
        <v/>
      </c>
      <c r="B2425">
        <f>Skills!B22</f>
        <v/>
      </c>
      <c r="C2425">
        <f>Inputs!$B$3&gt;=43</f>
        <v/>
      </c>
      <c r="D2425">
        <f>IF(Skills!C22=1,60+Inputs!$B$25+Inputs!$B$29,IF(Skills!C22=2,90+Inputs!$B$26+Inputs!$B$29,IF(Skills!C22=3,120+Inputs!$B$27+Inputs!$B$29,MAX(0,(Inputs!$B$3-100)*3)+Inputs!$B$28+Inputs!$B$29)))</f>
        <v/>
      </c>
      <c r="E2425">
        <f>INDEX(FactorTable!$B$2:$Y$301, MATCH(ROUND(MIN(300,MAX(1,D2425)),0), FactorTable!$A$2:$A$301,0), Skills!M22+1)</f>
        <v/>
      </c>
      <c r="F2425">
        <f>IF(Skills!N22=TRUE,(Skills!L22/10)*(E2425/1000),Skills!L22/10)+Skills!O22</f>
        <v/>
      </c>
      <c r="G2425">
        <f>Skills!G22*IF(Skills!H22&gt;0,Skills!I22/Skills!H22,1)</f>
        <v/>
      </c>
      <c r="H2425">
        <f>1-(1-Skills!J22/100)^Skills!K22</f>
        <v/>
      </c>
      <c r="I2425" t="inlineStr">
        <is>
          <t>1</t>
        </is>
      </c>
      <c r="J2425" t="inlineStr"/>
      <c r="K2425" t="inlineStr"/>
      <c r="L2425" t="inlineStr"/>
      <c r="M2425" t="inlineStr"/>
      <c r="N2425" t="inlineStr"/>
      <c r="O2425">
        <f>(1-Summary!$B$11)*T2425+Summary!$B$11*V2425</f>
        <v/>
      </c>
      <c r="P2425">
        <f>IF(B2444=0,0,O2425/B2444)</f>
        <v/>
      </c>
      <c r="Q2425" t="n">
        <v>0</v>
      </c>
      <c r="R2425" t="n">
        <v>0</v>
      </c>
      <c r="S2425">
        <f>IFERROR(O2425/N2425,0)</f>
        <v/>
      </c>
      <c r="T2425" t="n">
        <v>0</v>
      </c>
      <c r="V2425" t="n">
        <v>0</v>
      </c>
    </row>
    <row r="2426">
      <c r="A2426">
        <f>Skills!A23</f>
        <v/>
      </c>
      <c r="B2426">
        <f>Skills!B23</f>
        <v/>
      </c>
      <c r="C2426">
        <f>Inputs!$B$3&gt;=38</f>
        <v/>
      </c>
      <c r="D2426">
        <f>IF(Skills!C23=1,60+Inputs!$B$25+Inputs!$B$29,IF(Skills!C23=2,90+Inputs!$B$26+Inputs!$B$29,IF(Skills!C23=3,120+Inputs!$B$27+Inputs!$B$29,MAX(0,(Inputs!$B$3-100)*3)+Inputs!$B$28+Inputs!$B$29)))</f>
        <v/>
      </c>
      <c r="E2426">
        <f>INDEX(FactorTable!$B$2:$Y$301, MATCH(ROUND(MIN(300,MAX(1,D2426)),0), FactorTable!$A$2:$A$301,0), Skills!M23+1)</f>
        <v/>
      </c>
      <c r="F2426">
        <f>IF(Skills!N23=TRUE,(Skills!L23/10)*(E2426/1000),Skills!L23/10)+Skills!O23</f>
        <v/>
      </c>
      <c r="G2426">
        <f>Skills!G23*IF(Skills!H23&gt;0,Skills!I23/Skills!H23,1)</f>
        <v/>
      </c>
      <c r="H2426">
        <f>1-(1-Skills!J23/100)^Skills!K23</f>
        <v/>
      </c>
      <c r="I2426" t="inlineStr">
        <is>
          <t>1</t>
        </is>
      </c>
      <c r="J2426" t="inlineStr"/>
      <c r="K2426" t="inlineStr"/>
      <c r="L2426" t="inlineStr"/>
      <c r="M2426" t="inlineStr"/>
      <c r="N2426" t="inlineStr"/>
      <c r="O2426">
        <f>(1-Summary!$B$11)*T2426+Summary!$B$11*V2426</f>
        <v/>
      </c>
      <c r="P2426">
        <f>IF(B2444=0,0,O2426/B2444)</f>
        <v/>
      </c>
      <c r="Q2426" t="n">
        <v>0</v>
      </c>
      <c r="R2426" t="n">
        <v>0</v>
      </c>
      <c r="S2426">
        <f>IFERROR(O2426/N2426,0)</f>
        <v/>
      </c>
      <c r="T2426" t="n">
        <v>0</v>
      </c>
      <c r="V2426" t="n">
        <v>0</v>
      </c>
    </row>
    <row r="2427">
      <c r="A2427">
        <f>Skills!A24</f>
        <v/>
      </c>
      <c r="B2427">
        <f>Skills!B24</f>
        <v/>
      </c>
      <c r="C2427">
        <f>Inputs!$B$3&gt;=40</f>
        <v/>
      </c>
      <c r="D2427">
        <f>IF(Skills!C24=1,60+Inputs!$B$25+Inputs!$B$29,IF(Skills!C24=2,90+Inputs!$B$26+Inputs!$B$29,IF(Skills!C24=3,120+Inputs!$B$27+Inputs!$B$29,MAX(0,(Inputs!$B$3-100)*3)+Inputs!$B$28+Inputs!$B$29)))</f>
        <v/>
      </c>
      <c r="E2427">
        <f>INDEX(FactorTable!$B$2:$Y$301, MATCH(ROUND(MIN(300,MAX(1,D2427)),0), FactorTable!$A$2:$A$301,0), Skills!M24+1)</f>
        <v/>
      </c>
      <c r="F2427">
        <f>IF(Skills!N24=TRUE,(Skills!L24/10)*(E2427/1000),Skills!L24/10)+Skills!O24</f>
        <v/>
      </c>
      <c r="G2427">
        <f>Skills!G24*IF(Skills!H24&gt;0,Skills!I24/Skills!H24,1)</f>
        <v/>
      </c>
      <c r="H2427">
        <f>1-(1-Skills!J24/100)^Skills!K24</f>
        <v/>
      </c>
      <c r="I2427" t="inlineStr">
        <is>
          <t>1</t>
        </is>
      </c>
      <c r="J2427" t="inlineStr"/>
      <c r="K2427" t="inlineStr"/>
      <c r="L2427" t="inlineStr"/>
      <c r="M2427" t="inlineStr"/>
      <c r="N2427" t="inlineStr"/>
      <c r="O2427">
        <f>(1-Summary!$B$11)*T2427+Summary!$B$11*V2427</f>
        <v/>
      </c>
      <c r="P2427">
        <f>IF(B2444=0,0,O2427/B2444)</f>
        <v/>
      </c>
      <c r="Q2427" t="n">
        <v>0</v>
      </c>
      <c r="R2427" t="n">
        <v>0</v>
      </c>
      <c r="S2427">
        <f>IFERROR(O2427/N2427,0)</f>
        <v/>
      </c>
      <c r="T2427" t="n">
        <v>0</v>
      </c>
      <c r="V2427" t="n">
        <v>0</v>
      </c>
    </row>
    <row r="2428">
      <c r="A2428">
        <f>Skills!A25</f>
        <v/>
      </c>
      <c r="B2428">
        <f>Skills!B25</f>
        <v/>
      </c>
      <c r="C2428">
        <f>Inputs!$B$3&gt;=72</f>
        <v/>
      </c>
      <c r="D2428">
        <f>IF(Skills!C25=1,60+Inputs!$B$25+Inputs!$B$29,IF(Skills!C25=2,90+Inputs!$B$26+Inputs!$B$29,IF(Skills!C25=3,120+Inputs!$B$27+Inputs!$B$29,MAX(0,(Inputs!$B$3-100)*3)+Inputs!$B$28+Inputs!$B$29)))</f>
        <v/>
      </c>
      <c r="E2428">
        <f>INDEX(FactorTable!$B$2:$Y$301, MATCH(ROUND(MIN(300,MAX(1,D2428)),0), FactorTable!$A$2:$A$301,0), Skills!M25+1)</f>
        <v/>
      </c>
      <c r="F2428">
        <f>IF(Skills!N25=TRUE,(Skills!L25/10)*(E2428/1000),Skills!L25/10)+Skills!O25</f>
        <v/>
      </c>
      <c r="G2428">
        <f>Skills!G25*IF(Skills!H25&gt;0,Skills!I25/Skills!H25,1)</f>
        <v/>
      </c>
      <c r="H2428">
        <f>1-(1-Skills!J25/100)^Skills!K25</f>
        <v/>
      </c>
      <c r="I2428" t="inlineStr">
        <is>
          <t>1</t>
        </is>
      </c>
      <c r="J2428" t="inlineStr"/>
      <c r="K2428" t="inlineStr"/>
      <c r="L2428" t="inlineStr"/>
      <c r="M2428" t="inlineStr"/>
      <c r="N2428" t="inlineStr"/>
      <c r="O2428">
        <f>(1-Summary!$B$11)*T2428+Summary!$B$11*V2428</f>
        <v/>
      </c>
      <c r="P2428">
        <f>IF(B2444=0,0,O2428/B2444)</f>
        <v/>
      </c>
      <c r="Q2428" t="n">
        <v>0</v>
      </c>
      <c r="R2428" t="n">
        <v>0</v>
      </c>
      <c r="S2428">
        <f>IFERROR(O2428/N2428,0)</f>
        <v/>
      </c>
      <c r="T2428" t="n">
        <v>0</v>
      </c>
      <c r="V2428" t="n">
        <v>0</v>
      </c>
    </row>
    <row r="2429">
      <c r="A2429">
        <f>Skills!A26</f>
        <v/>
      </c>
      <c r="B2429">
        <f>Skills!B26</f>
        <v/>
      </c>
      <c r="C2429">
        <f>Inputs!$B$3&gt;=75</f>
        <v/>
      </c>
      <c r="D2429">
        <f>IF(Skills!C26=1,60+Inputs!$B$25+Inputs!$B$29,IF(Skills!C26=2,90+Inputs!$B$26+Inputs!$B$29,IF(Skills!C26=3,120+Inputs!$B$27+Inputs!$B$29,MAX(0,(Inputs!$B$3-100)*3)+Inputs!$B$28+Inputs!$B$29)))</f>
        <v/>
      </c>
      <c r="E2429">
        <f>INDEX(FactorTable!$B$2:$Y$301, MATCH(ROUND(MIN(300,MAX(1,D2429)),0), FactorTable!$A$2:$A$301,0), Skills!M26+1)</f>
        <v/>
      </c>
      <c r="F2429">
        <f>IF(Skills!N26=TRUE,(Skills!L26/10)*(E2429/1000),Skills!L26/10)+Skills!O26</f>
        <v/>
      </c>
      <c r="G2429">
        <f>Skills!G26*IF(Skills!H26&gt;0,Skills!I26/Skills!H26,1)</f>
        <v/>
      </c>
      <c r="H2429">
        <f>1-(1-Skills!J26/100)^Skills!K26</f>
        <v/>
      </c>
      <c r="I2429" t="inlineStr">
        <is>
          <t>1</t>
        </is>
      </c>
      <c r="J2429" t="inlineStr"/>
      <c r="K2429" t="inlineStr"/>
      <c r="L2429" t="inlineStr"/>
      <c r="M2429" t="inlineStr"/>
      <c r="N2429" t="inlineStr"/>
      <c r="O2429">
        <f>(1-Summary!$B$11)*T2429+Summary!$B$11*V2429</f>
        <v/>
      </c>
      <c r="P2429">
        <f>IF(B2444=0,0,O2429/B2444)</f>
        <v/>
      </c>
      <c r="Q2429" t="n">
        <v>0</v>
      </c>
      <c r="R2429" t="n">
        <v>0</v>
      </c>
      <c r="S2429">
        <f>IFERROR(O2429/N2429,0)</f>
        <v/>
      </c>
      <c r="T2429" t="n">
        <v>0</v>
      </c>
      <c r="V2429" t="n">
        <v>0</v>
      </c>
    </row>
    <row r="2430">
      <c r="A2430">
        <f>Skills!A27</f>
        <v/>
      </c>
      <c r="B2430">
        <f>Skills!B27</f>
        <v/>
      </c>
      <c r="C2430">
        <f>Inputs!$B$3&gt;=117</f>
        <v/>
      </c>
      <c r="D2430">
        <f>IF(Skills!C27=1,60+Inputs!$B$25+Inputs!$B$29,IF(Skills!C27=2,90+Inputs!$B$26+Inputs!$B$29,IF(Skills!C27=3,120+Inputs!$B$27+Inputs!$B$29,MAX(0,(Inputs!$B$3-100)*3)+Inputs!$B$28+Inputs!$B$29)))</f>
        <v/>
      </c>
      <c r="E2430">
        <f>INDEX(FactorTable!$B$2:$Y$301, MATCH(ROUND(MIN(300,MAX(1,D2430)),0), FactorTable!$A$2:$A$301,0), Skills!M27+1)</f>
        <v/>
      </c>
      <c r="F2430">
        <f>IF(Skills!N27=TRUE,(Skills!L27/10)*(E2430/1000),Skills!L27/10)+Skills!O27</f>
        <v/>
      </c>
      <c r="G2430">
        <f>Skills!G27*IF(Skills!H27&gt;0,Skills!I27/Skills!H27,1)</f>
        <v/>
      </c>
      <c r="H2430">
        <f>1-(1-Skills!J27/100)^Skills!K27</f>
        <v/>
      </c>
      <c r="I2430" t="inlineStr">
        <is>
          <t>1</t>
        </is>
      </c>
      <c r="J2430" t="inlineStr"/>
      <c r="K2430" t="inlineStr"/>
      <c r="L2430" t="inlineStr"/>
      <c r="M2430" t="inlineStr"/>
      <c r="N2430" t="inlineStr"/>
      <c r="O2430">
        <f>(1-Summary!$B$11)*T2430+Summary!$B$11*V2430</f>
        <v/>
      </c>
      <c r="P2430">
        <f>IF(B2444=0,0,O2430/B2444)</f>
        <v/>
      </c>
      <c r="Q2430" t="n">
        <v>0</v>
      </c>
      <c r="R2430" t="n">
        <v>0</v>
      </c>
      <c r="S2430">
        <f>IFERROR(O2430/N2430,0)</f>
        <v/>
      </c>
      <c r="T2430" t="n">
        <v>0</v>
      </c>
      <c r="V2430" t="n">
        <v>0</v>
      </c>
    </row>
    <row r="2431">
      <c r="A2431">
        <f>Skills!A28</f>
        <v/>
      </c>
      <c r="B2431">
        <f>Skills!B28</f>
        <v/>
      </c>
      <c r="C2431">
        <f>TRUE</f>
        <v/>
      </c>
      <c r="D2431">
        <f>IF(Skills!C28=1,60+Inputs!$B$25+Inputs!$B$29,IF(Skills!C28=2,90+Inputs!$B$26+Inputs!$B$29,IF(Skills!C28=3,120+Inputs!$B$27+Inputs!$B$29,MAX(0,(Inputs!$B$3-100)*3)+Inputs!$B$28+Inputs!$B$29)))</f>
        <v/>
      </c>
      <c r="E2431">
        <f>INDEX(FactorTable!$B$2:$Y$301, MATCH(ROUND(MIN(300,MAX(1,D2431)),0), FactorTable!$A$2:$A$301,0), Skills!M28+1)</f>
        <v/>
      </c>
      <c r="F2431">
        <f>IF(Skills!N28=TRUE,(Skills!L28/10)*(E2431/1000),Skills!L28/10)+Skills!O28</f>
        <v/>
      </c>
      <c r="G2431">
        <f>Skills!G28*IF(Skills!H28&gt;0,Skills!I28/Skills!H28,1)</f>
        <v/>
      </c>
      <c r="H2431">
        <f>1-(1-Skills!J28/100)^Skills!K28</f>
        <v/>
      </c>
      <c r="I2431" t="inlineStr">
        <is>
          <t>1</t>
        </is>
      </c>
      <c r="J2431" t="inlineStr"/>
      <c r="K2431" t="inlineStr"/>
      <c r="L2431" t="inlineStr"/>
      <c r="M2431" t="inlineStr"/>
      <c r="N2431" t="inlineStr"/>
      <c r="O2431">
        <f>(1-Summary!$B$11)*T2431+Summary!$B$11*V2431</f>
        <v/>
      </c>
      <c r="P2431">
        <f>IF(B2444=0,0,O2431/B2444)</f>
        <v/>
      </c>
      <c r="Q2431">
        <f>IFERROR(1/(IF(Inputs!$B$38="pvp",15,MAX(0.1,Skills!D28-IF(Skills!E28=TRUE,Inputs!$B$32,0)))*(1-IF(AND(ArtifactsInput!$M$27,Inputs!$B$4="Chapter Hunt"),CHOOSE(ArtifactsInput!$N$27+1,20,24,28,32,36,40),0)/100)),0)</f>
        <v/>
      </c>
      <c r="R2431">
        <f>IF(AND(Inputs!$B$38&lt;&gt;"pvp",Inputs!$B$43&gt;0),IF(Inputs!$B$43&lt;=0,0,(INT(Inputs!$B$43/(IF(Inputs!$B$38="pvp",15,MAX(0.1,Skills!D28-IF(Skills!E28=TRUE,Inputs!$B$32,0)))*(1-IF(AND(ArtifactsInput!$M$27,Inputs!$B$4="Chapter Hunt"),CHOOSE(ArtifactsInput!$N$27+1,20,24,28,32,36,40),0)/100)))+1)),0)</f>
        <v/>
      </c>
      <c r="S2431">
        <f>IFERROR(O2431/N2431,0)</f>
        <v/>
      </c>
      <c r="T2431" t="n">
        <v>0</v>
      </c>
      <c r="V2431" t="n">
        <v>0</v>
      </c>
    </row>
    <row r="2433">
      <c r="A2433" t="inlineStr">
        <is>
          <t>Attack% Bucket Multiplier</t>
        </is>
      </c>
      <c r="B2433">
        <f>(1+(((C2420=TRUE)*F2420*5/7)+((C2427=TRUE)*(F2427-Calc!F24))+(IF(ArtifactsInput!$M$21,CHOOSE(ArtifactsInput!$N$21+1,25,30,35,40,45,50)*(IF(OR(Inputs!$B$4="Chapter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434">
      <c r="A2434" t="inlineStr">
        <is>
          <t>Global Crit Rate Bonus %</t>
        </is>
      </c>
      <c r="B2434" t="n">
        <v>0</v>
      </c>
    </row>
    <row r="2435">
      <c r="A2435" t="inlineStr">
        <is>
          <t>Attack Speed Buff Bonus % (Nimble Feet, duty-cycle averaged)</t>
        </is>
      </c>
      <c r="B2435">
        <f>((C2431=TRUE)*F2431*IF(AND(Inputs!$B$38&lt;&gt;"pvp",Inputs!$B$43&gt;0),(((R2431-1)*(Skills!T28*(1+Inputs!$B$34/100))+MIN((Skills!T28*(1+Inputs!$B$34/100)),MAX(0,Inputs!$B$43-((R2431-1)*Skills!D28))))/Inputs!$B$43),IF(Inputs!$B$38="pvp",MIN((Skills!T28*(1+Inputs!$B$34/100)),15)/15,(Skills!T28*(1+Inputs!$B$34/100))/Skills!D28)))</f>
        <v/>
      </c>
    </row>
    <row r="2436">
      <c r="A2436" t="inlineStr">
        <is>
          <t>Actions Per Second</t>
        </is>
      </c>
      <c r="B2436">
        <f>1+MIN(150,150*(1-(1-(Inputs!$B$11+((C2423=TRUE)*(F2423-Calc!F20))+((C2424=TRUE)*(F2424-Calc!F21)))/150)*(1-B2435/150)))/100</f>
        <v/>
      </c>
    </row>
    <row r="2437">
      <c r="A2437" t="inlineStr">
        <is>
          <t>Skill + Buff Cast Rate</t>
        </is>
      </c>
      <c r="B2437">
        <f>IF(AND(Inputs!$B$38&lt;&gt;"pvp",Inputs!$B$43&gt;0),SUMPRODUCT((Skills!E2:E28=TRUE)*(C2405:C2431=TRUE)*R2405:R2431*Skills!F2:F28)/Inputs!$B$43,SUMPRODUCT((Skills!E2:E28=TRUE)*(C2405:C2431=TRUE)*Q2405:Q2431*Skills!F2:F28))</f>
        <v/>
      </c>
    </row>
    <row r="2438">
      <c r="A2438" t="inlineStr">
        <is>
          <t>Eight-Legs Easton Casts Per Second</t>
        </is>
      </c>
      <c r="B2438">
        <f>MAX(0,B2436-B2437)</f>
        <v/>
      </c>
    </row>
    <row r="2439">
      <c r="A2439" t="inlineStr">
        <is>
          <t>Global Critical Damage Bonus % (unused)</t>
        </is>
      </c>
      <c r="B2439" t="n">
        <v>0</v>
      </c>
    </row>
    <row r="2440">
      <c r="A2440" t="inlineStr">
        <is>
          <t>Global Final Damage Bonus % (Jolly Roger + Ahoy Mateys - Final Damage proc)</t>
        </is>
      </c>
      <c r="B2440">
        <f>((C2421=TRUE)*F2421*IF(AND(Inputs!$B$38&lt;&gt;"pvp",Inputs!$B$43&gt;0),(((R2421-1)*(Skills!T18*(1+Inputs!$B$34/100))+MIN((Skills!T18*(1+Inputs!$B$34/100)),MAX(0,Inputs!$B$43-((R2421-1)*Skills!D18))))/Inputs!$B$43),IF(Inputs!$B$38="pvp",MIN((Skills!T18*(1+Inputs!$B$34/100)),15)/15,(Skills!T18*(1+Inputs!$B$34/100))/Skills!D18)))+IF(Inputs!$B$3&gt;=122,20*IF(Inputs!$B$38="pvp",MIN((20*(1+Inputs!$B$34/100)),15)/15,(20*(1+Inputs!$B$34/100))/Skills!D4),0)</f>
        <v/>
      </c>
    </row>
    <row r="2441">
      <c r="A2441" t="inlineStr">
        <is>
          <t>Buff-Casting Startup Delay (s, fixed-duration only)</t>
        </is>
      </c>
      <c r="B2441">
        <f>IF(AND(Inputs!$B$38&lt;&gt;"pvp",Inputs!$B$43&gt;0),SUMPRODUCT((Skills!T2:T28&gt;0)*(Skills!E2:E28=TRUE)*(C2405:C2431=TRUE))/B2436,0)</f>
        <v/>
      </c>
    </row>
    <row r="2442">
      <c r="A2442" t="inlineStr">
        <is>
          <t>Boss-Only Total DPS (this block's swept value)</t>
        </is>
      </c>
      <c r="B2442">
        <f>SUM(T2405:T2431)</f>
        <v/>
      </c>
    </row>
    <row r="2443">
      <c r="A2443" t="inlineStr">
        <is>
          <t>Normal-Only Total DPS (this block's swept value)</t>
        </is>
      </c>
      <c r="B2443">
        <f>SUM(V2405:V2431)</f>
        <v/>
      </c>
    </row>
    <row r="2444">
      <c r="A2444" s="6" t="inlineStr">
        <is>
          <t>TOTAL DPS</t>
        </is>
      </c>
      <c r="B2444" s="6">
        <f>SUM(O2405:O2431)</f>
        <v/>
      </c>
    </row>
    <row r="2447">
      <c r="A2447" s="6" t="inlineStr">
        <is>
          <t>Stat: Peach Tree Herb Pouch (Equip)</t>
        </is>
      </c>
    </row>
    <row r="2448">
      <c r="A2448" s="5" t="inlineStr">
        <is>
          <t>Key</t>
        </is>
      </c>
      <c r="B2448" s="5" t="inlineStr">
        <is>
          <t>Name</t>
        </is>
      </c>
      <c r="C2448" s="5" t="inlineStr">
        <is>
          <t>Unlocked</t>
        </is>
      </c>
      <c r="D2448" s="5" t="inlineStr">
        <is>
          <t>InputLevel</t>
        </is>
      </c>
      <c r="E2448" s="5" t="inlineStr">
        <is>
          <t>Factor</t>
        </is>
      </c>
      <c r="F2448" s="5" t="inlineStr">
        <is>
          <t>CoefficientPercent</t>
        </is>
      </c>
      <c r="G2448" s="5" t="inlineStr">
        <is>
          <t>EffectiveHits</t>
        </is>
      </c>
      <c r="H2448" s="5" t="inlineStr">
        <is>
          <t>ProcProbability</t>
        </is>
      </c>
      <c r="I2448" s="5" t="inlineStr">
        <is>
          <t>MapleHeroMultiplier</t>
        </is>
      </c>
      <c r="J2448" s="5" t="inlineStr">
        <is>
          <t>BaseDamage</t>
        </is>
      </c>
      <c r="K2448" s="5" t="inlineStr">
        <is>
          <t>BaseHitDamage</t>
        </is>
      </c>
      <c r="L2448" s="5" t="inlineStr">
        <is>
          <t>NonCritAvg</t>
        </is>
      </c>
      <c r="M2448" s="5" t="inlineStr">
        <is>
          <t>CritAvg</t>
        </is>
      </c>
      <c r="N2448" s="5" t="inlineStr">
        <is>
          <t>ExpectedDamage(perHit)</t>
        </is>
      </c>
      <c r="O2448" s="5" t="inlineStr">
        <is>
          <t>DPS</t>
        </is>
      </c>
      <c r="P2448" s="5" t="inlineStr">
        <is>
          <t>% of Total</t>
        </is>
      </c>
      <c r="Q2448" s="5" t="inlineStr">
        <is>
          <t>InvCooldown</t>
        </is>
      </c>
      <c r="R2448" s="5" t="inlineStr">
        <is>
          <t>CastsInFight</t>
        </is>
      </c>
      <c r="S2448" s="5" t="inlineStr">
        <is>
          <t>HitRate(perSec)</t>
        </is>
      </c>
      <c r="U2448" t="inlineStr">
        <is>
          <t>helpers</t>
        </is>
      </c>
    </row>
    <row r="2449">
      <c r="A2449">
        <f>Skills!A2</f>
        <v/>
      </c>
      <c r="B2449">
        <f>Skills!B2</f>
        <v/>
      </c>
      <c r="C2449">
        <f>Inputs!$B$3&gt;=100</f>
        <v/>
      </c>
      <c r="D2449" t="inlineStr"/>
      <c r="E2449" t="inlineStr"/>
      <c r="F2449">
        <f>U2451+Skills!O2</f>
        <v/>
      </c>
      <c r="G2449">
        <f>Skills!G2*IF(Skills!H2&gt;0,Skills!I2/Skills!H2,1)</f>
        <v/>
      </c>
      <c r="H2449">
        <f>1-(1-Skills!J2/100)^Skills!K2</f>
        <v/>
      </c>
      <c r="I2449" t="inlineStr">
        <is>
          <t>1</t>
        </is>
      </c>
      <c r="J2449">
        <f>((Inputs!$B$6*(1+Inputs!$B$7/100))+(((Inputs!$B$12*(1+Inputs!$B$13/100))-(Inputs!$B$12*(1+Inputs!$B$13/100)))+0.25*(Inputs!$B$14-Inputs!$B$14))*(1+Inputs!$B$7/100))*(F2449/100)</f>
        <v/>
      </c>
      <c r="K2449">
        <f>J2449*(1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2449)</f>
        <v/>
      </c>
      <c r="L2449">
        <f>K2449*(MIN(Inputs!$B$22+((C2469=TRUE)*(F2469-Calc!F22)),(Inputs!$B$23+0+(IF(ArtifactsInput!$M$15,CHOOSE(ArtifactsInput!$N$15+1,25,30,35,40,45,50)/100*(Inputs!$B$11-Inputs!$B$11),0))))/100+(Inputs!$B$23+0+(IF(ArtifactsInput!$M$15,CHOOSE(ArtifactsInput!$N$15+1,25,30,35,40,45,50)/100*(Inputs!$B$11-Inputs!$B$11),0)))/100)/2</f>
        <v/>
      </c>
      <c r="M2449">
        <f>L2449*(1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9">
        <f>L2449*(1-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2449*(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9">
        <f>(1-Summary!$B$11)*T2449+Summary!$B$11*V2449</f>
        <v/>
      </c>
      <c r="P2449">
        <f>IF(B2488=0,0,O2449/B2488)</f>
        <v/>
      </c>
      <c r="Q2449" t="n">
        <v>0</v>
      </c>
      <c r="R2449" t="n">
        <v>0</v>
      </c>
      <c r="S2449">
        <f>IFERROR(O2449/N2449,0)</f>
        <v/>
      </c>
      <c r="T2449">
        <f>IF(C2449,(Skills!G2*N2449*B2482)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2449*(1-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2449*(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2449*(1-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2449*(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49">
        <f>MAX(0,(Inputs!$B$3-100)*3)+Inputs!$B$28+Inputs!$B$29</f>
        <v/>
      </c>
      <c r="V2449">
        <f>IF(C2449,(Skills!G2*N2449*B2482)*IF(Inputs!$B$38="pvp",1,(1+(Inputs!$B$21+Skills!Q2+(IF(ArtifactsInput!$M$33,CHOOSE(ArtifactsInput!$N$33+1,30,36,42,48,54,60),0))+(IF(AND(IF(ArtifactsInput!$M$35,FALSE,TRUE),Inputs!$B$4&lt;&gt;"Chapter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0">
      <c r="A2450">
        <f>Skills!A3</f>
        <v/>
      </c>
      <c r="B2450">
        <f>Skills!B3</f>
        <v/>
      </c>
      <c r="C2450">
        <f>Inputs!$B$3&gt;=35</f>
        <v/>
      </c>
      <c r="D2450">
        <f>IF(Skills!C3=1,60+Inputs!$B$25+Inputs!$B$29,IF(Skills!C3=2,90+Inputs!$B$26+Inputs!$B$29,IF(Skills!C3=3,120+Inputs!$B$27+Inputs!$B$29,MAX(0,(Inputs!$B$3-100)*3)+Inputs!$B$28+Inputs!$B$29)))</f>
        <v/>
      </c>
      <c r="E2450">
        <f>INDEX(FactorTable!$B$2:$Y$301, MATCH(ROUND(MIN(300,MAX(1,D2450)),0), FactorTable!$A$2:$A$301,0), Skills!M3+1)</f>
        <v/>
      </c>
      <c r="F2450">
        <f>IF(Skills!N3=TRUE,(Skills!L3/10)*(E2450/1000),Skills!L3/10)+Skills!O3</f>
        <v/>
      </c>
      <c r="G2450">
        <f>Skills!G3*IF(Skills!H3&gt;0,Skills!I3/Skills!H3,1)</f>
        <v/>
      </c>
      <c r="H2450">
        <f>1-(1-Skills!J3/100)^Skills!K3</f>
        <v/>
      </c>
      <c r="I2450" t="inlineStr">
        <is>
          <t>1</t>
        </is>
      </c>
      <c r="J2450">
        <f>((Inputs!$B$6*(1+Inputs!$B$7/100))+(((Inputs!$B$12*(1+Inputs!$B$13/100))-(Inputs!$B$12*(1+Inputs!$B$13/100)))+0.25*(Inputs!$B$14-Inputs!$B$14))*(1+Inputs!$B$7/100))*(F2450/100)</f>
        <v/>
      </c>
      <c r="K2450">
        <f>J2450*(1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2462=TRUE,F2462,0)/100)*(1+(IF(Skills!A3="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2450)</f>
        <v/>
      </c>
      <c r="L2450">
        <f>K2450*(MIN(Inputs!$B$22+((C2469=TRUE)*(F2469-Calc!F22)),(Inputs!$B$23+0+(IF(ArtifactsInput!$M$15,CHOOSE(ArtifactsInput!$N$15+1,25,30,35,40,45,50)/100*(Inputs!$B$11-Inputs!$B$11),0))))/100+(Inputs!$B$23+0+(IF(ArtifactsInput!$M$15,CHOOSE(ArtifactsInput!$N$15+1,25,30,35,40,45,50)/100*(Inputs!$B$11-Inputs!$B$11),0)))/100)/2</f>
        <v/>
      </c>
      <c r="M2450">
        <f>L2450*(1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0">
        <f>L2450*(1-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2450*(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0">
        <f>(1-Summary!$B$11)*T2450+Summary!$B$11*V2450</f>
        <v/>
      </c>
      <c r="P2450">
        <f>IF(B2488=0,0,O2450/B2488)</f>
        <v/>
      </c>
      <c r="Q2450">
        <f>IFERROR(1/(IF(Inputs!$B$38="pvp",15,MAX(0.1,Skills!D3-IF(Skills!E3=TRUE,Inputs!$B$32,0)))*(1-IF(AND(ArtifactsInput!$M$27,Inputs!$B$4="Chapter Hunt"),CHOOSE(ArtifactsInput!$N$27+1,20,24,28,32,36,40),0)/100)),0)</f>
        <v/>
      </c>
      <c r="R2450">
        <f>IF(AND(Inputs!$B$38&lt;&gt;"pvp",Inputs!$B$43&gt;0),IF(MAX(0,Inputs!$B$43-B2485)&lt;=0,0,(INT(MAX(0,Inputs!$B$43-B2485)/(IF(Inputs!$B$38="pvp",15,MAX(0.1,Skills!D3-IF(Skills!E3=TRUE,Inputs!$B$32,0)))*(1-IF(AND(ArtifactsInput!$M$27,Inputs!$B$4="Chapter Hunt"),CHOOSE(ArtifactsInput!$N$27+1,20,24,28,32,36,40),0)/100)))+1)),0)</f>
        <v/>
      </c>
      <c r="S2450">
        <f>IFERROR(O2450/N2450,0)</f>
        <v/>
      </c>
      <c r="T2450">
        <f>IF(C2450,(H2450*N2450*IF(AND(Inputs!$B$38&lt;&gt;"pvp",Inputs!$B$43&gt;0),((Skills!G3*((R2450-1)*IF(Skills!H3&gt;0,Skills!I3/Skills!H3,1)+IF(Skills!H3&gt;0,MIN(Skills!I3,MAX(0,MAX(0,Inputs!$B$43-B2485)-((R2450-1)*(IF(Inputs!$B$38="pvp",15,MAX(0.1,Skills!D3-IF(Skills!E3=TRUE,Inputs!$B$32,0)))*(1-IF(AND(ArtifactsInput!$M$27,Inputs!$B$4="Chapter Hunt"),CHOOSE(ArtifactsInput!$N$27+1,20,24,28,32,36,40),0)/100)))))/Skills!H3,1)))/Inputs!$B$43),G2450*Q2450)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2450*(1-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2450*(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2450*(1-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2450*(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0">
        <f>INDEX(FactorTable!$B$2:$Y$301, MATCH(ROUND(MIN(300,MAX(1,U2449)),0), FactorTable!$A$2:$A$301,0), 22)</f>
        <v/>
      </c>
      <c r="V2450">
        <f>IF(C2450,(H2450*N2450*IF(AND(Inputs!$B$38&lt;&gt;"pvp",Inputs!$B$43&gt;0),((Skills!G3*((R2450-1)*IF(Skills!H3&gt;0,Skills!I3/Skills!H3,1)+IF(Skills!H3&gt;0,MIN(Skills!I3,MAX(0,MAX(0,Inputs!$B$43-B2485)-((R2450-1)*(IF(Inputs!$B$38="pvp",15,MAX(0.1,Skills!D3-IF(Skills!E3=TRUE,Inputs!$B$32,0)))*(1-IF(AND(ArtifactsInput!$M$27,Inputs!$B$4="Chapter Hunt"),CHOOSE(ArtifactsInput!$N$27+1,20,24,28,32,36,40),0)/100)))))/Skills!H3,1)))/Inputs!$B$43),G2450*Q2450))*IF(Inputs!$B$38="pvp",1,(1+(Inputs!$B$21+Skills!Q3+(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1">
      <c r="A2451">
        <f>Skills!A4</f>
        <v/>
      </c>
      <c r="B2451">
        <f>Skills!B4</f>
        <v/>
      </c>
      <c r="C2451">
        <f>Inputs!$B$3&gt;=40</f>
        <v/>
      </c>
      <c r="D2451">
        <f>IF(Skills!C4=1,60+Inputs!$B$25+Inputs!$B$29,IF(Skills!C4=2,90+Inputs!$B$26+Inputs!$B$29,IF(Skills!C4=3,120+Inputs!$B$27+Inputs!$B$29,MAX(0,(Inputs!$B$3-100)*3)+Inputs!$B$28+Inputs!$B$29)))</f>
        <v/>
      </c>
      <c r="E2451">
        <f>INDEX(FactorTable!$B$2:$Y$301, MATCH(ROUND(MIN(300,MAX(1,D2451)),0), FactorTable!$A$2:$A$301,0), Skills!M4+1)</f>
        <v/>
      </c>
      <c r="F2451">
        <f>IF(Skills!N4=TRUE,(Skills!L4/10)*(E2451/1000),Skills!L4/10)+Skills!O4</f>
        <v/>
      </c>
      <c r="G2451">
        <f>Skills!G4*IF(Skills!H4&gt;0,Skills!I4/Skills!H4,1)</f>
        <v/>
      </c>
      <c r="H2451">
        <f>1-(1-Skills!J4/100)^Skills!K4</f>
        <v/>
      </c>
      <c r="I2451" t="inlineStr">
        <is>
          <t>1</t>
        </is>
      </c>
      <c r="J2451">
        <f>((Inputs!$B$6*(1+Inputs!$B$7/100))+(((Inputs!$B$12*(1+Inputs!$B$13/100))-(Inputs!$B$12*(1+Inputs!$B$13/100)))+0.25*(Inputs!$B$14-Inputs!$B$14))*(1+Inputs!$B$7/100))*(F2451/100)</f>
        <v/>
      </c>
      <c r="K2451">
        <f>J2451*(1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2463=TRUE,F2463,0)/100)*(1+(IF(Skills!A4="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2451)</f>
        <v/>
      </c>
      <c r="L2451">
        <f>K2451*(MIN(Inputs!$B$22+((C2469=TRUE)*(F2469-Calc!F22)),(Inputs!$B$23+0+(IF(ArtifactsInput!$M$15,CHOOSE(ArtifactsInput!$N$15+1,25,30,35,40,45,50)/100*(Inputs!$B$11-Inputs!$B$11),0))))/100+(Inputs!$B$23+0+(IF(ArtifactsInput!$M$15,CHOOSE(ArtifactsInput!$N$15+1,25,30,35,40,45,50)/100*(Inputs!$B$11-Inputs!$B$11),0)))/100)/2</f>
        <v/>
      </c>
      <c r="M2451">
        <f>L2451*(1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1">
        <f>L2451*(1-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1">
        <f>(1-Summary!$B$11)*T2451+Summary!$B$11*V2451</f>
        <v/>
      </c>
      <c r="P2451">
        <f>IF(B2488=0,0,O2451/B2488)</f>
        <v/>
      </c>
      <c r="Q2451">
        <f>IFERROR(1/(IF(Inputs!$B$38="pvp",15,MAX(0.1,Skills!D4-IF(Skills!E4=TRUE,Inputs!$B$32,0)))*(1-IF(AND(ArtifactsInput!$M$27,Inputs!$B$4="Chapter Hunt"),CHOOSE(ArtifactsInput!$N$27+1,20,24,28,32,36,40),0)/100)),0)</f>
        <v/>
      </c>
      <c r="R2451">
        <f>IF(AND(Inputs!$B$38&lt;&gt;"pvp",Inputs!$B$43&gt;0),IF(MAX(0,Inputs!$B$43-B2485)&lt;=0,0,(INT(MAX(0,Inputs!$B$43-B2485)/(IF(Inputs!$B$38="pvp",15,MAX(0.1,Skills!D4-IF(Skills!E4=TRUE,Inputs!$B$32,0)))*(1-IF(AND(ArtifactsInput!$M$27,Inputs!$B$4="Chapter Hunt"),CHOOSE(ArtifactsInput!$N$27+1,20,24,28,32,36,40),0)/100)))+1)),0)</f>
        <v/>
      </c>
      <c r="S2451">
        <f>IFERROR(O2451/N2451,0)</f>
        <v/>
      </c>
      <c r="T2451">
        <f>IF(C2451,(H2451*N2451*IF(AND(Inputs!$B$38&lt;&gt;"pvp",Inputs!$B$43&gt;0),((Skills!G4*((R2451-1)*IF(Skills!H4&gt;0,Skills!I4/Skills!H4,1)+IF(Skills!H4&gt;0,MIN(Skills!I4,MAX(0,MAX(0,Inputs!$B$43-B2485)-((R2451-1)*(IF(Inputs!$B$38="pvp",15,MAX(0.1,Skills!D4-IF(Skills!E4=TRUE,Inputs!$B$32,0)))*(1-IF(AND(ArtifactsInput!$M$27,Inputs!$B$4="Chapter Hunt"),CHOOSE(ArtifactsInput!$N$27+1,20,24,28,32,36,40),0)/100)))))/Skills!H4,1)))/Inputs!$B$43),G2451*Q2451)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2451*(1-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2451*(1-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1">
        <f>290*U2450/1000</f>
        <v/>
      </c>
      <c r="V2451">
        <f>IF(C2451,(H2451*N2451*IF(AND(Inputs!$B$38&lt;&gt;"pvp",Inputs!$B$43&gt;0),((Skills!G4*((R2451-1)*IF(Skills!H4&gt;0,Skills!I4/Skills!H4,1)+IF(Skills!H4&gt;0,MIN(Skills!I4,MAX(0,MAX(0,Inputs!$B$43-B2485)-((R2451-1)*(IF(Inputs!$B$38="pvp",15,MAX(0.1,Skills!D4-IF(Skills!E4=TRUE,Inputs!$B$32,0)))*(1-IF(AND(ArtifactsInput!$M$27,Inputs!$B$4="Chapter Hunt"),CHOOSE(ArtifactsInput!$N$27+1,20,24,28,32,36,40),0)/100)))))/Skills!H4,1)))/Inputs!$B$43),G2451*Q2451))*IF(Inputs!$B$38="pvp",1,(1+(Inputs!$B$21+Skills!Q4+(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2">
      <c r="A2452">
        <f>Skills!A5</f>
        <v/>
      </c>
      <c r="B2452">
        <f>Skills!B5</f>
        <v/>
      </c>
      <c r="C2452">
        <f>Inputs!$B$3&gt;=45</f>
        <v/>
      </c>
      <c r="D2452">
        <f>IF(Skills!C5=1,60+Inputs!$B$25+Inputs!$B$29,IF(Skills!C5=2,90+Inputs!$B$26+Inputs!$B$29,IF(Skills!C5=3,120+Inputs!$B$27+Inputs!$B$29,MAX(0,(Inputs!$B$3-100)*3)+Inputs!$B$28+Inputs!$B$29)))</f>
        <v/>
      </c>
      <c r="E2452">
        <f>INDEX(FactorTable!$B$2:$Y$301, MATCH(ROUND(MIN(300,MAX(1,D2452)),0), FactorTable!$A$2:$A$301,0), Skills!M5+1)</f>
        <v/>
      </c>
      <c r="F2452">
        <f>IF(Skills!N5=TRUE,(Skills!L5/10)*(E2452/1000),Skills!L5/10)+Skills!O5</f>
        <v/>
      </c>
      <c r="G2452">
        <f>Skills!G5*IF(Skills!H5&gt;0,Skills!I5/Skills!H5,1)</f>
        <v/>
      </c>
      <c r="H2452">
        <f>1-(1-Skills!J5/100)^Skills!K5</f>
        <v/>
      </c>
      <c r="I2452" t="inlineStr">
        <is>
          <t>1</t>
        </is>
      </c>
      <c r="J2452">
        <f>((Inputs!$B$6*(1+Inputs!$B$7/100))+(((Inputs!$B$12*(1+Inputs!$B$13/100))-(Inputs!$B$12*(1+Inputs!$B$13/100)))+0.25*(Inputs!$B$14-Inputs!$B$14))*(1+Inputs!$B$7/100))*(F2452/100)</f>
        <v/>
      </c>
      <c r="K2452">
        <f>J2452*(1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2463=TRUE,F2463,0)/100)*(1+(IF(Skills!A5="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2452)</f>
        <v/>
      </c>
      <c r="L2452">
        <f>K2452*(MIN(Inputs!$B$22+((C2469=TRUE)*(F2469-Calc!F22)),(Inputs!$B$23+0+(IF(ArtifactsInput!$M$15,CHOOSE(ArtifactsInput!$N$15+1,25,30,35,40,45,50)/100*(Inputs!$B$11-Inputs!$B$11),0))))/100+(Inputs!$B$23+0+(IF(ArtifactsInput!$M$15,CHOOSE(ArtifactsInput!$N$15+1,25,30,35,40,45,50)/100*(Inputs!$B$11-Inputs!$B$11),0)))/100)/2</f>
        <v/>
      </c>
      <c r="M2452">
        <f>L2452*(1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2">
        <f>L2452*(1-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2452*(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2">
        <f>(1-Summary!$B$11)*T2452+Summary!$B$11*V2452</f>
        <v/>
      </c>
      <c r="P2452">
        <f>IF(B2488=0,0,O2452/B2488)</f>
        <v/>
      </c>
      <c r="Q2452">
        <f>IFERROR(1/(IF(Inputs!$B$38="pvp",15,MAX(0.1,Skills!D5-IF(Skills!E5=TRUE,Inputs!$B$32,0)))*(1-IF(AND(ArtifactsInput!$M$27,Inputs!$B$4="Chapter Hunt"),CHOOSE(ArtifactsInput!$N$27+1,20,24,28,32,36,40),0)/100)),0)</f>
        <v/>
      </c>
      <c r="R2452">
        <f>IF(AND(Inputs!$B$38&lt;&gt;"pvp",Inputs!$B$43&gt;0),IF(MAX(0,Inputs!$B$43-B2485)&lt;=0,0,(INT(MAX(0,Inputs!$B$43-B2485)/(IF(Inputs!$B$38="pvp",15,MAX(0.1,Skills!D5-IF(Skills!E5=TRUE,Inputs!$B$32,0)))*(1-IF(AND(ArtifactsInput!$M$27,Inputs!$B$4="Chapter Hunt"),CHOOSE(ArtifactsInput!$N$27+1,20,24,28,32,36,40),0)/100)))+1)),0)</f>
        <v/>
      </c>
      <c r="S2452">
        <f>IFERROR(O2452/N2452,0)</f>
        <v/>
      </c>
      <c r="T2452">
        <f>IF(C2452,(H2452*N2452*IF(AND(Inputs!$B$38&lt;&gt;"pvp",Inputs!$B$43&gt;0),((Skills!G5*((R2452-1)*IF(Skills!H5&gt;0,Skills!I5/Skills!H5,1)+IF(Skills!H5&gt;0,MIN(Skills!I5,MAX(0,MAX(0,Inputs!$B$43-B2485)-((R2452-1)*(IF(Inputs!$B$38="pvp",15,MAX(0.1,Skills!D5-IF(Skills!E5=TRUE,Inputs!$B$32,0)))*(1-IF(AND(ArtifactsInput!$M$27,Inputs!$B$4="Chapter Hunt"),CHOOSE(ArtifactsInput!$N$27+1,20,24,28,32,36,40),0)/100)))))/Skills!H5,1)))/Inputs!$B$43),G2452*Q2452)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2452*(1-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2452*(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2452*(1-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2452*(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2">
        <f>IF(C2452,(H2452*N2452*IF(AND(Inputs!$B$38&lt;&gt;"pvp",Inputs!$B$43&gt;0),((Skills!G5*((R2452-1)*IF(Skills!H5&gt;0,Skills!I5/Skills!H5,1)+IF(Skills!H5&gt;0,MIN(Skills!I5,MAX(0,MAX(0,Inputs!$B$43-B2485)-((R2452-1)*(IF(Inputs!$B$38="pvp",15,MAX(0.1,Skills!D5-IF(Skills!E5=TRUE,Inputs!$B$32,0)))*(1-IF(AND(ArtifactsInput!$M$27,Inputs!$B$4="Chapter Hunt"),CHOOSE(ArtifactsInput!$N$27+1,20,24,28,32,36,40),0)/100)))))/Skills!H5,1)))/Inputs!$B$43),G2452*Q2452))*IF(Inputs!$B$38="pvp",1,(1+(Inputs!$B$21+Skills!Q5+(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3">
      <c r="A2453">
        <f>Skills!A6</f>
        <v/>
      </c>
      <c r="B2453">
        <f>Skills!B6</f>
        <v/>
      </c>
      <c r="C2453">
        <f>Inputs!$B$3&gt;=63</f>
        <v/>
      </c>
      <c r="D2453">
        <f>IF(Skills!C6=1,60+Inputs!$B$25+Inputs!$B$29,IF(Skills!C6=2,90+Inputs!$B$26+Inputs!$B$29,IF(Skills!C6=3,120+Inputs!$B$27+Inputs!$B$29,MAX(0,(Inputs!$B$3-100)*3)+Inputs!$B$28+Inputs!$B$29)))</f>
        <v/>
      </c>
      <c r="E2453">
        <f>INDEX(FactorTable!$B$2:$Y$301, MATCH(ROUND(MIN(300,MAX(1,D2453)),0), FactorTable!$A$2:$A$301,0), Skills!M6+1)</f>
        <v/>
      </c>
      <c r="F2453">
        <f>IF(Skills!N6=TRUE,(Skills!L6/10)*(E2453/1000),Skills!L6/10)+Skills!O6</f>
        <v/>
      </c>
      <c r="G2453">
        <f>Skills!G6*IF(Skills!H6&gt;0,Skills!I6/Skills!H6,1)</f>
        <v/>
      </c>
      <c r="H2453">
        <f>1-(1-Skills!J6/100)^Skills!K6</f>
        <v/>
      </c>
      <c r="I2453" t="inlineStr">
        <is>
          <t>1</t>
        </is>
      </c>
      <c r="J2453">
        <f>((Inputs!$B$6*(1+Inputs!$B$7/100))+(((Inputs!$B$12*(1+Inputs!$B$13/100))-(Inputs!$B$12*(1+Inputs!$B$13/100)))+0.25*(Inputs!$B$14-Inputs!$B$14))*(1+Inputs!$B$7/100))*(F2453/100)</f>
        <v/>
      </c>
      <c r="K2453">
        <f>J2453*(1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2462=TRUE,F2462,0)/100)*(1+(IF(Skills!A6="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2453)</f>
        <v/>
      </c>
      <c r="L2453">
        <f>K2453*(MIN(Inputs!$B$22+((C2469=TRUE)*(F2469-Calc!F22)),(Inputs!$B$23+0+(IF(ArtifactsInput!$M$15,CHOOSE(ArtifactsInput!$N$15+1,25,30,35,40,45,50)/100*(Inputs!$B$11-Inputs!$B$11),0))))/100+(Inputs!$B$23+0+(IF(ArtifactsInput!$M$15,CHOOSE(ArtifactsInput!$N$15+1,25,30,35,40,45,50)/100*(Inputs!$B$11-Inputs!$B$11),0)))/100)/2</f>
        <v/>
      </c>
      <c r="M2453">
        <f>L2453*(1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3">
        <f>L2453*(1-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2453*(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3">
        <f>(1-Summary!$B$11)*T2453+Summary!$B$11*V2453</f>
        <v/>
      </c>
      <c r="P2453">
        <f>IF(B2488=0,0,O2453/B2488)</f>
        <v/>
      </c>
      <c r="Q2453">
        <f>IFERROR(1/(IF(Inputs!$B$38="pvp",15,MAX(0.1,Skills!D6-IF(Skills!E6=TRUE,Inputs!$B$32,0)))*(1-IF(AND(ArtifactsInput!$M$27,Inputs!$B$4="Chapter Hunt"),CHOOSE(ArtifactsInput!$N$27+1,20,24,28,32,36,40),0)/100)),0)</f>
        <v/>
      </c>
      <c r="R2453">
        <f>IF(AND(Inputs!$B$38&lt;&gt;"pvp",Inputs!$B$43&gt;0),IF(MAX(0,Inputs!$B$43-B2485)&lt;=0,0,(INT(MAX(0,Inputs!$B$43-B2485)/(IF(Inputs!$B$38="pvp",15,MAX(0.1,Skills!D6-IF(Skills!E6=TRUE,Inputs!$B$32,0)))*(1-IF(AND(ArtifactsInput!$M$27,Inputs!$B$4="Chapter Hunt"),CHOOSE(ArtifactsInput!$N$27+1,20,24,28,32,36,40),0)/100)))+1)),0)</f>
        <v/>
      </c>
      <c r="S2453">
        <f>IFERROR(O2453/N2453,0)</f>
        <v/>
      </c>
      <c r="T2453">
        <f>IF(C2453,(H2453*N2453*IF(AND(Inputs!$B$38&lt;&gt;"pvp",Inputs!$B$43&gt;0),((Skills!G6*((R2453-1)*IF(Skills!H6&gt;0,Skills!I6/Skills!H6,1)+IF(Skills!H6&gt;0,MIN(Skills!I6,MAX(0,MAX(0,Inputs!$B$43-B2485)-((R2453-1)*(IF(Inputs!$B$38="pvp",15,MAX(0.1,Skills!D6-IF(Skills!E6=TRUE,Inputs!$B$32,0)))*(1-IF(AND(ArtifactsInput!$M$27,Inputs!$B$4="Chapter Hunt"),CHOOSE(ArtifactsInput!$N$27+1,20,24,28,32,36,40),0)/100)))))/Skills!H6,1)))/Inputs!$B$43),G2453*Q2453)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2453*(1-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2453*(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2453*(1-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2453*(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3">
        <f>IF(C2453,(H2453*N2453*IF(AND(Inputs!$B$38&lt;&gt;"pvp",Inputs!$B$43&gt;0),((Skills!G6*((R2453-1)*IF(Skills!H6&gt;0,Skills!I6/Skills!H6,1)+IF(Skills!H6&gt;0,MIN(Skills!I6,MAX(0,MAX(0,Inputs!$B$43-B2485)-((R2453-1)*(IF(Inputs!$B$38="pvp",15,MAX(0.1,Skills!D6-IF(Skills!E6=TRUE,Inputs!$B$32,0)))*(1-IF(AND(ArtifactsInput!$M$27,Inputs!$B$4="Chapter Hunt"),CHOOSE(ArtifactsInput!$N$27+1,20,24,28,32,36,40),0)/100)))))/Skills!H6,1)))/Inputs!$B$43),G2453*Q2453))*IF(Inputs!$B$38="pvp",1,(1+(Inputs!$B$21+Skills!Q6+(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4">
      <c r="A2454">
        <f>Skills!A7</f>
        <v/>
      </c>
      <c r="B2454">
        <f>Skills!B7</f>
        <v/>
      </c>
      <c r="C2454">
        <f>Inputs!$B$3&gt;=66</f>
        <v/>
      </c>
      <c r="D2454">
        <f>IF(Skills!C7=1,60+Inputs!$B$25+Inputs!$B$29,IF(Skills!C7=2,90+Inputs!$B$26+Inputs!$B$29,IF(Skills!C7=3,120+Inputs!$B$27+Inputs!$B$29,MAX(0,(Inputs!$B$3-100)*3)+Inputs!$B$28+Inputs!$B$29)))</f>
        <v/>
      </c>
      <c r="E2454">
        <f>INDEX(FactorTable!$B$2:$Y$301, MATCH(ROUND(MIN(300,MAX(1,D2454)),0), FactorTable!$A$2:$A$301,0), Skills!M7+1)</f>
        <v/>
      </c>
      <c r="F2454">
        <f>IF(Skills!N7=TRUE,(Skills!L7/10)*(E2454/1000),Skills!L7/10)+Skills!O7</f>
        <v/>
      </c>
      <c r="G2454">
        <f>Skills!G7*IF(Skills!H7&gt;0,Skills!I7/Skills!H7,1)</f>
        <v/>
      </c>
      <c r="H2454">
        <f>1-(1-Skills!J7/100)^Skills!K7</f>
        <v/>
      </c>
      <c r="I2454" t="inlineStr">
        <is>
          <t>1</t>
        </is>
      </c>
      <c r="J2454">
        <f>((Inputs!$B$6*(1+Inputs!$B$7/100))+(((Inputs!$B$12*(1+Inputs!$B$13/100))-(Inputs!$B$12*(1+Inputs!$B$13/100)))+0.25*(Inputs!$B$14-Inputs!$B$14))*(1+Inputs!$B$7/100))*(F2454/100)</f>
        <v/>
      </c>
      <c r="K2454">
        <f>J2454*(1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2462=TRUE,F2462,0)/100)*(1+(IF(Skills!A7="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2454)</f>
        <v/>
      </c>
      <c r="L2454">
        <f>K2454*(MIN(Inputs!$B$22+((C2469=TRUE)*(F2469-Calc!F22)),(Inputs!$B$23+0+(IF(ArtifactsInput!$M$15,CHOOSE(ArtifactsInput!$N$15+1,25,30,35,40,45,50)/100*(Inputs!$B$11-Inputs!$B$11),0))))/100+(Inputs!$B$23+0+(IF(ArtifactsInput!$M$15,CHOOSE(ArtifactsInput!$N$15+1,25,30,35,40,45,50)/100*(Inputs!$B$11-Inputs!$B$11),0)))/100)/2</f>
        <v/>
      </c>
      <c r="M2454">
        <f>L2454*(1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4">
        <f>L2454*(1-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2454*(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4">
        <f>(1-Summary!$B$11)*T2454+Summary!$B$11*V2454</f>
        <v/>
      </c>
      <c r="P2454">
        <f>IF(B2488=0,0,O2454/B2488)</f>
        <v/>
      </c>
      <c r="Q2454">
        <f>IFERROR(1/(IF(Inputs!$B$38="pvp",15,MAX(0.1,Skills!D7-IF(Skills!E7=TRUE,Inputs!$B$32,0)))*(1-IF(AND(ArtifactsInput!$M$27,Inputs!$B$4="Chapter Hunt"),CHOOSE(ArtifactsInput!$N$27+1,20,24,28,32,36,40),0)/100)),0)</f>
        <v/>
      </c>
      <c r="R2454">
        <f>IF(AND(Inputs!$B$38&lt;&gt;"pvp",Inputs!$B$43&gt;0),IF(MAX(0,Inputs!$B$43-B2485)&lt;=0,0,(INT(MAX(0,Inputs!$B$43-B2485)/(IF(Inputs!$B$38="pvp",15,MAX(0.1,Skills!D7-IF(Skills!E7=TRUE,Inputs!$B$32,0)))*(1-IF(AND(ArtifactsInput!$M$27,Inputs!$B$4="Chapter Hunt"),CHOOSE(ArtifactsInput!$N$27+1,20,24,28,32,36,40),0)/100)))+1)),0)</f>
        <v/>
      </c>
      <c r="S2454">
        <f>IFERROR(O2454/N2454,0)</f>
        <v/>
      </c>
      <c r="T2454">
        <f>IF(C2454,(H2454*N2454*IF(AND(Inputs!$B$38&lt;&gt;"pvp",Inputs!$B$43&gt;0),((Skills!G7*((R2454-1)*IF(Skills!H7&gt;0,Skills!I7/Skills!H7,1)+IF(Skills!H7&gt;0,MIN(Skills!I7,MAX(0,MAX(0,Inputs!$B$43-B2485)-((R2454-1)*(IF(Inputs!$B$38="pvp",15,MAX(0.1,Skills!D7-IF(Skills!E7=TRUE,Inputs!$B$32,0)))*(1-IF(AND(ArtifactsInput!$M$27,Inputs!$B$4="Chapter Hunt"),CHOOSE(ArtifactsInput!$N$27+1,20,24,28,32,36,40),0)/100)))))/Skills!H7,1)))/Inputs!$B$43),G2454*Q2454)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2454*(1-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2454*(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2454*(1-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2454*(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4">
        <f>IF(C2454,(H2454*N2454*IF(AND(Inputs!$B$38&lt;&gt;"pvp",Inputs!$B$43&gt;0),((Skills!G7*((R2454-1)*IF(Skills!H7&gt;0,Skills!I7/Skills!H7,1)+IF(Skills!H7&gt;0,MIN(Skills!I7,MAX(0,MAX(0,Inputs!$B$43-B2485)-((R2454-1)*(IF(Inputs!$B$38="pvp",15,MAX(0.1,Skills!D7-IF(Skills!E7=TRUE,Inputs!$B$32,0)))*(1-IF(AND(ArtifactsInput!$M$27,Inputs!$B$4="Chapter Hunt"),CHOOSE(ArtifactsInput!$N$27+1,20,24,28,32,36,40),0)/100)))))/Skills!H7,1)))/Inputs!$B$43),G2454*Q2454))*IF(Inputs!$B$38="pvp",1,(1+(Inputs!$B$21+Skills!Q7+(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5">
      <c r="A2455">
        <f>Skills!A8</f>
        <v/>
      </c>
      <c r="B2455">
        <f>Skills!B8</f>
        <v/>
      </c>
      <c r="C2455">
        <f>Inputs!$B$3&gt;=100</f>
        <v/>
      </c>
      <c r="D2455">
        <f>IF(Skills!C8=1,60+Inputs!$B$25+Inputs!$B$29,IF(Skills!C8=2,90+Inputs!$B$26+Inputs!$B$29,IF(Skills!C8=3,120+Inputs!$B$27+Inputs!$B$29,MAX(0,(Inputs!$B$3-100)*3)+Inputs!$B$28+Inputs!$B$29)))</f>
        <v/>
      </c>
      <c r="E2455">
        <f>INDEX(FactorTable!$B$2:$Y$301, MATCH(ROUND(MIN(300,MAX(1,D2455)),0), FactorTable!$A$2:$A$301,0), Skills!M8+1)</f>
        <v/>
      </c>
      <c r="F2455">
        <f>IF(Skills!N8=TRUE,(Skills!L8/10)*(E2455/1000),Skills!L8/10)+Skills!O8</f>
        <v/>
      </c>
      <c r="G2455">
        <f>Skills!G8*IF(Skills!H8&gt;0,Skills!I8/Skills!H8,1)</f>
        <v/>
      </c>
      <c r="H2455">
        <f>1-(1-Skills!J8/100)^Skills!K8</f>
        <v/>
      </c>
      <c r="I2455" t="inlineStr">
        <is>
          <t>1</t>
        </is>
      </c>
      <c r="J2455">
        <f>((Inputs!$B$6*(1+Inputs!$B$7/100))+(((Inputs!$B$12*(1+Inputs!$B$13/100))-(Inputs!$B$12*(1+Inputs!$B$13/100)))+0.25*(Inputs!$B$14-Inputs!$B$14))*(1+Inputs!$B$7/100))*(F2455/100)</f>
        <v/>
      </c>
      <c r="K2455">
        <f>J2455*(1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2455)</f>
        <v/>
      </c>
      <c r="L2455">
        <f>K2455*(MIN(Inputs!$B$22+((C2469=TRUE)*(F2469-Calc!F22)),(Inputs!$B$23+0+(IF(ArtifactsInput!$M$15,CHOOSE(ArtifactsInput!$N$15+1,25,30,35,40,45,50)/100*(Inputs!$B$11-Inputs!$B$11),0))))/100+(Inputs!$B$23+0+(IF(ArtifactsInput!$M$15,CHOOSE(ArtifactsInput!$N$15+1,25,30,35,40,45,50)/100*(Inputs!$B$11-Inputs!$B$11),0)))/100)/2</f>
        <v/>
      </c>
      <c r="M2455">
        <f>L2455*(1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5">
        <f>L2455*(1-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2455*(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5">
        <f>(1-Summary!$B$11)*T2455+Summary!$B$11*V2455</f>
        <v/>
      </c>
      <c r="P2455">
        <f>IF(B2488=0,0,O2455/B2488)</f>
        <v/>
      </c>
      <c r="Q2455">
        <f>IFERROR(1/(IF(Inputs!$B$38="pvp",15,MAX(0.1,Skills!D8-IF(Skills!E8=TRUE,Inputs!$B$32,0)))*(1-IF(AND(ArtifactsInput!$M$27,Inputs!$B$4="Chapter Hunt"),CHOOSE(ArtifactsInput!$N$27+1,20,24,28,32,36,40),0)/100)),0)</f>
        <v/>
      </c>
      <c r="R2455">
        <f>IF(AND(Inputs!$B$38&lt;&gt;"pvp",Inputs!$B$43&gt;0),IF(MAX(0,Inputs!$B$43-B2485)&lt;=0,0,(INT(MAX(0,Inputs!$B$43-B2485)/(IF(Inputs!$B$38="pvp",15,MAX(0.1,Skills!D8-IF(Skills!E8=TRUE,Inputs!$B$32,0)))*(1-IF(AND(ArtifactsInput!$M$27,Inputs!$B$4="Chapter Hunt"),CHOOSE(ArtifactsInput!$N$27+1,20,24,28,32,36,40),0)/100)))+1)),0)</f>
        <v/>
      </c>
      <c r="S2455">
        <f>IFERROR(O2455/N2455,0)</f>
        <v/>
      </c>
      <c r="T2455">
        <f>IF(C2455,(H2455*N2455*IF(AND(Inputs!$B$38&lt;&gt;"pvp",Inputs!$B$43&gt;0),((Skills!G8*((R2455-1)*IF(Skills!H8&gt;0,Skills!I8/Skills!H8,1)+IF(Skills!H8&gt;0,MIN(Skills!I8,MAX(0,MAX(0,Inputs!$B$43-B2485)-((R2455-1)*(IF(Inputs!$B$38="pvp",15,MAX(0.1,Skills!D8-IF(Skills!E8=TRUE,Inputs!$B$32,0)))*(1-IF(AND(ArtifactsInput!$M$27,Inputs!$B$4="Chapter Hunt"),CHOOSE(ArtifactsInput!$N$27+1,20,24,28,32,36,40),0)/100)))))/Skills!H8,1)))/Inputs!$B$43),G2455*Q2455)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2455*(1-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2455*(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2455*(1-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2455*(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5">
        <f>IF(C2455,(H2455*N2455*IF(AND(Inputs!$B$38&lt;&gt;"pvp",Inputs!$B$43&gt;0),((Skills!G8*((R2455-1)*IF(Skills!H8&gt;0,Skills!I8/Skills!H8,1)+IF(Skills!H8&gt;0,MIN(Skills!I8,MAX(0,MAX(0,Inputs!$B$43-B2485)-((R2455-1)*(IF(Inputs!$B$38="pvp",15,MAX(0.1,Skills!D8-IF(Skills!E8=TRUE,Inputs!$B$32,0)))*(1-IF(AND(ArtifactsInput!$M$27,Inputs!$B$4="Chapter Hunt"),CHOOSE(ArtifactsInput!$N$27+1,20,24,28,32,36,40),0)/100)))))/Skills!H8,1)))/Inputs!$B$43),G2455*Q2455))*IF(Inputs!$B$38="pvp",1,(1+(Inputs!$B$21+Skills!Q8+(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6">
      <c r="A2456">
        <f>Skills!A9</f>
        <v/>
      </c>
      <c r="B2456">
        <f>Skills!B9</f>
        <v/>
      </c>
      <c r="C2456">
        <f>Inputs!$B$3&gt;=103</f>
        <v/>
      </c>
      <c r="D2456">
        <f>IF(Skills!C9=1,60+Inputs!$B$25+Inputs!$B$29,IF(Skills!C9=2,90+Inputs!$B$26+Inputs!$B$29,IF(Skills!C9=3,120+Inputs!$B$27+Inputs!$B$29,MAX(0,(Inputs!$B$3-100)*3)+Inputs!$B$28+Inputs!$B$29)))</f>
        <v/>
      </c>
      <c r="E2456">
        <f>INDEX(FactorTable!$B$2:$Y$301, MATCH(ROUND(MIN(300,MAX(1,D2456)),0), FactorTable!$A$2:$A$301,0), Skills!M9+1)</f>
        <v/>
      </c>
      <c r="F2456">
        <f>IF(Skills!N9=TRUE,(Skills!L9/10)*(E2456/1000),Skills!L9/10)+Skills!O9</f>
        <v/>
      </c>
      <c r="G2456">
        <f>Skills!G9*IF(Skills!H9&gt;0,Skills!I9/Skills!H9,1)</f>
        <v/>
      </c>
      <c r="H2456">
        <f>1-(1-Skills!J9/100)^Skills!K9</f>
        <v/>
      </c>
      <c r="I2456" t="inlineStr">
        <is>
          <t>1</t>
        </is>
      </c>
      <c r="J2456">
        <f>((Inputs!$B$6*(1+Inputs!$B$7/100))+(((Inputs!$B$12*(1+Inputs!$B$13/100))-(Inputs!$B$12*(1+Inputs!$B$13/100)))+0.25*(Inputs!$B$14-Inputs!$B$14))*(1+Inputs!$B$7/100))*(F2456/100)</f>
        <v/>
      </c>
      <c r="K2456">
        <f>J2456*(1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2456)</f>
        <v/>
      </c>
      <c r="L2456">
        <f>K2456*(MIN(Inputs!$B$22+((C2469=TRUE)*(F2469-Calc!F22)),(Inputs!$B$23+0+(IF(ArtifactsInput!$M$15,CHOOSE(ArtifactsInput!$N$15+1,25,30,35,40,45,50)/100*(Inputs!$B$11-Inputs!$B$11),0))))/100+(Inputs!$B$23+0+(IF(ArtifactsInput!$M$15,CHOOSE(ArtifactsInput!$N$15+1,25,30,35,40,45,50)/100*(Inputs!$B$11-Inputs!$B$11),0)))/100)/2</f>
        <v/>
      </c>
      <c r="M2456">
        <f>L2456*(1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6">
        <f>L2456*(1-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2456*(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6">
        <f>(1-Summary!$B$11)*T2456+Summary!$B$11*V2456</f>
        <v/>
      </c>
      <c r="P2456">
        <f>IF(B2488=0,0,O2456/B2488)</f>
        <v/>
      </c>
      <c r="Q2456">
        <f>IFERROR(1/(IF(Inputs!$B$38="pvp",15,MAX(0.1,Skills!D9-IF(Skills!E9=TRUE,Inputs!$B$32,0)))*(1-IF(AND(ArtifactsInput!$M$27,Inputs!$B$4="Chapter Hunt"),CHOOSE(ArtifactsInput!$N$27+1,20,24,28,32,36,40),0)/100)),0)</f>
        <v/>
      </c>
      <c r="R2456">
        <f>IF(AND(Inputs!$B$38&lt;&gt;"pvp",Inputs!$B$43&gt;0),IF(MAX(0,Inputs!$B$43-B2485)&lt;=0,0,(INT(MAX(0,Inputs!$B$43-B2485)/(IF(Inputs!$B$38="pvp",15,MAX(0.1,Skills!D9-IF(Skills!E9=TRUE,Inputs!$B$32,0)))*(1-IF(AND(ArtifactsInput!$M$27,Inputs!$B$4="Chapter Hunt"),CHOOSE(ArtifactsInput!$N$27+1,20,24,28,32,36,40),0)/100)))+1)),0)</f>
        <v/>
      </c>
      <c r="S2456">
        <f>IFERROR(O2456/N2456,0)</f>
        <v/>
      </c>
      <c r="T2456">
        <f>IF(C2456,(H2456*N2456*IF(AND(Inputs!$B$38&lt;&gt;"pvp",Inputs!$B$43&gt;0),((Skills!G9*((R2456-1)*IF(Skills!H9&gt;0,Skills!I9/Skills!H9,1)+IF(Skills!H9&gt;0,MIN(Skills!I9,MAX(0,MAX(0,Inputs!$B$43-B2485)-((R2456-1)*(IF(Inputs!$B$38="pvp",15,MAX(0.1,Skills!D9-IF(Skills!E9=TRUE,Inputs!$B$32,0)))*(1-IF(AND(ArtifactsInput!$M$27,Inputs!$B$4="Chapter Hunt"),CHOOSE(ArtifactsInput!$N$27+1,20,24,28,32,36,40),0)/100)))))/Skills!H9,1)))/Inputs!$B$43),G2456*Q2456)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2456*(1-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2456*(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2456*(1-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2456*(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6">
        <f>IF(C2456,(H2456*N2456*IF(AND(Inputs!$B$38&lt;&gt;"pvp",Inputs!$B$43&gt;0),((Skills!G9*((R2456-1)*IF(Skills!H9&gt;0,Skills!I9/Skills!H9,1)+IF(Skills!H9&gt;0,MIN(Skills!I9,MAX(0,MAX(0,Inputs!$B$43-B2485)-((R2456-1)*(IF(Inputs!$B$38="pvp",15,MAX(0.1,Skills!D9-IF(Skills!E9=TRUE,Inputs!$B$32,0)))*(1-IF(AND(ArtifactsInput!$M$27,Inputs!$B$4="Chapter Hunt"),CHOOSE(ArtifactsInput!$N$27+1,20,24,28,32,36,40),0)/100)))))/Skills!H9,1)))/Inputs!$B$43),G2456*Q2456))*IF(Inputs!$B$38="pvp",1,(1+(Inputs!$B$21+Skills!Q9+(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7">
      <c r="A2457">
        <f>Skills!A10</f>
        <v/>
      </c>
      <c r="B2457">
        <f>Skills!B10</f>
        <v/>
      </c>
      <c r="C2457">
        <f>Inputs!$B$3&gt;=113</f>
        <v/>
      </c>
      <c r="D2457">
        <f>IF(Skills!C10=1,60+Inputs!$B$25+Inputs!$B$29,IF(Skills!C10=2,90+Inputs!$B$26+Inputs!$B$29,IF(Skills!C10=3,120+Inputs!$B$27+Inputs!$B$29,MAX(0,(Inputs!$B$3-100)*3)+Inputs!$B$28+Inputs!$B$29)))</f>
        <v/>
      </c>
      <c r="E2457">
        <f>INDEX(FactorTable!$B$2:$Y$301, MATCH(ROUND(MIN(300,MAX(1,D2457)),0), FactorTable!$A$2:$A$301,0), Skills!M10+1)</f>
        <v/>
      </c>
      <c r="F2457">
        <f>IF(Skills!N10=TRUE,(Skills!L10/10)*(E2457/1000),Skills!L10/10)+Skills!O10</f>
        <v/>
      </c>
      <c r="G2457">
        <f>Skills!G10*IF(Skills!H10&gt;0,Skills!I10/Skills!H10,1)</f>
        <v/>
      </c>
      <c r="H2457">
        <f>1-(1-Skills!J10/100)^Skills!K10</f>
        <v/>
      </c>
      <c r="I2457" t="inlineStr">
        <is>
          <t>1</t>
        </is>
      </c>
      <c r="J2457">
        <f>((Inputs!$B$6*(1+Inputs!$B$7/100))+(((Inputs!$B$12*(1+Inputs!$B$13/100))-(Inputs!$B$12*(1+Inputs!$B$13/100)))+0.25*(Inputs!$B$14-Inputs!$B$14))*(1+Inputs!$B$7/100))*(F2457/100)</f>
        <v/>
      </c>
      <c r="K2457">
        <f>J2457*(1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2457)</f>
        <v/>
      </c>
      <c r="L2457">
        <f>K2457*(MIN(Inputs!$B$22+((C2469=TRUE)*(F2469-Calc!F22)),(Inputs!$B$23+0+(IF(ArtifactsInput!$M$15,CHOOSE(ArtifactsInput!$N$15+1,25,30,35,40,45,50)/100*(Inputs!$B$11-Inputs!$B$11),0))))/100+(Inputs!$B$23+0+(IF(ArtifactsInput!$M$15,CHOOSE(ArtifactsInput!$N$15+1,25,30,35,40,45,50)/100*(Inputs!$B$11-Inputs!$B$11),0)))/100)/2</f>
        <v/>
      </c>
      <c r="M2457">
        <f>L2457*(1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7">
        <f>L2457*(1-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2457*(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7">
        <f>(1-Summary!$B$11)*T2457+Summary!$B$11*V2457</f>
        <v/>
      </c>
      <c r="P2457">
        <f>IF(B2488=0,0,O2457/B2488)</f>
        <v/>
      </c>
      <c r="Q2457">
        <f>IFERROR(1/(IF(Inputs!$B$38="pvp",15,MAX(0.1,Skills!D10-IF(Skills!E10=TRUE,Inputs!$B$32,0)))*(1-IF(AND(ArtifactsInput!$M$27,Inputs!$B$4="Chapter Hunt"),CHOOSE(ArtifactsInput!$N$27+1,20,24,28,32,36,40),0)/100)),0)</f>
        <v/>
      </c>
      <c r="R2457">
        <f>IF(AND(Inputs!$B$38&lt;&gt;"pvp",Inputs!$B$43&gt;0),IF(MAX(0,Inputs!$B$43-B2485)&lt;=0,0,(INT(MAX(0,Inputs!$B$43-B2485)/(IF(Inputs!$B$38="pvp",15,MAX(0.1,Skills!D10-IF(Skills!E10=TRUE,Inputs!$B$32,0)))*(1-IF(AND(ArtifactsInput!$M$27,Inputs!$B$4="Chapter Hunt"),CHOOSE(ArtifactsInput!$N$27+1,20,24,28,32,36,40),0)/100)))+1)),0)</f>
        <v/>
      </c>
      <c r="S2457">
        <f>IFERROR(O2457/N2457,0)</f>
        <v/>
      </c>
      <c r="T2457">
        <f>IF(C2457,(H2457*N2457*IF(AND(Inputs!$B$38&lt;&gt;"pvp",Inputs!$B$43&gt;0),((Skills!G10*((R2457-1)*IF(Skills!H10&gt;0,Skills!I10/Skills!H10,1)+IF(Skills!H10&gt;0,MIN(Skills!I10,MAX(0,MAX(0,Inputs!$B$43-B2485)-((R2457-1)*(IF(Inputs!$B$38="pvp",15,MAX(0.1,Skills!D10-IF(Skills!E10=TRUE,Inputs!$B$32,0)))*(1-IF(AND(ArtifactsInput!$M$27,Inputs!$B$4="Chapter Hunt"),CHOOSE(ArtifactsInput!$N$27+1,20,24,28,32,36,40),0)/100)))))/Skills!H10,1)))/Inputs!$B$43),G2457*Q2457)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2457*(1-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2457*(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2457*(1-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2457*(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7">
        <f>IF(C2457,(H2457*N2457*IF(AND(Inputs!$B$38&lt;&gt;"pvp",Inputs!$B$43&gt;0),((Skills!G10*((R2457-1)*IF(Skills!H10&gt;0,Skills!I10/Skills!H10,1)+IF(Skills!H10&gt;0,MIN(Skills!I10,MAX(0,MAX(0,Inputs!$B$43-B2485)-((R2457-1)*(IF(Inputs!$B$38="pvp",15,MAX(0.1,Skills!D10-IF(Skills!E10=TRUE,Inputs!$B$32,0)))*(1-IF(AND(ArtifactsInput!$M$27,Inputs!$B$4="Chapter Hunt"),CHOOSE(ArtifactsInput!$N$27+1,20,24,28,32,36,40),0)/100)))))/Skills!H10,1)))/Inputs!$B$43),G2457*Q2457))*IF(Inputs!$B$38="pvp",1,(1+(Inputs!$B$21+Skills!Q10+(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8">
      <c r="A2458">
        <f>Skills!A11</f>
        <v/>
      </c>
      <c r="B2458">
        <f>Skills!B11</f>
        <v/>
      </c>
      <c r="C2458">
        <f>Inputs!$B$3&gt;=107</f>
        <v/>
      </c>
      <c r="D2458">
        <f>IF(Skills!C11=1,60+Inputs!$B$25+Inputs!$B$29,IF(Skills!C11=2,90+Inputs!$B$26+Inputs!$B$29,IF(Skills!C11=3,120+Inputs!$B$27+Inputs!$B$29,MAX(0,(Inputs!$B$3-100)*3)+Inputs!$B$28+Inputs!$B$29)))</f>
        <v/>
      </c>
      <c r="E2458">
        <f>INDEX(FactorTable!$B$2:$Y$301, MATCH(ROUND(MIN(300,MAX(1,D2458)),0), FactorTable!$A$2:$A$301,0), Skills!M11+1)</f>
        <v/>
      </c>
      <c r="F2458">
        <f>IF(Skills!N11=TRUE,(Skills!L11/10)*(E2458/1000),Skills!L11/10)+Skills!O11</f>
        <v/>
      </c>
      <c r="G2458">
        <f>Skills!G11*IF(Skills!H11&gt;0,Skills!I11/Skills!H11,1)</f>
        <v/>
      </c>
      <c r="H2458">
        <f>1-(1-Skills!J11/100)^Skills!K11</f>
        <v/>
      </c>
      <c r="I2458" t="inlineStr">
        <is>
          <t>1</t>
        </is>
      </c>
      <c r="J2458">
        <f>((Inputs!$B$6*(1+Inputs!$B$7/100))+(((Inputs!$B$12*(1+Inputs!$B$13/100))-(Inputs!$B$12*(1+Inputs!$B$13/100)))+0.25*(Inputs!$B$14-Inputs!$B$14))*(1+Inputs!$B$7/100))*(F2458/100)</f>
        <v/>
      </c>
      <c r="K2458">
        <f>J2458*(1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2458)</f>
        <v/>
      </c>
      <c r="L2458">
        <f>K2458*(MIN(Inputs!$B$22+((C2469=TRUE)*(F2469-Calc!F22)),(Inputs!$B$23+0+(IF(ArtifactsInput!$M$15,CHOOSE(ArtifactsInput!$N$15+1,25,30,35,40,45,50)/100*(Inputs!$B$11-Inputs!$B$11),0))))/100+(Inputs!$B$23+0+(IF(ArtifactsInput!$M$15,CHOOSE(ArtifactsInput!$N$15+1,25,30,35,40,45,50)/100*(Inputs!$B$11-Inputs!$B$11),0)))/100)/2</f>
        <v/>
      </c>
      <c r="M2458">
        <f>L2458*(1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8">
        <f>L2458*(1-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2458*(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8">
        <f>(1-Summary!$B$11)*T2458+Summary!$B$11*V2458</f>
        <v/>
      </c>
      <c r="P2458">
        <f>IF(B2488=0,0,O2458/B2488)</f>
        <v/>
      </c>
      <c r="Q2458">
        <f>IFERROR(1/(IF(Inputs!$B$38="pvp",15,MAX(0.1,Skills!D11-IF(Skills!E11=TRUE,Inputs!$B$32,0)))*(1-IF(AND(ArtifactsInput!$M$27,Inputs!$B$4="Chapter Hunt"),CHOOSE(ArtifactsInput!$N$27+1,20,24,28,32,36,40),0)/100)),0)</f>
        <v/>
      </c>
      <c r="R2458">
        <f>IF(AND(Inputs!$B$38&lt;&gt;"pvp",Inputs!$B$43&gt;0),IF(MAX(0,Inputs!$B$43-B2485)&lt;=0,0,(INT(MAX(0,Inputs!$B$43-B2485)/(IF(Inputs!$B$38="pvp",15,MAX(0.1,Skills!D11-IF(Skills!E11=TRUE,Inputs!$B$32,0)))*(1-IF(AND(ArtifactsInput!$M$27,Inputs!$B$4="Chapter Hunt"),CHOOSE(ArtifactsInput!$N$27+1,20,24,28,32,36,40),0)/100)))+1)),0)</f>
        <v/>
      </c>
      <c r="S2458">
        <f>IFERROR(O2458/N2458,0)</f>
        <v/>
      </c>
      <c r="T2458">
        <f>IF(C2458,(H2458*N2458*IF(AND(Inputs!$B$38&lt;&gt;"pvp",Inputs!$B$43&gt;0),((Skills!G11*((R2458-1)*IF(Skills!H11&gt;0,Skills!I11/Skills!H11,1)+IF(Skills!H11&gt;0,MIN(Skills!I11,MAX(0,MAX(0,Inputs!$B$43-B2485)-((R2458-1)*(IF(Inputs!$B$38="pvp",15,MAX(0.1,Skills!D11-IF(Skills!E11=TRUE,Inputs!$B$32,0)))*(1-IF(AND(ArtifactsInput!$M$27,Inputs!$B$4="Chapter Hunt"),CHOOSE(ArtifactsInput!$N$27+1,20,24,28,32,36,40),0)/100)))))/Skills!H11,1)))/Inputs!$B$43),G2458*Q2458)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2458*(1-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2458*(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2458*(1-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2458*(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8">
        <f>IF(C2458,(H2458*N2458*IF(AND(Inputs!$B$38&lt;&gt;"pvp",Inputs!$B$43&gt;0),((Skills!G11*((R2458-1)*IF(Skills!H11&gt;0,Skills!I11/Skills!H11,1)+IF(Skills!H11&gt;0,MIN(Skills!I11,MAX(0,MAX(0,Inputs!$B$43-B2485)-((R2458-1)*(IF(Inputs!$B$38="pvp",15,MAX(0.1,Skills!D11-IF(Skills!E11=TRUE,Inputs!$B$32,0)))*(1-IF(AND(ArtifactsInput!$M$27,Inputs!$B$4="Chapter Hunt"),CHOOSE(ArtifactsInput!$N$27+1,20,24,28,32,36,40),0)/100)))))/Skills!H11,1)))/Inputs!$B$43),G2458*Q2458))*IF(Inputs!$B$38="pvp",1,(1+(Inputs!$B$21+Skills!Q11+(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9">
      <c r="A2459">
        <f>Skills!A12</f>
        <v/>
      </c>
      <c r="B2459">
        <f>Skills!B12</f>
        <v/>
      </c>
      <c r="C2459">
        <f>Inputs!$B$3&gt;=110</f>
        <v/>
      </c>
      <c r="D2459">
        <f>IF(Skills!C12=1,60+Inputs!$B$25+Inputs!$B$29,IF(Skills!C12=2,90+Inputs!$B$26+Inputs!$B$29,IF(Skills!C12=3,120+Inputs!$B$27+Inputs!$B$29,MAX(0,(Inputs!$B$3-100)*3)+Inputs!$B$28+Inputs!$B$29)))</f>
        <v/>
      </c>
      <c r="E2459">
        <f>INDEX(FactorTable!$B$2:$Y$301, MATCH(ROUND(MIN(300,MAX(1,D2459)),0), FactorTable!$A$2:$A$301,0), Skills!M12+1)</f>
        <v/>
      </c>
      <c r="F2459">
        <f>IF(Skills!N12=TRUE,(Skills!L12/10)*(E2459/1000),Skills!L12/10)+Skills!O12</f>
        <v/>
      </c>
      <c r="G2459">
        <f>Skills!G12*IF(Skills!H12&gt;0,Skills!I12/Skills!H12,1)</f>
        <v/>
      </c>
      <c r="H2459">
        <f>1-(1-Skills!J12/100)^Skills!K12</f>
        <v/>
      </c>
      <c r="I2459" t="inlineStr">
        <is>
          <t>1</t>
        </is>
      </c>
      <c r="J2459">
        <f>((Inputs!$B$6*(1+Inputs!$B$7/100))+(((Inputs!$B$12*(1+Inputs!$B$13/100))-(Inputs!$B$12*(1+Inputs!$B$13/100)))+0.25*(Inputs!$B$14-Inputs!$B$14))*(1+Inputs!$B$7/100))*(F2459/100)</f>
        <v/>
      </c>
      <c r="K2459">
        <f>J2459*(1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2459)</f>
        <v/>
      </c>
      <c r="L2459">
        <f>K2459*(MIN(Inputs!$B$22+((C2469=TRUE)*(F2469-Calc!F22)),(Inputs!$B$23+0+(IF(ArtifactsInput!$M$15,CHOOSE(ArtifactsInput!$N$15+1,25,30,35,40,45,50)/100*(Inputs!$B$11-Inputs!$B$11),0))))/100+(Inputs!$B$23+0+(IF(ArtifactsInput!$M$15,CHOOSE(ArtifactsInput!$N$15+1,25,30,35,40,45,50)/100*(Inputs!$B$11-Inputs!$B$11),0)))/100)/2</f>
        <v/>
      </c>
      <c r="M2459">
        <f>L2459*(1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9">
        <f>L2459*(1-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2459*(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9">
        <f>(1-Summary!$B$11)*T2459+Summary!$B$11*V2459</f>
        <v/>
      </c>
      <c r="P2459">
        <f>IF(B2488=0,0,O2459/B2488)</f>
        <v/>
      </c>
      <c r="Q2459">
        <f>IFERROR(1/(IF(Inputs!$B$38="pvp",15,MAX(0.1,Skills!D12-IF(Skills!E12=TRUE,Inputs!$B$32,0)))*(1-IF(AND(ArtifactsInput!$M$27,Inputs!$B$4="Chapter Hunt"),CHOOSE(ArtifactsInput!$N$27+1,20,24,28,32,36,40),0)/100)),0)</f>
        <v/>
      </c>
      <c r="R2459">
        <f>IF(AND(Inputs!$B$38&lt;&gt;"pvp",Inputs!$B$43&gt;0),IF(MAX(0,Inputs!$B$43-B2485)&lt;=0,0,(INT(MAX(0,Inputs!$B$43-B2485)/(IF(Inputs!$B$38="pvp",15,MAX(0.1,Skills!D12-IF(Skills!E12=TRUE,Inputs!$B$32,0)))*(1-IF(AND(ArtifactsInput!$M$27,Inputs!$B$4="Chapter Hunt"),CHOOSE(ArtifactsInput!$N$27+1,20,24,28,32,36,40),0)/100)))+1)),0)</f>
        <v/>
      </c>
      <c r="S2459">
        <f>IFERROR(O2459/N2459,0)</f>
        <v/>
      </c>
      <c r="T2459">
        <f>IF(C2459,(H2459*N2459*IF(AND(Inputs!$B$38&lt;&gt;"pvp",Inputs!$B$43&gt;0),((Skills!G12*((R2459-1)*IF(Skills!H12&gt;0,Skills!I12/Skills!H12,1)+IF(Skills!H12&gt;0,MIN(Skills!I12,MAX(0,MAX(0,Inputs!$B$43-B2485)-((R2459-1)*(IF(Inputs!$B$38="pvp",15,MAX(0.1,Skills!D12-IF(Skills!E12=TRUE,Inputs!$B$32,0)))*(1-IF(AND(ArtifactsInput!$M$27,Inputs!$B$4="Chapter Hunt"),CHOOSE(ArtifactsInput!$N$27+1,20,24,28,32,36,40),0)/100)))))/Skills!H12,1)))/Inputs!$B$43),G2459*Q2459)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2459*(1-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2459*(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2459*(1-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2459*(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9">
        <f>IF(C2459,(H2459*N2459*IF(AND(Inputs!$B$38&lt;&gt;"pvp",Inputs!$B$43&gt;0),((Skills!G12*((R2459-1)*IF(Skills!H12&gt;0,Skills!I12/Skills!H12,1)+IF(Skills!H12&gt;0,MIN(Skills!I12,MAX(0,MAX(0,Inputs!$B$43-B2485)-((R2459-1)*(IF(Inputs!$B$38="pvp",15,MAX(0.1,Skills!D12-IF(Skills!E12=TRUE,Inputs!$B$32,0)))*(1-IF(AND(ArtifactsInput!$M$27,Inputs!$B$4="Chapter Hunt"),CHOOSE(ArtifactsInput!$N$27+1,20,24,28,32,36,40),0)/100)))))/Skills!H12,1)))/Inputs!$B$43),G2459*Q2459))*IF(Inputs!$B$38="pvp",1,(1+(Inputs!$B$21+Skills!Q12+(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0">
      <c r="A2460">
        <f>Skills!A13</f>
        <v/>
      </c>
      <c r="B2460">
        <f>Skills!B13</f>
        <v/>
      </c>
      <c r="C2460">
        <f>Inputs!$B$3&gt;=110</f>
        <v/>
      </c>
      <c r="D2460">
        <f>IF(Skills!C13=1,60+Inputs!$B$25+Inputs!$B$29,IF(Skills!C13=2,90+Inputs!$B$26+Inputs!$B$29,IF(Skills!C13=3,120+Inputs!$B$27+Inputs!$B$29,MAX(0,(Inputs!$B$3-100)*3)+Inputs!$B$28+Inputs!$B$29)))</f>
        <v/>
      </c>
      <c r="E2460">
        <f>INDEX(FactorTable!$B$2:$Y$301, MATCH(ROUND(MIN(300,MAX(1,D2460)),0), FactorTable!$A$2:$A$301,0), Skills!M13+1)</f>
        <v/>
      </c>
      <c r="F2460">
        <f>IF(Skills!N13=TRUE,(Skills!L13/10)*(E2460/1000),Skills!L13/10)+Skills!O13</f>
        <v/>
      </c>
      <c r="G2460">
        <f>Skills!G13*IF(Skills!H13&gt;0,Skills!I13/Skills!H13,1)</f>
        <v/>
      </c>
      <c r="H2460">
        <f>1-(1-Skills!J13/100)^Skills!K13</f>
        <v/>
      </c>
      <c r="I2460" t="inlineStr">
        <is>
          <t>1</t>
        </is>
      </c>
      <c r="J2460">
        <f>((Inputs!$B$6*(1+Inputs!$B$7/100))+(((Inputs!$B$12*(1+Inputs!$B$13/100))-(Inputs!$B$12*(1+Inputs!$B$13/100)))+0.25*(Inputs!$B$14-Inputs!$B$14))*(1+Inputs!$B$7/100))*(F2460/100)</f>
        <v/>
      </c>
      <c r="K2460">
        <f>J2460*(1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2460)</f>
        <v/>
      </c>
      <c r="L2460">
        <f>K2460*(MIN(Inputs!$B$22+((C2469=TRUE)*(F2469-Calc!F22)),(Inputs!$B$23+0+(IF(ArtifactsInput!$M$15,CHOOSE(ArtifactsInput!$N$15+1,25,30,35,40,45,50)/100*(Inputs!$B$11-Inputs!$B$11),0))))/100+(Inputs!$B$23+0+(IF(ArtifactsInput!$M$15,CHOOSE(ArtifactsInput!$N$15+1,25,30,35,40,45,50)/100*(Inputs!$B$11-Inputs!$B$11),0)))/100)/2</f>
        <v/>
      </c>
      <c r="M2460">
        <f>L2460*(1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0">
        <f>L2460*(1-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2460*(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0">
        <f>(1-Summary!$B$11)*T2460+Summary!$B$11*V2460</f>
        <v/>
      </c>
      <c r="P2460">
        <f>IF(B2488=0,0,O2460/B2488)</f>
        <v/>
      </c>
      <c r="Q2460">
        <f>IFERROR(1/(IF(Inputs!$B$38="pvp",15,MAX(0.1,Skills!D13-IF(Skills!E13=TRUE,Inputs!$B$32,0)))*(1-IF(AND(ArtifactsInput!$M$27,Inputs!$B$4="Chapter Hunt"),CHOOSE(ArtifactsInput!$N$27+1,20,24,28,32,36,40),0)/100)),0)</f>
        <v/>
      </c>
      <c r="R2460">
        <f>IF(AND(Inputs!$B$38&lt;&gt;"pvp",Inputs!$B$43&gt;0),IF(MAX(0,Inputs!$B$43-B2485)&lt;=0,0,(INT(MAX(0,Inputs!$B$43-B2485)/(IF(Inputs!$B$38="pvp",15,MAX(0.1,Skills!D13-IF(Skills!E13=TRUE,Inputs!$B$32,0)))*(1-IF(AND(ArtifactsInput!$M$27,Inputs!$B$4="Chapter Hunt"),CHOOSE(ArtifactsInput!$N$27+1,20,24,28,32,36,40),0)/100)))+1)),0)</f>
        <v/>
      </c>
      <c r="S2460">
        <f>IFERROR(O2460/N2460,0)</f>
        <v/>
      </c>
      <c r="T2460">
        <f>IF(C2460,(H2460*N2460*IF(AND(Inputs!$B$38&lt;&gt;"pvp",Inputs!$B$43&gt;0),((Skills!G13*((R2460-1)*IF(Skills!H13&gt;0,Skills!I13/Skills!H13,1)+IF(Skills!H13&gt;0,MIN(Skills!I13,MAX(0,MAX(0,Inputs!$B$43-B2485)-((R2460-1)*(IF(Inputs!$B$38="pvp",15,MAX(0.1,Skills!D13-IF(Skills!E13=TRUE,Inputs!$B$32,0)))*(1-IF(AND(ArtifactsInput!$M$27,Inputs!$B$4="Chapter Hunt"),CHOOSE(ArtifactsInput!$N$27+1,20,24,28,32,36,40),0)/100)))))/Skills!H13,1)))/Inputs!$B$43),G2460*Q2460)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2460*(1-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2460*(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2460*(1-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2460*(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0">
        <f>IF(C2460,(H2460*N2460*IF(AND(Inputs!$B$38&lt;&gt;"pvp",Inputs!$B$43&gt;0),((Skills!G13*((R2460-1)*IF(Skills!H13&gt;0,Skills!I13/Skills!H13,1)+IF(Skills!H13&gt;0,MIN(Skills!I13,MAX(0,MAX(0,Inputs!$B$43-B2485)-((R2460-1)*(IF(Inputs!$B$38="pvp",15,MAX(0.1,Skills!D13-IF(Skills!E13=TRUE,Inputs!$B$32,0)))*(1-IF(AND(ArtifactsInput!$M$27,Inputs!$B$4="Chapter Hunt"),CHOOSE(ArtifactsInput!$N$27+1,20,24,28,32,36,40),0)/100)))))/Skills!H13,1)))/Inputs!$B$43),G2460*Q2460))*IF(Inputs!$B$38="pvp",1,(1+(Inputs!$B$21+Skills!Q13+(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1">
      <c r="A2461">
        <f>Skills!A14</f>
        <v/>
      </c>
      <c r="B2461">
        <f>Skills!B14</f>
        <v/>
      </c>
      <c r="C2461">
        <f>Inputs!$B$3&gt;=125</f>
        <v/>
      </c>
      <c r="D2461">
        <f>IF(Skills!C14=1,60+Inputs!$B$25+Inputs!$B$29,IF(Skills!C14=2,90+Inputs!$B$26+Inputs!$B$29,IF(Skills!C14=3,120+Inputs!$B$27+Inputs!$B$29,MAX(0,(Inputs!$B$3-100)*3)+Inputs!$B$28+Inputs!$B$29)))</f>
        <v/>
      </c>
      <c r="E2461">
        <f>INDEX(FactorTable!$B$2:$Y$301, MATCH(ROUND(MIN(300,MAX(1,D2461)),0), FactorTable!$A$2:$A$301,0), Skills!M14+1)</f>
        <v/>
      </c>
      <c r="F2461">
        <f>IF(Skills!N14=TRUE,(Skills!L14/10)*(E2461/1000),Skills!L14/10)+Skills!O14</f>
        <v/>
      </c>
      <c r="G2461">
        <f>Skills!G14*IF(Skills!H14&gt;0,Skills!I14/Skills!H14,1)</f>
        <v/>
      </c>
      <c r="H2461">
        <f>1-(1-Skills!J14/100)^Skills!K14</f>
        <v/>
      </c>
      <c r="I2461" t="inlineStr">
        <is>
          <t>1</t>
        </is>
      </c>
      <c r="J2461">
        <f>((Inputs!$B$6*(1+Inputs!$B$7/100))+(((Inputs!$B$12*(1+Inputs!$B$13/100))-(Inputs!$B$12*(1+Inputs!$B$13/100)))+0.25*(Inputs!$B$14-Inputs!$B$14))*(1+Inputs!$B$7/100))*(F2461/100)</f>
        <v/>
      </c>
      <c r="K2461">
        <f>J2461*(1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2461)</f>
        <v/>
      </c>
      <c r="L2461">
        <f>K2461*(MIN(Inputs!$B$22+((C2469=TRUE)*(F2469-Calc!F22)),(Inputs!$B$23+0+(IF(ArtifactsInput!$M$15,CHOOSE(ArtifactsInput!$N$15+1,25,30,35,40,45,50)/100*(Inputs!$B$11-Inputs!$B$11),0))))/100+(Inputs!$B$23+0+(IF(ArtifactsInput!$M$15,CHOOSE(ArtifactsInput!$N$15+1,25,30,35,40,45,50)/100*(Inputs!$B$11-Inputs!$B$11),0)))/100)/2</f>
        <v/>
      </c>
      <c r="M2461">
        <f>L2461*(1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1">
        <f>L2461*(1-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1">
        <f>(1-Summary!$B$11)*T2461+Summary!$B$11*V2461</f>
        <v/>
      </c>
      <c r="P2461">
        <f>IF(B2488=0,0,O2461/B2488)</f>
        <v/>
      </c>
      <c r="Q2461" t="n">
        <v>0</v>
      </c>
      <c r="R2461" t="n">
        <v>0</v>
      </c>
      <c r="S2461">
        <f>IFERROR(O2461/N2461,0)</f>
        <v/>
      </c>
      <c r="T2461">
        <f>IF(C2461,(H2461*N2461*(B2482+IF(AND(Inputs!$B$38&lt;&gt;"pvp",Inputs!$B$43&gt;0),((Skills!G8*((R2455-1)*IF(Skills!H8&gt;0,Skills!I8/Skills!H8,1)+IF(Skills!H8&gt;0,MIN(Skills!I8,MAX(0,MAX(0,Inputs!$B$43-B2485)-((R2455-1)*(IF(Inputs!$B$38="pvp",15,MAX(0.1,Skills!D8-IF(Skills!E8=TRUE,Inputs!$B$32,0)))*(1-IF(AND(ArtifactsInput!$M$27,Inputs!$B$4="Chapter Hunt"),CHOOSE(ArtifactsInput!$N$27+1,20,24,28,32,36,40),0)/100)))))/Skills!H8,1)))/Inputs!$B$43),G2455*Q2455)+IF(AND(Inputs!$B$38&lt;&gt;"pvp",Inputs!$B$43&gt;0),((Skills!G11*((R2458-1)*IF(Skills!H11&gt;0,Skills!I11/Skills!H11,1)+IF(Skills!H11&gt;0,MIN(Skills!I11,MAX(0,MAX(0,Inputs!$B$43-B2485)-((R2458-1)*(IF(Inputs!$B$38="pvp",15,MAX(0.1,Skills!D11-IF(Skills!E11=TRUE,Inputs!$B$32,0)))*(1-IF(AND(ArtifactsInput!$M$27,Inputs!$B$4="Chapter Hunt"),CHOOSE(ArtifactsInput!$N$27+1,20,24,28,32,36,40),0)/100)))))/Skills!H11,1)))/Inputs!$B$43),G2458*Q2458)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2461*(1-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2461*(1-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1">
        <f>IF(C2461,(H2461*N2461*(B2482+IF(AND(Inputs!$B$38&lt;&gt;"pvp",Inputs!$B$43&gt;0),((Skills!G8*((R2455-1)*IF(Skills!H8&gt;0,Skills!I8/Skills!H8,1)+IF(Skills!H8&gt;0,MIN(Skills!I8,MAX(0,MAX(0,Inputs!$B$43-B2485)-((R2455-1)*(IF(Inputs!$B$38="pvp",15,MAX(0.1,Skills!D8-IF(Skills!E8=TRUE,Inputs!$B$32,0)))*(1-IF(AND(ArtifactsInput!$M$27,Inputs!$B$4="Chapter Hunt"),CHOOSE(ArtifactsInput!$N$27+1,20,24,28,32,36,40),0)/100)))))/Skills!H8,1)))/Inputs!$B$43),G2455*Q2455)+IF(AND(Inputs!$B$38&lt;&gt;"pvp",Inputs!$B$43&gt;0),((Skills!G11*((R2458-1)*IF(Skills!H11&gt;0,Skills!I11/Skills!H11,1)+IF(Skills!H11&gt;0,MIN(Skills!I11,MAX(0,MAX(0,Inputs!$B$43-B2485)-((R2458-1)*(IF(Inputs!$B$38="pvp",15,MAX(0.1,Skills!D11-IF(Skills!E11=TRUE,Inputs!$B$32,0)))*(1-IF(AND(ArtifactsInput!$M$27,Inputs!$B$4="Chapter Hunt"),CHOOSE(ArtifactsInput!$N$27+1,20,24,28,32,36,40),0)/100)))))/Skills!H11,1)))/Inputs!$B$43),G2458*Q2458)))*IF(Inputs!$B$38="pvp",1,(1+(Inputs!$B$21+Skills!Q14+(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2">
      <c r="A2462">
        <f>Skills!A15</f>
        <v/>
      </c>
      <c r="B2462">
        <f>Skills!B15</f>
        <v/>
      </c>
      <c r="C2462">
        <f>Inputs!$B$3&gt;=100</f>
        <v/>
      </c>
      <c r="D2462">
        <f>IF(Skills!C15=1,60+Inputs!$B$25+Inputs!$B$29,IF(Skills!C15=2,90+Inputs!$B$26+Inputs!$B$29,IF(Skills!C15=3,120+Inputs!$B$27+Inputs!$B$29,MAX(0,(Inputs!$B$3-100)*3)+Inputs!$B$28+Inputs!$B$29)))</f>
        <v/>
      </c>
      <c r="E2462">
        <f>INDEX(FactorTable!$B$2:$Y$301, MATCH(ROUND(MIN(300,MAX(1,D2462)),0), FactorTable!$A$2:$A$301,0), Skills!M15+1)</f>
        <v/>
      </c>
      <c r="F2462">
        <f>IF(Skills!N15=TRUE,(Skills!L15/10)*(E2462/1000),Skills!L15/10)+Skills!O15</f>
        <v/>
      </c>
      <c r="G2462" t="inlineStr"/>
      <c r="H2462" t="inlineStr"/>
      <c r="I2462" t="inlineStr">
        <is>
          <t>1</t>
        </is>
      </c>
      <c r="J2462" t="inlineStr"/>
      <c r="K2462" t="inlineStr"/>
      <c r="L2462" t="inlineStr"/>
      <c r="M2462" t="inlineStr"/>
      <c r="N2462" t="inlineStr"/>
      <c r="O2462" t="inlineStr"/>
      <c r="P2462" t="inlineStr"/>
      <c r="Q2462" t="inlineStr"/>
      <c r="R2462" t="inlineStr"/>
      <c r="S2462" t="inlineStr"/>
    </row>
    <row r="2463">
      <c r="A2463">
        <f>Skills!A16</f>
        <v/>
      </c>
      <c r="B2463">
        <f>Skills!B16</f>
        <v/>
      </c>
      <c r="C2463">
        <f>Inputs!$B$3&gt;=120</f>
        <v/>
      </c>
      <c r="D2463">
        <f>IF(Skills!C16=1,60+Inputs!$B$25+Inputs!$B$29,IF(Skills!C16=2,90+Inputs!$B$26+Inputs!$B$29,IF(Skills!C16=3,120+Inputs!$B$27+Inputs!$B$29,MAX(0,(Inputs!$B$3-100)*3)+Inputs!$B$28+Inputs!$B$29)))</f>
        <v/>
      </c>
      <c r="E2463">
        <f>INDEX(FactorTable!$B$2:$Y$301, MATCH(ROUND(MIN(300,MAX(1,D2463)),0), FactorTable!$A$2:$A$301,0), Skills!M16+1)</f>
        <v/>
      </c>
      <c r="F2463">
        <f>IF(Skills!N16=TRUE,(Skills!L16/10)*(E2463/1000),Skills!L16/10)+Skills!O16</f>
        <v/>
      </c>
      <c r="G2463" t="inlineStr"/>
      <c r="H2463" t="inlineStr"/>
      <c r="I2463" t="inlineStr">
        <is>
          <t>1</t>
        </is>
      </c>
      <c r="J2463" t="inlineStr"/>
      <c r="K2463" t="inlineStr"/>
      <c r="L2463" t="inlineStr"/>
      <c r="M2463" t="inlineStr"/>
      <c r="N2463" t="inlineStr"/>
      <c r="O2463" t="inlineStr"/>
      <c r="P2463" t="inlineStr"/>
      <c r="Q2463" t="inlineStr"/>
      <c r="R2463" t="inlineStr"/>
      <c r="S2463" t="inlineStr"/>
    </row>
    <row r="2464">
      <c r="A2464">
        <f>Skills!A17</f>
        <v/>
      </c>
      <c r="B2464">
        <f>Skills!B17</f>
        <v/>
      </c>
      <c r="C2464">
        <f>Inputs!$B$3&gt;=66</f>
        <v/>
      </c>
      <c r="D2464">
        <f>IF(Skills!C17=1,60+Inputs!$B$25+Inputs!$B$29,IF(Skills!C17=2,90+Inputs!$B$26+Inputs!$B$29,IF(Skills!C17=3,120+Inputs!$B$27+Inputs!$B$29,MAX(0,(Inputs!$B$3-100)*3)+Inputs!$B$28+Inputs!$B$29)))</f>
        <v/>
      </c>
      <c r="E2464">
        <f>INDEX(FactorTable!$B$2:$Y$301, MATCH(ROUND(MIN(300,MAX(1,D2464)),0), FactorTable!$A$2:$A$301,0), Skills!M17+1)</f>
        <v/>
      </c>
      <c r="F2464">
        <f>IF(Skills!N17=TRUE,(Skills!L17/10)*(E2464/1000),Skills!L17/10)+Skills!O17</f>
        <v/>
      </c>
      <c r="G2464">
        <f>Skills!G17*IF(Skills!H17&gt;0,Skills!I17/Skills!H17,1)</f>
        <v/>
      </c>
      <c r="H2464">
        <f>1-(1-Skills!J17/100)^Skills!K17</f>
        <v/>
      </c>
      <c r="I2464" t="inlineStr">
        <is>
          <t>1</t>
        </is>
      </c>
      <c r="J2464" t="inlineStr"/>
      <c r="K2464" t="inlineStr"/>
      <c r="L2464" t="inlineStr"/>
      <c r="M2464" t="inlineStr"/>
      <c r="N2464" t="inlineStr"/>
      <c r="O2464">
        <f>(1-Summary!$B$11)*T2464+Summary!$B$11*V2464</f>
        <v/>
      </c>
      <c r="P2464">
        <f>IF(B2488=0,0,O2464/B2488)</f>
        <v/>
      </c>
      <c r="Q2464" t="n">
        <v>0</v>
      </c>
      <c r="R2464" t="n">
        <v>0</v>
      </c>
      <c r="S2464">
        <f>IFERROR(O2464/N2464,0)</f>
        <v/>
      </c>
      <c r="T2464" t="n">
        <v>0</v>
      </c>
      <c r="V2464" t="n">
        <v>0</v>
      </c>
    </row>
    <row r="2465">
      <c r="A2465">
        <f>Skills!A18</f>
        <v/>
      </c>
      <c r="B2465">
        <f>Skills!B18</f>
        <v/>
      </c>
      <c r="C2465">
        <f>Inputs!$B$3&gt;=115</f>
        <v/>
      </c>
      <c r="D2465">
        <f>IF(Skills!C18=1,60+Inputs!$B$25+Inputs!$B$29,IF(Skills!C18=2,90+Inputs!$B$26+Inputs!$B$29,IF(Skills!C18=3,120+Inputs!$B$27+Inputs!$B$29,MAX(0,(Inputs!$B$3-100)*3)+Inputs!$B$28+Inputs!$B$29)))</f>
        <v/>
      </c>
      <c r="E2465">
        <f>INDEX(FactorTable!$B$2:$Y$301, MATCH(ROUND(MIN(300,MAX(1,D2465)),0), FactorTable!$A$2:$A$301,0), Skills!M18+1)</f>
        <v/>
      </c>
      <c r="F2465">
        <f>IF(Skills!N18=TRUE,(Skills!L18/10)*(E2465/1000),Skills!L18/10)+Skills!O18</f>
        <v/>
      </c>
      <c r="G2465">
        <f>Skills!G18*IF(Skills!H18&gt;0,Skills!I18/Skills!H18,1)</f>
        <v/>
      </c>
      <c r="H2465">
        <f>1-(1-Skills!J18/100)^Skills!K18</f>
        <v/>
      </c>
      <c r="I2465" t="inlineStr">
        <is>
          <t>1</t>
        </is>
      </c>
      <c r="J2465" t="inlineStr"/>
      <c r="K2465" t="inlineStr"/>
      <c r="L2465" t="inlineStr"/>
      <c r="M2465" t="inlineStr"/>
      <c r="N2465" t="inlineStr"/>
      <c r="O2465">
        <f>(1-Summary!$B$11)*T2465+Summary!$B$11*V2465</f>
        <v/>
      </c>
      <c r="P2465">
        <f>IF(B2488=0,0,O2465/B2488)</f>
        <v/>
      </c>
      <c r="Q2465">
        <f>IFERROR(1/(IF(Inputs!$B$38="pvp",15,MAX(0.1,Skills!D18-IF(Skills!E18=TRUE,Inputs!$B$32,0)))*(1-IF(AND(ArtifactsInput!$M$27,Inputs!$B$4="Chapter Hunt"),CHOOSE(ArtifactsInput!$N$27+1,20,24,28,32,36,40),0)/100)),0)</f>
        <v/>
      </c>
      <c r="R2465">
        <f>IF(AND(Inputs!$B$38&lt;&gt;"pvp",Inputs!$B$43&gt;0),IF(Inputs!$B$43&lt;=0,0,(INT(Inputs!$B$43/(IF(Inputs!$B$38="pvp",15,MAX(0.1,Skills!D18-IF(Skills!E18=TRUE,Inputs!$B$32,0)))*(1-IF(AND(ArtifactsInput!$M$27,Inputs!$B$4="Chapter Hunt"),CHOOSE(ArtifactsInput!$N$27+1,20,24,28,32,36,40),0)/100)))+1)),0)</f>
        <v/>
      </c>
      <c r="S2465">
        <f>IFERROR(O2465/N2465,0)</f>
        <v/>
      </c>
      <c r="T2465" t="n">
        <v>0</v>
      </c>
      <c r="V2465" t="n">
        <v>0</v>
      </c>
    </row>
    <row r="2466">
      <c r="A2466">
        <f>Skills!A19</f>
        <v/>
      </c>
      <c r="B2466">
        <f>Skills!B19</f>
        <v/>
      </c>
      <c r="C2466">
        <f>Inputs!$B$3&gt;=15</f>
        <v/>
      </c>
      <c r="D2466">
        <f>IF(Skills!C19=1,60+Inputs!$B$25+Inputs!$B$29,IF(Skills!C19=2,90+Inputs!$B$26+Inputs!$B$29,IF(Skills!C19=3,120+Inputs!$B$27+Inputs!$B$29,MAX(0,(Inputs!$B$3-100)*3)+Inputs!$B$28+Inputs!$B$29)))</f>
        <v/>
      </c>
      <c r="E2466">
        <f>INDEX(FactorTable!$B$2:$Y$301, MATCH(ROUND(MIN(300,MAX(1,D2466)),0), FactorTable!$A$2:$A$301,0), Skills!M19+1)</f>
        <v/>
      </c>
      <c r="F2466">
        <f>IF(Skills!N19=TRUE,(Skills!L19/10)*(E2466/1000),Skills!L19/10)+Skills!O19</f>
        <v/>
      </c>
      <c r="G2466">
        <f>Skills!G19*IF(Skills!H19&gt;0,Skills!I19/Skills!H19,1)</f>
        <v/>
      </c>
      <c r="H2466">
        <f>1-(1-Skills!J19/100)^Skills!K19</f>
        <v/>
      </c>
      <c r="I2466" t="inlineStr">
        <is>
          <t>1</t>
        </is>
      </c>
      <c r="J2466" t="inlineStr"/>
      <c r="K2466" t="inlineStr"/>
      <c r="L2466" t="inlineStr"/>
      <c r="M2466" t="inlineStr"/>
      <c r="N2466" t="inlineStr"/>
      <c r="O2466">
        <f>(1-Summary!$B$11)*T2466+Summary!$B$11*V2466</f>
        <v/>
      </c>
      <c r="P2466">
        <f>IF(B2488=0,0,O2466/B2488)</f>
        <v/>
      </c>
      <c r="Q2466" t="n">
        <v>0</v>
      </c>
      <c r="R2466" t="n">
        <v>0</v>
      </c>
      <c r="S2466">
        <f>IFERROR(O2466/N2466,0)</f>
        <v/>
      </c>
      <c r="T2466" t="n">
        <v>0</v>
      </c>
      <c r="V2466" t="n">
        <v>0</v>
      </c>
    </row>
    <row r="2467">
      <c r="A2467">
        <f>Skills!A20</f>
        <v/>
      </c>
      <c r="B2467">
        <f>Skills!B20</f>
        <v/>
      </c>
      <c r="C2467">
        <f>Inputs!$B$3&gt;=10</f>
        <v/>
      </c>
      <c r="D2467">
        <f>IF(Skills!C20=1,60+Inputs!$B$25+Inputs!$B$29,IF(Skills!C20=2,90+Inputs!$B$26+Inputs!$B$29,IF(Skills!C20=3,120+Inputs!$B$27+Inputs!$B$29,MAX(0,(Inputs!$B$3-100)*3)+Inputs!$B$28+Inputs!$B$29)))</f>
        <v/>
      </c>
      <c r="E2467">
        <f>INDEX(FactorTable!$B$2:$Y$301, MATCH(ROUND(MIN(300,MAX(1,D2467)),0), FactorTable!$A$2:$A$301,0), Skills!M20+1)</f>
        <v/>
      </c>
      <c r="F2467">
        <f>IF(Skills!N20=TRUE,(Skills!L20/10)*(E2467/1000),Skills!L20/10)+Skills!O20</f>
        <v/>
      </c>
      <c r="G2467">
        <f>Skills!G20*IF(Skills!H20&gt;0,Skills!I20/Skills!H20,1)</f>
        <v/>
      </c>
      <c r="H2467">
        <f>1-(1-Skills!J20/100)^Skills!K20</f>
        <v/>
      </c>
      <c r="I2467" t="inlineStr">
        <is>
          <t>1</t>
        </is>
      </c>
      <c r="J2467" t="inlineStr"/>
      <c r="K2467" t="inlineStr"/>
      <c r="L2467" t="inlineStr"/>
      <c r="M2467" t="inlineStr"/>
      <c r="N2467" t="inlineStr"/>
      <c r="O2467">
        <f>(1-Summary!$B$11)*T2467+Summary!$B$11*V2467</f>
        <v/>
      </c>
      <c r="P2467">
        <f>IF(B2488=0,0,O2467/B2488)</f>
        <v/>
      </c>
      <c r="Q2467" t="n">
        <v>0</v>
      </c>
      <c r="R2467" t="n">
        <v>0</v>
      </c>
      <c r="S2467">
        <f>IFERROR(O2467/N2467,0)</f>
        <v/>
      </c>
      <c r="T2467" t="n">
        <v>0</v>
      </c>
      <c r="V2467" t="n">
        <v>0</v>
      </c>
    </row>
    <row r="2468">
      <c r="A2468">
        <f>Skills!A21</f>
        <v/>
      </c>
      <c r="B2468">
        <f>Skills!B21</f>
        <v/>
      </c>
      <c r="C2468">
        <f>Inputs!$B$3&gt;=33</f>
        <v/>
      </c>
      <c r="D2468">
        <f>IF(Skills!C21=1,60+Inputs!$B$25+Inputs!$B$29,IF(Skills!C21=2,90+Inputs!$B$26+Inputs!$B$29,IF(Skills!C21=3,120+Inputs!$B$27+Inputs!$B$29,MAX(0,(Inputs!$B$3-100)*3)+Inputs!$B$28+Inputs!$B$29)))</f>
        <v/>
      </c>
      <c r="E2468">
        <f>INDEX(FactorTable!$B$2:$Y$301, MATCH(ROUND(MIN(300,MAX(1,D2468)),0), FactorTable!$A$2:$A$301,0), Skills!M21+1)</f>
        <v/>
      </c>
      <c r="F2468">
        <f>IF(Skills!N21=TRUE,(Skills!L21/10)*(E2468/1000),Skills!L21/10)+Skills!O21</f>
        <v/>
      </c>
      <c r="G2468">
        <f>Skills!G21*IF(Skills!H21&gt;0,Skills!I21/Skills!H21,1)</f>
        <v/>
      </c>
      <c r="H2468">
        <f>1-(1-Skills!J21/100)^Skills!K21</f>
        <v/>
      </c>
      <c r="I2468" t="inlineStr">
        <is>
          <t>1</t>
        </is>
      </c>
      <c r="J2468" t="inlineStr"/>
      <c r="K2468" t="inlineStr"/>
      <c r="L2468" t="inlineStr"/>
      <c r="M2468" t="inlineStr"/>
      <c r="N2468" t="inlineStr"/>
      <c r="O2468">
        <f>(1-Summary!$B$11)*T2468+Summary!$B$11*V2468</f>
        <v/>
      </c>
      <c r="P2468">
        <f>IF(B2488=0,0,O2468/B2488)</f>
        <v/>
      </c>
      <c r="Q2468" t="n">
        <v>0</v>
      </c>
      <c r="R2468" t="n">
        <v>0</v>
      </c>
      <c r="S2468">
        <f>IFERROR(O2468/N2468,0)</f>
        <v/>
      </c>
      <c r="T2468" t="n">
        <v>0</v>
      </c>
      <c r="V2468" t="n">
        <v>0</v>
      </c>
    </row>
    <row r="2469">
      <c r="A2469">
        <f>Skills!A22</f>
        <v/>
      </c>
      <c r="B2469">
        <f>Skills!B22</f>
        <v/>
      </c>
      <c r="C2469">
        <f>Inputs!$B$3&gt;=43</f>
        <v/>
      </c>
      <c r="D2469">
        <f>IF(Skills!C22=1,60+Inputs!$B$25+Inputs!$B$29,IF(Skills!C22=2,90+Inputs!$B$26+Inputs!$B$29,IF(Skills!C22=3,120+Inputs!$B$27+Inputs!$B$29,MAX(0,(Inputs!$B$3-100)*3)+Inputs!$B$28+Inputs!$B$29)))</f>
        <v/>
      </c>
      <c r="E2469">
        <f>INDEX(FactorTable!$B$2:$Y$301, MATCH(ROUND(MIN(300,MAX(1,D2469)),0), FactorTable!$A$2:$A$301,0), Skills!M22+1)</f>
        <v/>
      </c>
      <c r="F2469">
        <f>IF(Skills!N22=TRUE,(Skills!L22/10)*(E2469/1000),Skills!L22/10)+Skills!O22</f>
        <v/>
      </c>
      <c r="G2469">
        <f>Skills!G22*IF(Skills!H22&gt;0,Skills!I22/Skills!H22,1)</f>
        <v/>
      </c>
      <c r="H2469">
        <f>1-(1-Skills!J22/100)^Skills!K22</f>
        <v/>
      </c>
      <c r="I2469" t="inlineStr">
        <is>
          <t>1</t>
        </is>
      </c>
      <c r="J2469" t="inlineStr"/>
      <c r="K2469" t="inlineStr"/>
      <c r="L2469" t="inlineStr"/>
      <c r="M2469" t="inlineStr"/>
      <c r="N2469" t="inlineStr"/>
      <c r="O2469">
        <f>(1-Summary!$B$11)*T2469+Summary!$B$11*V2469</f>
        <v/>
      </c>
      <c r="P2469">
        <f>IF(B2488=0,0,O2469/B2488)</f>
        <v/>
      </c>
      <c r="Q2469" t="n">
        <v>0</v>
      </c>
      <c r="R2469" t="n">
        <v>0</v>
      </c>
      <c r="S2469">
        <f>IFERROR(O2469/N2469,0)</f>
        <v/>
      </c>
      <c r="T2469" t="n">
        <v>0</v>
      </c>
      <c r="V2469" t="n">
        <v>0</v>
      </c>
    </row>
    <row r="2470">
      <c r="A2470">
        <f>Skills!A23</f>
        <v/>
      </c>
      <c r="B2470">
        <f>Skills!B23</f>
        <v/>
      </c>
      <c r="C2470">
        <f>Inputs!$B$3&gt;=38</f>
        <v/>
      </c>
      <c r="D2470">
        <f>IF(Skills!C23=1,60+Inputs!$B$25+Inputs!$B$29,IF(Skills!C23=2,90+Inputs!$B$26+Inputs!$B$29,IF(Skills!C23=3,120+Inputs!$B$27+Inputs!$B$29,MAX(0,(Inputs!$B$3-100)*3)+Inputs!$B$28+Inputs!$B$29)))</f>
        <v/>
      </c>
      <c r="E2470">
        <f>INDEX(FactorTable!$B$2:$Y$301, MATCH(ROUND(MIN(300,MAX(1,D2470)),0), FactorTable!$A$2:$A$301,0), Skills!M23+1)</f>
        <v/>
      </c>
      <c r="F2470">
        <f>IF(Skills!N23=TRUE,(Skills!L23/10)*(E2470/1000),Skills!L23/10)+Skills!O23</f>
        <v/>
      </c>
      <c r="G2470">
        <f>Skills!G23*IF(Skills!H23&gt;0,Skills!I23/Skills!H23,1)</f>
        <v/>
      </c>
      <c r="H2470">
        <f>1-(1-Skills!J23/100)^Skills!K23</f>
        <v/>
      </c>
      <c r="I2470" t="inlineStr">
        <is>
          <t>1</t>
        </is>
      </c>
      <c r="J2470" t="inlineStr"/>
      <c r="K2470" t="inlineStr"/>
      <c r="L2470" t="inlineStr"/>
      <c r="M2470" t="inlineStr"/>
      <c r="N2470" t="inlineStr"/>
      <c r="O2470">
        <f>(1-Summary!$B$11)*T2470+Summary!$B$11*V2470</f>
        <v/>
      </c>
      <c r="P2470">
        <f>IF(B2488=0,0,O2470/B2488)</f>
        <v/>
      </c>
      <c r="Q2470" t="n">
        <v>0</v>
      </c>
      <c r="R2470" t="n">
        <v>0</v>
      </c>
      <c r="S2470">
        <f>IFERROR(O2470/N2470,0)</f>
        <v/>
      </c>
      <c r="T2470" t="n">
        <v>0</v>
      </c>
      <c r="V2470" t="n">
        <v>0</v>
      </c>
    </row>
    <row r="2471">
      <c r="A2471">
        <f>Skills!A24</f>
        <v/>
      </c>
      <c r="B2471">
        <f>Skills!B24</f>
        <v/>
      </c>
      <c r="C2471">
        <f>Inputs!$B$3&gt;=40</f>
        <v/>
      </c>
      <c r="D2471">
        <f>IF(Skills!C24=1,60+Inputs!$B$25+Inputs!$B$29,IF(Skills!C24=2,90+Inputs!$B$26+Inputs!$B$29,IF(Skills!C24=3,120+Inputs!$B$27+Inputs!$B$29,MAX(0,(Inputs!$B$3-100)*3)+Inputs!$B$28+Inputs!$B$29)))</f>
        <v/>
      </c>
      <c r="E2471">
        <f>INDEX(FactorTable!$B$2:$Y$301, MATCH(ROUND(MIN(300,MAX(1,D2471)),0), FactorTable!$A$2:$A$301,0), Skills!M24+1)</f>
        <v/>
      </c>
      <c r="F2471">
        <f>IF(Skills!N24=TRUE,(Skills!L24/10)*(E2471/1000),Skills!L24/10)+Skills!O24</f>
        <v/>
      </c>
      <c r="G2471">
        <f>Skills!G24*IF(Skills!H24&gt;0,Skills!I24/Skills!H24,1)</f>
        <v/>
      </c>
      <c r="H2471">
        <f>1-(1-Skills!J24/100)^Skills!K24</f>
        <v/>
      </c>
      <c r="I2471" t="inlineStr">
        <is>
          <t>1</t>
        </is>
      </c>
      <c r="J2471" t="inlineStr"/>
      <c r="K2471" t="inlineStr"/>
      <c r="L2471" t="inlineStr"/>
      <c r="M2471" t="inlineStr"/>
      <c r="N2471" t="inlineStr"/>
      <c r="O2471">
        <f>(1-Summary!$B$11)*T2471+Summary!$B$11*V2471</f>
        <v/>
      </c>
      <c r="P2471">
        <f>IF(B2488=0,0,O2471/B2488)</f>
        <v/>
      </c>
      <c r="Q2471" t="n">
        <v>0</v>
      </c>
      <c r="R2471" t="n">
        <v>0</v>
      </c>
      <c r="S2471">
        <f>IFERROR(O2471/N2471,0)</f>
        <v/>
      </c>
      <c r="T2471" t="n">
        <v>0</v>
      </c>
      <c r="V2471" t="n">
        <v>0</v>
      </c>
    </row>
    <row r="2472">
      <c r="A2472">
        <f>Skills!A25</f>
        <v/>
      </c>
      <c r="B2472">
        <f>Skills!B25</f>
        <v/>
      </c>
      <c r="C2472">
        <f>Inputs!$B$3&gt;=72</f>
        <v/>
      </c>
      <c r="D2472">
        <f>IF(Skills!C25=1,60+Inputs!$B$25+Inputs!$B$29,IF(Skills!C25=2,90+Inputs!$B$26+Inputs!$B$29,IF(Skills!C25=3,120+Inputs!$B$27+Inputs!$B$29,MAX(0,(Inputs!$B$3-100)*3)+Inputs!$B$28+Inputs!$B$29)))</f>
        <v/>
      </c>
      <c r="E2472">
        <f>INDEX(FactorTable!$B$2:$Y$301, MATCH(ROUND(MIN(300,MAX(1,D2472)),0), FactorTable!$A$2:$A$301,0), Skills!M25+1)</f>
        <v/>
      </c>
      <c r="F2472">
        <f>IF(Skills!N25=TRUE,(Skills!L25/10)*(E2472/1000),Skills!L25/10)+Skills!O25</f>
        <v/>
      </c>
      <c r="G2472">
        <f>Skills!G25*IF(Skills!H25&gt;0,Skills!I25/Skills!H25,1)</f>
        <v/>
      </c>
      <c r="H2472">
        <f>1-(1-Skills!J25/100)^Skills!K25</f>
        <v/>
      </c>
      <c r="I2472" t="inlineStr">
        <is>
          <t>1</t>
        </is>
      </c>
      <c r="J2472" t="inlineStr"/>
      <c r="K2472" t="inlineStr"/>
      <c r="L2472" t="inlineStr"/>
      <c r="M2472" t="inlineStr"/>
      <c r="N2472" t="inlineStr"/>
      <c r="O2472">
        <f>(1-Summary!$B$11)*T2472+Summary!$B$11*V2472</f>
        <v/>
      </c>
      <c r="P2472">
        <f>IF(B2488=0,0,O2472/B2488)</f>
        <v/>
      </c>
      <c r="Q2472" t="n">
        <v>0</v>
      </c>
      <c r="R2472" t="n">
        <v>0</v>
      </c>
      <c r="S2472">
        <f>IFERROR(O2472/N2472,0)</f>
        <v/>
      </c>
      <c r="T2472" t="n">
        <v>0</v>
      </c>
      <c r="V2472" t="n">
        <v>0</v>
      </c>
    </row>
    <row r="2473">
      <c r="A2473">
        <f>Skills!A26</f>
        <v/>
      </c>
      <c r="B2473">
        <f>Skills!B26</f>
        <v/>
      </c>
      <c r="C2473">
        <f>Inputs!$B$3&gt;=75</f>
        <v/>
      </c>
      <c r="D2473">
        <f>IF(Skills!C26=1,60+Inputs!$B$25+Inputs!$B$29,IF(Skills!C26=2,90+Inputs!$B$26+Inputs!$B$29,IF(Skills!C26=3,120+Inputs!$B$27+Inputs!$B$29,MAX(0,(Inputs!$B$3-100)*3)+Inputs!$B$28+Inputs!$B$29)))</f>
        <v/>
      </c>
      <c r="E2473">
        <f>INDEX(FactorTable!$B$2:$Y$301, MATCH(ROUND(MIN(300,MAX(1,D2473)),0), FactorTable!$A$2:$A$301,0), Skills!M26+1)</f>
        <v/>
      </c>
      <c r="F2473">
        <f>IF(Skills!N26=TRUE,(Skills!L26/10)*(E2473/1000),Skills!L26/10)+Skills!O26</f>
        <v/>
      </c>
      <c r="G2473">
        <f>Skills!G26*IF(Skills!H26&gt;0,Skills!I26/Skills!H26,1)</f>
        <v/>
      </c>
      <c r="H2473">
        <f>1-(1-Skills!J26/100)^Skills!K26</f>
        <v/>
      </c>
      <c r="I2473" t="inlineStr">
        <is>
          <t>1</t>
        </is>
      </c>
      <c r="J2473" t="inlineStr"/>
      <c r="K2473" t="inlineStr"/>
      <c r="L2473" t="inlineStr"/>
      <c r="M2473" t="inlineStr"/>
      <c r="N2473" t="inlineStr"/>
      <c r="O2473">
        <f>(1-Summary!$B$11)*T2473+Summary!$B$11*V2473</f>
        <v/>
      </c>
      <c r="P2473">
        <f>IF(B2488=0,0,O2473/B2488)</f>
        <v/>
      </c>
      <c r="Q2473" t="n">
        <v>0</v>
      </c>
      <c r="R2473" t="n">
        <v>0</v>
      </c>
      <c r="S2473">
        <f>IFERROR(O2473/N2473,0)</f>
        <v/>
      </c>
      <c r="T2473" t="n">
        <v>0</v>
      </c>
      <c r="V2473" t="n">
        <v>0</v>
      </c>
    </row>
    <row r="2474">
      <c r="A2474">
        <f>Skills!A27</f>
        <v/>
      </c>
      <c r="B2474">
        <f>Skills!B27</f>
        <v/>
      </c>
      <c r="C2474">
        <f>Inputs!$B$3&gt;=117</f>
        <v/>
      </c>
      <c r="D2474">
        <f>IF(Skills!C27=1,60+Inputs!$B$25+Inputs!$B$29,IF(Skills!C27=2,90+Inputs!$B$26+Inputs!$B$29,IF(Skills!C27=3,120+Inputs!$B$27+Inputs!$B$29,MAX(0,(Inputs!$B$3-100)*3)+Inputs!$B$28+Inputs!$B$29)))</f>
        <v/>
      </c>
      <c r="E2474">
        <f>INDEX(FactorTable!$B$2:$Y$301, MATCH(ROUND(MIN(300,MAX(1,D2474)),0), FactorTable!$A$2:$A$301,0), Skills!M27+1)</f>
        <v/>
      </c>
      <c r="F2474">
        <f>IF(Skills!N27=TRUE,(Skills!L27/10)*(E2474/1000),Skills!L27/10)+Skills!O27</f>
        <v/>
      </c>
      <c r="G2474">
        <f>Skills!G27*IF(Skills!H27&gt;0,Skills!I27/Skills!H27,1)</f>
        <v/>
      </c>
      <c r="H2474">
        <f>1-(1-Skills!J27/100)^Skills!K27</f>
        <v/>
      </c>
      <c r="I2474" t="inlineStr">
        <is>
          <t>1</t>
        </is>
      </c>
      <c r="J2474" t="inlineStr"/>
      <c r="K2474" t="inlineStr"/>
      <c r="L2474" t="inlineStr"/>
      <c r="M2474" t="inlineStr"/>
      <c r="N2474" t="inlineStr"/>
      <c r="O2474">
        <f>(1-Summary!$B$11)*T2474+Summary!$B$11*V2474</f>
        <v/>
      </c>
      <c r="P2474">
        <f>IF(B2488=0,0,O2474/B2488)</f>
        <v/>
      </c>
      <c r="Q2474" t="n">
        <v>0</v>
      </c>
      <c r="R2474" t="n">
        <v>0</v>
      </c>
      <c r="S2474">
        <f>IFERROR(O2474/N2474,0)</f>
        <v/>
      </c>
      <c r="T2474" t="n">
        <v>0</v>
      </c>
      <c r="V2474" t="n">
        <v>0</v>
      </c>
    </row>
    <row r="2475">
      <c r="A2475">
        <f>Skills!A28</f>
        <v/>
      </c>
      <c r="B2475">
        <f>Skills!B28</f>
        <v/>
      </c>
      <c r="C2475">
        <f>TRUE</f>
        <v/>
      </c>
      <c r="D2475">
        <f>IF(Skills!C28=1,60+Inputs!$B$25+Inputs!$B$29,IF(Skills!C28=2,90+Inputs!$B$26+Inputs!$B$29,IF(Skills!C28=3,120+Inputs!$B$27+Inputs!$B$29,MAX(0,(Inputs!$B$3-100)*3)+Inputs!$B$28+Inputs!$B$29)))</f>
        <v/>
      </c>
      <c r="E2475">
        <f>INDEX(FactorTable!$B$2:$Y$301, MATCH(ROUND(MIN(300,MAX(1,D2475)),0), FactorTable!$A$2:$A$301,0), Skills!M28+1)</f>
        <v/>
      </c>
      <c r="F2475">
        <f>IF(Skills!N28=TRUE,(Skills!L28/10)*(E2475/1000),Skills!L28/10)+Skills!O28</f>
        <v/>
      </c>
      <c r="G2475">
        <f>Skills!G28*IF(Skills!H28&gt;0,Skills!I28/Skills!H28,1)</f>
        <v/>
      </c>
      <c r="H2475">
        <f>1-(1-Skills!J28/100)^Skills!K28</f>
        <v/>
      </c>
      <c r="I2475" t="inlineStr">
        <is>
          <t>1</t>
        </is>
      </c>
      <c r="J2475" t="inlineStr"/>
      <c r="K2475" t="inlineStr"/>
      <c r="L2475" t="inlineStr"/>
      <c r="M2475" t="inlineStr"/>
      <c r="N2475" t="inlineStr"/>
      <c r="O2475">
        <f>(1-Summary!$B$11)*T2475+Summary!$B$11*V2475</f>
        <v/>
      </c>
      <c r="P2475">
        <f>IF(B2488=0,0,O2475/B2488)</f>
        <v/>
      </c>
      <c r="Q2475">
        <f>IFERROR(1/(IF(Inputs!$B$38="pvp",15,MAX(0.1,Skills!D28-IF(Skills!E28=TRUE,Inputs!$B$32,0)))*(1-IF(AND(ArtifactsInput!$M$27,Inputs!$B$4="Chapter Hunt"),CHOOSE(ArtifactsInput!$N$27+1,20,24,28,32,36,40),0)/100)),0)</f>
        <v/>
      </c>
      <c r="R2475">
        <f>IF(AND(Inputs!$B$38&lt;&gt;"pvp",Inputs!$B$43&gt;0),IF(Inputs!$B$43&lt;=0,0,(INT(Inputs!$B$43/(IF(Inputs!$B$38="pvp",15,MAX(0.1,Skills!D28-IF(Skills!E28=TRUE,Inputs!$B$32,0)))*(1-IF(AND(ArtifactsInput!$M$27,Inputs!$B$4="Chapter Hunt"),CHOOSE(ArtifactsInput!$N$27+1,20,24,28,32,36,40),0)/100)))+1)),0)</f>
        <v/>
      </c>
      <c r="S2475">
        <f>IFERROR(O2475/N2475,0)</f>
        <v/>
      </c>
      <c r="T2475" t="n">
        <v>0</v>
      </c>
      <c r="V2475" t="n">
        <v>0</v>
      </c>
    </row>
    <row r="2477">
      <c r="A2477" t="inlineStr">
        <is>
          <t>Attack% Bucket Multiplier</t>
        </is>
      </c>
      <c r="B2477">
        <f>(1+(((C2464=TRUE)*F2464*5/7)+((C2471=TRUE)*(F2471-Calc!F24))+(IF(ArtifactsInput!$M$21,CHOOSE(ArtifactsInput!$N$21+1,25,30,35,40,45,50)*(IF(OR(Inputs!$B$4="Chapter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78">
      <c r="A2478" t="inlineStr">
        <is>
          <t>Global Crit Rate Bonus %</t>
        </is>
      </c>
      <c r="B2478" t="n">
        <v>0</v>
      </c>
    </row>
    <row r="2479">
      <c r="A2479" t="inlineStr">
        <is>
          <t>Attack Speed Buff Bonus % (Nimble Feet, duty-cycle averaged)</t>
        </is>
      </c>
      <c r="B2479">
        <f>((C2475=TRUE)*F2475*IF(AND(Inputs!$B$38&lt;&gt;"pvp",Inputs!$B$43&gt;0),(((R2475-1)*(Skills!T28*(1+Inputs!$B$34/100))+MIN((Skills!T28*(1+Inputs!$B$34/100)),MAX(0,Inputs!$B$43-((R2475-1)*Skills!D28))))/Inputs!$B$43),IF(Inputs!$B$38="pvp",MIN((Skills!T28*(1+Inputs!$B$34/100)),15)/15,(Skills!T28*(1+Inputs!$B$34/100))/Skills!D28)))</f>
        <v/>
      </c>
    </row>
    <row r="2480">
      <c r="A2480" t="inlineStr">
        <is>
          <t>Actions Per Second</t>
        </is>
      </c>
      <c r="B2480">
        <f>1+MIN(150,150*(1-(1-(Inputs!$B$11+((C2467=TRUE)*(F2467-Calc!F20))+((C2468=TRUE)*(F2468-Calc!F21)))/150)*(1-B2479/150)))/100</f>
        <v/>
      </c>
    </row>
    <row r="2481">
      <c r="A2481" t="inlineStr">
        <is>
          <t>Skill + Buff Cast Rate</t>
        </is>
      </c>
      <c r="B2481">
        <f>IF(AND(Inputs!$B$38&lt;&gt;"pvp",Inputs!$B$43&gt;0),SUMPRODUCT((Skills!E2:E28=TRUE)*(C2449:C2475=TRUE)*R2449:R2475*Skills!F2:F28)/Inputs!$B$43,SUMPRODUCT((Skills!E2:E28=TRUE)*(C2449:C2475=TRUE)*Q2449:Q2475*Skills!F2:F28))</f>
        <v/>
      </c>
    </row>
    <row r="2482">
      <c r="A2482" t="inlineStr">
        <is>
          <t>Eight-Legs Easton Casts Per Second</t>
        </is>
      </c>
      <c r="B2482">
        <f>MAX(0,B2480-B2481)</f>
        <v/>
      </c>
    </row>
    <row r="2483">
      <c r="A2483" t="inlineStr">
        <is>
          <t>Global Critical Damage Bonus % (unused)</t>
        </is>
      </c>
      <c r="B2483" t="n">
        <v>0</v>
      </c>
    </row>
    <row r="2484">
      <c r="A2484" t="inlineStr">
        <is>
          <t>Global Final Damage Bonus % (Jolly Roger + Ahoy Mateys - Final Damage proc)</t>
        </is>
      </c>
      <c r="B2484">
        <f>((C2465=TRUE)*F2465*IF(AND(Inputs!$B$38&lt;&gt;"pvp",Inputs!$B$43&gt;0),(((R2465-1)*(Skills!T18*(1+Inputs!$B$34/100))+MIN((Skills!T18*(1+Inputs!$B$34/100)),MAX(0,Inputs!$B$43-((R2465-1)*Skills!D18))))/Inputs!$B$43),IF(Inputs!$B$38="pvp",MIN((Skills!T18*(1+Inputs!$B$34/100)),15)/15,(Skills!T18*(1+Inputs!$B$34/100))/Skills!D18)))+IF(Inputs!$B$3&gt;=122,20*IF(Inputs!$B$38="pvp",MIN((20*(1+Inputs!$B$34/100)),15)/15,(20*(1+Inputs!$B$34/100))/Skills!D4),0)</f>
        <v/>
      </c>
    </row>
    <row r="2485">
      <c r="A2485" t="inlineStr">
        <is>
          <t>Buff-Casting Startup Delay (s, fixed-duration only)</t>
        </is>
      </c>
      <c r="B2485">
        <f>IF(AND(Inputs!$B$38&lt;&gt;"pvp",Inputs!$B$43&gt;0),SUMPRODUCT((Skills!T2:T28&gt;0)*(Skills!E2:E28=TRUE)*(C2449:C2475=TRUE))/B2480,0)</f>
        <v/>
      </c>
    </row>
    <row r="2486">
      <c r="A2486" t="inlineStr">
        <is>
          <t>Boss-Only Total DPS (this block's swept value)</t>
        </is>
      </c>
      <c r="B2486">
        <f>SUM(T2449:T2475)</f>
        <v/>
      </c>
    </row>
    <row r="2487">
      <c r="A2487" t="inlineStr">
        <is>
          <t>Normal-Only Total DPS (this block's swept value)</t>
        </is>
      </c>
      <c r="B2487">
        <f>SUM(V2449:V2475)</f>
        <v/>
      </c>
    </row>
    <row r="2488">
      <c r="A2488" s="6" t="inlineStr">
        <is>
          <t>TOTAL DPS</t>
        </is>
      </c>
      <c r="B2488" s="6">
        <f>SUM(O2449:O2475)</f>
        <v/>
      </c>
    </row>
    <row r="2491">
      <c r="A2491" s="6" t="inlineStr">
        <is>
          <t>Stat: Candle (Equip)</t>
        </is>
      </c>
    </row>
    <row r="2492">
      <c r="A2492" s="5" t="inlineStr">
        <is>
          <t>Key</t>
        </is>
      </c>
      <c r="B2492" s="5" t="inlineStr">
        <is>
          <t>Name</t>
        </is>
      </c>
      <c r="C2492" s="5" t="inlineStr">
        <is>
          <t>Unlocked</t>
        </is>
      </c>
      <c r="D2492" s="5" t="inlineStr">
        <is>
          <t>InputLevel</t>
        </is>
      </c>
      <c r="E2492" s="5" t="inlineStr">
        <is>
          <t>Factor</t>
        </is>
      </c>
      <c r="F2492" s="5" t="inlineStr">
        <is>
          <t>CoefficientPercent</t>
        </is>
      </c>
      <c r="G2492" s="5" t="inlineStr">
        <is>
          <t>EffectiveHits</t>
        </is>
      </c>
      <c r="H2492" s="5" t="inlineStr">
        <is>
          <t>ProcProbability</t>
        </is>
      </c>
      <c r="I2492" s="5" t="inlineStr">
        <is>
          <t>MapleHeroMultiplier</t>
        </is>
      </c>
      <c r="J2492" s="5" t="inlineStr">
        <is>
          <t>BaseDamage</t>
        </is>
      </c>
      <c r="K2492" s="5" t="inlineStr">
        <is>
          <t>BaseHitDamage</t>
        </is>
      </c>
      <c r="L2492" s="5" t="inlineStr">
        <is>
          <t>NonCritAvg</t>
        </is>
      </c>
      <c r="M2492" s="5" t="inlineStr">
        <is>
          <t>CritAvg</t>
        </is>
      </c>
      <c r="N2492" s="5" t="inlineStr">
        <is>
          <t>ExpectedDamage(perHit)</t>
        </is>
      </c>
      <c r="O2492" s="5" t="inlineStr">
        <is>
          <t>DPS</t>
        </is>
      </c>
      <c r="P2492" s="5" t="inlineStr">
        <is>
          <t>% of Total</t>
        </is>
      </c>
      <c r="Q2492" s="5" t="inlineStr">
        <is>
          <t>InvCooldown</t>
        </is>
      </c>
      <c r="R2492" s="5" t="inlineStr">
        <is>
          <t>CastsInFight</t>
        </is>
      </c>
      <c r="S2492" s="5" t="inlineStr">
        <is>
          <t>HitRate(perSec)</t>
        </is>
      </c>
      <c r="U2492" t="inlineStr">
        <is>
          <t>helpers</t>
        </is>
      </c>
    </row>
    <row r="2493">
      <c r="A2493">
        <f>Skills!A2</f>
        <v/>
      </c>
      <c r="B2493">
        <f>Skills!B2</f>
        <v/>
      </c>
      <c r="C2493">
        <f>Inputs!$B$3&gt;=100</f>
        <v/>
      </c>
      <c r="D2493" t="inlineStr"/>
      <c r="E2493" t="inlineStr"/>
      <c r="F2493">
        <f>U2495+Skills!O2</f>
        <v/>
      </c>
      <c r="G2493">
        <f>Skills!G2*IF(Skills!H2&gt;0,Skills!I2/Skills!H2,1)</f>
        <v/>
      </c>
      <c r="H2493">
        <f>1-(1-Skills!J2/100)^Skills!K2</f>
        <v/>
      </c>
      <c r="I2493" t="inlineStr">
        <is>
          <t>1</t>
        </is>
      </c>
      <c r="J2493">
        <f>((Inputs!$B$6*(1+Inputs!$B$7/100))+(((Inputs!$B$12*(1+Inputs!$B$13/100))-(Inputs!$B$12*(1+Inputs!$B$13/100)))+0.25*(Inputs!$B$14-Inputs!$B$14))*(1+Inputs!$B$7/100))*(F2493/100)</f>
        <v/>
      </c>
      <c r="K2493">
        <f>J2493*(1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2493)</f>
        <v/>
      </c>
      <c r="L2493">
        <f>K2493*(MIN(Inputs!$B$22+((C2513=TRUE)*(F2513-Calc!F22)),(Inputs!$B$23+0+(IF(ArtifactsInput!$M$15,CHOOSE(ArtifactsInput!$N$15+1,25,30,35,40,45,50)/100*(Inputs!$B$11-Inputs!$B$11),0))))/100+(Inputs!$B$23+0+(IF(ArtifactsInput!$M$15,CHOOSE(ArtifactsInput!$N$15+1,25,30,35,40,45,50)/100*(Inputs!$B$11-Inputs!$B$11),0)))/100)/2</f>
        <v/>
      </c>
      <c r="M2493">
        <f>L2493*(1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3">
        <f>L2493*(1-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2493*(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3">
        <f>(1-Summary!$B$11)*T2493+Summary!$B$11*V2493</f>
        <v/>
      </c>
      <c r="P2493">
        <f>IF(B2532=0,0,O2493/B2532)</f>
        <v/>
      </c>
      <c r="Q2493" t="n">
        <v>0</v>
      </c>
      <c r="R2493" t="n">
        <v>0</v>
      </c>
      <c r="S2493">
        <f>IFERROR(O2493/N2493,0)</f>
        <v/>
      </c>
      <c r="T2493">
        <f>IF(C2493,(Skills!G2*N2493*B2526)*IF(Inputs!$B$38="pvp",1,1+(Inputs!$B$20+0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2493*(1-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2493*(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2493*(1-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2493*(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3">
        <f>MAX(0,(Inputs!$B$3-100)*3)+Inputs!$B$28+Inputs!$B$29</f>
        <v/>
      </c>
      <c r="V2493">
        <f>IF(C2493,(Skills!G2*N2493*B2526)*IF(Inputs!$B$38="pvp",1,(1+(Inputs!$B$21+Skills!Q2+(IF(ArtifactsInput!$M$33,CHOOSE(ArtifactsInput!$N$33+1,30,36,42,48,54,60),0))+(IF(AND(ArtifactsInput!$M$35,Inputs!$B$4&lt;&gt;"Chapter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4">
      <c r="A2494">
        <f>Skills!A3</f>
        <v/>
      </c>
      <c r="B2494">
        <f>Skills!B3</f>
        <v/>
      </c>
      <c r="C2494">
        <f>Inputs!$B$3&gt;=35</f>
        <v/>
      </c>
      <c r="D2494">
        <f>IF(Skills!C3=1,60+Inputs!$B$25+Inputs!$B$29,IF(Skills!C3=2,90+Inputs!$B$26+Inputs!$B$29,IF(Skills!C3=3,120+Inputs!$B$27+Inputs!$B$29,MAX(0,(Inputs!$B$3-100)*3)+Inputs!$B$28+Inputs!$B$29)))</f>
        <v/>
      </c>
      <c r="E2494">
        <f>INDEX(FactorTable!$B$2:$Y$301, MATCH(ROUND(MIN(300,MAX(1,D2494)),0), FactorTable!$A$2:$A$301,0), Skills!M3+1)</f>
        <v/>
      </c>
      <c r="F2494">
        <f>IF(Skills!N3=TRUE,(Skills!L3/10)*(E2494/1000),Skills!L3/10)+Skills!O3</f>
        <v/>
      </c>
      <c r="G2494">
        <f>Skills!G3*IF(Skills!H3&gt;0,Skills!I3/Skills!H3,1)</f>
        <v/>
      </c>
      <c r="H2494">
        <f>1-(1-Skills!J3/100)^Skills!K3</f>
        <v/>
      </c>
      <c r="I2494" t="inlineStr">
        <is>
          <t>1</t>
        </is>
      </c>
      <c r="J2494">
        <f>((Inputs!$B$6*(1+Inputs!$B$7/100))+(((Inputs!$B$12*(1+Inputs!$B$13/100))-(Inputs!$B$12*(1+Inputs!$B$13/100)))+0.25*(Inputs!$B$14-Inputs!$B$14))*(1+Inputs!$B$7/100))*(F2494/100)</f>
        <v/>
      </c>
      <c r="K2494">
        <f>J2494*(1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2506=TRUE,F2506,0)/100)*(1+(IF(Skills!A3="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2494)</f>
        <v/>
      </c>
      <c r="L2494">
        <f>K2494*(MIN(Inputs!$B$22+((C2513=TRUE)*(F2513-Calc!F22)),(Inputs!$B$23+0+(IF(ArtifactsInput!$M$15,CHOOSE(ArtifactsInput!$N$15+1,25,30,35,40,45,50)/100*(Inputs!$B$11-Inputs!$B$11),0))))/100+(Inputs!$B$23+0+(IF(ArtifactsInput!$M$15,CHOOSE(ArtifactsInput!$N$15+1,25,30,35,40,45,50)/100*(Inputs!$B$11-Inputs!$B$11),0)))/100)/2</f>
        <v/>
      </c>
      <c r="M2494">
        <f>L2494*(1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4">
        <f>L2494*(1-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2494*(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4">
        <f>(1-Summary!$B$11)*T2494+Summary!$B$11*V2494</f>
        <v/>
      </c>
      <c r="P2494">
        <f>IF(B2532=0,0,O2494/B2532)</f>
        <v/>
      </c>
      <c r="Q2494">
        <f>IFERROR(1/(IF(Inputs!$B$38="pvp",15,MAX(0.1,Skills!D3-IF(Skills!E3=TRUE,Inputs!$B$32,0)))*(1-IF(AND(ArtifactsInput!$M$27,Inputs!$B$4="Chapter Hunt"),CHOOSE(ArtifactsInput!$N$27+1,20,24,28,32,36,40),0)/100)),0)</f>
        <v/>
      </c>
      <c r="R2494">
        <f>IF(AND(Inputs!$B$38&lt;&gt;"pvp",Inputs!$B$43&gt;0),IF(MAX(0,Inputs!$B$43-B2529)&lt;=0,0,(INT(MAX(0,Inputs!$B$43-B2529)/(IF(Inputs!$B$38="pvp",15,MAX(0.1,Skills!D3-IF(Skills!E3=TRUE,Inputs!$B$32,0)))*(1-IF(AND(ArtifactsInput!$M$27,Inputs!$B$4="Chapter Hunt"),CHOOSE(ArtifactsInput!$N$27+1,20,24,28,32,36,40),0)/100)))+1)),0)</f>
        <v/>
      </c>
      <c r="S2494">
        <f>IFERROR(O2494/N2494,0)</f>
        <v/>
      </c>
      <c r="T2494">
        <f>IF(C2494,(H2494*N2494*IF(AND(Inputs!$B$38&lt;&gt;"pvp",Inputs!$B$43&gt;0),((Skills!G3*((R2494-1)*IF(Skills!H3&gt;0,Skills!I3/Skills!H3,1)+IF(Skills!H3&gt;0,MIN(Skills!I3,MAX(0,MAX(0,Inputs!$B$43-B2529)-((R2494-1)*(IF(Inputs!$B$38="pvp",15,MAX(0.1,Skills!D3-IF(Skills!E3=TRUE,Inputs!$B$32,0)))*(1-IF(AND(ArtifactsInput!$M$27,Inputs!$B$4="Chapter Hunt"),CHOOSE(ArtifactsInput!$N$27+1,20,24,28,32,36,40),0)/100)))))/Skills!H3,1)))/Inputs!$B$43),G2494*Q2494))*IF(Inputs!$B$38="pvp",1,1+(Inputs!$B$20+0+Skills!P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2494*(1-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2494*(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2494*(1-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2494*(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4">
        <f>INDEX(FactorTable!$B$2:$Y$301, MATCH(ROUND(MIN(300,MAX(1,U2493)),0), FactorTable!$A$2:$A$301,0), 22)</f>
        <v/>
      </c>
      <c r="V2494">
        <f>IF(C2494,(H2494*N2494*IF(AND(Inputs!$B$38&lt;&gt;"pvp",Inputs!$B$43&gt;0),((Skills!G3*((R2494-1)*IF(Skills!H3&gt;0,Skills!I3/Skills!H3,1)+IF(Skills!H3&gt;0,MIN(Skills!I3,MAX(0,MAX(0,Inputs!$B$43-B2529)-((R2494-1)*(IF(Inputs!$B$38="pvp",15,MAX(0.1,Skills!D3-IF(Skills!E3=TRUE,Inputs!$B$32,0)))*(1-IF(AND(ArtifactsInput!$M$27,Inputs!$B$4="Chapter Hunt"),CHOOSE(ArtifactsInput!$N$27+1,20,24,28,32,36,40),0)/100)))))/Skills!H3,1)))/Inputs!$B$43),G2494*Q2494))*IF(Inputs!$B$38="pvp",1,(1+(Inputs!$B$21+Skills!Q3+(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5">
      <c r="A2495">
        <f>Skills!A4</f>
        <v/>
      </c>
      <c r="B2495">
        <f>Skills!B4</f>
        <v/>
      </c>
      <c r="C2495">
        <f>Inputs!$B$3&gt;=40</f>
        <v/>
      </c>
      <c r="D2495">
        <f>IF(Skills!C4=1,60+Inputs!$B$25+Inputs!$B$29,IF(Skills!C4=2,90+Inputs!$B$26+Inputs!$B$29,IF(Skills!C4=3,120+Inputs!$B$27+Inputs!$B$29,MAX(0,(Inputs!$B$3-100)*3)+Inputs!$B$28+Inputs!$B$29)))</f>
        <v/>
      </c>
      <c r="E2495">
        <f>INDEX(FactorTable!$B$2:$Y$301, MATCH(ROUND(MIN(300,MAX(1,D2495)),0), FactorTable!$A$2:$A$301,0), Skills!M4+1)</f>
        <v/>
      </c>
      <c r="F2495">
        <f>IF(Skills!N4=TRUE,(Skills!L4/10)*(E2495/1000),Skills!L4/10)+Skills!O4</f>
        <v/>
      </c>
      <c r="G2495">
        <f>Skills!G4*IF(Skills!H4&gt;0,Skills!I4/Skills!H4,1)</f>
        <v/>
      </c>
      <c r="H2495">
        <f>1-(1-Skills!J4/100)^Skills!K4</f>
        <v/>
      </c>
      <c r="I2495" t="inlineStr">
        <is>
          <t>1</t>
        </is>
      </c>
      <c r="J2495">
        <f>((Inputs!$B$6*(1+Inputs!$B$7/100))+(((Inputs!$B$12*(1+Inputs!$B$13/100))-(Inputs!$B$12*(1+Inputs!$B$13/100)))+0.25*(Inputs!$B$14-Inputs!$B$14))*(1+Inputs!$B$7/100))*(F2495/100)</f>
        <v/>
      </c>
      <c r="K2495">
        <f>J2495*(1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2507=TRUE,F2507,0)/100)*(1+(IF(Skills!A4="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2495)</f>
        <v/>
      </c>
      <c r="L2495">
        <f>K2495*(MIN(Inputs!$B$22+((C2513=TRUE)*(F2513-Calc!F22)),(Inputs!$B$23+0+(IF(ArtifactsInput!$M$15,CHOOSE(ArtifactsInput!$N$15+1,25,30,35,40,45,50)/100*(Inputs!$B$11-Inputs!$B$11),0))))/100+(Inputs!$B$23+0+(IF(ArtifactsInput!$M$15,CHOOSE(ArtifactsInput!$N$15+1,25,30,35,40,45,50)/100*(Inputs!$B$11-Inputs!$B$11),0)))/100)/2</f>
        <v/>
      </c>
      <c r="M2495">
        <f>L2495*(1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5">
        <f>L2495*(1-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2495*(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5">
        <f>(1-Summary!$B$11)*T2495+Summary!$B$11*V2495</f>
        <v/>
      </c>
      <c r="P2495">
        <f>IF(B2532=0,0,O2495/B2532)</f>
        <v/>
      </c>
      <c r="Q2495">
        <f>IFERROR(1/(IF(Inputs!$B$38="pvp",15,MAX(0.1,Skills!D4-IF(Skills!E4=TRUE,Inputs!$B$32,0)))*(1-IF(AND(ArtifactsInput!$M$27,Inputs!$B$4="Chapter Hunt"),CHOOSE(ArtifactsInput!$N$27+1,20,24,28,32,36,40),0)/100)),0)</f>
        <v/>
      </c>
      <c r="R2495">
        <f>IF(AND(Inputs!$B$38&lt;&gt;"pvp",Inputs!$B$43&gt;0),IF(MAX(0,Inputs!$B$43-B2529)&lt;=0,0,(INT(MAX(0,Inputs!$B$43-B2529)/(IF(Inputs!$B$38="pvp",15,MAX(0.1,Skills!D4-IF(Skills!E4=TRUE,Inputs!$B$32,0)))*(1-IF(AND(ArtifactsInput!$M$27,Inputs!$B$4="Chapter Hunt"),CHOOSE(ArtifactsInput!$N$27+1,20,24,28,32,36,40),0)/100)))+1)),0)</f>
        <v/>
      </c>
      <c r="S2495">
        <f>IFERROR(O2495/N2495,0)</f>
        <v/>
      </c>
      <c r="T2495">
        <f>IF(C2495,(H2495*N2495*IF(AND(Inputs!$B$38&lt;&gt;"pvp",Inputs!$B$43&gt;0),((Skills!G4*((R2495-1)*IF(Skills!H4&gt;0,Skills!I4/Skills!H4,1)+IF(Skills!H4&gt;0,MIN(Skills!I4,MAX(0,MAX(0,Inputs!$B$43-B2529)-((R2495-1)*(IF(Inputs!$B$38="pvp",15,MAX(0.1,Skills!D4-IF(Skills!E4=TRUE,Inputs!$B$32,0)))*(1-IF(AND(ArtifactsInput!$M$27,Inputs!$B$4="Chapter Hunt"),CHOOSE(ArtifactsInput!$N$27+1,20,24,28,32,36,40),0)/100)))))/Skills!H4,1)))/Inputs!$B$43),G2495*Q2495))*IF(Inputs!$B$38="pvp",1,1+(Inputs!$B$20+0+Skills!P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2495*(1-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2495*(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2495*(1-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2495*(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5">
        <f>290*U2494/1000</f>
        <v/>
      </c>
      <c r="V2495">
        <f>IF(C2495,(H2495*N2495*IF(AND(Inputs!$B$38&lt;&gt;"pvp",Inputs!$B$43&gt;0),((Skills!G4*((R2495-1)*IF(Skills!H4&gt;0,Skills!I4/Skills!H4,1)+IF(Skills!H4&gt;0,MIN(Skills!I4,MAX(0,MAX(0,Inputs!$B$43-B2529)-((R2495-1)*(IF(Inputs!$B$38="pvp",15,MAX(0.1,Skills!D4-IF(Skills!E4=TRUE,Inputs!$B$32,0)))*(1-IF(AND(ArtifactsInput!$M$27,Inputs!$B$4="Chapter Hunt"),CHOOSE(ArtifactsInput!$N$27+1,20,24,28,32,36,40),0)/100)))))/Skills!H4,1)))/Inputs!$B$43),G2495*Q2495))*IF(Inputs!$B$38="pvp",1,(1+(Inputs!$B$21+Skills!Q4+(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6">
      <c r="A2496">
        <f>Skills!A5</f>
        <v/>
      </c>
      <c r="B2496">
        <f>Skills!B5</f>
        <v/>
      </c>
      <c r="C2496">
        <f>Inputs!$B$3&gt;=45</f>
        <v/>
      </c>
      <c r="D2496">
        <f>IF(Skills!C5=1,60+Inputs!$B$25+Inputs!$B$29,IF(Skills!C5=2,90+Inputs!$B$26+Inputs!$B$29,IF(Skills!C5=3,120+Inputs!$B$27+Inputs!$B$29,MAX(0,(Inputs!$B$3-100)*3)+Inputs!$B$28+Inputs!$B$29)))</f>
        <v/>
      </c>
      <c r="E2496">
        <f>INDEX(FactorTable!$B$2:$Y$301, MATCH(ROUND(MIN(300,MAX(1,D2496)),0), FactorTable!$A$2:$A$301,0), Skills!M5+1)</f>
        <v/>
      </c>
      <c r="F2496">
        <f>IF(Skills!N5=TRUE,(Skills!L5/10)*(E2496/1000),Skills!L5/10)+Skills!O5</f>
        <v/>
      </c>
      <c r="G2496">
        <f>Skills!G5*IF(Skills!H5&gt;0,Skills!I5/Skills!H5,1)</f>
        <v/>
      </c>
      <c r="H2496">
        <f>1-(1-Skills!J5/100)^Skills!K5</f>
        <v/>
      </c>
      <c r="I2496" t="inlineStr">
        <is>
          <t>1</t>
        </is>
      </c>
      <c r="J2496">
        <f>((Inputs!$B$6*(1+Inputs!$B$7/100))+(((Inputs!$B$12*(1+Inputs!$B$13/100))-(Inputs!$B$12*(1+Inputs!$B$13/100)))+0.25*(Inputs!$B$14-Inputs!$B$14))*(1+Inputs!$B$7/100))*(F2496/100)</f>
        <v/>
      </c>
      <c r="K2496">
        <f>J2496*(1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2507=TRUE,F2507,0)/100)*(1+(IF(Skills!A5="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2496)</f>
        <v/>
      </c>
      <c r="L2496">
        <f>K2496*(MIN(Inputs!$B$22+((C2513=TRUE)*(F2513-Calc!F22)),(Inputs!$B$23+0+(IF(ArtifactsInput!$M$15,CHOOSE(ArtifactsInput!$N$15+1,25,30,35,40,45,50)/100*(Inputs!$B$11-Inputs!$B$11),0))))/100+(Inputs!$B$23+0+(IF(ArtifactsInput!$M$15,CHOOSE(ArtifactsInput!$N$15+1,25,30,35,40,45,50)/100*(Inputs!$B$11-Inputs!$B$11),0)))/100)/2</f>
        <v/>
      </c>
      <c r="M2496">
        <f>L2496*(1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6">
        <f>L2496*(1-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2496*(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6">
        <f>(1-Summary!$B$11)*T2496+Summary!$B$11*V2496</f>
        <v/>
      </c>
      <c r="P2496">
        <f>IF(B2532=0,0,O2496/B2532)</f>
        <v/>
      </c>
      <c r="Q2496">
        <f>IFERROR(1/(IF(Inputs!$B$38="pvp",15,MAX(0.1,Skills!D5-IF(Skills!E5=TRUE,Inputs!$B$32,0)))*(1-IF(AND(ArtifactsInput!$M$27,Inputs!$B$4="Chapter Hunt"),CHOOSE(ArtifactsInput!$N$27+1,20,24,28,32,36,40),0)/100)),0)</f>
        <v/>
      </c>
      <c r="R2496">
        <f>IF(AND(Inputs!$B$38&lt;&gt;"pvp",Inputs!$B$43&gt;0),IF(MAX(0,Inputs!$B$43-B2529)&lt;=0,0,(INT(MAX(0,Inputs!$B$43-B2529)/(IF(Inputs!$B$38="pvp",15,MAX(0.1,Skills!D5-IF(Skills!E5=TRUE,Inputs!$B$32,0)))*(1-IF(AND(ArtifactsInput!$M$27,Inputs!$B$4="Chapter Hunt"),CHOOSE(ArtifactsInput!$N$27+1,20,24,28,32,36,40),0)/100)))+1)),0)</f>
        <v/>
      </c>
      <c r="S2496">
        <f>IFERROR(O2496/N2496,0)</f>
        <v/>
      </c>
      <c r="T2496">
        <f>IF(C2496,(H2496*N2496*IF(AND(Inputs!$B$38&lt;&gt;"pvp",Inputs!$B$43&gt;0),((Skills!G5*((R2496-1)*IF(Skills!H5&gt;0,Skills!I5/Skills!H5,1)+IF(Skills!H5&gt;0,MIN(Skills!I5,MAX(0,MAX(0,Inputs!$B$43-B2529)-((R2496-1)*(IF(Inputs!$B$38="pvp",15,MAX(0.1,Skills!D5-IF(Skills!E5=TRUE,Inputs!$B$32,0)))*(1-IF(AND(ArtifactsInput!$M$27,Inputs!$B$4="Chapter Hunt"),CHOOSE(ArtifactsInput!$N$27+1,20,24,28,32,36,40),0)/100)))))/Skills!H5,1)))/Inputs!$B$43),G2496*Q2496))*IF(Inputs!$B$38="pvp",1,1+(Inputs!$B$20+0+Skills!P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2496*(1-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2496*(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2496*(1-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2496*(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6">
        <f>IF(C2496,(H2496*N2496*IF(AND(Inputs!$B$38&lt;&gt;"pvp",Inputs!$B$43&gt;0),((Skills!G5*((R2496-1)*IF(Skills!H5&gt;0,Skills!I5/Skills!H5,1)+IF(Skills!H5&gt;0,MIN(Skills!I5,MAX(0,MAX(0,Inputs!$B$43-B2529)-((R2496-1)*(IF(Inputs!$B$38="pvp",15,MAX(0.1,Skills!D5-IF(Skills!E5=TRUE,Inputs!$B$32,0)))*(1-IF(AND(ArtifactsInput!$M$27,Inputs!$B$4="Chapter Hunt"),CHOOSE(ArtifactsInput!$N$27+1,20,24,28,32,36,40),0)/100)))))/Skills!H5,1)))/Inputs!$B$43),G2496*Q2496))*IF(Inputs!$B$38="pvp",1,(1+(Inputs!$B$21+Skills!Q5+(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7">
      <c r="A2497">
        <f>Skills!A6</f>
        <v/>
      </c>
      <c r="B2497">
        <f>Skills!B6</f>
        <v/>
      </c>
      <c r="C2497">
        <f>Inputs!$B$3&gt;=63</f>
        <v/>
      </c>
      <c r="D2497">
        <f>IF(Skills!C6=1,60+Inputs!$B$25+Inputs!$B$29,IF(Skills!C6=2,90+Inputs!$B$26+Inputs!$B$29,IF(Skills!C6=3,120+Inputs!$B$27+Inputs!$B$29,MAX(0,(Inputs!$B$3-100)*3)+Inputs!$B$28+Inputs!$B$29)))</f>
        <v/>
      </c>
      <c r="E2497">
        <f>INDEX(FactorTable!$B$2:$Y$301, MATCH(ROUND(MIN(300,MAX(1,D2497)),0), FactorTable!$A$2:$A$301,0), Skills!M6+1)</f>
        <v/>
      </c>
      <c r="F2497">
        <f>IF(Skills!N6=TRUE,(Skills!L6/10)*(E2497/1000),Skills!L6/10)+Skills!O6</f>
        <v/>
      </c>
      <c r="G2497">
        <f>Skills!G6*IF(Skills!H6&gt;0,Skills!I6/Skills!H6,1)</f>
        <v/>
      </c>
      <c r="H2497">
        <f>1-(1-Skills!J6/100)^Skills!K6</f>
        <v/>
      </c>
      <c r="I2497" t="inlineStr">
        <is>
          <t>1</t>
        </is>
      </c>
      <c r="J2497">
        <f>((Inputs!$B$6*(1+Inputs!$B$7/100))+(((Inputs!$B$12*(1+Inputs!$B$13/100))-(Inputs!$B$12*(1+Inputs!$B$13/100)))+0.25*(Inputs!$B$14-Inputs!$B$14))*(1+Inputs!$B$7/100))*(F2497/100)</f>
        <v/>
      </c>
      <c r="K2497">
        <f>J2497*(1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2506=TRUE,F2506,0)/100)*(1+(IF(Skills!A6="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2497)</f>
        <v/>
      </c>
      <c r="L2497">
        <f>K2497*(MIN(Inputs!$B$22+((C2513=TRUE)*(F2513-Calc!F22)),(Inputs!$B$23+0+(IF(ArtifactsInput!$M$15,CHOOSE(ArtifactsInput!$N$15+1,25,30,35,40,45,50)/100*(Inputs!$B$11-Inputs!$B$11),0))))/100+(Inputs!$B$23+0+(IF(ArtifactsInput!$M$15,CHOOSE(ArtifactsInput!$N$15+1,25,30,35,40,45,50)/100*(Inputs!$B$11-Inputs!$B$11),0)))/100)/2</f>
        <v/>
      </c>
      <c r="M2497">
        <f>L2497*(1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7">
        <f>L2497*(1-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2497*(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7">
        <f>(1-Summary!$B$11)*T2497+Summary!$B$11*V2497</f>
        <v/>
      </c>
      <c r="P2497">
        <f>IF(B2532=0,0,O2497/B2532)</f>
        <v/>
      </c>
      <c r="Q2497">
        <f>IFERROR(1/(IF(Inputs!$B$38="pvp",15,MAX(0.1,Skills!D6-IF(Skills!E6=TRUE,Inputs!$B$32,0)))*(1-IF(AND(ArtifactsInput!$M$27,Inputs!$B$4="Chapter Hunt"),CHOOSE(ArtifactsInput!$N$27+1,20,24,28,32,36,40),0)/100)),0)</f>
        <v/>
      </c>
      <c r="R2497">
        <f>IF(AND(Inputs!$B$38&lt;&gt;"pvp",Inputs!$B$43&gt;0),IF(MAX(0,Inputs!$B$43-B2529)&lt;=0,0,(INT(MAX(0,Inputs!$B$43-B2529)/(IF(Inputs!$B$38="pvp",15,MAX(0.1,Skills!D6-IF(Skills!E6=TRUE,Inputs!$B$32,0)))*(1-IF(AND(ArtifactsInput!$M$27,Inputs!$B$4="Chapter Hunt"),CHOOSE(ArtifactsInput!$N$27+1,20,24,28,32,36,40),0)/100)))+1)),0)</f>
        <v/>
      </c>
      <c r="S2497">
        <f>IFERROR(O2497/N2497,0)</f>
        <v/>
      </c>
      <c r="T2497">
        <f>IF(C2497,(H2497*N2497*IF(AND(Inputs!$B$38&lt;&gt;"pvp",Inputs!$B$43&gt;0),((Skills!G6*((R2497-1)*IF(Skills!H6&gt;0,Skills!I6/Skills!H6,1)+IF(Skills!H6&gt;0,MIN(Skills!I6,MAX(0,MAX(0,Inputs!$B$43-B2529)-((R2497-1)*(IF(Inputs!$B$38="pvp",15,MAX(0.1,Skills!D6-IF(Skills!E6=TRUE,Inputs!$B$32,0)))*(1-IF(AND(ArtifactsInput!$M$27,Inputs!$B$4="Chapter Hunt"),CHOOSE(ArtifactsInput!$N$27+1,20,24,28,32,36,40),0)/100)))))/Skills!H6,1)))/Inputs!$B$43),G2497*Q2497))*IF(Inputs!$B$38="pvp",1,1+(Inputs!$B$20+0+Skills!P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2497*(1-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2497*(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2497*(1-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2497*(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7">
        <f>IF(C2497,(H2497*N2497*IF(AND(Inputs!$B$38&lt;&gt;"pvp",Inputs!$B$43&gt;0),((Skills!G6*((R2497-1)*IF(Skills!H6&gt;0,Skills!I6/Skills!H6,1)+IF(Skills!H6&gt;0,MIN(Skills!I6,MAX(0,MAX(0,Inputs!$B$43-B2529)-((R2497-1)*(IF(Inputs!$B$38="pvp",15,MAX(0.1,Skills!D6-IF(Skills!E6=TRUE,Inputs!$B$32,0)))*(1-IF(AND(ArtifactsInput!$M$27,Inputs!$B$4="Chapter Hunt"),CHOOSE(ArtifactsInput!$N$27+1,20,24,28,32,36,40),0)/100)))))/Skills!H6,1)))/Inputs!$B$43),G2497*Q2497))*IF(Inputs!$B$38="pvp",1,(1+(Inputs!$B$21+Skills!Q6+(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8">
      <c r="A2498">
        <f>Skills!A7</f>
        <v/>
      </c>
      <c r="B2498">
        <f>Skills!B7</f>
        <v/>
      </c>
      <c r="C2498">
        <f>Inputs!$B$3&gt;=66</f>
        <v/>
      </c>
      <c r="D2498">
        <f>IF(Skills!C7=1,60+Inputs!$B$25+Inputs!$B$29,IF(Skills!C7=2,90+Inputs!$B$26+Inputs!$B$29,IF(Skills!C7=3,120+Inputs!$B$27+Inputs!$B$29,MAX(0,(Inputs!$B$3-100)*3)+Inputs!$B$28+Inputs!$B$29)))</f>
        <v/>
      </c>
      <c r="E2498">
        <f>INDEX(FactorTable!$B$2:$Y$301, MATCH(ROUND(MIN(300,MAX(1,D2498)),0), FactorTable!$A$2:$A$301,0), Skills!M7+1)</f>
        <v/>
      </c>
      <c r="F2498">
        <f>IF(Skills!N7=TRUE,(Skills!L7/10)*(E2498/1000),Skills!L7/10)+Skills!O7</f>
        <v/>
      </c>
      <c r="G2498">
        <f>Skills!G7*IF(Skills!H7&gt;0,Skills!I7/Skills!H7,1)</f>
        <v/>
      </c>
      <c r="H2498">
        <f>1-(1-Skills!J7/100)^Skills!K7</f>
        <v/>
      </c>
      <c r="I2498" t="inlineStr">
        <is>
          <t>1</t>
        </is>
      </c>
      <c r="J2498">
        <f>((Inputs!$B$6*(1+Inputs!$B$7/100))+(((Inputs!$B$12*(1+Inputs!$B$13/100))-(Inputs!$B$12*(1+Inputs!$B$13/100)))+0.25*(Inputs!$B$14-Inputs!$B$14))*(1+Inputs!$B$7/100))*(F2498/100)</f>
        <v/>
      </c>
      <c r="K2498">
        <f>J2498*(1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2506=TRUE,F2506,0)/100)*(1+(IF(Skills!A7="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2498)</f>
        <v/>
      </c>
      <c r="L2498">
        <f>K2498*(MIN(Inputs!$B$22+((C2513=TRUE)*(F2513-Calc!F22)),(Inputs!$B$23+0+(IF(ArtifactsInput!$M$15,CHOOSE(ArtifactsInput!$N$15+1,25,30,35,40,45,50)/100*(Inputs!$B$11-Inputs!$B$11),0))))/100+(Inputs!$B$23+0+(IF(ArtifactsInput!$M$15,CHOOSE(ArtifactsInput!$N$15+1,25,30,35,40,45,50)/100*(Inputs!$B$11-Inputs!$B$11),0)))/100)/2</f>
        <v/>
      </c>
      <c r="M2498">
        <f>L2498*(1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8">
        <f>L2498*(1-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2498*(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8">
        <f>(1-Summary!$B$11)*T2498+Summary!$B$11*V2498</f>
        <v/>
      </c>
      <c r="P2498">
        <f>IF(B2532=0,0,O2498/B2532)</f>
        <v/>
      </c>
      <c r="Q2498">
        <f>IFERROR(1/(IF(Inputs!$B$38="pvp",15,MAX(0.1,Skills!D7-IF(Skills!E7=TRUE,Inputs!$B$32,0)))*(1-IF(AND(ArtifactsInput!$M$27,Inputs!$B$4="Chapter Hunt"),CHOOSE(ArtifactsInput!$N$27+1,20,24,28,32,36,40),0)/100)),0)</f>
        <v/>
      </c>
      <c r="R2498">
        <f>IF(AND(Inputs!$B$38&lt;&gt;"pvp",Inputs!$B$43&gt;0),IF(MAX(0,Inputs!$B$43-B2529)&lt;=0,0,(INT(MAX(0,Inputs!$B$43-B2529)/(IF(Inputs!$B$38="pvp",15,MAX(0.1,Skills!D7-IF(Skills!E7=TRUE,Inputs!$B$32,0)))*(1-IF(AND(ArtifactsInput!$M$27,Inputs!$B$4="Chapter Hunt"),CHOOSE(ArtifactsInput!$N$27+1,20,24,28,32,36,40),0)/100)))+1)),0)</f>
        <v/>
      </c>
      <c r="S2498">
        <f>IFERROR(O2498/N2498,0)</f>
        <v/>
      </c>
      <c r="T2498">
        <f>IF(C2498,(H2498*N2498*IF(AND(Inputs!$B$38&lt;&gt;"pvp",Inputs!$B$43&gt;0),((Skills!G7*((R2498-1)*IF(Skills!H7&gt;0,Skills!I7/Skills!H7,1)+IF(Skills!H7&gt;0,MIN(Skills!I7,MAX(0,MAX(0,Inputs!$B$43-B2529)-((R2498-1)*(IF(Inputs!$B$38="pvp",15,MAX(0.1,Skills!D7-IF(Skills!E7=TRUE,Inputs!$B$32,0)))*(1-IF(AND(ArtifactsInput!$M$27,Inputs!$B$4="Chapter Hunt"),CHOOSE(ArtifactsInput!$N$27+1,20,24,28,32,36,40),0)/100)))))/Skills!H7,1)))/Inputs!$B$43),G2498*Q2498))*IF(Inputs!$B$38="pvp",1,1+(Inputs!$B$20+0+Skills!P7+(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2498*(1-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2498*(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2498*(1-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2498*(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8">
        <f>IF(C2498,(H2498*N2498*IF(AND(Inputs!$B$38&lt;&gt;"pvp",Inputs!$B$43&gt;0),((Skills!G7*((R2498-1)*IF(Skills!H7&gt;0,Skills!I7/Skills!H7,1)+IF(Skills!H7&gt;0,MIN(Skills!I7,MAX(0,MAX(0,Inputs!$B$43-B2529)-((R2498-1)*(IF(Inputs!$B$38="pvp",15,MAX(0.1,Skills!D7-IF(Skills!E7=TRUE,Inputs!$B$32,0)))*(1-IF(AND(ArtifactsInput!$M$27,Inputs!$B$4="Chapter Hunt"),CHOOSE(ArtifactsInput!$N$27+1,20,24,28,32,36,40),0)/100)))))/Skills!H7,1)))/Inputs!$B$43),G2498*Q2498))*IF(Inputs!$B$38="pvp",1,(1+(Inputs!$B$21+Skills!Q7+(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9">
      <c r="A2499">
        <f>Skills!A8</f>
        <v/>
      </c>
      <c r="B2499">
        <f>Skills!B8</f>
        <v/>
      </c>
      <c r="C2499">
        <f>Inputs!$B$3&gt;=100</f>
        <v/>
      </c>
      <c r="D2499">
        <f>IF(Skills!C8=1,60+Inputs!$B$25+Inputs!$B$29,IF(Skills!C8=2,90+Inputs!$B$26+Inputs!$B$29,IF(Skills!C8=3,120+Inputs!$B$27+Inputs!$B$29,MAX(0,(Inputs!$B$3-100)*3)+Inputs!$B$28+Inputs!$B$29)))</f>
        <v/>
      </c>
      <c r="E2499">
        <f>INDEX(FactorTable!$B$2:$Y$301, MATCH(ROUND(MIN(300,MAX(1,D2499)),0), FactorTable!$A$2:$A$301,0), Skills!M8+1)</f>
        <v/>
      </c>
      <c r="F2499">
        <f>IF(Skills!N8=TRUE,(Skills!L8/10)*(E2499/1000),Skills!L8/10)+Skills!O8</f>
        <v/>
      </c>
      <c r="G2499">
        <f>Skills!G8*IF(Skills!H8&gt;0,Skills!I8/Skills!H8,1)</f>
        <v/>
      </c>
      <c r="H2499">
        <f>1-(1-Skills!J8/100)^Skills!K8</f>
        <v/>
      </c>
      <c r="I2499" t="inlineStr">
        <is>
          <t>1</t>
        </is>
      </c>
      <c r="J2499">
        <f>((Inputs!$B$6*(1+Inputs!$B$7/100))+(((Inputs!$B$12*(1+Inputs!$B$13/100))-(Inputs!$B$12*(1+Inputs!$B$13/100)))+0.25*(Inputs!$B$14-Inputs!$B$14))*(1+Inputs!$B$7/100))*(F2499/100)</f>
        <v/>
      </c>
      <c r="K2499">
        <f>J2499*(1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2499)</f>
        <v/>
      </c>
      <c r="L2499">
        <f>K2499*(MIN(Inputs!$B$22+((C2513=TRUE)*(F2513-Calc!F22)),(Inputs!$B$23+0+(IF(ArtifactsInput!$M$15,CHOOSE(ArtifactsInput!$N$15+1,25,30,35,40,45,50)/100*(Inputs!$B$11-Inputs!$B$11),0))))/100+(Inputs!$B$23+0+(IF(ArtifactsInput!$M$15,CHOOSE(ArtifactsInput!$N$15+1,25,30,35,40,45,50)/100*(Inputs!$B$11-Inputs!$B$11),0)))/100)/2</f>
        <v/>
      </c>
      <c r="M2499">
        <f>L2499*(1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9">
        <f>L2499*(1-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2499*(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9">
        <f>(1-Summary!$B$11)*T2499+Summary!$B$11*V2499</f>
        <v/>
      </c>
      <c r="P2499">
        <f>IF(B2532=0,0,O2499/B2532)</f>
        <v/>
      </c>
      <c r="Q2499">
        <f>IFERROR(1/(IF(Inputs!$B$38="pvp",15,MAX(0.1,Skills!D8-IF(Skills!E8=TRUE,Inputs!$B$32,0)))*(1-IF(AND(ArtifactsInput!$M$27,Inputs!$B$4="Chapter Hunt"),CHOOSE(ArtifactsInput!$N$27+1,20,24,28,32,36,40),0)/100)),0)</f>
        <v/>
      </c>
      <c r="R2499">
        <f>IF(AND(Inputs!$B$38&lt;&gt;"pvp",Inputs!$B$43&gt;0),IF(MAX(0,Inputs!$B$43-B2529)&lt;=0,0,(INT(MAX(0,Inputs!$B$43-B2529)/(IF(Inputs!$B$38="pvp",15,MAX(0.1,Skills!D8-IF(Skills!E8=TRUE,Inputs!$B$32,0)))*(1-IF(AND(ArtifactsInput!$M$27,Inputs!$B$4="Chapter Hunt"),CHOOSE(ArtifactsInput!$N$27+1,20,24,28,32,36,40),0)/100)))+1)),0)</f>
        <v/>
      </c>
      <c r="S2499">
        <f>IFERROR(O2499/N2499,0)</f>
        <v/>
      </c>
      <c r="T2499">
        <f>IF(C2499,(H2499*N2499*IF(AND(Inputs!$B$38&lt;&gt;"pvp",Inputs!$B$43&gt;0),((Skills!G8*((R2499-1)*IF(Skills!H8&gt;0,Skills!I8/Skills!H8,1)+IF(Skills!H8&gt;0,MIN(Skills!I8,MAX(0,MAX(0,Inputs!$B$43-B2529)-((R2499-1)*(IF(Inputs!$B$38="pvp",15,MAX(0.1,Skills!D8-IF(Skills!E8=TRUE,Inputs!$B$32,0)))*(1-IF(AND(ArtifactsInput!$M$27,Inputs!$B$4="Chapter Hunt"),CHOOSE(ArtifactsInput!$N$27+1,20,24,28,32,36,40),0)/100)))))/Skills!H8,1)))/Inputs!$B$43),G2499*Q2499))*IF(Inputs!$B$38="pvp",1,1+(Inputs!$B$20+0+Skills!P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2499*(1-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2499*(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2499*(1-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2499*(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9">
        <f>IF(C2499,(H2499*N2499*IF(AND(Inputs!$B$38&lt;&gt;"pvp",Inputs!$B$43&gt;0),((Skills!G8*((R2499-1)*IF(Skills!H8&gt;0,Skills!I8/Skills!H8,1)+IF(Skills!H8&gt;0,MIN(Skills!I8,MAX(0,MAX(0,Inputs!$B$43-B2529)-((R2499-1)*(IF(Inputs!$B$38="pvp",15,MAX(0.1,Skills!D8-IF(Skills!E8=TRUE,Inputs!$B$32,0)))*(1-IF(AND(ArtifactsInput!$M$27,Inputs!$B$4="Chapter Hunt"),CHOOSE(ArtifactsInput!$N$27+1,20,24,28,32,36,40),0)/100)))))/Skills!H8,1)))/Inputs!$B$43),G2499*Q2499))*IF(Inputs!$B$38="pvp",1,(1+(Inputs!$B$21+Skills!Q8+(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0">
      <c r="A2500">
        <f>Skills!A9</f>
        <v/>
      </c>
      <c r="B2500">
        <f>Skills!B9</f>
        <v/>
      </c>
      <c r="C2500">
        <f>Inputs!$B$3&gt;=103</f>
        <v/>
      </c>
      <c r="D2500">
        <f>IF(Skills!C9=1,60+Inputs!$B$25+Inputs!$B$29,IF(Skills!C9=2,90+Inputs!$B$26+Inputs!$B$29,IF(Skills!C9=3,120+Inputs!$B$27+Inputs!$B$29,MAX(0,(Inputs!$B$3-100)*3)+Inputs!$B$28+Inputs!$B$29)))</f>
        <v/>
      </c>
      <c r="E2500">
        <f>INDEX(FactorTable!$B$2:$Y$301, MATCH(ROUND(MIN(300,MAX(1,D2500)),0), FactorTable!$A$2:$A$301,0), Skills!M9+1)</f>
        <v/>
      </c>
      <c r="F2500">
        <f>IF(Skills!N9=TRUE,(Skills!L9/10)*(E2500/1000),Skills!L9/10)+Skills!O9</f>
        <v/>
      </c>
      <c r="G2500">
        <f>Skills!G9*IF(Skills!H9&gt;0,Skills!I9/Skills!H9,1)</f>
        <v/>
      </c>
      <c r="H2500">
        <f>1-(1-Skills!J9/100)^Skills!K9</f>
        <v/>
      </c>
      <c r="I2500" t="inlineStr">
        <is>
          <t>1</t>
        </is>
      </c>
      <c r="J2500">
        <f>((Inputs!$B$6*(1+Inputs!$B$7/100))+(((Inputs!$B$12*(1+Inputs!$B$13/100))-(Inputs!$B$12*(1+Inputs!$B$13/100)))+0.25*(Inputs!$B$14-Inputs!$B$14))*(1+Inputs!$B$7/100))*(F2500/100)</f>
        <v/>
      </c>
      <c r="K2500">
        <f>J2500*(1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2500)</f>
        <v/>
      </c>
      <c r="L2500">
        <f>K2500*(MIN(Inputs!$B$22+((C2513=TRUE)*(F2513-Calc!F22)),(Inputs!$B$23+0+(IF(ArtifactsInput!$M$15,CHOOSE(ArtifactsInput!$N$15+1,25,30,35,40,45,50)/100*(Inputs!$B$11-Inputs!$B$11),0))))/100+(Inputs!$B$23+0+(IF(ArtifactsInput!$M$15,CHOOSE(ArtifactsInput!$N$15+1,25,30,35,40,45,50)/100*(Inputs!$B$11-Inputs!$B$11),0)))/100)/2</f>
        <v/>
      </c>
      <c r="M2500">
        <f>L2500*(1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0">
        <f>L2500*(1-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2500*(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0">
        <f>(1-Summary!$B$11)*T2500+Summary!$B$11*V2500</f>
        <v/>
      </c>
      <c r="P2500">
        <f>IF(B2532=0,0,O2500/B2532)</f>
        <v/>
      </c>
      <c r="Q2500">
        <f>IFERROR(1/(IF(Inputs!$B$38="pvp",15,MAX(0.1,Skills!D9-IF(Skills!E9=TRUE,Inputs!$B$32,0)))*(1-IF(AND(ArtifactsInput!$M$27,Inputs!$B$4="Chapter Hunt"),CHOOSE(ArtifactsInput!$N$27+1,20,24,28,32,36,40),0)/100)),0)</f>
        <v/>
      </c>
      <c r="R2500">
        <f>IF(AND(Inputs!$B$38&lt;&gt;"pvp",Inputs!$B$43&gt;0),IF(MAX(0,Inputs!$B$43-B2529)&lt;=0,0,(INT(MAX(0,Inputs!$B$43-B2529)/(IF(Inputs!$B$38="pvp",15,MAX(0.1,Skills!D9-IF(Skills!E9=TRUE,Inputs!$B$32,0)))*(1-IF(AND(ArtifactsInput!$M$27,Inputs!$B$4="Chapter Hunt"),CHOOSE(ArtifactsInput!$N$27+1,20,24,28,32,36,40),0)/100)))+1)),0)</f>
        <v/>
      </c>
      <c r="S2500">
        <f>IFERROR(O2500/N2500,0)</f>
        <v/>
      </c>
      <c r="T2500">
        <f>IF(C2500,(H2500*N2500*IF(AND(Inputs!$B$38&lt;&gt;"pvp",Inputs!$B$43&gt;0),((Skills!G9*((R2500-1)*IF(Skills!H9&gt;0,Skills!I9/Skills!H9,1)+IF(Skills!H9&gt;0,MIN(Skills!I9,MAX(0,MAX(0,Inputs!$B$43-B2529)-((R2500-1)*(IF(Inputs!$B$38="pvp",15,MAX(0.1,Skills!D9-IF(Skills!E9=TRUE,Inputs!$B$32,0)))*(1-IF(AND(ArtifactsInput!$M$27,Inputs!$B$4="Chapter Hunt"),CHOOSE(ArtifactsInput!$N$27+1,20,24,28,32,36,40),0)/100)))))/Skills!H9,1)))/Inputs!$B$43),G2500*Q2500))*IF(Inputs!$B$38="pvp",1,1+(Inputs!$B$20+0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2500*(1-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2500*(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2500*(1-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2500*(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0">
        <f>IF(C2500,(H2500*N2500*IF(AND(Inputs!$B$38&lt;&gt;"pvp",Inputs!$B$43&gt;0),((Skills!G9*((R2500-1)*IF(Skills!H9&gt;0,Skills!I9/Skills!H9,1)+IF(Skills!H9&gt;0,MIN(Skills!I9,MAX(0,MAX(0,Inputs!$B$43-B2529)-((R2500-1)*(IF(Inputs!$B$38="pvp",15,MAX(0.1,Skills!D9-IF(Skills!E9=TRUE,Inputs!$B$32,0)))*(1-IF(AND(ArtifactsInput!$M$27,Inputs!$B$4="Chapter Hunt"),CHOOSE(ArtifactsInput!$N$27+1,20,24,28,32,36,40),0)/100)))))/Skills!H9,1)))/Inputs!$B$43),G2500*Q2500))*IF(Inputs!$B$38="pvp",1,(1+(Inputs!$B$21+Skills!Q9+(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1">
      <c r="A2501">
        <f>Skills!A10</f>
        <v/>
      </c>
      <c r="B2501">
        <f>Skills!B10</f>
        <v/>
      </c>
      <c r="C2501">
        <f>Inputs!$B$3&gt;=113</f>
        <v/>
      </c>
      <c r="D2501">
        <f>IF(Skills!C10=1,60+Inputs!$B$25+Inputs!$B$29,IF(Skills!C10=2,90+Inputs!$B$26+Inputs!$B$29,IF(Skills!C10=3,120+Inputs!$B$27+Inputs!$B$29,MAX(0,(Inputs!$B$3-100)*3)+Inputs!$B$28+Inputs!$B$29)))</f>
        <v/>
      </c>
      <c r="E2501">
        <f>INDEX(FactorTable!$B$2:$Y$301, MATCH(ROUND(MIN(300,MAX(1,D2501)),0), FactorTable!$A$2:$A$301,0), Skills!M10+1)</f>
        <v/>
      </c>
      <c r="F2501">
        <f>IF(Skills!N10=TRUE,(Skills!L10/10)*(E2501/1000),Skills!L10/10)+Skills!O10</f>
        <v/>
      </c>
      <c r="G2501">
        <f>Skills!G10*IF(Skills!H10&gt;0,Skills!I10/Skills!H10,1)</f>
        <v/>
      </c>
      <c r="H2501">
        <f>1-(1-Skills!J10/100)^Skills!K10</f>
        <v/>
      </c>
      <c r="I2501" t="inlineStr">
        <is>
          <t>1</t>
        </is>
      </c>
      <c r="J2501">
        <f>((Inputs!$B$6*(1+Inputs!$B$7/100))+(((Inputs!$B$12*(1+Inputs!$B$13/100))-(Inputs!$B$12*(1+Inputs!$B$13/100)))+0.25*(Inputs!$B$14-Inputs!$B$14))*(1+Inputs!$B$7/100))*(F2501/100)</f>
        <v/>
      </c>
      <c r="K2501">
        <f>J2501*(1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2501)</f>
        <v/>
      </c>
      <c r="L2501">
        <f>K2501*(MIN(Inputs!$B$22+((C2513=TRUE)*(F2513-Calc!F22)),(Inputs!$B$23+0+(IF(ArtifactsInput!$M$15,CHOOSE(ArtifactsInput!$N$15+1,25,30,35,40,45,50)/100*(Inputs!$B$11-Inputs!$B$11),0))))/100+(Inputs!$B$23+0+(IF(ArtifactsInput!$M$15,CHOOSE(ArtifactsInput!$N$15+1,25,30,35,40,45,50)/100*(Inputs!$B$11-Inputs!$B$11),0)))/100)/2</f>
        <v/>
      </c>
      <c r="M2501">
        <f>L2501*(1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1">
        <f>L2501*(1-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1">
        <f>(1-Summary!$B$11)*T2501+Summary!$B$11*V2501</f>
        <v/>
      </c>
      <c r="P2501">
        <f>IF(B2532=0,0,O2501/B2532)</f>
        <v/>
      </c>
      <c r="Q2501">
        <f>IFERROR(1/(IF(Inputs!$B$38="pvp",15,MAX(0.1,Skills!D10-IF(Skills!E10=TRUE,Inputs!$B$32,0)))*(1-IF(AND(ArtifactsInput!$M$27,Inputs!$B$4="Chapter Hunt"),CHOOSE(ArtifactsInput!$N$27+1,20,24,28,32,36,40),0)/100)),0)</f>
        <v/>
      </c>
      <c r="R2501">
        <f>IF(AND(Inputs!$B$38&lt;&gt;"pvp",Inputs!$B$43&gt;0),IF(MAX(0,Inputs!$B$43-B2529)&lt;=0,0,(INT(MAX(0,Inputs!$B$43-B2529)/(IF(Inputs!$B$38="pvp",15,MAX(0.1,Skills!D10-IF(Skills!E10=TRUE,Inputs!$B$32,0)))*(1-IF(AND(ArtifactsInput!$M$27,Inputs!$B$4="Chapter Hunt"),CHOOSE(ArtifactsInput!$N$27+1,20,24,28,32,36,40),0)/100)))+1)),0)</f>
        <v/>
      </c>
      <c r="S2501">
        <f>IFERROR(O2501/N2501,0)</f>
        <v/>
      </c>
      <c r="T2501">
        <f>IF(C2501,(H2501*N2501*IF(AND(Inputs!$B$38&lt;&gt;"pvp",Inputs!$B$43&gt;0),((Skills!G10*((R2501-1)*IF(Skills!H10&gt;0,Skills!I10/Skills!H10,1)+IF(Skills!H10&gt;0,MIN(Skills!I10,MAX(0,MAX(0,Inputs!$B$43-B2529)-((R2501-1)*(IF(Inputs!$B$38="pvp",15,MAX(0.1,Skills!D10-IF(Skills!E10=TRUE,Inputs!$B$32,0)))*(1-IF(AND(ArtifactsInput!$M$27,Inputs!$B$4="Chapter Hunt"),CHOOSE(ArtifactsInput!$N$27+1,20,24,28,32,36,40),0)/100)))))/Skills!H10,1)))/Inputs!$B$43),G2501*Q2501))*IF(Inputs!$B$38="pvp",1,1+(Inputs!$B$20+0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2501*(1-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2501*(1-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1">
        <f>IF(C2501,(H2501*N2501*IF(AND(Inputs!$B$38&lt;&gt;"pvp",Inputs!$B$43&gt;0),((Skills!G10*((R2501-1)*IF(Skills!H10&gt;0,Skills!I10/Skills!H10,1)+IF(Skills!H10&gt;0,MIN(Skills!I10,MAX(0,MAX(0,Inputs!$B$43-B2529)-((R2501-1)*(IF(Inputs!$B$38="pvp",15,MAX(0.1,Skills!D10-IF(Skills!E10=TRUE,Inputs!$B$32,0)))*(1-IF(AND(ArtifactsInput!$M$27,Inputs!$B$4="Chapter Hunt"),CHOOSE(ArtifactsInput!$N$27+1,20,24,28,32,36,40),0)/100)))))/Skills!H10,1)))/Inputs!$B$43),G2501*Q2501))*IF(Inputs!$B$38="pvp",1,(1+(Inputs!$B$21+Skills!Q10+(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2">
      <c r="A2502">
        <f>Skills!A11</f>
        <v/>
      </c>
      <c r="B2502">
        <f>Skills!B11</f>
        <v/>
      </c>
      <c r="C2502">
        <f>Inputs!$B$3&gt;=107</f>
        <v/>
      </c>
      <c r="D2502">
        <f>IF(Skills!C11=1,60+Inputs!$B$25+Inputs!$B$29,IF(Skills!C11=2,90+Inputs!$B$26+Inputs!$B$29,IF(Skills!C11=3,120+Inputs!$B$27+Inputs!$B$29,MAX(0,(Inputs!$B$3-100)*3)+Inputs!$B$28+Inputs!$B$29)))</f>
        <v/>
      </c>
      <c r="E2502">
        <f>INDEX(FactorTable!$B$2:$Y$301, MATCH(ROUND(MIN(300,MAX(1,D2502)),0), FactorTable!$A$2:$A$301,0), Skills!M11+1)</f>
        <v/>
      </c>
      <c r="F2502">
        <f>IF(Skills!N11=TRUE,(Skills!L11/10)*(E2502/1000),Skills!L11/10)+Skills!O11</f>
        <v/>
      </c>
      <c r="G2502">
        <f>Skills!G11*IF(Skills!H11&gt;0,Skills!I11/Skills!H11,1)</f>
        <v/>
      </c>
      <c r="H2502">
        <f>1-(1-Skills!J11/100)^Skills!K11</f>
        <v/>
      </c>
      <c r="I2502" t="inlineStr">
        <is>
          <t>1</t>
        </is>
      </c>
      <c r="J2502">
        <f>((Inputs!$B$6*(1+Inputs!$B$7/100))+(((Inputs!$B$12*(1+Inputs!$B$13/100))-(Inputs!$B$12*(1+Inputs!$B$13/100)))+0.25*(Inputs!$B$14-Inputs!$B$14))*(1+Inputs!$B$7/100))*(F2502/100)</f>
        <v/>
      </c>
      <c r="K2502">
        <f>J2502*(1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2502)</f>
        <v/>
      </c>
      <c r="L2502">
        <f>K2502*(MIN(Inputs!$B$22+((C2513=TRUE)*(F2513-Calc!F22)),(Inputs!$B$23+0+(IF(ArtifactsInput!$M$15,CHOOSE(ArtifactsInput!$N$15+1,25,30,35,40,45,50)/100*(Inputs!$B$11-Inputs!$B$11),0))))/100+(Inputs!$B$23+0+(IF(ArtifactsInput!$M$15,CHOOSE(ArtifactsInput!$N$15+1,25,30,35,40,45,50)/100*(Inputs!$B$11-Inputs!$B$11),0)))/100)/2</f>
        <v/>
      </c>
      <c r="M2502">
        <f>L2502*(1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2">
        <f>L2502*(1-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2502*(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2">
        <f>(1-Summary!$B$11)*T2502+Summary!$B$11*V2502</f>
        <v/>
      </c>
      <c r="P2502">
        <f>IF(B2532=0,0,O2502/B2532)</f>
        <v/>
      </c>
      <c r="Q2502">
        <f>IFERROR(1/(IF(Inputs!$B$38="pvp",15,MAX(0.1,Skills!D11-IF(Skills!E11=TRUE,Inputs!$B$32,0)))*(1-IF(AND(ArtifactsInput!$M$27,Inputs!$B$4="Chapter Hunt"),CHOOSE(ArtifactsInput!$N$27+1,20,24,28,32,36,40),0)/100)),0)</f>
        <v/>
      </c>
      <c r="R2502">
        <f>IF(AND(Inputs!$B$38&lt;&gt;"pvp",Inputs!$B$43&gt;0),IF(MAX(0,Inputs!$B$43-B2529)&lt;=0,0,(INT(MAX(0,Inputs!$B$43-B2529)/(IF(Inputs!$B$38="pvp",15,MAX(0.1,Skills!D11-IF(Skills!E11=TRUE,Inputs!$B$32,0)))*(1-IF(AND(ArtifactsInput!$M$27,Inputs!$B$4="Chapter Hunt"),CHOOSE(ArtifactsInput!$N$27+1,20,24,28,32,36,40),0)/100)))+1)),0)</f>
        <v/>
      </c>
      <c r="S2502">
        <f>IFERROR(O2502/N2502,0)</f>
        <v/>
      </c>
      <c r="T2502">
        <f>IF(C2502,(H2502*N2502*IF(AND(Inputs!$B$38&lt;&gt;"pvp",Inputs!$B$43&gt;0),((Skills!G11*((R2502-1)*IF(Skills!H11&gt;0,Skills!I11/Skills!H11,1)+IF(Skills!H11&gt;0,MIN(Skills!I11,MAX(0,MAX(0,Inputs!$B$43-B2529)-((R2502-1)*(IF(Inputs!$B$38="pvp",15,MAX(0.1,Skills!D11-IF(Skills!E11=TRUE,Inputs!$B$32,0)))*(1-IF(AND(ArtifactsInput!$M$27,Inputs!$B$4="Chapter Hunt"),CHOOSE(ArtifactsInput!$N$27+1,20,24,28,32,36,40),0)/100)))))/Skills!H11,1)))/Inputs!$B$43),G2502*Q2502))*IF(Inputs!$B$38="pvp",1,1+(Inputs!$B$20+0+Skills!P11+(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2502*(1-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2502*(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2502*(1-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2502*(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2">
        <f>IF(C2502,(H2502*N2502*IF(AND(Inputs!$B$38&lt;&gt;"pvp",Inputs!$B$43&gt;0),((Skills!G11*((R2502-1)*IF(Skills!H11&gt;0,Skills!I11/Skills!H11,1)+IF(Skills!H11&gt;0,MIN(Skills!I11,MAX(0,MAX(0,Inputs!$B$43-B2529)-((R2502-1)*(IF(Inputs!$B$38="pvp",15,MAX(0.1,Skills!D11-IF(Skills!E11=TRUE,Inputs!$B$32,0)))*(1-IF(AND(ArtifactsInput!$M$27,Inputs!$B$4="Chapter Hunt"),CHOOSE(ArtifactsInput!$N$27+1,20,24,28,32,36,40),0)/100)))))/Skills!H11,1)))/Inputs!$B$43),G2502*Q2502))*IF(Inputs!$B$38="pvp",1,(1+(Inputs!$B$21+Skills!Q11+(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3">
      <c r="A2503">
        <f>Skills!A12</f>
        <v/>
      </c>
      <c r="B2503">
        <f>Skills!B12</f>
        <v/>
      </c>
      <c r="C2503">
        <f>Inputs!$B$3&gt;=110</f>
        <v/>
      </c>
      <c r="D2503">
        <f>IF(Skills!C12=1,60+Inputs!$B$25+Inputs!$B$29,IF(Skills!C12=2,90+Inputs!$B$26+Inputs!$B$29,IF(Skills!C12=3,120+Inputs!$B$27+Inputs!$B$29,MAX(0,(Inputs!$B$3-100)*3)+Inputs!$B$28+Inputs!$B$29)))</f>
        <v/>
      </c>
      <c r="E2503">
        <f>INDEX(FactorTable!$B$2:$Y$301, MATCH(ROUND(MIN(300,MAX(1,D2503)),0), FactorTable!$A$2:$A$301,0), Skills!M12+1)</f>
        <v/>
      </c>
      <c r="F2503">
        <f>IF(Skills!N12=TRUE,(Skills!L12/10)*(E2503/1000),Skills!L12/10)+Skills!O12</f>
        <v/>
      </c>
      <c r="G2503">
        <f>Skills!G12*IF(Skills!H12&gt;0,Skills!I12/Skills!H12,1)</f>
        <v/>
      </c>
      <c r="H2503">
        <f>1-(1-Skills!J12/100)^Skills!K12</f>
        <v/>
      </c>
      <c r="I2503" t="inlineStr">
        <is>
          <t>1</t>
        </is>
      </c>
      <c r="J2503">
        <f>((Inputs!$B$6*(1+Inputs!$B$7/100))+(((Inputs!$B$12*(1+Inputs!$B$13/100))-(Inputs!$B$12*(1+Inputs!$B$13/100)))+0.25*(Inputs!$B$14-Inputs!$B$14))*(1+Inputs!$B$7/100))*(F2503/100)</f>
        <v/>
      </c>
      <c r="K2503">
        <f>J2503*(1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2503)</f>
        <v/>
      </c>
      <c r="L2503">
        <f>K2503*(MIN(Inputs!$B$22+((C2513=TRUE)*(F2513-Calc!F22)),(Inputs!$B$23+0+(IF(ArtifactsInput!$M$15,CHOOSE(ArtifactsInput!$N$15+1,25,30,35,40,45,50)/100*(Inputs!$B$11-Inputs!$B$11),0))))/100+(Inputs!$B$23+0+(IF(ArtifactsInput!$M$15,CHOOSE(ArtifactsInput!$N$15+1,25,30,35,40,45,50)/100*(Inputs!$B$11-Inputs!$B$11),0)))/100)/2</f>
        <v/>
      </c>
      <c r="M2503">
        <f>L2503*(1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3">
        <f>L2503*(1-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2503*(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3">
        <f>(1-Summary!$B$11)*T2503+Summary!$B$11*V2503</f>
        <v/>
      </c>
      <c r="P2503">
        <f>IF(B2532=0,0,O2503/B2532)</f>
        <v/>
      </c>
      <c r="Q2503">
        <f>IFERROR(1/(IF(Inputs!$B$38="pvp",15,MAX(0.1,Skills!D12-IF(Skills!E12=TRUE,Inputs!$B$32,0)))*(1-IF(AND(ArtifactsInput!$M$27,Inputs!$B$4="Chapter Hunt"),CHOOSE(ArtifactsInput!$N$27+1,20,24,28,32,36,40),0)/100)),0)</f>
        <v/>
      </c>
      <c r="R2503">
        <f>IF(AND(Inputs!$B$38&lt;&gt;"pvp",Inputs!$B$43&gt;0),IF(MAX(0,Inputs!$B$43-B2529)&lt;=0,0,(INT(MAX(0,Inputs!$B$43-B2529)/(IF(Inputs!$B$38="pvp",15,MAX(0.1,Skills!D12-IF(Skills!E12=TRUE,Inputs!$B$32,0)))*(1-IF(AND(ArtifactsInput!$M$27,Inputs!$B$4="Chapter Hunt"),CHOOSE(ArtifactsInput!$N$27+1,20,24,28,32,36,40),0)/100)))+1)),0)</f>
        <v/>
      </c>
      <c r="S2503">
        <f>IFERROR(O2503/N2503,0)</f>
        <v/>
      </c>
      <c r="T2503">
        <f>IF(C2503,(H2503*N2503*IF(AND(Inputs!$B$38&lt;&gt;"pvp",Inputs!$B$43&gt;0),((Skills!G12*((R2503-1)*IF(Skills!H12&gt;0,Skills!I12/Skills!H12,1)+IF(Skills!H12&gt;0,MIN(Skills!I12,MAX(0,MAX(0,Inputs!$B$43-B2529)-((R2503-1)*(IF(Inputs!$B$38="pvp",15,MAX(0.1,Skills!D12-IF(Skills!E12=TRUE,Inputs!$B$32,0)))*(1-IF(AND(ArtifactsInput!$M$27,Inputs!$B$4="Chapter Hunt"),CHOOSE(ArtifactsInput!$N$27+1,20,24,28,32,36,40),0)/100)))))/Skills!H12,1)))/Inputs!$B$43),G2503*Q2503))*IF(Inputs!$B$38="pvp",1,1+(Inputs!$B$20+0+Skills!P12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2503*(1-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2503*(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2503*(1-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2503*(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3">
        <f>IF(C2503,(H2503*N2503*IF(AND(Inputs!$B$38&lt;&gt;"pvp",Inputs!$B$43&gt;0),((Skills!G12*((R2503-1)*IF(Skills!H12&gt;0,Skills!I12/Skills!H12,1)+IF(Skills!H12&gt;0,MIN(Skills!I12,MAX(0,MAX(0,Inputs!$B$43-B2529)-((R2503-1)*(IF(Inputs!$B$38="pvp",15,MAX(0.1,Skills!D12-IF(Skills!E12=TRUE,Inputs!$B$32,0)))*(1-IF(AND(ArtifactsInput!$M$27,Inputs!$B$4="Chapter Hunt"),CHOOSE(ArtifactsInput!$N$27+1,20,24,28,32,36,40),0)/100)))))/Skills!H12,1)))/Inputs!$B$43),G2503*Q2503))*IF(Inputs!$B$38="pvp",1,(1+(Inputs!$B$21+Skills!Q12+(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4">
      <c r="A2504">
        <f>Skills!A13</f>
        <v/>
      </c>
      <c r="B2504">
        <f>Skills!B13</f>
        <v/>
      </c>
      <c r="C2504">
        <f>Inputs!$B$3&gt;=110</f>
        <v/>
      </c>
      <c r="D2504">
        <f>IF(Skills!C13=1,60+Inputs!$B$25+Inputs!$B$29,IF(Skills!C13=2,90+Inputs!$B$26+Inputs!$B$29,IF(Skills!C13=3,120+Inputs!$B$27+Inputs!$B$29,MAX(0,(Inputs!$B$3-100)*3)+Inputs!$B$28+Inputs!$B$29)))</f>
        <v/>
      </c>
      <c r="E2504">
        <f>INDEX(FactorTable!$B$2:$Y$301, MATCH(ROUND(MIN(300,MAX(1,D2504)),0), FactorTable!$A$2:$A$301,0), Skills!M13+1)</f>
        <v/>
      </c>
      <c r="F2504">
        <f>IF(Skills!N13=TRUE,(Skills!L13/10)*(E2504/1000),Skills!L13/10)+Skills!O13</f>
        <v/>
      </c>
      <c r="G2504">
        <f>Skills!G13*IF(Skills!H13&gt;0,Skills!I13/Skills!H13,1)</f>
        <v/>
      </c>
      <c r="H2504">
        <f>1-(1-Skills!J13/100)^Skills!K13</f>
        <v/>
      </c>
      <c r="I2504" t="inlineStr">
        <is>
          <t>1</t>
        </is>
      </c>
      <c r="J2504">
        <f>((Inputs!$B$6*(1+Inputs!$B$7/100))+(((Inputs!$B$12*(1+Inputs!$B$13/100))-(Inputs!$B$12*(1+Inputs!$B$13/100)))+0.25*(Inputs!$B$14-Inputs!$B$14))*(1+Inputs!$B$7/100))*(F2504/100)</f>
        <v/>
      </c>
      <c r="K2504">
        <f>J2504*(1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2504)</f>
        <v/>
      </c>
      <c r="L2504">
        <f>K2504*(MIN(Inputs!$B$22+((C2513=TRUE)*(F2513-Calc!F22)),(Inputs!$B$23+0+(IF(ArtifactsInput!$M$15,CHOOSE(ArtifactsInput!$N$15+1,25,30,35,40,45,50)/100*(Inputs!$B$11-Inputs!$B$11),0))))/100+(Inputs!$B$23+0+(IF(ArtifactsInput!$M$15,CHOOSE(ArtifactsInput!$N$15+1,25,30,35,40,45,50)/100*(Inputs!$B$11-Inputs!$B$11),0)))/100)/2</f>
        <v/>
      </c>
      <c r="M2504">
        <f>L2504*(1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4">
        <f>L2504*(1-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2504*(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4">
        <f>(1-Summary!$B$11)*T2504+Summary!$B$11*V2504</f>
        <v/>
      </c>
      <c r="P2504">
        <f>IF(B2532=0,0,O2504/B2532)</f>
        <v/>
      </c>
      <c r="Q2504">
        <f>IFERROR(1/(IF(Inputs!$B$38="pvp",15,MAX(0.1,Skills!D13-IF(Skills!E13=TRUE,Inputs!$B$32,0)))*(1-IF(AND(ArtifactsInput!$M$27,Inputs!$B$4="Chapter Hunt"),CHOOSE(ArtifactsInput!$N$27+1,20,24,28,32,36,40),0)/100)),0)</f>
        <v/>
      </c>
      <c r="R2504">
        <f>IF(AND(Inputs!$B$38&lt;&gt;"pvp",Inputs!$B$43&gt;0),IF(MAX(0,Inputs!$B$43-B2529)&lt;=0,0,(INT(MAX(0,Inputs!$B$43-B2529)/(IF(Inputs!$B$38="pvp",15,MAX(0.1,Skills!D13-IF(Skills!E13=TRUE,Inputs!$B$32,0)))*(1-IF(AND(ArtifactsInput!$M$27,Inputs!$B$4="Chapter Hunt"),CHOOSE(ArtifactsInput!$N$27+1,20,24,28,32,36,40),0)/100)))+1)),0)</f>
        <v/>
      </c>
      <c r="S2504">
        <f>IFERROR(O2504/N2504,0)</f>
        <v/>
      </c>
      <c r="T2504">
        <f>IF(C2504,(H2504*N2504*IF(AND(Inputs!$B$38&lt;&gt;"pvp",Inputs!$B$43&gt;0),((Skills!G13*((R2504-1)*IF(Skills!H13&gt;0,Skills!I13/Skills!H13,1)+IF(Skills!H13&gt;0,MIN(Skills!I13,MAX(0,MAX(0,Inputs!$B$43-B2529)-((R2504-1)*(IF(Inputs!$B$38="pvp",15,MAX(0.1,Skills!D13-IF(Skills!E13=TRUE,Inputs!$B$32,0)))*(1-IF(AND(ArtifactsInput!$M$27,Inputs!$B$4="Chapter Hunt"),CHOOSE(ArtifactsInput!$N$27+1,20,24,28,32,36,40),0)/100)))))/Skills!H13,1)))/Inputs!$B$43),G2504*Q2504))*IF(Inputs!$B$38="pvp",1,1+(Inputs!$B$20+0+Skills!P13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2504*(1-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2504*(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2504*(1-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2504*(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4">
        <f>IF(C2504,(H2504*N2504*IF(AND(Inputs!$B$38&lt;&gt;"pvp",Inputs!$B$43&gt;0),((Skills!G13*((R2504-1)*IF(Skills!H13&gt;0,Skills!I13/Skills!H13,1)+IF(Skills!H13&gt;0,MIN(Skills!I13,MAX(0,MAX(0,Inputs!$B$43-B2529)-((R2504-1)*(IF(Inputs!$B$38="pvp",15,MAX(0.1,Skills!D13-IF(Skills!E13=TRUE,Inputs!$B$32,0)))*(1-IF(AND(ArtifactsInput!$M$27,Inputs!$B$4="Chapter Hunt"),CHOOSE(ArtifactsInput!$N$27+1,20,24,28,32,36,40),0)/100)))))/Skills!H13,1)))/Inputs!$B$43),G2504*Q2504))*IF(Inputs!$B$38="pvp",1,(1+(Inputs!$B$21+Skills!Q13+(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5">
      <c r="A2505">
        <f>Skills!A14</f>
        <v/>
      </c>
      <c r="B2505">
        <f>Skills!B14</f>
        <v/>
      </c>
      <c r="C2505">
        <f>Inputs!$B$3&gt;=125</f>
        <v/>
      </c>
      <c r="D2505">
        <f>IF(Skills!C14=1,60+Inputs!$B$25+Inputs!$B$29,IF(Skills!C14=2,90+Inputs!$B$26+Inputs!$B$29,IF(Skills!C14=3,120+Inputs!$B$27+Inputs!$B$29,MAX(0,(Inputs!$B$3-100)*3)+Inputs!$B$28+Inputs!$B$29)))</f>
        <v/>
      </c>
      <c r="E2505">
        <f>INDEX(FactorTable!$B$2:$Y$301, MATCH(ROUND(MIN(300,MAX(1,D2505)),0), FactorTable!$A$2:$A$301,0), Skills!M14+1)</f>
        <v/>
      </c>
      <c r="F2505">
        <f>IF(Skills!N14=TRUE,(Skills!L14/10)*(E2505/1000),Skills!L14/10)+Skills!O14</f>
        <v/>
      </c>
      <c r="G2505">
        <f>Skills!G14*IF(Skills!H14&gt;0,Skills!I14/Skills!H14,1)</f>
        <v/>
      </c>
      <c r="H2505">
        <f>1-(1-Skills!J14/100)^Skills!K14</f>
        <v/>
      </c>
      <c r="I2505" t="inlineStr">
        <is>
          <t>1</t>
        </is>
      </c>
      <c r="J2505">
        <f>((Inputs!$B$6*(1+Inputs!$B$7/100))+(((Inputs!$B$12*(1+Inputs!$B$13/100))-(Inputs!$B$12*(1+Inputs!$B$13/100)))+0.25*(Inputs!$B$14-Inputs!$B$14))*(1+Inputs!$B$7/100))*(F2505/100)</f>
        <v/>
      </c>
      <c r="K2505">
        <f>J2505*(1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2505)</f>
        <v/>
      </c>
      <c r="L2505">
        <f>K2505*(MIN(Inputs!$B$22+((C2513=TRUE)*(F2513-Calc!F22)),(Inputs!$B$23+0+(IF(ArtifactsInput!$M$15,CHOOSE(ArtifactsInput!$N$15+1,25,30,35,40,45,50)/100*(Inputs!$B$11-Inputs!$B$11),0))))/100+(Inputs!$B$23+0+(IF(ArtifactsInput!$M$15,CHOOSE(ArtifactsInput!$N$15+1,25,30,35,40,45,50)/100*(Inputs!$B$11-Inputs!$B$11),0)))/100)/2</f>
        <v/>
      </c>
      <c r="M2505">
        <f>L2505*(1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5">
        <f>L2505*(1-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2505*(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5">
        <f>(1-Summary!$B$11)*T2505+Summary!$B$11*V2505</f>
        <v/>
      </c>
      <c r="P2505">
        <f>IF(B2532=0,0,O2505/B2532)</f>
        <v/>
      </c>
      <c r="Q2505" t="n">
        <v>0</v>
      </c>
      <c r="R2505" t="n">
        <v>0</v>
      </c>
      <c r="S2505">
        <f>IFERROR(O2505/N2505,0)</f>
        <v/>
      </c>
      <c r="T2505">
        <f>IF(C2505,(H2505*N2505*(B2526+IF(AND(Inputs!$B$38&lt;&gt;"pvp",Inputs!$B$43&gt;0),((Skills!G8*((R2499-1)*IF(Skills!H8&gt;0,Skills!I8/Skills!H8,1)+IF(Skills!H8&gt;0,MIN(Skills!I8,MAX(0,MAX(0,Inputs!$B$43-B2529)-((R2499-1)*(IF(Inputs!$B$38="pvp",15,MAX(0.1,Skills!D8-IF(Skills!E8=TRUE,Inputs!$B$32,0)))*(1-IF(AND(ArtifactsInput!$M$27,Inputs!$B$4="Chapter Hunt"),CHOOSE(ArtifactsInput!$N$27+1,20,24,28,32,36,40),0)/100)))))/Skills!H8,1)))/Inputs!$B$43),G2499*Q2499)+IF(AND(Inputs!$B$38&lt;&gt;"pvp",Inputs!$B$43&gt;0),((Skills!G11*((R2502-1)*IF(Skills!H11&gt;0,Skills!I11/Skills!H11,1)+IF(Skills!H11&gt;0,MIN(Skills!I11,MAX(0,MAX(0,Inputs!$B$43-B2529)-((R2502-1)*(IF(Inputs!$B$38="pvp",15,MAX(0.1,Skills!D11-IF(Skills!E11=TRUE,Inputs!$B$32,0)))*(1-IF(AND(ArtifactsInput!$M$27,Inputs!$B$4="Chapter Hunt"),CHOOSE(ArtifactsInput!$N$27+1,20,24,28,32,36,40),0)/100)))))/Skills!H11,1)))/Inputs!$B$43),G2502*Q2502)))*IF(Inputs!$B$38="pvp",1,1+(Inputs!$B$20+0+Skills!P14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2505*(1-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2505*(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2505*(1-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2505*(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5">
        <f>IF(C2505,(H2505*N2505*(B2526+IF(AND(Inputs!$B$38&lt;&gt;"pvp",Inputs!$B$43&gt;0),((Skills!G8*((R2499-1)*IF(Skills!H8&gt;0,Skills!I8/Skills!H8,1)+IF(Skills!H8&gt;0,MIN(Skills!I8,MAX(0,MAX(0,Inputs!$B$43-B2529)-((R2499-1)*(IF(Inputs!$B$38="pvp",15,MAX(0.1,Skills!D8-IF(Skills!E8=TRUE,Inputs!$B$32,0)))*(1-IF(AND(ArtifactsInput!$M$27,Inputs!$B$4="Chapter Hunt"),CHOOSE(ArtifactsInput!$N$27+1,20,24,28,32,36,40),0)/100)))))/Skills!H8,1)))/Inputs!$B$43),G2499*Q2499)+IF(AND(Inputs!$B$38&lt;&gt;"pvp",Inputs!$B$43&gt;0),((Skills!G11*((R2502-1)*IF(Skills!H11&gt;0,Skills!I11/Skills!H11,1)+IF(Skills!H11&gt;0,MIN(Skills!I11,MAX(0,MAX(0,Inputs!$B$43-B2529)-((R2502-1)*(IF(Inputs!$B$38="pvp",15,MAX(0.1,Skills!D11-IF(Skills!E11=TRUE,Inputs!$B$32,0)))*(1-IF(AND(ArtifactsInput!$M$27,Inputs!$B$4="Chapter Hunt"),CHOOSE(ArtifactsInput!$N$27+1,20,24,28,32,36,40),0)/100)))))/Skills!H11,1)))/Inputs!$B$43),G2502*Q2502)))*IF(Inputs!$B$38="pvp",1,(1+(Inputs!$B$21+Skills!Q14+(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6">
      <c r="A2506">
        <f>Skills!A15</f>
        <v/>
      </c>
      <c r="B2506">
        <f>Skills!B15</f>
        <v/>
      </c>
      <c r="C2506">
        <f>Inputs!$B$3&gt;=100</f>
        <v/>
      </c>
      <c r="D2506">
        <f>IF(Skills!C15=1,60+Inputs!$B$25+Inputs!$B$29,IF(Skills!C15=2,90+Inputs!$B$26+Inputs!$B$29,IF(Skills!C15=3,120+Inputs!$B$27+Inputs!$B$29,MAX(0,(Inputs!$B$3-100)*3)+Inputs!$B$28+Inputs!$B$29)))</f>
        <v/>
      </c>
      <c r="E2506">
        <f>INDEX(FactorTable!$B$2:$Y$301, MATCH(ROUND(MIN(300,MAX(1,D2506)),0), FactorTable!$A$2:$A$301,0), Skills!M15+1)</f>
        <v/>
      </c>
      <c r="F2506">
        <f>IF(Skills!N15=TRUE,(Skills!L15/10)*(E2506/1000),Skills!L15/10)+Skills!O15</f>
        <v/>
      </c>
      <c r="G2506" t="inlineStr"/>
      <c r="H2506" t="inlineStr"/>
      <c r="I2506" t="inlineStr">
        <is>
          <t>1</t>
        </is>
      </c>
      <c r="J2506" t="inlineStr"/>
      <c r="K2506" t="inlineStr"/>
      <c r="L2506" t="inlineStr"/>
      <c r="M2506" t="inlineStr"/>
      <c r="N2506" t="inlineStr"/>
      <c r="O2506" t="inlineStr"/>
      <c r="P2506" t="inlineStr"/>
      <c r="Q2506" t="inlineStr"/>
      <c r="R2506" t="inlineStr"/>
      <c r="S2506" t="inlineStr"/>
    </row>
    <row r="2507">
      <c r="A2507">
        <f>Skills!A16</f>
        <v/>
      </c>
      <c r="B2507">
        <f>Skills!B16</f>
        <v/>
      </c>
      <c r="C2507">
        <f>Inputs!$B$3&gt;=120</f>
        <v/>
      </c>
      <c r="D2507">
        <f>IF(Skills!C16=1,60+Inputs!$B$25+Inputs!$B$29,IF(Skills!C16=2,90+Inputs!$B$26+Inputs!$B$29,IF(Skills!C16=3,120+Inputs!$B$27+Inputs!$B$29,MAX(0,(Inputs!$B$3-100)*3)+Inputs!$B$28+Inputs!$B$29)))</f>
        <v/>
      </c>
      <c r="E2507">
        <f>INDEX(FactorTable!$B$2:$Y$301, MATCH(ROUND(MIN(300,MAX(1,D2507)),0), FactorTable!$A$2:$A$301,0), Skills!M16+1)</f>
        <v/>
      </c>
      <c r="F2507">
        <f>IF(Skills!N16=TRUE,(Skills!L16/10)*(E2507/1000),Skills!L16/10)+Skills!O16</f>
        <v/>
      </c>
      <c r="G2507" t="inlineStr"/>
      <c r="H2507" t="inlineStr"/>
      <c r="I2507" t="inlineStr">
        <is>
          <t>1</t>
        </is>
      </c>
      <c r="J2507" t="inlineStr"/>
      <c r="K2507" t="inlineStr"/>
      <c r="L2507" t="inlineStr"/>
      <c r="M2507" t="inlineStr"/>
      <c r="N2507" t="inlineStr"/>
      <c r="O2507" t="inlineStr"/>
      <c r="P2507" t="inlineStr"/>
      <c r="Q2507" t="inlineStr"/>
      <c r="R2507" t="inlineStr"/>
      <c r="S2507" t="inlineStr"/>
    </row>
    <row r="2508">
      <c r="A2508">
        <f>Skills!A17</f>
        <v/>
      </c>
      <c r="B2508">
        <f>Skills!B17</f>
        <v/>
      </c>
      <c r="C2508">
        <f>Inputs!$B$3&gt;=66</f>
        <v/>
      </c>
      <c r="D2508">
        <f>IF(Skills!C17=1,60+Inputs!$B$25+Inputs!$B$29,IF(Skills!C17=2,90+Inputs!$B$26+Inputs!$B$29,IF(Skills!C17=3,120+Inputs!$B$27+Inputs!$B$29,MAX(0,(Inputs!$B$3-100)*3)+Inputs!$B$28+Inputs!$B$29)))</f>
        <v/>
      </c>
      <c r="E2508">
        <f>INDEX(FactorTable!$B$2:$Y$301, MATCH(ROUND(MIN(300,MAX(1,D2508)),0), FactorTable!$A$2:$A$301,0), Skills!M17+1)</f>
        <v/>
      </c>
      <c r="F2508">
        <f>IF(Skills!N17=TRUE,(Skills!L17/10)*(E2508/1000),Skills!L17/10)+Skills!O17</f>
        <v/>
      </c>
      <c r="G2508">
        <f>Skills!G17*IF(Skills!H17&gt;0,Skills!I17/Skills!H17,1)</f>
        <v/>
      </c>
      <c r="H2508">
        <f>1-(1-Skills!J17/100)^Skills!K17</f>
        <v/>
      </c>
      <c r="I2508" t="inlineStr">
        <is>
          <t>1</t>
        </is>
      </c>
      <c r="J2508" t="inlineStr"/>
      <c r="K2508" t="inlineStr"/>
      <c r="L2508" t="inlineStr"/>
      <c r="M2508" t="inlineStr"/>
      <c r="N2508" t="inlineStr"/>
      <c r="O2508">
        <f>(1-Summary!$B$11)*T2508+Summary!$B$11*V2508</f>
        <v/>
      </c>
      <c r="P2508">
        <f>IF(B2532=0,0,O2508/B2532)</f>
        <v/>
      </c>
      <c r="Q2508" t="n">
        <v>0</v>
      </c>
      <c r="R2508" t="n">
        <v>0</v>
      </c>
      <c r="S2508">
        <f>IFERROR(O2508/N2508,0)</f>
        <v/>
      </c>
      <c r="T2508" t="n">
        <v>0</v>
      </c>
      <c r="V2508" t="n">
        <v>0</v>
      </c>
    </row>
    <row r="2509">
      <c r="A2509">
        <f>Skills!A18</f>
        <v/>
      </c>
      <c r="B2509">
        <f>Skills!B18</f>
        <v/>
      </c>
      <c r="C2509">
        <f>Inputs!$B$3&gt;=115</f>
        <v/>
      </c>
      <c r="D2509">
        <f>IF(Skills!C18=1,60+Inputs!$B$25+Inputs!$B$29,IF(Skills!C18=2,90+Inputs!$B$26+Inputs!$B$29,IF(Skills!C18=3,120+Inputs!$B$27+Inputs!$B$29,MAX(0,(Inputs!$B$3-100)*3)+Inputs!$B$28+Inputs!$B$29)))</f>
        <v/>
      </c>
      <c r="E2509">
        <f>INDEX(FactorTable!$B$2:$Y$301, MATCH(ROUND(MIN(300,MAX(1,D2509)),0), FactorTable!$A$2:$A$301,0), Skills!M18+1)</f>
        <v/>
      </c>
      <c r="F2509">
        <f>IF(Skills!N18=TRUE,(Skills!L18/10)*(E2509/1000),Skills!L18/10)+Skills!O18</f>
        <v/>
      </c>
      <c r="G2509">
        <f>Skills!G18*IF(Skills!H18&gt;0,Skills!I18/Skills!H18,1)</f>
        <v/>
      </c>
      <c r="H2509">
        <f>1-(1-Skills!J18/100)^Skills!K18</f>
        <v/>
      </c>
      <c r="I2509" t="inlineStr">
        <is>
          <t>1</t>
        </is>
      </c>
      <c r="J2509" t="inlineStr"/>
      <c r="K2509" t="inlineStr"/>
      <c r="L2509" t="inlineStr"/>
      <c r="M2509" t="inlineStr"/>
      <c r="N2509" t="inlineStr"/>
      <c r="O2509">
        <f>(1-Summary!$B$11)*T2509+Summary!$B$11*V2509</f>
        <v/>
      </c>
      <c r="P2509">
        <f>IF(B2532=0,0,O2509/B2532)</f>
        <v/>
      </c>
      <c r="Q2509">
        <f>IFERROR(1/(IF(Inputs!$B$38="pvp",15,MAX(0.1,Skills!D18-IF(Skills!E18=TRUE,Inputs!$B$32,0)))*(1-IF(AND(ArtifactsInput!$M$27,Inputs!$B$4="Chapter Hunt"),CHOOSE(ArtifactsInput!$N$27+1,20,24,28,32,36,40),0)/100)),0)</f>
        <v/>
      </c>
      <c r="R2509">
        <f>IF(AND(Inputs!$B$38&lt;&gt;"pvp",Inputs!$B$43&gt;0),IF(Inputs!$B$43&lt;=0,0,(INT(Inputs!$B$43/(IF(Inputs!$B$38="pvp",15,MAX(0.1,Skills!D18-IF(Skills!E18=TRUE,Inputs!$B$32,0)))*(1-IF(AND(ArtifactsInput!$M$27,Inputs!$B$4="Chapter Hunt"),CHOOSE(ArtifactsInput!$N$27+1,20,24,28,32,36,40),0)/100)))+1)),0)</f>
        <v/>
      </c>
      <c r="S2509">
        <f>IFERROR(O2509/N2509,0)</f>
        <v/>
      </c>
      <c r="T2509" t="n">
        <v>0</v>
      </c>
      <c r="V2509" t="n">
        <v>0</v>
      </c>
    </row>
    <row r="2510">
      <c r="A2510">
        <f>Skills!A19</f>
        <v/>
      </c>
      <c r="B2510">
        <f>Skills!B19</f>
        <v/>
      </c>
      <c r="C2510">
        <f>Inputs!$B$3&gt;=15</f>
        <v/>
      </c>
      <c r="D2510">
        <f>IF(Skills!C19=1,60+Inputs!$B$25+Inputs!$B$29,IF(Skills!C19=2,90+Inputs!$B$26+Inputs!$B$29,IF(Skills!C19=3,120+Inputs!$B$27+Inputs!$B$29,MAX(0,(Inputs!$B$3-100)*3)+Inputs!$B$28+Inputs!$B$29)))</f>
        <v/>
      </c>
      <c r="E2510">
        <f>INDEX(FactorTable!$B$2:$Y$301, MATCH(ROUND(MIN(300,MAX(1,D2510)),0), FactorTable!$A$2:$A$301,0), Skills!M19+1)</f>
        <v/>
      </c>
      <c r="F2510">
        <f>IF(Skills!N19=TRUE,(Skills!L19/10)*(E2510/1000),Skills!L19/10)+Skills!O19</f>
        <v/>
      </c>
      <c r="G2510">
        <f>Skills!G19*IF(Skills!H19&gt;0,Skills!I19/Skills!H19,1)</f>
        <v/>
      </c>
      <c r="H2510">
        <f>1-(1-Skills!J19/100)^Skills!K19</f>
        <v/>
      </c>
      <c r="I2510" t="inlineStr">
        <is>
          <t>1</t>
        </is>
      </c>
      <c r="J2510" t="inlineStr"/>
      <c r="K2510" t="inlineStr"/>
      <c r="L2510" t="inlineStr"/>
      <c r="M2510" t="inlineStr"/>
      <c r="N2510" t="inlineStr"/>
      <c r="O2510">
        <f>(1-Summary!$B$11)*T2510+Summary!$B$11*V2510</f>
        <v/>
      </c>
      <c r="P2510">
        <f>IF(B2532=0,0,O2510/B2532)</f>
        <v/>
      </c>
      <c r="Q2510" t="n">
        <v>0</v>
      </c>
      <c r="R2510" t="n">
        <v>0</v>
      </c>
      <c r="S2510">
        <f>IFERROR(O2510/N2510,0)</f>
        <v/>
      </c>
      <c r="T2510" t="n">
        <v>0</v>
      </c>
      <c r="V2510" t="n">
        <v>0</v>
      </c>
    </row>
    <row r="2511">
      <c r="A2511">
        <f>Skills!A20</f>
        <v/>
      </c>
      <c r="B2511">
        <f>Skills!B20</f>
        <v/>
      </c>
      <c r="C2511">
        <f>Inputs!$B$3&gt;=10</f>
        <v/>
      </c>
      <c r="D2511">
        <f>IF(Skills!C20=1,60+Inputs!$B$25+Inputs!$B$29,IF(Skills!C20=2,90+Inputs!$B$26+Inputs!$B$29,IF(Skills!C20=3,120+Inputs!$B$27+Inputs!$B$29,MAX(0,(Inputs!$B$3-100)*3)+Inputs!$B$28+Inputs!$B$29)))</f>
        <v/>
      </c>
      <c r="E2511">
        <f>INDEX(FactorTable!$B$2:$Y$301, MATCH(ROUND(MIN(300,MAX(1,D2511)),0), FactorTable!$A$2:$A$301,0), Skills!M20+1)</f>
        <v/>
      </c>
      <c r="F2511">
        <f>IF(Skills!N20=TRUE,(Skills!L20/10)*(E2511/1000),Skills!L20/10)+Skills!O20</f>
        <v/>
      </c>
      <c r="G2511">
        <f>Skills!G20*IF(Skills!H20&gt;0,Skills!I20/Skills!H20,1)</f>
        <v/>
      </c>
      <c r="H2511">
        <f>1-(1-Skills!J20/100)^Skills!K20</f>
        <v/>
      </c>
      <c r="I2511" t="inlineStr">
        <is>
          <t>1</t>
        </is>
      </c>
      <c r="J2511" t="inlineStr"/>
      <c r="K2511" t="inlineStr"/>
      <c r="L2511" t="inlineStr"/>
      <c r="M2511" t="inlineStr"/>
      <c r="N2511" t="inlineStr"/>
      <c r="O2511">
        <f>(1-Summary!$B$11)*T2511+Summary!$B$11*V2511</f>
        <v/>
      </c>
      <c r="P2511">
        <f>IF(B2532=0,0,O2511/B2532)</f>
        <v/>
      </c>
      <c r="Q2511" t="n">
        <v>0</v>
      </c>
      <c r="R2511" t="n">
        <v>0</v>
      </c>
      <c r="S2511">
        <f>IFERROR(O2511/N2511,0)</f>
        <v/>
      </c>
      <c r="T2511" t="n">
        <v>0</v>
      </c>
      <c r="V2511" t="n">
        <v>0</v>
      </c>
    </row>
    <row r="2512">
      <c r="A2512">
        <f>Skills!A21</f>
        <v/>
      </c>
      <c r="B2512">
        <f>Skills!B21</f>
        <v/>
      </c>
      <c r="C2512">
        <f>Inputs!$B$3&gt;=33</f>
        <v/>
      </c>
      <c r="D2512">
        <f>IF(Skills!C21=1,60+Inputs!$B$25+Inputs!$B$29,IF(Skills!C21=2,90+Inputs!$B$26+Inputs!$B$29,IF(Skills!C21=3,120+Inputs!$B$27+Inputs!$B$29,MAX(0,(Inputs!$B$3-100)*3)+Inputs!$B$28+Inputs!$B$29)))</f>
        <v/>
      </c>
      <c r="E2512">
        <f>INDEX(FactorTable!$B$2:$Y$301, MATCH(ROUND(MIN(300,MAX(1,D2512)),0), FactorTable!$A$2:$A$301,0), Skills!M21+1)</f>
        <v/>
      </c>
      <c r="F2512">
        <f>IF(Skills!N21=TRUE,(Skills!L21/10)*(E2512/1000),Skills!L21/10)+Skills!O21</f>
        <v/>
      </c>
      <c r="G2512">
        <f>Skills!G21*IF(Skills!H21&gt;0,Skills!I21/Skills!H21,1)</f>
        <v/>
      </c>
      <c r="H2512">
        <f>1-(1-Skills!J21/100)^Skills!K21</f>
        <v/>
      </c>
      <c r="I2512" t="inlineStr">
        <is>
          <t>1</t>
        </is>
      </c>
      <c r="J2512" t="inlineStr"/>
      <c r="K2512" t="inlineStr"/>
      <c r="L2512" t="inlineStr"/>
      <c r="M2512" t="inlineStr"/>
      <c r="N2512" t="inlineStr"/>
      <c r="O2512">
        <f>(1-Summary!$B$11)*T2512+Summary!$B$11*V2512</f>
        <v/>
      </c>
      <c r="P2512">
        <f>IF(B2532=0,0,O2512/B2532)</f>
        <v/>
      </c>
      <c r="Q2512" t="n">
        <v>0</v>
      </c>
      <c r="R2512" t="n">
        <v>0</v>
      </c>
      <c r="S2512">
        <f>IFERROR(O2512/N2512,0)</f>
        <v/>
      </c>
      <c r="T2512" t="n">
        <v>0</v>
      </c>
      <c r="V2512" t="n">
        <v>0</v>
      </c>
    </row>
    <row r="2513">
      <c r="A2513">
        <f>Skills!A22</f>
        <v/>
      </c>
      <c r="B2513">
        <f>Skills!B22</f>
        <v/>
      </c>
      <c r="C2513">
        <f>Inputs!$B$3&gt;=43</f>
        <v/>
      </c>
      <c r="D2513">
        <f>IF(Skills!C22=1,60+Inputs!$B$25+Inputs!$B$29,IF(Skills!C22=2,90+Inputs!$B$26+Inputs!$B$29,IF(Skills!C22=3,120+Inputs!$B$27+Inputs!$B$29,MAX(0,(Inputs!$B$3-100)*3)+Inputs!$B$28+Inputs!$B$29)))</f>
        <v/>
      </c>
      <c r="E2513">
        <f>INDEX(FactorTable!$B$2:$Y$301, MATCH(ROUND(MIN(300,MAX(1,D2513)),0), FactorTable!$A$2:$A$301,0), Skills!M22+1)</f>
        <v/>
      </c>
      <c r="F2513">
        <f>IF(Skills!N22=TRUE,(Skills!L22/10)*(E2513/1000),Skills!L22/10)+Skills!O22</f>
        <v/>
      </c>
      <c r="G2513">
        <f>Skills!G22*IF(Skills!H22&gt;0,Skills!I22/Skills!H22,1)</f>
        <v/>
      </c>
      <c r="H2513">
        <f>1-(1-Skills!J22/100)^Skills!K22</f>
        <v/>
      </c>
      <c r="I2513" t="inlineStr">
        <is>
          <t>1</t>
        </is>
      </c>
      <c r="J2513" t="inlineStr"/>
      <c r="K2513" t="inlineStr"/>
      <c r="L2513" t="inlineStr"/>
      <c r="M2513" t="inlineStr"/>
      <c r="N2513" t="inlineStr"/>
      <c r="O2513">
        <f>(1-Summary!$B$11)*T2513+Summary!$B$11*V2513</f>
        <v/>
      </c>
      <c r="P2513">
        <f>IF(B2532=0,0,O2513/B2532)</f>
        <v/>
      </c>
      <c r="Q2513" t="n">
        <v>0</v>
      </c>
      <c r="R2513" t="n">
        <v>0</v>
      </c>
      <c r="S2513">
        <f>IFERROR(O2513/N2513,0)</f>
        <v/>
      </c>
      <c r="T2513" t="n">
        <v>0</v>
      </c>
      <c r="V2513" t="n">
        <v>0</v>
      </c>
    </row>
    <row r="2514">
      <c r="A2514">
        <f>Skills!A23</f>
        <v/>
      </c>
      <c r="B2514">
        <f>Skills!B23</f>
        <v/>
      </c>
      <c r="C2514">
        <f>Inputs!$B$3&gt;=38</f>
        <v/>
      </c>
      <c r="D2514">
        <f>IF(Skills!C23=1,60+Inputs!$B$25+Inputs!$B$29,IF(Skills!C23=2,90+Inputs!$B$26+Inputs!$B$29,IF(Skills!C23=3,120+Inputs!$B$27+Inputs!$B$29,MAX(0,(Inputs!$B$3-100)*3)+Inputs!$B$28+Inputs!$B$29)))</f>
        <v/>
      </c>
      <c r="E2514">
        <f>INDEX(FactorTable!$B$2:$Y$301, MATCH(ROUND(MIN(300,MAX(1,D2514)),0), FactorTable!$A$2:$A$301,0), Skills!M23+1)</f>
        <v/>
      </c>
      <c r="F2514">
        <f>IF(Skills!N23=TRUE,(Skills!L23/10)*(E2514/1000),Skills!L23/10)+Skills!O23</f>
        <v/>
      </c>
      <c r="G2514">
        <f>Skills!G23*IF(Skills!H23&gt;0,Skills!I23/Skills!H23,1)</f>
        <v/>
      </c>
      <c r="H2514">
        <f>1-(1-Skills!J23/100)^Skills!K23</f>
        <v/>
      </c>
      <c r="I2514" t="inlineStr">
        <is>
          <t>1</t>
        </is>
      </c>
      <c r="J2514" t="inlineStr"/>
      <c r="K2514" t="inlineStr"/>
      <c r="L2514" t="inlineStr"/>
      <c r="M2514" t="inlineStr"/>
      <c r="N2514" t="inlineStr"/>
      <c r="O2514">
        <f>(1-Summary!$B$11)*T2514+Summary!$B$11*V2514</f>
        <v/>
      </c>
      <c r="P2514">
        <f>IF(B2532=0,0,O2514/B2532)</f>
        <v/>
      </c>
      <c r="Q2514" t="n">
        <v>0</v>
      </c>
      <c r="R2514" t="n">
        <v>0</v>
      </c>
      <c r="S2514">
        <f>IFERROR(O2514/N2514,0)</f>
        <v/>
      </c>
      <c r="T2514" t="n">
        <v>0</v>
      </c>
      <c r="V2514" t="n">
        <v>0</v>
      </c>
    </row>
    <row r="2515">
      <c r="A2515">
        <f>Skills!A24</f>
        <v/>
      </c>
      <c r="B2515">
        <f>Skills!B24</f>
        <v/>
      </c>
      <c r="C2515">
        <f>Inputs!$B$3&gt;=40</f>
        <v/>
      </c>
      <c r="D2515">
        <f>IF(Skills!C24=1,60+Inputs!$B$25+Inputs!$B$29,IF(Skills!C24=2,90+Inputs!$B$26+Inputs!$B$29,IF(Skills!C24=3,120+Inputs!$B$27+Inputs!$B$29,MAX(0,(Inputs!$B$3-100)*3)+Inputs!$B$28+Inputs!$B$29)))</f>
        <v/>
      </c>
      <c r="E2515">
        <f>INDEX(FactorTable!$B$2:$Y$301, MATCH(ROUND(MIN(300,MAX(1,D2515)),0), FactorTable!$A$2:$A$301,0), Skills!M24+1)</f>
        <v/>
      </c>
      <c r="F2515">
        <f>IF(Skills!N24=TRUE,(Skills!L24/10)*(E2515/1000),Skills!L24/10)+Skills!O24</f>
        <v/>
      </c>
      <c r="G2515">
        <f>Skills!G24*IF(Skills!H24&gt;0,Skills!I24/Skills!H24,1)</f>
        <v/>
      </c>
      <c r="H2515">
        <f>1-(1-Skills!J24/100)^Skills!K24</f>
        <v/>
      </c>
      <c r="I2515" t="inlineStr">
        <is>
          <t>1</t>
        </is>
      </c>
      <c r="J2515" t="inlineStr"/>
      <c r="K2515" t="inlineStr"/>
      <c r="L2515" t="inlineStr"/>
      <c r="M2515" t="inlineStr"/>
      <c r="N2515" t="inlineStr"/>
      <c r="O2515">
        <f>(1-Summary!$B$11)*T2515+Summary!$B$11*V2515</f>
        <v/>
      </c>
      <c r="P2515">
        <f>IF(B2532=0,0,O2515/B2532)</f>
        <v/>
      </c>
      <c r="Q2515" t="n">
        <v>0</v>
      </c>
      <c r="R2515" t="n">
        <v>0</v>
      </c>
      <c r="S2515">
        <f>IFERROR(O2515/N2515,0)</f>
        <v/>
      </c>
      <c r="T2515" t="n">
        <v>0</v>
      </c>
      <c r="V2515" t="n">
        <v>0</v>
      </c>
    </row>
    <row r="2516">
      <c r="A2516">
        <f>Skills!A25</f>
        <v/>
      </c>
      <c r="B2516">
        <f>Skills!B25</f>
        <v/>
      </c>
      <c r="C2516">
        <f>Inputs!$B$3&gt;=72</f>
        <v/>
      </c>
      <c r="D2516">
        <f>IF(Skills!C25=1,60+Inputs!$B$25+Inputs!$B$29,IF(Skills!C25=2,90+Inputs!$B$26+Inputs!$B$29,IF(Skills!C25=3,120+Inputs!$B$27+Inputs!$B$29,MAX(0,(Inputs!$B$3-100)*3)+Inputs!$B$28+Inputs!$B$29)))</f>
        <v/>
      </c>
      <c r="E2516">
        <f>INDEX(FactorTable!$B$2:$Y$301, MATCH(ROUND(MIN(300,MAX(1,D2516)),0), FactorTable!$A$2:$A$301,0), Skills!M25+1)</f>
        <v/>
      </c>
      <c r="F2516">
        <f>IF(Skills!N25=TRUE,(Skills!L25/10)*(E2516/1000),Skills!L25/10)+Skills!O25</f>
        <v/>
      </c>
      <c r="G2516">
        <f>Skills!G25*IF(Skills!H25&gt;0,Skills!I25/Skills!H25,1)</f>
        <v/>
      </c>
      <c r="H2516">
        <f>1-(1-Skills!J25/100)^Skills!K25</f>
        <v/>
      </c>
      <c r="I2516" t="inlineStr">
        <is>
          <t>1</t>
        </is>
      </c>
      <c r="J2516" t="inlineStr"/>
      <c r="K2516" t="inlineStr"/>
      <c r="L2516" t="inlineStr"/>
      <c r="M2516" t="inlineStr"/>
      <c r="N2516" t="inlineStr"/>
      <c r="O2516">
        <f>(1-Summary!$B$11)*T2516+Summary!$B$11*V2516</f>
        <v/>
      </c>
      <c r="P2516">
        <f>IF(B2532=0,0,O2516/B2532)</f>
        <v/>
      </c>
      <c r="Q2516" t="n">
        <v>0</v>
      </c>
      <c r="R2516" t="n">
        <v>0</v>
      </c>
      <c r="S2516">
        <f>IFERROR(O2516/N2516,0)</f>
        <v/>
      </c>
      <c r="T2516" t="n">
        <v>0</v>
      </c>
      <c r="V2516" t="n">
        <v>0</v>
      </c>
    </row>
    <row r="2517">
      <c r="A2517">
        <f>Skills!A26</f>
        <v/>
      </c>
      <c r="B2517">
        <f>Skills!B26</f>
        <v/>
      </c>
      <c r="C2517">
        <f>Inputs!$B$3&gt;=75</f>
        <v/>
      </c>
      <c r="D2517">
        <f>IF(Skills!C26=1,60+Inputs!$B$25+Inputs!$B$29,IF(Skills!C26=2,90+Inputs!$B$26+Inputs!$B$29,IF(Skills!C26=3,120+Inputs!$B$27+Inputs!$B$29,MAX(0,(Inputs!$B$3-100)*3)+Inputs!$B$28+Inputs!$B$29)))</f>
        <v/>
      </c>
      <c r="E2517">
        <f>INDEX(FactorTable!$B$2:$Y$301, MATCH(ROUND(MIN(300,MAX(1,D2517)),0), FactorTable!$A$2:$A$301,0), Skills!M26+1)</f>
        <v/>
      </c>
      <c r="F2517">
        <f>IF(Skills!N26=TRUE,(Skills!L26/10)*(E2517/1000),Skills!L26/10)+Skills!O26</f>
        <v/>
      </c>
      <c r="G2517">
        <f>Skills!G26*IF(Skills!H26&gt;0,Skills!I26/Skills!H26,1)</f>
        <v/>
      </c>
      <c r="H2517">
        <f>1-(1-Skills!J26/100)^Skills!K26</f>
        <v/>
      </c>
      <c r="I2517" t="inlineStr">
        <is>
          <t>1</t>
        </is>
      </c>
      <c r="J2517" t="inlineStr"/>
      <c r="K2517" t="inlineStr"/>
      <c r="L2517" t="inlineStr"/>
      <c r="M2517" t="inlineStr"/>
      <c r="N2517" t="inlineStr"/>
      <c r="O2517">
        <f>(1-Summary!$B$11)*T2517+Summary!$B$11*V2517</f>
        <v/>
      </c>
      <c r="P2517">
        <f>IF(B2532=0,0,O2517/B2532)</f>
        <v/>
      </c>
      <c r="Q2517" t="n">
        <v>0</v>
      </c>
      <c r="R2517" t="n">
        <v>0</v>
      </c>
      <c r="S2517">
        <f>IFERROR(O2517/N2517,0)</f>
        <v/>
      </c>
      <c r="T2517" t="n">
        <v>0</v>
      </c>
      <c r="V2517" t="n">
        <v>0</v>
      </c>
    </row>
    <row r="2518">
      <c r="A2518">
        <f>Skills!A27</f>
        <v/>
      </c>
      <c r="B2518">
        <f>Skills!B27</f>
        <v/>
      </c>
      <c r="C2518">
        <f>Inputs!$B$3&gt;=117</f>
        <v/>
      </c>
      <c r="D2518">
        <f>IF(Skills!C27=1,60+Inputs!$B$25+Inputs!$B$29,IF(Skills!C27=2,90+Inputs!$B$26+Inputs!$B$29,IF(Skills!C27=3,120+Inputs!$B$27+Inputs!$B$29,MAX(0,(Inputs!$B$3-100)*3)+Inputs!$B$28+Inputs!$B$29)))</f>
        <v/>
      </c>
      <c r="E2518">
        <f>INDEX(FactorTable!$B$2:$Y$301, MATCH(ROUND(MIN(300,MAX(1,D2518)),0), FactorTable!$A$2:$A$301,0), Skills!M27+1)</f>
        <v/>
      </c>
      <c r="F2518">
        <f>IF(Skills!N27=TRUE,(Skills!L27/10)*(E2518/1000),Skills!L27/10)+Skills!O27</f>
        <v/>
      </c>
      <c r="G2518">
        <f>Skills!G27*IF(Skills!H27&gt;0,Skills!I27/Skills!H27,1)</f>
        <v/>
      </c>
      <c r="H2518">
        <f>1-(1-Skills!J27/100)^Skills!K27</f>
        <v/>
      </c>
      <c r="I2518" t="inlineStr">
        <is>
          <t>1</t>
        </is>
      </c>
      <c r="J2518" t="inlineStr"/>
      <c r="K2518" t="inlineStr"/>
      <c r="L2518" t="inlineStr"/>
      <c r="M2518" t="inlineStr"/>
      <c r="N2518" t="inlineStr"/>
      <c r="O2518">
        <f>(1-Summary!$B$11)*T2518+Summary!$B$11*V2518</f>
        <v/>
      </c>
      <c r="P2518">
        <f>IF(B2532=0,0,O2518/B2532)</f>
        <v/>
      </c>
      <c r="Q2518" t="n">
        <v>0</v>
      </c>
      <c r="R2518" t="n">
        <v>0</v>
      </c>
      <c r="S2518">
        <f>IFERROR(O2518/N2518,0)</f>
        <v/>
      </c>
      <c r="T2518" t="n">
        <v>0</v>
      </c>
      <c r="V2518" t="n">
        <v>0</v>
      </c>
    </row>
    <row r="2519">
      <c r="A2519">
        <f>Skills!A28</f>
        <v/>
      </c>
      <c r="B2519">
        <f>Skills!B28</f>
        <v/>
      </c>
      <c r="C2519">
        <f>TRUE</f>
        <v/>
      </c>
      <c r="D2519">
        <f>IF(Skills!C28=1,60+Inputs!$B$25+Inputs!$B$29,IF(Skills!C28=2,90+Inputs!$B$26+Inputs!$B$29,IF(Skills!C28=3,120+Inputs!$B$27+Inputs!$B$29,MAX(0,(Inputs!$B$3-100)*3)+Inputs!$B$28+Inputs!$B$29)))</f>
        <v/>
      </c>
      <c r="E2519">
        <f>INDEX(FactorTable!$B$2:$Y$301, MATCH(ROUND(MIN(300,MAX(1,D2519)),0), FactorTable!$A$2:$A$301,0), Skills!M28+1)</f>
        <v/>
      </c>
      <c r="F2519">
        <f>IF(Skills!N28=TRUE,(Skills!L28/10)*(E2519/1000),Skills!L28/10)+Skills!O28</f>
        <v/>
      </c>
      <c r="G2519">
        <f>Skills!G28*IF(Skills!H28&gt;0,Skills!I28/Skills!H28,1)</f>
        <v/>
      </c>
      <c r="H2519">
        <f>1-(1-Skills!J28/100)^Skills!K28</f>
        <v/>
      </c>
      <c r="I2519" t="inlineStr">
        <is>
          <t>1</t>
        </is>
      </c>
      <c r="J2519" t="inlineStr"/>
      <c r="K2519" t="inlineStr"/>
      <c r="L2519" t="inlineStr"/>
      <c r="M2519" t="inlineStr"/>
      <c r="N2519" t="inlineStr"/>
      <c r="O2519">
        <f>(1-Summary!$B$11)*T2519+Summary!$B$11*V2519</f>
        <v/>
      </c>
      <c r="P2519">
        <f>IF(B2532=0,0,O2519/B2532)</f>
        <v/>
      </c>
      <c r="Q2519">
        <f>IFERROR(1/(IF(Inputs!$B$38="pvp",15,MAX(0.1,Skills!D28-IF(Skills!E28=TRUE,Inputs!$B$32,0)))*(1-IF(AND(ArtifactsInput!$M$27,Inputs!$B$4="Chapter Hunt"),CHOOSE(ArtifactsInput!$N$27+1,20,24,28,32,36,40),0)/100)),0)</f>
        <v/>
      </c>
      <c r="R2519">
        <f>IF(AND(Inputs!$B$38&lt;&gt;"pvp",Inputs!$B$43&gt;0),IF(Inputs!$B$43&lt;=0,0,(INT(Inputs!$B$43/(IF(Inputs!$B$38="pvp",15,MAX(0.1,Skills!D28-IF(Skills!E28=TRUE,Inputs!$B$32,0)))*(1-IF(AND(ArtifactsInput!$M$27,Inputs!$B$4="Chapter Hunt"),CHOOSE(ArtifactsInput!$N$27+1,20,24,28,32,36,40),0)/100)))+1)),0)</f>
        <v/>
      </c>
      <c r="S2519">
        <f>IFERROR(O2519/N2519,0)</f>
        <v/>
      </c>
      <c r="T2519" t="n">
        <v>0</v>
      </c>
      <c r="V2519" t="n">
        <v>0</v>
      </c>
    </row>
    <row r="2521">
      <c r="A2521" t="inlineStr">
        <is>
          <t>Attack% Bucket Multiplier</t>
        </is>
      </c>
      <c r="B2521">
        <f>(1+(((C2508=TRUE)*F2508*5/7)+((C2515=TRUE)*(F2515-Calc!F24))+(IF(ArtifactsInput!$M$21,CHOOSE(ArtifactsInput!$N$21+1,25,30,35,40,45,50)*(IF(OR(Inputs!$B$4="Chapter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22">
      <c r="A2522" t="inlineStr">
        <is>
          <t>Global Crit Rate Bonus %</t>
        </is>
      </c>
      <c r="B2522" t="n">
        <v>0</v>
      </c>
    </row>
    <row r="2523">
      <c r="A2523" t="inlineStr">
        <is>
          <t>Attack Speed Buff Bonus % (Nimble Feet, duty-cycle averaged)</t>
        </is>
      </c>
      <c r="B2523">
        <f>((C2519=TRUE)*F2519*IF(AND(Inputs!$B$38&lt;&gt;"pvp",Inputs!$B$43&gt;0),(((R2519-1)*(Skills!T28*(1+Inputs!$B$34/100))+MIN((Skills!T28*(1+Inputs!$B$34/100)),MAX(0,Inputs!$B$43-((R2519-1)*Skills!D28))))/Inputs!$B$43),IF(Inputs!$B$38="pvp",MIN((Skills!T28*(1+Inputs!$B$34/100)),15)/15,(Skills!T28*(1+Inputs!$B$34/100))/Skills!D28)))</f>
        <v/>
      </c>
    </row>
    <row r="2524">
      <c r="A2524" t="inlineStr">
        <is>
          <t>Actions Per Second</t>
        </is>
      </c>
      <c r="B2524">
        <f>1+MIN(150,150*(1-(1-(Inputs!$B$11+((C2511=TRUE)*(F2511-Calc!F20))+((C2512=TRUE)*(F2512-Calc!F21)))/150)*(1-B2523/150)))/100</f>
        <v/>
      </c>
    </row>
    <row r="2525">
      <c r="A2525" t="inlineStr">
        <is>
          <t>Skill + Buff Cast Rate</t>
        </is>
      </c>
      <c r="B2525">
        <f>IF(AND(Inputs!$B$38&lt;&gt;"pvp",Inputs!$B$43&gt;0),SUMPRODUCT((Skills!E2:E28=TRUE)*(C2493:C2519=TRUE)*R2493:R2519*Skills!F2:F28)/Inputs!$B$43,SUMPRODUCT((Skills!E2:E28=TRUE)*(C2493:C2519=TRUE)*Q2493:Q2519*Skills!F2:F28))</f>
        <v/>
      </c>
    </row>
    <row r="2526">
      <c r="A2526" t="inlineStr">
        <is>
          <t>Eight-Legs Easton Casts Per Second</t>
        </is>
      </c>
      <c r="B2526">
        <f>MAX(0,B2524-B2525)</f>
        <v/>
      </c>
    </row>
    <row r="2527">
      <c r="A2527" t="inlineStr">
        <is>
          <t>Global Critical Damage Bonus % (unused)</t>
        </is>
      </c>
      <c r="B2527" t="n">
        <v>0</v>
      </c>
    </row>
    <row r="2528">
      <c r="A2528" t="inlineStr">
        <is>
          <t>Global Final Damage Bonus % (Jolly Roger + Ahoy Mateys - Final Damage proc)</t>
        </is>
      </c>
      <c r="B2528">
        <f>((C2509=TRUE)*F2509*IF(AND(Inputs!$B$38&lt;&gt;"pvp",Inputs!$B$43&gt;0),(((R2509-1)*(Skills!T18*(1+Inputs!$B$34/100))+MIN((Skills!T18*(1+Inputs!$B$34/100)),MAX(0,Inputs!$B$43-((R2509-1)*Skills!D18))))/Inputs!$B$43),IF(Inputs!$B$38="pvp",MIN((Skills!T18*(1+Inputs!$B$34/100)),15)/15,(Skills!T18*(1+Inputs!$B$34/100))/Skills!D18)))+IF(Inputs!$B$3&gt;=122,20*IF(Inputs!$B$38="pvp",MIN((20*(1+Inputs!$B$34/100)),15)/15,(20*(1+Inputs!$B$34/100))/Skills!D4),0)</f>
        <v/>
      </c>
    </row>
    <row r="2529">
      <c r="A2529" t="inlineStr">
        <is>
          <t>Buff-Casting Startup Delay (s, fixed-duration only)</t>
        </is>
      </c>
      <c r="B2529">
        <f>IF(AND(Inputs!$B$38&lt;&gt;"pvp",Inputs!$B$43&gt;0),SUMPRODUCT((Skills!T2:T28&gt;0)*(Skills!E2:E28=TRUE)*(C2493:C2519=TRUE))/B2524,0)</f>
        <v/>
      </c>
    </row>
    <row r="2530">
      <c r="A2530" t="inlineStr">
        <is>
          <t>Boss-Only Total DPS (this block's swept value)</t>
        </is>
      </c>
      <c r="B2530">
        <f>SUM(T2493:T2519)</f>
        <v/>
      </c>
    </row>
    <row r="2531">
      <c r="A2531" t="inlineStr">
        <is>
          <t>Normal-Only Total DPS (this block's swept value)</t>
        </is>
      </c>
      <c r="B2531">
        <f>SUM(V2493:V2519)</f>
        <v/>
      </c>
    </row>
    <row r="2532">
      <c r="A2532" s="6" t="inlineStr">
        <is>
          <t>TOTAL DPS</t>
        </is>
      </c>
      <c r="B2532" s="6">
        <f>SUM(O2493:O2519)</f>
        <v/>
      </c>
    </row>
    <row r="2535">
      <c r="A2535" s="6" t="inlineStr">
        <is>
          <t>Stat: Alliance Badge (Equip)</t>
        </is>
      </c>
    </row>
    <row r="2536">
      <c r="A2536" s="5" t="inlineStr">
        <is>
          <t>Key</t>
        </is>
      </c>
      <c r="B2536" s="5" t="inlineStr">
        <is>
          <t>Name</t>
        </is>
      </c>
      <c r="C2536" s="5" t="inlineStr">
        <is>
          <t>Unlocked</t>
        </is>
      </c>
      <c r="D2536" s="5" t="inlineStr">
        <is>
          <t>InputLevel</t>
        </is>
      </c>
      <c r="E2536" s="5" t="inlineStr">
        <is>
          <t>Factor</t>
        </is>
      </c>
      <c r="F2536" s="5" t="inlineStr">
        <is>
          <t>CoefficientPercent</t>
        </is>
      </c>
      <c r="G2536" s="5" t="inlineStr">
        <is>
          <t>EffectiveHits</t>
        </is>
      </c>
      <c r="H2536" s="5" t="inlineStr">
        <is>
          <t>ProcProbability</t>
        </is>
      </c>
      <c r="I2536" s="5" t="inlineStr">
        <is>
          <t>MapleHeroMultiplier</t>
        </is>
      </c>
      <c r="J2536" s="5" t="inlineStr">
        <is>
          <t>BaseDamage</t>
        </is>
      </c>
      <c r="K2536" s="5" t="inlineStr">
        <is>
          <t>BaseHitDamage</t>
        </is>
      </c>
      <c r="L2536" s="5" t="inlineStr">
        <is>
          <t>NonCritAvg</t>
        </is>
      </c>
      <c r="M2536" s="5" t="inlineStr">
        <is>
          <t>CritAvg</t>
        </is>
      </c>
      <c r="N2536" s="5" t="inlineStr">
        <is>
          <t>ExpectedDamage(perHit)</t>
        </is>
      </c>
      <c r="O2536" s="5" t="inlineStr">
        <is>
          <t>DPS</t>
        </is>
      </c>
      <c r="P2536" s="5" t="inlineStr">
        <is>
          <t>% of Total</t>
        </is>
      </c>
      <c r="Q2536" s="5" t="inlineStr">
        <is>
          <t>InvCooldown</t>
        </is>
      </c>
      <c r="R2536" s="5" t="inlineStr">
        <is>
          <t>CastsInFight</t>
        </is>
      </c>
      <c r="S2536" s="5" t="inlineStr">
        <is>
          <t>HitRate(perSec)</t>
        </is>
      </c>
      <c r="U2536" t="inlineStr">
        <is>
          <t>helpers</t>
        </is>
      </c>
    </row>
    <row r="2537">
      <c r="A2537">
        <f>Skills!A2</f>
        <v/>
      </c>
      <c r="B2537">
        <f>Skills!B2</f>
        <v/>
      </c>
      <c r="C2537">
        <f>Inputs!$B$3&gt;=100</f>
        <v/>
      </c>
      <c r="D2537" t="inlineStr"/>
      <c r="E2537" t="inlineStr"/>
      <c r="F2537">
        <f>U2539+Skills!O2</f>
        <v/>
      </c>
      <c r="G2537">
        <f>Skills!G2*IF(Skills!H2&gt;0,Skills!I2/Skills!H2,1)</f>
        <v/>
      </c>
      <c r="H2537">
        <f>1-(1-Skills!J2/100)^Skills!K2</f>
        <v/>
      </c>
      <c r="I2537" t="inlineStr">
        <is>
          <t>1</t>
        </is>
      </c>
      <c r="J2537">
        <f>((Inputs!$B$6*(1+Inputs!$B$7/100))+(((Inputs!$B$12*(1+Inputs!$B$13/100))-(Inputs!$B$12*(1+Inputs!$B$13/100)))+0.25*(Inputs!$B$14-Inputs!$B$14))*(1+Inputs!$B$7/100))*(F2537/100)</f>
        <v/>
      </c>
      <c r="K2537">
        <f>J2537*(1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2537)</f>
        <v/>
      </c>
      <c r="L2537">
        <f>K2537*(MIN(Inputs!$B$22+((C2557=TRUE)*(F2557-Calc!F22)),(Inputs!$B$23+0+(IF(ArtifactsInput!$M$15,CHOOSE(ArtifactsInput!$N$15+1,25,30,35,40,45,50)/100*(Inputs!$B$11-Inputs!$B$11),0))))/100+(Inputs!$B$23+0+(IF(ArtifactsInput!$M$15,CHOOSE(ArtifactsInput!$N$15+1,25,30,35,40,45,50)/100*(Inputs!$B$11-Inputs!$B$11),0)))/100)/2</f>
        <v/>
      </c>
      <c r="M2537">
        <f>L2537*(1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7">
        <f>L2537*(1-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2537*(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7">
        <f>(1-Summary!$B$11)*T2537+Summary!$B$11*V2537</f>
        <v/>
      </c>
      <c r="P2537">
        <f>IF(B2576=0,0,O2537/B2576)</f>
        <v/>
      </c>
      <c r="Q2537" t="n">
        <v>0</v>
      </c>
      <c r="R2537" t="n">
        <v>0</v>
      </c>
      <c r="S2537">
        <f>IFERROR(O2537/N2537,0)</f>
        <v/>
      </c>
      <c r="T2537">
        <f>IF(C2537,(Skills!G2*N2537*B2570)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2537*(1-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2537*(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2537*(1-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2537*(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7">
        <f>MAX(0,(Inputs!$B$3-100)*3)+Inputs!$B$28+Inputs!$B$29</f>
        <v/>
      </c>
      <c r="V2537">
        <f>IF(C2537,(Skills!G2*N2537*B2570)*IF(Inputs!$B$38="pvp",1,(1+(Inputs!$B$21+Skills!Q2+(IF(ArtifactsInput!$M$33,CHOOSE(ArtifactsInput!$N$33+1,30,36,42,48,54,60),0))+(IF(AND(ArtifactsInput!$M$35,Inputs!$B$4&lt;&gt;"Chapter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8">
      <c r="A2538">
        <f>Skills!A3</f>
        <v/>
      </c>
      <c r="B2538">
        <f>Skills!B3</f>
        <v/>
      </c>
      <c r="C2538">
        <f>Inputs!$B$3&gt;=35</f>
        <v/>
      </c>
      <c r="D2538">
        <f>IF(Skills!C3=1,60+Inputs!$B$25+Inputs!$B$29,IF(Skills!C3=2,90+Inputs!$B$26+Inputs!$B$29,IF(Skills!C3=3,120+Inputs!$B$27+Inputs!$B$29,MAX(0,(Inputs!$B$3-100)*3)+Inputs!$B$28+Inputs!$B$29)))</f>
        <v/>
      </c>
      <c r="E2538">
        <f>INDEX(FactorTable!$B$2:$Y$301, MATCH(ROUND(MIN(300,MAX(1,D2538)),0), FactorTable!$A$2:$A$301,0), Skills!M3+1)</f>
        <v/>
      </c>
      <c r="F2538">
        <f>IF(Skills!N3=TRUE,(Skills!L3/10)*(E2538/1000),Skills!L3/10)+Skills!O3</f>
        <v/>
      </c>
      <c r="G2538">
        <f>Skills!G3*IF(Skills!H3&gt;0,Skills!I3/Skills!H3,1)</f>
        <v/>
      </c>
      <c r="H2538">
        <f>1-(1-Skills!J3/100)^Skills!K3</f>
        <v/>
      </c>
      <c r="I2538" t="inlineStr">
        <is>
          <t>1</t>
        </is>
      </c>
      <c r="J2538">
        <f>((Inputs!$B$6*(1+Inputs!$B$7/100))+(((Inputs!$B$12*(1+Inputs!$B$13/100))-(Inputs!$B$12*(1+Inputs!$B$13/100)))+0.25*(Inputs!$B$14-Inputs!$B$14))*(1+Inputs!$B$7/100))*(F2538/100)</f>
        <v/>
      </c>
      <c r="K2538">
        <f>J2538*(1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2550=TRUE,F2550,0)/100)*(1+(IF(Skills!A3="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2538)</f>
        <v/>
      </c>
      <c r="L2538">
        <f>K2538*(MIN(Inputs!$B$22+((C2557=TRUE)*(F2557-Calc!F22)),(Inputs!$B$23+0+(IF(ArtifactsInput!$M$15,CHOOSE(ArtifactsInput!$N$15+1,25,30,35,40,45,50)/100*(Inputs!$B$11-Inputs!$B$11),0))))/100+(Inputs!$B$23+0+(IF(ArtifactsInput!$M$15,CHOOSE(ArtifactsInput!$N$15+1,25,30,35,40,45,50)/100*(Inputs!$B$11-Inputs!$B$11),0)))/100)/2</f>
        <v/>
      </c>
      <c r="M2538">
        <f>L2538*(1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8">
        <f>L2538*(1-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2538*(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8">
        <f>(1-Summary!$B$11)*T2538+Summary!$B$11*V2538</f>
        <v/>
      </c>
      <c r="P2538">
        <f>IF(B2576=0,0,O2538/B2576)</f>
        <v/>
      </c>
      <c r="Q2538">
        <f>IFERROR(1/(IF(Inputs!$B$38="pvp",15,MAX(0.1,Skills!D3-IF(Skills!E3=TRUE,Inputs!$B$32,0)))*(1-IF(AND(ArtifactsInput!$M$27,Inputs!$B$4="Chapter Hunt"),CHOOSE(ArtifactsInput!$N$27+1,20,24,28,32,36,40),0)/100)),0)</f>
        <v/>
      </c>
      <c r="R2538">
        <f>IF(AND(Inputs!$B$38&lt;&gt;"pvp",Inputs!$B$43&gt;0),IF(MAX(0,Inputs!$B$43-B2573)&lt;=0,0,(INT(MAX(0,Inputs!$B$43-B2573)/(IF(Inputs!$B$38="pvp",15,MAX(0.1,Skills!D3-IF(Skills!E3=TRUE,Inputs!$B$32,0)))*(1-IF(AND(ArtifactsInput!$M$27,Inputs!$B$4="Chapter Hunt"),CHOOSE(ArtifactsInput!$N$27+1,20,24,28,32,36,40),0)/100)))+1)),0)</f>
        <v/>
      </c>
      <c r="S2538">
        <f>IFERROR(O2538/N2538,0)</f>
        <v/>
      </c>
      <c r="T2538">
        <f>IF(C2538,(H2538*N2538*IF(AND(Inputs!$B$38&lt;&gt;"pvp",Inputs!$B$43&gt;0),((Skills!G3*((R2538-1)*IF(Skills!H3&gt;0,Skills!I3/Skills!H3,1)+IF(Skills!H3&gt;0,MIN(Skills!I3,MAX(0,MAX(0,Inputs!$B$43-B2573)-((R2538-1)*(IF(Inputs!$B$38="pvp",15,MAX(0.1,Skills!D3-IF(Skills!E3=TRUE,Inputs!$B$32,0)))*(1-IF(AND(ArtifactsInput!$M$27,Inputs!$B$4="Chapter Hunt"),CHOOSE(ArtifactsInput!$N$27+1,20,24,28,32,36,40),0)/100)))))/Skills!H3,1)))/Inputs!$B$43),G2538*Q2538)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2538*(1-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2538*(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2538*(1-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2538*(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8">
        <f>INDEX(FactorTable!$B$2:$Y$301, MATCH(ROUND(MIN(300,MAX(1,U2537)),0), FactorTable!$A$2:$A$301,0), 22)</f>
        <v/>
      </c>
      <c r="V2538">
        <f>IF(C2538,(H2538*N2538*IF(AND(Inputs!$B$38&lt;&gt;"pvp",Inputs!$B$43&gt;0),((Skills!G3*((R2538-1)*IF(Skills!H3&gt;0,Skills!I3/Skills!H3,1)+IF(Skills!H3&gt;0,MIN(Skills!I3,MAX(0,MAX(0,Inputs!$B$43-B2573)-((R2538-1)*(IF(Inputs!$B$38="pvp",15,MAX(0.1,Skills!D3-IF(Skills!E3=TRUE,Inputs!$B$32,0)))*(1-IF(AND(ArtifactsInput!$M$27,Inputs!$B$4="Chapter Hunt"),CHOOSE(ArtifactsInput!$N$27+1,20,24,28,32,36,40),0)/100)))))/Skills!H3,1)))/Inputs!$B$43),G2538*Q2538))*IF(Inputs!$B$38="pvp",1,(1+(Inputs!$B$21+Skills!Q3+(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9">
      <c r="A2539">
        <f>Skills!A4</f>
        <v/>
      </c>
      <c r="B2539">
        <f>Skills!B4</f>
        <v/>
      </c>
      <c r="C2539">
        <f>Inputs!$B$3&gt;=40</f>
        <v/>
      </c>
      <c r="D2539">
        <f>IF(Skills!C4=1,60+Inputs!$B$25+Inputs!$B$29,IF(Skills!C4=2,90+Inputs!$B$26+Inputs!$B$29,IF(Skills!C4=3,120+Inputs!$B$27+Inputs!$B$29,MAX(0,(Inputs!$B$3-100)*3)+Inputs!$B$28+Inputs!$B$29)))</f>
        <v/>
      </c>
      <c r="E2539">
        <f>INDEX(FactorTable!$B$2:$Y$301, MATCH(ROUND(MIN(300,MAX(1,D2539)),0), FactorTable!$A$2:$A$301,0), Skills!M4+1)</f>
        <v/>
      </c>
      <c r="F2539">
        <f>IF(Skills!N4=TRUE,(Skills!L4/10)*(E2539/1000),Skills!L4/10)+Skills!O4</f>
        <v/>
      </c>
      <c r="G2539">
        <f>Skills!G4*IF(Skills!H4&gt;0,Skills!I4/Skills!H4,1)</f>
        <v/>
      </c>
      <c r="H2539">
        <f>1-(1-Skills!J4/100)^Skills!K4</f>
        <v/>
      </c>
      <c r="I2539" t="inlineStr">
        <is>
          <t>1</t>
        </is>
      </c>
      <c r="J2539">
        <f>((Inputs!$B$6*(1+Inputs!$B$7/100))+(((Inputs!$B$12*(1+Inputs!$B$13/100))-(Inputs!$B$12*(1+Inputs!$B$13/100)))+0.25*(Inputs!$B$14-Inputs!$B$14))*(1+Inputs!$B$7/100))*(F2539/100)</f>
        <v/>
      </c>
      <c r="K2539">
        <f>J2539*(1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2551=TRUE,F2551,0)/100)*(1+(IF(Skills!A4="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2539)</f>
        <v/>
      </c>
      <c r="L2539">
        <f>K2539*(MIN(Inputs!$B$22+((C2557=TRUE)*(F2557-Calc!F22)),(Inputs!$B$23+0+(IF(ArtifactsInput!$M$15,CHOOSE(ArtifactsInput!$N$15+1,25,30,35,40,45,50)/100*(Inputs!$B$11-Inputs!$B$11),0))))/100+(Inputs!$B$23+0+(IF(ArtifactsInput!$M$15,CHOOSE(ArtifactsInput!$N$15+1,25,30,35,40,45,50)/100*(Inputs!$B$11-Inputs!$B$11),0)))/100)/2</f>
        <v/>
      </c>
      <c r="M2539">
        <f>L2539*(1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9">
        <f>L2539*(1-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2539*(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9">
        <f>(1-Summary!$B$11)*T2539+Summary!$B$11*V2539</f>
        <v/>
      </c>
      <c r="P2539">
        <f>IF(B2576=0,0,O2539/B2576)</f>
        <v/>
      </c>
      <c r="Q2539">
        <f>IFERROR(1/(IF(Inputs!$B$38="pvp",15,MAX(0.1,Skills!D4-IF(Skills!E4=TRUE,Inputs!$B$32,0)))*(1-IF(AND(ArtifactsInput!$M$27,Inputs!$B$4="Chapter Hunt"),CHOOSE(ArtifactsInput!$N$27+1,20,24,28,32,36,40),0)/100)),0)</f>
        <v/>
      </c>
      <c r="R2539">
        <f>IF(AND(Inputs!$B$38&lt;&gt;"pvp",Inputs!$B$43&gt;0),IF(MAX(0,Inputs!$B$43-B2573)&lt;=0,0,(INT(MAX(0,Inputs!$B$43-B2573)/(IF(Inputs!$B$38="pvp",15,MAX(0.1,Skills!D4-IF(Skills!E4=TRUE,Inputs!$B$32,0)))*(1-IF(AND(ArtifactsInput!$M$27,Inputs!$B$4="Chapter Hunt"),CHOOSE(ArtifactsInput!$N$27+1,20,24,28,32,36,40),0)/100)))+1)),0)</f>
        <v/>
      </c>
      <c r="S2539">
        <f>IFERROR(O2539/N2539,0)</f>
        <v/>
      </c>
      <c r="T2539">
        <f>IF(C2539,(H2539*N2539*IF(AND(Inputs!$B$38&lt;&gt;"pvp",Inputs!$B$43&gt;0),((Skills!G4*((R2539-1)*IF(Skills!H4&gt;0,Skills!I4/Skills!H4,1)+IF(Skills!H4&gt;0,MIN(Skills!I4,MAX(0,MAX(0,Inputs!$B$43-B2573)-((R2539-1)*(IF(Inputs!$B$38="pvp",15,MAX(0.1,Skills!D4-IF(Skills!E4=TRUE,Inputs!$B$32,0)))*(1-IF(AND(ArtifactsInput!$M$27,Inputs!$B$4="Chapter Hunt"),CHOOSE(ArtifactsInput!$N$27+1,20,24,28,32,36,40),0)/100)))))/Skills!H4,1)))/Inputs!$B$43),G2539*Q2539)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2539*(1-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2539*(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2539*(1-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2539*(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9">
        <f>290*U2538/1000</f>
        <v/>
      </c>
      <c r="V2539">
        <f>IF(C2539,(H2539*N2539*IF(AND(Inputs!$B$38&lt;&gt;"pvp",Inputs!$B$43&gt;0),((Skills!G4*((R2539-1)*IF(Skills!H4&gt;0,Skills!I4/Skills!H4,1)+IF(Skills!H4&gt;0,MIN(Skills!I4,MAX(0,MAX(0,Inputs!$B$43-B2573)-((R2539-1)*(IF(Inputs!$B$38="pvp",15,MAX(0.1,Skills!D4-IF(Skills!E4=TRUE,Inputs!$B$32,0)))*(1-IF(AND(ArtifactsInput!$M$27,Inputs!$B$4="Chapter Hunt"),CHOOSE(ArtifactsInput!$N$27+1,20,24,28,32,36,40),0)/100)))))/Skills!H4,1)))/Inputs!$B$43),G2539*Q2539))*IF(Inputs!$B$38="pvp",1,(1+(Inputs!$B$21+Skills!Q4+(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0">
      <c r="A2540">
        <f>Skills!A5</f>
        <v/>
      </c>
      <c r="B2540">
        <f>Skills!B5</f>
        <v/>
      </c>
      <c r="C2540">
        <f>Inputs!$B$3&gt;=45</f>
        <v/>
      </c>
      <c r="D2540">
        <f>IF(Skills!C5=1,60+Inputs!$B$25+Inputs!$B$29,IF(Skills!C5=2,90+Inputs!$B$26+Inputs!$B$29,IF(Skills!C5=3,120+Inputs!$B$27+Inputs!$B$29,MAX(0,(Inputs!$B$3-100)*3)+Inputs!$B$28+Inputs!$B$29)))</f>
        <v/>
      </c>
      <c r="E2540">
        <f>INDEX(FactorTable!$B$2:$Y$301, MATCH(ROUND(MIN(300,MAX(1,D2540)),0), FactorTable!$A$2:$A$301,0), Skills!M5+1)</f>
        <v/>
      </c>
      <c r="F2540">
        <f>IF(Skills!N5=TRUE,(Skills!L5/10)*(E2540/1000),Skills!L5/10)+Skills!O5</f>
        <v/>
      </c>
      <c r="G2540">
        <f>Skills!G5*IF(Skills!H5&gt;0,Skills!I5/Skills!H5,1)</f>
        <v/>
      </c>
      <c r="H2540">
        <f>1-(1-Skills!J5/100)^Skills!K5</f>
        <v/>
      </c>
      <c r="I2540" t="inlineStr">
        <is>
          <t>1</t>
        </is>
      </c>
      <c r="J2540">
        <f>((Inputs!$B$6*(1+Inputs!$B$7/100))+(((Inputs!$B$12*(1+Inputs!$B$13/100))-(Inputs!$B$12*(1+Inputs!$B$13/100)))+0.25*(Inputs!$B$14-Inputs!$B$14))*(1+Inputs!$B$7/100))*(F2540/100)</f>
        <v/>
      </c>
      <c r="K2540">
        <f>J2540*(1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2551=TRUE,F2551,0)/100)*(1+(IF(Skills!A5="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2540)</f>
        <v/>
      </c>
      <c r="L2540">
        <f>K2540*(MIN(Inputs!$B$22+((C2557=TRUE)*(F2557-Calc!F22)),(Inputs!$B$23+0+(IF(ArtifactsInput!$M$15,CHOOSE(ArtifactsInput!$N$15+1,25,30,35,40,45,50)/100*(Inputs!$B$11-Inputs!$B$11),0))))/100+(Inputs!$B$23+0+(IF(ArtifactsInput!$M$15,CHOOSE(ArtifactsInput!$N$15+1,25,30,35,40,45,50)/100*(Inputs!$B$11-Inputs!$B$11),0)))/100)/2</f>
        <v/>
      </c>
      <c r="M2540">
        <f>L2540*(1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0">
        <f>L2540*(1-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2540*(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0">
        <f>(1-Summary!$B$11)*T2540+Summary!$B$11*V2540</f>
        <v/>
      </c>
      <c r="P2540">
        <f>IF(B2576=0,0,O2540/B2576)</f>
        <v/>
      </c>
      <c r="Q2540">
        <f>IFERROR(1/(IF(Inputs!$B$38="pvp",15,MAX(0.1,Skills!D5-IF(Skills!E5=TRUE,Inputs!$B$32,0)))*(1-IF(AND(ArtifactsInput!$M$27,Inputs!$B$4="Chapter Hunt"),CHOOSE(ArtifactsInput!$N$27+1,20,24,28,32,36,40),0)/100)),0)</f>
        <v/>
      </c>
      <c r="R2540">
        <f>IF(AND(Inputs!$B$38&lt;&gt;"pvp",Inputs!$B$43&gt;0),IF(MAX(0,Inputs!$B$43-B2573)&lt;=0,0,(INT(MAX(0,Inputs!$B$43-B2573)/(IF(Inputs!$B$38="pvp",15,MAX(0.1,Skills!D5-IF(Skills!E5=TRUE,Inputs!$B$32,0)))*(1-IF(AND(ArtifactsInput!$M$27,Inputs!$B$4="Chapter Hunt"),CHOOSE(ArtifactsInput!$N$27+1,20,24,28,32,36,40),0)/100)))+1)),0)</f>
        <v/>
      </c>
      <c r="S2540">
        <f>IFERROR(O2540/N2540,0)</f>
        <v/>
      </c>
      <c r="T2540">
        <f>IF(C2540,(H2540*N2540*IF(AND(Inputs!$B$38&lt;&gt;"pvp",Inputs!$B$43&gt;0),((Skills!G5*((R2540-1)*IF(Skills!H5&gt;0,Skills!I5/Skills!H5,1)+IF(Skills!H5&gt;0,MIN(Skills!I5,MAX(0,MAX(0,Inputs!$B$43-B2573)-((R2540-1)*(IF(Inputs!$B$38="pvp",15,MAX(0.1,Skills!D5-IF(Skills!E5=TRUE,Inputs!$B$32,0)))*(1-IF(AND(ArtifactsInput!$M$27,Inputs!$B$4="Chapter Hunt"),CHOOSE(ArtifactsInput!$N$27+1,20,24,28,32,36,40),0)/100)))))/Skills!H5,1)))/Inputs!$B$43),G2540*Q2540)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2540*(1-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2540*(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2540*(1-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2540*(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0">
        <f>IF(C2540,(H2540*N2540*IF(AND(Inputs!$B$38&lt;&gt;"pvp",Inputs!$B$43&gt;0),((Skills!G5*((R2540-1)*IF(Skills!H5&gt;0,Skills!I5/Skills!H5,1)+IF(Skills!H5&gt;0,MIN(Skills!I5,MAX(0,MAX(0,Inputs!$B$43-B2573)-((R2540-1)*(IF(Inputs!$B$38="pvp",15,MAX(0.1,Skills!D5-IF(Skills!E5=TRUE,Inputs!$B$32,0)))*(1-IF(AND(ArtifactsInput!$M$27,Inputs!$B$4="Chapter Hunt"),CHOOSE(ArtifactsInput!$N$27+1,20,24,28,32,36,40),0)/100)))))/Skills!H5,1)))/Inputs!$B$43),G2540*Q2540))*IF(Inputs!$B$38="pvp",1,(1+(Inputs!$B$21+Skills!Q5+(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1">
      <c r="A2541">
        <f>Skills!A6</f>
        <v/>
      </c>
      <c r="B2541">
        <f>Skills!B6</f>
        <v/>
      </c>
      <c r="C2541">
        <f>Inputs!$B$3&gt;=63</f>
        <v/>
      </c>
      <c r="D2541">
        <f>IF(Skills!C6=1,60+Inputs!$B$25+Inputs!$B$29,IF(Skills!C6=2,90+Inputs!$B$26+Inputs!$B$29,IF(Skills!C6=3,120+Inputs!$B$27+Inputs!$B$29,MAX(0,(Inputs!$B$3-100)*3)+Inputs!$B$28+Inputs!$B$29)))</f>
        <v/>
      </c>
      <c r="E2541">
        <f>INDEX(FactorTable!$B$2:$Y$301, MATCH(ROUND(MIN(300,MAX(1,D2541)),0), FactorTable!$A$2:$A$301,0), Skills!M6+1)</f>
        <v/>
      </c>
      <c r="F2541">
        <f>IF(Skills!N6=TRUE,(Skills!L6/10)*(E2541/1000),Skills!L6/10)+Skills!O6</f>
        <v/>
      </c>
      <c r="G2541">
        <f>Skills!G6*IF(Skills!H6&gt;0,Skills!I6/Skills!H6,1)</f>
        <v/>
      </c>
      <c r="H2541">
        <f>1-(1-Skills!J6/100)^Skills!K6</f>
        <v/>
      </c>
      <c r="I2541" t="inlineStr">
        <is>
          <t>1</t>
        </is>
      </c>
      <c r="J2541">
        <f>((Inputs!$B$6*(1+Inputs!$B$7/100))+(((Inputs!$B$12*(1+Inputs!$B$13/100))-(Inputs!$B$12*(1+Inputs!$B$13/100)))+0.25*(Inputs!$B$14-Inputs!$B$14))*(1+Inputs!$B$7/100))*(F2541/100)</f>
        <v/>
      </c>
      <c r="K2541">
        <f>J2541*(1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2550=TRUE,F2550,0)/100)*(1+(IF(Skills!A6="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2541)</f>
        <v/>
      </c>
      <c r="L2541">
        <f>K2541*(MIN(Inputs!$B$22+((C2557=TRUE)*(F2557-Calc!F22)),(Inputs!$B$23+0+(IF(ArtifactsInput!$M$15,CHOOSE(ArtifactsInput!$N$15+1,25,30,35,40,45,50)/100*(Inputs!$B$11-Inputs!$B$11),0))))/100+(Inputs!$B$23+0+(IF(ArtifactsInput!$M$15,CHOOSE(ArtifactsInput!$N$15+1,25,30,35,40,45,50)/100*(Inputs!$B$11-Inputs!$B$11),0)))/100)/2</f>
        <v/>
      </c>
      <c r="M2541">
        <f>L2541*(1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1">
        <f>L2541*(1-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1">
        <f>(1-Summary!$B$11)*T2541+Summary!$B$11*V2541</f>
        <v/>
      </c>
      <c r="P2541">
        <f>IF(B2576=0,0,O2541/B2576)</f>
        <v/>
      </c>
      <c r="Q2541">
        <f>IFERROR(1/(IF(Inputs!$B$38="pvp",15,MAX(0.1,Skills!D6-IF(Skills!E6=TRUE,Inputs!$B$32,0)))*(1-IF(AND(ArtifactsInput!$M$27,Inputs!$B$4="Chapter Hunt"),CHOOSE(ArtifactsInput!$N$27+1,20,24,28,32,36,40),0)/100)),0)</f>
        <v/>
      </c>
      <c r="R2541">
        <f>IF(AND(Inputs!$B$38&lt;&gt;"pvp",Inputs!$B$43&gt;0),IF(MAX(0,Inputs!$B$43-B2573)&lt;=0,0,(INT(MAX(0,Inputs!$B$43-B2573)/(IF(Inputs!$B$38="pvp",15,MAX(0.1,Skills!D6-IF(Skills!E6=TRUE,Inputs!$B$32,0)))*(1-IF(AND(ArtifactsInput!$M$27,Inputs!$B$4="Chapter Hunt"),CHOOSE(ArtifactsInput!$N$27+1,20,24,28,32,36,40),0)/100)))+1)),0)</f>
        <v/>
      </c>
      <c r="S2541">
        <f>IFERROR(O2541/N2541,0)</f>
        <v/>
      </c>
      <c r="T2541">
        <f>IF(C2541,(H2541*N2541*IF(AND(Inputs!$B$38&lt;&gt;"pvp",Inputs!$B$43&gt;0),((Skills!G6*((R2541-1)*IF(Skills!H6&gt;0,Skills!I6/Skills!H6,1)+IF(Skills!H6&gt;0,MIN(Skills!I6,MAX(0,MAX(0,Inputs!$B$43-B2573)-((R2541-1)*(IF(Inputs!$B$38="pvp",15,MAX(0.1,Skills!D6-IF(Skills!E6=TRUE,Inputs!$B$32,0)))*(1-IF(AND(ArtifactsInput!$M$27,Inputs!$B$4="Chapter Hunt"),CHOOSE(ArtifactsInput!$N$27+1,20,24,28,32,36,40),0)/100)))))/Skills!H6,1)))/Inputs!$B$43),G2541*Q2541)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2541*(1-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2541*(1-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1">
        <f>IF(C2541,(H2541*N2541*IF(AND(Inputs!$B$38&lt;&gt;"pvp",Inputs!$B$43&gt;0),((Skills!G6*((R2541-1)*IF(Skills!H6&gt;0,Skills!I6/Skills!H6,1)+IF(Skills!H6&gt;0,MIN(Skills!I6,MAX(0,MAX(0,Inputs!$B$43-B2573)-((R2541-1)*(IF(Inputs!$B$38="pvp",15,MAX(0.1,Skills!D6-IF(Skills!E6=TRUE,Inputs!$B$32,0)))*(1-IF(AND(ArtifactsInput!$M$27,Inputs!$B$4="Chapter Hunt"),CHOOSE(ArtifactsInput!$N$27+1,20,24,28,32,36,40),0)/100)))))/Skills!H6,1)))/Inputs!$B$43),G2541*Q2541))*IF(Inputs!$B$38="pvp",1,(1+(Inputs!$B$21+Skills!Q6+(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2">
      <c r="A2542">
        <f>Skills!A7</f>
        <v/>
      </c>
      <c r="B2542">
        <f>Skills!B7</f>
        <v/>
      </c>
      <c r="C2542">
        <f>Inputs!$B$3&gt;=66</f>
        <v/>
      </c>
      <c r="D2542">
        <f>IF(Skills!C7=1,60+Inputs!$B$25+Inputs!$B$29,IF(Skills!C7=2,90+Inputs!$B$26+Inputs!$B$29,IF(Skills!C7=3,120+Inputs!$B$27+Inputs!$B$29,MAX(0,(Inputs!$B$3-100)*3)+Inputs!$B$28+Inputs!$B$29)))</f>
        <v/>
      </c>
      <c r="E2542">
        <f>INDEX(FactorTable!$B$2:$Y$301, MATCH(ROUND(MIN(300,MAX(1,D2542)),0), FactorTable!$A$2:$A$301,0), Skills!M7+1)</f>
        <v/>
      </c>
      <c r="F2542">
        <f>IF(Skills!N7=TRUE,(Skills!L7/10)*(E2542/1000),Skills!L7/10)+Skills!O7</f>
        <v/>
      </c>
      <c r="G2542">
        <f>Skills!G7*IF(Skills!H7&gt;0,Skills!I7/Skills!H7,1)</f>
        <v/>
      </c>
      <c r="H2542">
        <f>1-(1-Skills!J7/100)^Skills!K7</f>
        <v/>
      </c>
      <c r="I2542" t="inlineStr">
        <is>
          <t>1</t>
        </is>
      </c>
      <c r="J2542">
        <f>((Inputs!$B$6*(1+Inputs!$B$7/100))+(((Inputs!$B$12*(1+Inputs!$B$13/100))-(Inputs!$B$12*(1+Inputs!$B$13/100)))+0.25*(Inputs!$B$14-Inputs!$B$14))*(1+Inputs!$B$7/100))*(F2542/100)</f>
        <v/>
      </c>
      <c r="K2542">
        <f>J2542*(1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2550=TRUE,F2550,0)/100)*(1+(IF(Skills!A7="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2542)</f>
        <v/>
      </c>
      <c r="L2542">
        <f>K2542*(MIN(Inputs!$B$22+((C2557=TRUE)*(F2557-Calc!F22)),(Inputs!$B$23+0+(IF(ArtifactsInput!$M$15,CHOOSE(ArtifactsInput!$N$15+1,25,30,35,40,45,50)/100*(Inputs!$B$11-Inputs!$B$11),0))))/100+(Inputs!$B$23+0+(IF(ArtifactsInput!$M$15,CHOOSE(ArtifactsInput!$N$15+1,25,30,35,40,45,50)/100*(Inputs!$B$11-Inputs!$B$11),0)))/100)/2</f>
        <v/>
      </c>
      <c r="M2542">
        <f>L2542*(1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2">
        <f>L2542*(1-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2542*(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2">
        <f>(1-Summary!$B$11)*T2542+Summary!$B$11*V2542</f>
        <v/>
      </c>
      <c r="P2542">
        <f>IF(B2576=0,0,O2542/B2576)</f>
        <v/>
      </c>
      <c r="Q2542">
        <f>IFERROR(1/(IF(Inputs!$B$38="pvp",15,MAX(0.1,Skills!D7-IF(Skills!E7=TRUE,Inputs!$B$32,0)))*(1-IF(AND(ArtifactsInput!$M$27,Inputs!$B$4="Chapter Hunt"),CHOOSE(ArtifactsInput!$N$27+1,20,24,28,32,36,40),0)/100)),0)</f>
        <v/>
      </c>
      <c r="R2542">
        <f>IF(AND(Inputs!$B$38&lt;&gt;"pvp",Inputs!$B$43&gt;0),IF(MAX(0,Inputs!$B$43-B2573)&lt;=0,0,(INT(MAX(0,Inputs!$B$43-B2573)/(IF(Inputs!$B$38="pvp",15,MAX(0.1,Skills!D7-IF(Skills!E7=TRUE,Inputs!$B$32,0)))*(1-IF(AND(ArtifactsInput!$M$27,Inputs!$B$4="Chapter Hunt"),CHOOSE(ArtifactsInput!$N$27+1,20,24,28,32,36,40),0)/100)))+1)),0)</f>
        <v/>
      </c>
      <c r="S2542">
        <f>IFERROR(O2542/N2542,0)</f>
        <v/>
      </c>
      <c r="T2542">
        <f>IF(C2542,(H2542*N2542*IF(AND(Inputs!$B$38&lt;&gt;"pvp",Inputs!$B$43&gt;0),((Skills!G7*((R2542-1)*IF(Skills!H7&gt;0,Skills!I7/Skills!H7,1)+IF(Skills!H7&gt;0,MIN(Skills!I7,MAX(0,MAX(0,Inputs!$B$43-B2573)-((R2542-1)*(IF(Inputs!$B$38="pvp",15,MAX(0.1,Skills!D7-IF(Skills!E7=TRUE,Inputs!$B$32,0)))*(1-IF(AND(ArtifactsInput!$M$27,Inputs!$B$4="Chapter Hunt"),CHOOSE(ArtifactsInput!$N$27+1,20,24,28,32,36,40),0)/100)))))/Skills!H7,1)))/Inputs!$B$43),G2542*Q2542)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2542*(1-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2542*(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2542*(1-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2542*(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2">
        <f>IF(C2542,(H2542*N2542*IF(AND(Inputs!$B$38&lt;&gt;"pvp",Inputs!$B$43&gt;0),((Skills!G7*((R2542-1)*IF(Skills!H7&gt;0,Skills!I7/Skills!H7,1)+IF(Skills!H7&gt;0,MIN(Skills!I7,MAX(0,MAX(0,Inputs!$B$43-B2573)-((R2542-1)*(IF(Inputs!$B$38="pvp",15,MAX(0.1,Skills!D7-IF(Skills!E7=TRUE,Inputs!$B$32,0)))*(1-IF(AND(ArtifactsInput!$M$27,Inputs!$B$4="Chapter Hunt"),CHOOSE(ArtifactsInput!$N$27+1,20,24,28,32,36,40),0)/100)))))/Skills!H7,1)))/Inputs!$B$43),G2542*Q2542))*IF(Inputs!$B$38="pvp",1,(1+(Inputs!$B$21+Skills!Q7+(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3">
      <c r="A2543">
        <f>Skills!A8</f>
        <v/>
      </c>
      <c r="B2543">
        <f>Skills!B8</f>
        <v/>
      </c>
      <c r="C2543">
        <f>Inputs!$B$3&gt;=100</f>
        <v/>
      </c>
      <c r="D2543">
        <f>IF(Skills!C8=1,60+Inputs!$B$25+Inputs!$B$29,IF(Skills!C8=2,90+Inputs!$B$26+Inputs!$B$29,IF(Skills!C8=3,120+Inputs!$B$27+Inputs!$B$29,MAX(0,(Inputs!$B$3-100)*3)+Inputs!$B$28+Inputs!$B$29)))</f>
        <v/>
      </c>
      <c r="E2543">
        <f>INDEX(FactorTable!$B$2:$Y$301, MATCH(ROUND(MIN(300,MAX(1,D2543)),0), FactorTable!$A$2:$A$301,0), Skills!M8+1)</f>
        <v/>
      </c>
      <c r="F2543">
        <f>IF(Skills!N8=TRUE,(Skills!L8/10)*(E2543/1000),Skills!L8/10)+Skills!O8</f>
        <v/>
      </c>
      <c r="G2543">
        <f>Skills!G8*IF(Skills!H8&gt;0,Skills!I8/Skills!H8,1)</f>
        <v/>
      </c>
      <c r="H2543">
        <f>1-(1-Skills!J8/100)^Skills!K8</f>
        <v/>
      </c>
      <c r="I2543" t="inlineStr">
        <is>
          <t>1</t>
        </is>
      </c>
      <c r="J2543">
        <f>((Inputs!$B$6*(1+Inputs!$B$7/100))+(((Inputs!$B$12*(1+Inputs!$B$13/100))-(Inputs!$B$12*(1+Inputs!$B$13/100)))+0.25*(Inputs!$B$14-Inputs!$B$14))*(1+Inputs!$B$7/100))*(F2543/100)</f>
        <v/>
      </c>
      <c r="K2543">
        <f>J2543*(1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2543)</f>
        <v/>
      </c>
      <c r="L2543">
        <f>K2543*(MIN(Inputs!$B$22+((C2557=TRUE)*(F2557-Calc!F22)),(Inputs!$B$23+0+(IF(ArtifactsInput!$M$15,CHOOSE(ArtifactsInput!$N$15+1,25,30,35,40,45,50)/100*(Inputs!$B$11-Inputs!$B$11),0))))/100+(Inputs!$B$23+0+(IF(ArtifactsInput!$M$15,CHOOSE(ArtifactsInput!$N$15+1,25,30,35,40,45,50)/100*(Inputs!$B$11-Inputs!$B$11),0)))/100)/2</f>
        <v/>
      </c>
      <c r="M2543">
        <f>L2543*(1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3">
        <f>L2543*(1-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2543*(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3">
        <f>(1-Summary!$B$11)*T2543+Summary!$B$11*V2543</f>
        <v/>
      </c>
      <c r="P2543">
        <f>IF(B2576=0,0,O2543/B2576)</f>
        <v/>
      </c>
      <c r="Q2543">
        <f>IFERROR(1/(IF(Inputs!$B$38="pvp",15,MAX(0.1,Skills!D8-IF(Skills!E8=TRUE,Inputs!$B$32,0)))*(1-IF(AND(ArtifactsInput!$M$27,Inputs!$B$4="Chapter Hunt"),CHOOSE(ArtifactsInput!$N$27+1,20,24,28,32,36,40),0)/100)),0)</f>
        <v/>
      </c>
      <c r="R2543">
        <f>IF(AND(Inputs!$B$38&lt;&gt;"pvp",Inputs!$B$43&gt;0),IF(MAX(0,Inputs!$B$43-B2573)&lt;=0,0,(INT(MAX(0,Inputs!$B$43-B2573)/(IF(Inputs!$B$38="pvp",15,MAX(0.1,Skills!D8-IF(Skills!E8=TRUE,Inputs!$B$32,0)))*(1-IF(AND(ArtifactsInput!$M$27,Inputs!$B$4="Chapter Hunt"),CHOOSE(ArtifactsInput!$N$27+1,20,24,28,32,36,40),0)/100)))+1)),0)</f>
        <v/>
      </c>
      <c r="S2543">
        <f>IFERROR(O2543/N2543,0)</f>
        <v/>
      </c>
      <c r="T2543">
        <f>IF(C2543,(H2543*N2543*IF(AND(Inputs!$B$38&lt;&gt;"pvp",Inputs!$B$43&gt;0),((Skills!G8*((R2543-1)*IF(Skills!H8&gt;0,Skills!I8/Skills!H8,1)+IF(Skills!H8&gt;0,MIN(Skills!I8,MAX(0,MAX(0,Inputs!$B$43-B2573)-((R2543-1)*(IF(Inputs!$B$38="pvp",15,MAX(0.1,Skills!D8-IF(Skills!E8=TRUE,Inputs!$B$32,0)))*(1-IF(AND(ArtifactsInput!$M$27,Inputs!$B$4="Chapter Hunt"),CHOOSE(ArtifactsInput!$N$27+1,20,24,28,32,36,40),0)/100)))))/Skills!H8,1)))/Inputs!$B$43),G2543*Q2543)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2543*(1-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2543*(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2543*(1-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2543*(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3">
        <f>IF(C2543,(H2543*N2543*IF(AND(Inputs!$B$38&lt;&gt;"pvp",Inputs!$B$43&gt;0),((Skills!G8*((R2543-1)*IF(Skills!H8&gt;0,Skills!I8/Skills!H8,1)+IF(Skills!H8&gt;0,MIN(Skills!I8,MAX(0,MAX(0,Inputs!$B$43-B2573)-((R2543-1)*(IF(Inputs!$B$38="pvp",15,MAX(0.1,Skills!D8-IF(Skills!E8=TRUE,Inputs!$B$32,0)))*(1-IF(AND(ArtifactsInput!$M$27,Inputs!$B$4="Chapter Hunt"),CHOOSE(ArtifactsInput!$N$27+1,20,24,28,32,36,40),0)/100)))))/Skills!H8,1)))/Inputs!$B$43),G2543*Q2543))*IF(Inputs!$B$38="pvp",1,(1+(Inputs!$B$21+Skills!Q8+(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4">
      <c r="A2544">
        <f>Skills!A9</f>
        <v/>
      </c>
      <c r="B2544">
        <f>Skills!B9</f>
        <v/>
      </c>
      <c r="C2544">
        <f>Inputs!$B$3&gt;=103</f>
        <v/>
      </c>
      <c r="D2544">
        <f>IF(Skills!C9=1,60+Inputs!$B$25+Inputs!$B$29,IF(Skills!C9=2,90+Inputs!$B$26+Inputs!$B$29,IF(Skills!C9=3,120+Inputs!$B$27+Inputs!$B$29,MAX(0,(Inputs!$B$3-100)*3)+Inputs!$B$28+Inputs!$B$29)))</f>
        <v/>
      </c>
      <c r="E2544">
        <f>INDEX(FactorTable!$B$2:$Y$301, MATCH(ROUND(MIN(300,MAX(1,D2544)),0), FactorTable!$A$2:$A$301,0), Skills!M9+1)</f>
        <v/>
      </c>
      <c r="F2544">
        <f>IF(Skills!N9=TRUE,(Skills!L9/10)*(E2544/1000),Skills!L9/10)+Skills!O9</f>
        <v/>
      </c>
      <c r="G2544">
        <f>Skills!G9*IF(Skills!H9&gt;0,Skills!I9/Skills!H9,1)</f>
        <v/>
      </c>
      <c r="H2544">
        <f>1-(1-Skills!J9/100)^Skills!K9</f>
        <v/>
      </c>
      <c r="I2544" t="inlineStr">
        <is>
          <t>1</t>
        </is>
      </c>
      <c r="J2544">
        <f>((Inputs!$B$6*(1+Inputs!$B$7/100))+(((Inputs!$B$12*(1+Inputs!$B$13/100))-(Inputs!$B$12*(1+Inputs!$B$13/100)))+0.25*(Inputs!$B$14-Inputs!$B$14))*(1+Inputs!$B$7/100))*(F2544/100)</f>
        <v/>
      </c>
      <c r="K2544">
        <f>J2544*(1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2544)</f>
        <v/>
      </c>
      <c r="L2544">
        <f>K2544*(MIN(Inputs!$B$22+((C2557=TRUE)*(F2557-Calc!F22)),(Inputs!$B$23+0+(IF(ArtifactsInput!$M$15,CHOOSE(ArtifactsInput!$N$15+1,25,30,35,40,45,50)/100*(Inputs!$B$11-Inputs!$B$11),0))))/100+(Inputs!$B$23+0+(IF(ArtifactsInput!$M$15,CHOOSE(ArtifactsInput!$N$15+1,25,30,35,40,45,50)/100*(Inputs!$B$11-Inputs!$B$11),0)))/100)/2</f>
        <v/>
      </c>
      <c r="M2544">
        <f>L2544*(1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4">
        <f>L2544*(1-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2544*(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4">
        <f>(1-Summary!$B$11)*T2544+Summary!$B$11*V2544</f>
        <v/>
      </c>
      <c r="P2544">
        <f>IF(B2576=0,0,O2544/B2576)</f>
        <v/>
      </c>
      <c r="Q2544">
        <f>IFERROR(1/(IF(Inputs!$B$38="pvp",15,MAX(0.1,Skills!D9-IF(Skills!E9=TRUE,Inputs!$B$32,0)))*(1-IF(AND(ArtifactsInput!$M$27,Inputs!$B$4="Chapter Hunt"),CHOOSE(ArtifactsInput!$N$27+1,20,24,28,32,36,40),0)/100)),0)</f>
        <v/>
      </c>
      <c r="R2544">
        <f>IF(AND(Inputs!$B$38&lt;&gt;"pvp",Inputs!$B$43&gt;0),IF(MAX(0,Inputs!$B$43-B2573)&lt;=0,0,(INT(MAX(0,Inputs!$B$43-B2573)/(IF(Inputs!$B$38="pvp",15,MAX(0.1,Skills!D9-IF(Skills!E9=TRUE,Inputs!$B$32,0)))*(1-IF(AND(ArtifactsInput!$M$27,Inputs!$B$4="Chapter Hunt"),CHOOSE(ArtifactsInput!$N$27+1,20,24,28,32,36,40),0)/100)))+1)),0)</f>
        <v/>
      </c>
      <c r="S2544">
        <f>IFERROR(O2544/N2544,0)</f>
        <v/>
      </c>
      <c r="T2544">
        <f>IF(C2544,(H2544*N2544*IF(AND(Inputs!$B$38&lt;&gt;"pvp",Inputs!$B$43&gt;0),((Skills!G9*((R2544-1)*IF(Skills!H9&gt;0,Skills!I9/Skills!H9,1)+IF(Skills!H9&gt;0,MIN(Skills!I9,MAX(0,MAX(0,Inputs!$B$43-B2573)-((R2544-1)*(IF(Inputs!$B$38="pvp",15,MAX(0.1,Skills!D9-IF(Skills!E9=TRUE,Inputs!$B$32,0)))*(1-IF(AND(ArtifactsInput!$M$27,Inputs!$B$4="Chapter Hunt"),CHOOSE(ArtifactsInput!$N$27+1,20,24,28,32,36,40),0)/100)))))/Skills!H9,1)))/Inputs!$B$43),G2544*Q2544)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2544*(1-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2544*(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2544*(1-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2544*(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4">
        <f>IF(C2544,(H2544*N2544*IF(AND(Inputs!$B$38&lt;&gt;"pvp",Inputs!$B$43&gt;0),((Skills!G9*((R2544-1)*IF(Skills!H9&gt;0,Skills!I9/Skills!H9,1)+IF(Skills!H9&gt;0,MIN(Skills!I9,MAX(0,MAX(0,Inputs!$B$43-B2573)-((R2544-1)*(IF(Inputs!$B$38="pvp",15,MAX(0.1,Skills!D9-IF(Skills!E9=TRUE,Inputs!$B$32,0)))*(1-IF(AND(ArtifactsInput!$M$27,Inputs!$B$4="Chapter Hunt"),CHOOSE(ArtifactsInput!$N$27+1,20,24,28,32,36,40),0)/100)))))/Skills!H9,1)))/Inputs!$B$43),G2544*Q2544))*IF(Inputs!$B$38="pvp",1,(1+(Inputs!$B$21+Skills!Q9+(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5">
      <c r="A2545">
        <f>Skills!A10</f>
        <v/>
      </c>
      <c r="B2545">
        <f>Skills!B10</f>
        <v/>
      </c>
      <c r="C2545">
        <f>Inputs!$B$3&gt;=113</f>
        <v/>
      </c>
      <c r="D2545">
        <f>IF(Skills!C10=1,60+Inputs!$B$25+Inputs!$B$29,IF(Skills!C10=2,90+Inputs!$B$26+Inputs!$B$29,IF(Skills!C10=3,120+Inputs!$B$27+Inputs!$B$29,MAX(0,(Inputs!$B$3-100)*3)+Inputs!$B$28+Inputs!$B$29)))</f>
        <v/>
      </c>
      <c r="E2545">
        <f>INDEX(FactorTable!$B$2:$Y$301, MATCH(ROUND(MIN(300,MAX(1,D2545)),0), FactorTable!$A$2:$A$301,0), Skills!M10+1)</f>
        <v/>
      </c>
      <c r="F2545">
        <f>IF(Skills!N10=TRUE,(Skills!L10/10)*(E2545/1000),Skills!L10/10)+Skills!O10</f>
        <v/>
      </c>
      <c r="G2545">
        <f>Skills!G10*IF(Skills!H10&gt;0,Skills!I10/Skills!H10,1)</f>
        <v/>
      </c>
      <c r="H2545">
        <f>1-(1-Skills!J10/100)^Skills!K10</f>
        <v/>
      </c>
      <c r="I2545" t="inlineStr">
        <is>
          <t>1</t>
        </is>
      </c>
      <c r="J2545">
        <f>((Inputs!$B$6*(1+Inputs!$B$7/100))+(((Inputs!$B$12*(1+Inputs!$B$13/100))-(Inputs!$B$12*(1+Inputs!$B$13/100)))+0.25*(Inputs!$B$14-Inputs!$B$14))*(1+Inputs!$B$7/100))*(F2545/100)</f>
        <v/>
      </c>
      <c r="K2545">
        <f>J2545*(1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2545)</f>
        <v/>
      </c>
      <c r="L2545">
        <f>K2545*(MIN(Inputs!$B$22+((C2557=TRUE)*(F2557-Calc!F22)),(Inputs!$B$23+0+(IF(ArtifactsInput!$M$15,CHOOSE(ArtifactsInput!$N$15+1,25,30,35,40,45,50)/100*(Inputs!$B$11-Inputs!$B$11),0))))/100+(Inputs!$B$23+0+(IF(ArtifactsInput!$M$15,CHOOSE(ArtifactsInput!$N$15+1,25,30,35,40,45,50)/100*(Inputs!$B$11-Inputs!$B$11),0)))/100)/2</f>
        <v/>
      </c>
      <c r="M2545">
        <f>L2545*(1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5">
        <f>L2545*(1-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2545*(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5">
        <f>(1-Summary!$B$11)*T2545+Summary!$B$11*V2545</f>
        <v/>
      </c>
      <c r="P2545">
        <f>IF(B2576=0,0,O2545/B2576)</f>
        <v/>
      </c>
      <c r="Q2545">
        <f>IFERROR(1/(IF(Inputs!$B$38="pvp",15,MAX(0.1,Skills!D10-IF(Skills!E10=TRUE,Inputs!$B$32,0)))*(1-IF(AND(ArtifactsInput!$M$27,Inputs!$B$4="Chapter Hunt"),CHOOSE(ArtifactsInput!$N$27+1,20,24,28,32,36,40),0)/100)),0)</f>
        <v/>
      </c>
      <c r="R2545">
        <f>IF(AND(Inputs!$B$38&lt;&gt;"pvp",Inputs!$B$43&gt;0),IF(MAX(0,Inputs!$B$43-B2573)&lt;=0,0,(INT(MAX(0,Inputs!$B$43-B2573)/(IF(Inputs!$B$38="pvp",15,MAX(0.1,Skills!D10-IF(Skills!E10=TRUE,Inputs!$B$32,0)))*(1-IF(AND(ArtifactsInput!$M$27,Inputs!$B$4="Chapter Hunt"),CHOOSE(ArtifactsInput!$N$27+1,20,24,28,32,36,40),0)/100)))+1)),0)</f>
        <v/>
      </c>
      <c r="S2545">
        <f>IFERROR(O2545/N2545,0)</f>
        <v/>
      </c>
      <c r="T2545">
        <f>IF(C2545,(H2545*N2545*IF(AND(Inputs!$B$38&lt;&gt;"pvp",Inputs!$B$43&gt;0),((Skills!G10*((R2545-1)*IF(Skills!H10&gt;0,Skills!I10/Skills!H10,1)+IF(Skills!H10&gt;0,MIN(Skills!I10,MAX(0,MAX(0,Inputs!$B$43-B2573)-((R2545-1)*(IF(Inputs!$B$38="pvp",15,MAX(0.1,Skills!D10-IF(Skills!E10=TRUE,Inputs!$B$32,0)))*(1-IF(AND(ArtifactsInput!$M$27,Inputs!$B$4="Chapter Hunt"),CHOOSE(ArtifactsInput!$N$27+1,20,24,28,32,36,40),0)/100)))))/Skills!H10,1)))/Inputs!$B$43),G2545*Q2545)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2545*(1-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2545*(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2545*(1-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2545*(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5">
        <f>IF(C2545,(H2545*N2545*IF(AND(Inputs!$B$38&lt;&gt;"pvp",Inputs!$B$43&gt;0),((Skills!G10*((R2545-1)*IF(Skills!H10&gt;0,Skills!I10/Skills!H10,1)+IF(Skills!H10&gt;0,MIN(Skills!I10,MAX(0,MAX(0,Inputs!$B$43-B2573)-((R2545-1)*(IF(Inputs!$B$38="pvp",15,MAX(0.1,Skills!D10-IF(Skills!E10=TRUE,Inputs!$B$32,0)))*(1-IF(AND(ArtifactsInput!$M$27,Inputs!$B$4="Chapter Hunt"),CHOOSE(ArtifactsInput!$N$27+1,20,24,28,32,36,40),0)/100)))))/Skills!H10,1)))/Inputs!$B$43),G2545*Q2545))*IF(Inputs!$B$38="pvp",1,(1+(Inputs!$B$21+Skills!Q10+(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6">
      <c r="A2546">
        <f>Skills!A11</f>
        <v/>
      </c>
      <c r="B2546">
        <f>Skills!B11</f>
        <v/>
      </c>
      <c r="C2546">
        <f>Inputs!$B$3&gt;=107</f>
        <v/>
      </c>
      <c r="D2546">
        <f>IF(Skills!C11=1,60+Inputs!$B$25+Inputs!$B$29,IF(Skills!C11=2,90+Inputs!$B$26+Inputs!$B$29,IF(Skills!C11=3,120+Inputs!$B$27+Inputs!$B$29,MAX(0,(Inputs!$B$3-100)*3)+Inputs!$B$28+Inputs!$B$29)))</f>
        <v/>
      </c>
      <c r="E2546">
        <f>INDEX(FactorTable!$B$2:$Y$301, MATCH(ROUND(MIN(300,MAX(1,D2546)),0), FactorTable!$A$2:$A$301,0), Skills!M11+1)</f>
        <v/>
      </c>
      <c r="F2546">
        <f>IF(Skills!N11=TRUE,(Skills!L11/10)*(E2546/1000),Skills!L11/10)+Skills!O11</f>
        <v/>
      </c>
      <c r="G2546">
        <f>Skills!G11*IF(Skills!H11&gt;0,Skills!I11/Skills!H11,1)</f>
        <v/>
      </c>
      <c r="H2546">
        <f>1-(1-Skills!J11/100)^Skills!K11</f>
        <v/>
      </c>
      <c r="I2546" t="inlineStr">
        <is>
          <t>1</t>
        </is>
      </c>
      <c r="J2546">
        <f>((Inputs!$B$6*(1+Inputs!$B$7/100))+(((Inputs!$B$12*(1+Inputs!$B$13/100))-(Inputs!$B$12*(1+Inputs!$B$13/100)))+0.25*(Inputs!$B$14-Inputs!$B$14))*(1+Inputs!$B$7/100))*(F2546/100)</f>
        <v/>
      </c>
      <c r="K2546">
        <f>J2546*(1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2546)</f>
        <v/>
      </c>
      <c r="L2546">
        <f>K2546*(MIN(Inputs!$B$22+((C2557=TRUE)*(F2557-Calc!F22)),(Inputs!$B$23+0+(IF(ArtifactsInput!$M$15,CHOOSE(ArtifactsInput!$N$15+1,25,30,35,40,45,50)/100*(Inputs!$B$11-Inputs!$B$11),0))))/100+(Inputs!$B$23+0+(IF(ArtifactsInput!$M$15,CHOOSE(ArtifactsInput!$N$15+1,25,30,35,40,45,50)/100*(Inputs!$B$11-Inputs!$B$11),0)))/100)/2</f>
        <v/>
      </c>
      <c r="M2546">
        <f>L2546*(1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6">
        <f>L2546*(1-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2546*(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6">
        <f>(1-Summary!$B$11)*T2546+Summary!$B$11*V2546</f>
        <v/>
      </c>
      <c r="P2546">
        <f>IF(B2576=0,0,O2546/B2576)</f>
        <v/>
      </c>
      <c r="Q2546">
        <f>IFERROR(1/(IF(Inputs!$B$38="pvp",15,MAX(0.1,Skills!D11-IF(Skills!E11=TRUE,Inputs!$B$32,0)))*(1-IF(AND(ArtifactsInput!$M$27,Inputs!$B$4="Chapter Hunt"),CHOOSE(ArtifactsInput!$N$27+1,20,24,28,32,36,40),0)/100)),0)</f>
        <v/>
      </c>
      <c r="R2546">
        <f>IF(AND(Inputs!$B$38&lt;&gt;"pvp",Inputs!$B$43&gt;0),IF(MAX(0,Inputs!$B$43-B2573)&lt;=0,0,(INT(MAX(0,Inputs!$B$43-B2573)/(IF(Inputs!$B$38="pvp",15,MAX(0.1,Skills!D11-IF(Skills!E11=TRUE,Inputs!$B$32,0)))*(1-IF(AND(ArtifactsInput!$M$27,Inputs!$B$4="Chapter Hunt"),CHOOSE(ArtifactsInput!$N$27+1,20,24,28,32,36,40),0)/100)))+1)),0)</f>
        <v/>
      </c>
      <c r="S2546">
        <f>IFERROR(O2546/N2546,0)</f>
        <v/>
      </c>
      <c r="T2546">
        <f>IF(C2546,(H2546*N2546*IF(AND(Inputs!$B$38&lt;&gt;"pvp",Inputs!$B$43&gt;0),((Skills!G11*((R2546-1)*IF(Skills!H11&gt;0,Skills!I11/Skills!H11,1)+IF(Skills!H11&gt;0,MIN(Skills!I11,MAX(0,MAX(0,Inputs!$B$43-B2573)-((R2546-1)*(IF(Inputs!$B$38="pvp",15,MAX(0.1,Skills!D11-IF(Skills!E11=TRUE,Inputs!$B$32,0)))*(1-IF(AND(ArtifactsInput!$M$27,Inputs!$B$4="Chapter Hunt"),CHOOSE(ArtifactsInput!$N$27+1,20,24,28,32,36,40),0)/100)))))/Skills!H11,1)))/Inputs!$B$43),G2546*Q2546)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2546*(1-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2546*(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2546*(1-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2546*(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6">
        <f>IF(C2546,(H2546*N2546*IF(AND(Inputs!$B$38&lt;&gt;"pvp",Inputs!$B$43&gt;0),((Skills!G11*((R2546-1)*IF(Skills!H11&gt;0,Skills!I11/Skills!H11,1)+IF(Skills!H11&gt;0,MIN(Skills!I11,MAX(0,MAX(0,Inputs!$B$43-B2573)-((R2546-1)*(IF(Inputs!$B$38="pvp",15,MAX(0.1,Skills!D11-IF(Skills!E11=TRUE,Inputs!$B$32,0)))*(1-IF(AND(ArtifactsInput!$M$27,Inputs!$B$4="Chapter Hunt"),CHOOSE(ArtifactsInput!$N$27+1,20,24,28,32,36,40),0)/100)))))/Skills!H11,1)))/Inputs!$B$43),G2546*Q2546))*IF(Inputs!$B$38="pvp",1,(1+(Inputs!$B$21+Skills!Q11+(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7">
      <c r="A2547">
        <f>Skills!A12</f>
        <v/>
      </c>
      <c r="B2547">
        <f>Skills!B12</f>
        <v/>
      </c>
      <c r="C2547">
        <f>Inputs!$B$3&gt;=110</f>
        <v/>
      </c>
      <c r="D2547">
        <f>IF(Skills!C12=1,60+Inputs!$B$25+Inputs!$B$29,IF(Skills!C12=2,90+Inputs!$B$26+Inputs!$B$29,IF(Skills!C12=3,120+Inputs!$B$27+Inputs!$B$29,MAX(0,(Inputs!$B$3-100)*3)+Inputs!$B$28+Inputs!$B$29)))</f>
        <v/>
      </c>
      <c r="E2547">
        <f>INDEX(FactorTable!$B$2:$Y$301, MATCH(ROUND(MIN(300,MAX(1,D2547)),0), FactorTable!$A$2:$A$301,0), Skills!M12+1)</f>
        <v/>
      </c>
      <c r="F2547">
        <f>IF(Skills!N12=TRUE,(Skills!L12/10)*(E2547/1000),Skills!L12/10)+Skills!O12</f>
        <v/>
      </c>
      <c r="G2547">
        <f>Skills!G12*IF(Skills!H12&gt;0,Skills!I12/Skills!H12,1)</f>
        <v/>
      </c>
      <c r="H2547">
        <f>1-(1-Skills!J12/100)^Skills!K12</f>
        <v/>
      </c>
      <c r="I2547" t="inlineStr">
        <is>
          <t>1</t>
        </is>
      </c>
      <c r="J2547">
        <f>((Inputs!$B$6*(1+Inputs!$B$7/100))+(((Inputs!$B$12*(1+Inputs!$B$13/100))-(Inputs!$B$12*(1+Inputs!$B$13/100)))+0.25*(Inputs!$B$14-Inputs!$B$14))*(1+Inputs!$B$7/100))*(F2547/100)</f>
        <v/>
      </c>
      <c r="K2547">
        <f>J2547*(1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2547)</f>
        <v/>
      </c>
      <c r="L2547">
        <f>K2547*(MIN(Inputs!$B$22+((C2557=TRUE)*(F2557-Calc!F22)),(Inputs!$B$23+0+(IF(ArtifactsInput!$M$15,CHOOSE(ArtifactsInput!$N$15+1,25,30,35,40,45,50)/100*(Inputs!$B$11-Inputs!$B$11),0))))/100+(Inputs!$B$23+0+(IF(ArtifactsInput!$M$15,CHOOSE(ArtifactsInput!$N$15+1,25,30,35,40,45,50)/100*(Inputs!$B$11-Inputs!$B$11),0)))/100)/2</f>
        <v/>
      </c>
      <c r="M2547">
        <f>L2547*(1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7">
        <f>L2547*(1-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2547*(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7">
        <f>(1-Summary!$B$11)*T2547+Summary!$B$11*V2547</f>
        <v/>
      </c>
      <c r="P2547">
        <f>IF(B2576=0,0,O2547/B2576)</f>
        <v/>
      </c>
      <c r="Q2547">
        <f>IFERROR(1/(IF(Inputs!$B$38="pvp",15,MAX(0.1,Skills!D12-IF(Skills!E12=TRUE,Inputs!$B$32,0)))*(1-IF(AND(ArtifactsInput!$M$27,Inputs!$B$4="Chapter Hunt"),CHOOSE(ArtifactsInput!$N$27+1,20,24,28,32,36,40),0)/100)),0)</f>
        <v/>
      </c>
      <c r="R2547">
        <f>IF(AND(Inputs!$B$38&lt;&gt;"pvp",Inputs!$B$43&gt;0),IF(MAX(0,Inputs!$B$43-B2573)&lt;=0,0,(INT(MAX(0,Inputs!$B$43-B2573)/(IF(Inputs!$B$38="pvp",15,MAX(0.1,Skills!D12-IF(Skills!E12=TRUE,Inputs!$B$32,0)))*(1-IF(AND(ArtifactsInput!$M$27,Inputs!$B$4="Chapter Hunt"),CHOOSE(ArtifactsInput!$N$27+1,20,24,28,32,36,40),0)/100)))+1)),0)</f>
        <v/>
      </c>
      <c r="S2547">
        <f>IFERROR(O2547/N2547,0)</f>
        <v/>
      </c>
      <c r="T2547">
        <f>IF(C2547,(H2547*N2547*IF(AND(Inputs!$B$38&lt;&gt;"pvp",Inputs!$B$43&gt;0),((Skills!G12*((R2547-1)*IF(Skills!H12&gt;0,Skills!I12/Skills!H12,1)+IF(Skills!H12&gt;0,MIN(Skills!I12,MAX(0,MAX(0,Inputs!$B$43-B2573)-((R2547-1)*(IF(Inputs!$B$38="pvp",15,MAX(0.1,Skills!D12-IF(Skills!E12=TRUE,Inputs!$B$32,0)))*(1-IF(AND(ArtifactsInput!$M$27,Inputs!$B$4="Chapter Hunt"),CHOOSE(ArtifactsInput!$N$27+1,20,24,28,32,36,40),0)/100)))))/Skills!H12,1)))/Inputs!$B$43),G2547*Q2547)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2547*(1-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2547*(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2547*(1-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2547*(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7">
        <f>IF(C2547,(H2547*N2547*IF(AND(Inputs!$B$38&lt;&gt;"pvp",Inputs!$B$43&gt;0),((Skills!G12*((R2547-1)*IF(Skills!H12&gt;0,Skills!I12/Skills!H12,1)+IF(Skills!H12&gt;0,MIN(Skills!I12,MAX(0,MAX(0,Inputs!$B$43-B2573)-((R2547-1)*(IF(Inputs!$B$38="pvp",15,MAX(0.1,Skills!D12-IF(Skills!E12=TRUE,Inputs!$B$32,0)))*(1-IF(AND(ArtifactsInput!$M$27,Inputs!$B$4="Chapter Hunt"),CHOOSE(ArtifactsInput!$N$27+1,20,24,28,32,36,40),0)/100)))))/Skills!H12,1)))/Inputs!$B$43),G2547*Q2547))*IF(Inputs!$B$38="pvp",1,(1+(Inputs!$B$21+Skills!Q12+(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8">
      <c r="A2548">
        <f>Skills!A13</f>
        <v/>
      </c>
      <c r="B2548">
        <f>Skills!B13</f>
        <v/>
      </c>
      <c r="C2548">
        <f>Inputs!$B$3&gt;=110</f>
        <v/>
      </c>
      <c r="D2548">
        <f>IF(Skills!C13=1,60+Inputs!$B$25+Inputs!$B$29,IF(Skills!C13=2,90+Inputs!$B$26+Inputs!$B$29,IF(Skills!C13=3,120+Inputs!$B$27+Inputs!$B$29,MAX(0,(Inputs!$B$3-100)*3)+Inputs!$B$28+Inputs!$B$29)))</f>
        <v/>
      </c>
      <c r="E2548">
        <f>INDEX(FactorTable!$B$2:$Y$301, MATCH(ROUND(MIN(300,MAX(1,D2548)),0), FactorTable!$A$2:$A$301,0), Skills!M13+1)</f>
        <v/>
      </c>
      <c r="F2548">
        <f>IF(Skills!N13=TRUE,(Skills!L13/10)*(E2548/1000),Skills!L13/10)+Skills!O13</f>
        <v/>
      </c>
      <c r="G2548">
        <f>Skills!G13*IF(Skills!H13&gt;0,Skills!I13/Skills!H13,1)</f>
        <v/>
      </c>
      <c r="H2548">
        <f>1-(1-Skills!J13/100)^Skills!K13</f>
        <v/>
      </c>
      <c r="I2548" t="inlineStr">
        <is>
          <t>1</t>
        </is>
      </c>
      <c r="J2548">
        <f>((Inputs!$B$6*(1+Inputs!$B$7/100))+(((Inputs!$B$12*(1+Inputs!$B$13/100))-(Inputs!$B$12*(1+Inputs!$B$13/100)))+0.25*(Inputs!$B$14-Inputs!$B$14))*(1+Inputs!$B$7/100))*(F2548/100)</f>
        <v/>
      </c>
      <c r="K2548">
        <f>J2548*(1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2548)</f>
        <v/>
      </c>
      <c r="L2548">
        <f>K2548*(MIN(Inputs!$B$22+((C2557=TRUE)*(F2557-Calc!F22)),(Inputs!$B$23+0+(IF(ArtifactsInput!$M$15,CHOOSE(ArtifactsInput!$N$15+1,25,30,35,40,45,50)/100*(Inputs!$B$11-Inputs!$B$11),0))))/100+(Inputs!$B$23+0+(IF(ArtifactsInput!$M$15,CHOOSE(ArtifactsInput!$N$15+1,25,30,35,40,45,50)/100*(Inputs!$B$11-Inputs!$B$11),0)))/100)/2</f>
        <v/>
      </c>
      <c r="M2548">
        <f>L2548*(1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8">
        <f>L2548*(1-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2548*(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8">
        <f>(1-Summary!$B$11)*T2548+Summary!$B$11*V2548</f>
        <v/>
      </c>
      <c r="P2548">
        <f>IF(B2576=0,0,O2548/B2576)</f>
        <v/>
      </c>
      <c r="Q2548">
        <f>IFERROR(1/(IF(Inputs!$B$38="pvp",15,MAX(0.1,Skills!D13-IF(Skills!E13=TRUE,Inputs!$B$32,0)))*(1-IF(AND(ArtifactsInput!$M$27,Inputs!$B$4="Chapter Hunt"),CHOOSE(ArtifactsInput!$N$27+1,20,24,28,32,36,40),0)/100)),0)</f>
        <v/>
      </c>
      <c r="R2548">
        <f>IF(AND(Inputs!$B$38&lt;&gt;"pvp",Inputs!$B$43&gt;0),IF(MAX(0,Inputs!$B$43-B2573)&lt;=0,0,(INT(MAX(0,Inputs!$B$43-B2573)/(IF(Inputs!$B$38="pvp",15,MAX(0.1,Skills!D13-IF(Skills!E13=TRUE,Inputs!$B$32,0)))*(1-IF(AND(ArtifactsInput!$M$27,Inputs!$B$4="Chapter Hunt"),CHOOSE(ArtifactsInput!$N$27+1,20,24,28,32,36,40),0)/100)))+1)),0)</f>
        <v/>
      </c>
      <c r="S2548">
        <f>IFERROR(O2548/N2548,0)</f>
        <v/>
      </c>
      <c r="T2548">
        <f>IF(C2548,(H2548*N2548*IF(AND(Inputs!$B$38&lt;&gt;"pvp",Inputs!$B$43&gt;0),((Skills!G13*((R2548-1)*IF(Skills!H13&gt;0,Skills!I13/Skills!H13,1)+IF(Skills!H13&gt;0,MIN(Skills!I13,MAX(0,MAX(0,Inputs!$B$43-B2573)-((R2548-1)*(IF(Inputs!$B$38="pvp",15,MAX(0.1,Skills!D13-IF(Skills!E13=TRUE,Inputs!$B$32,0)))*(1-IF(AND(ArtifactsInput!$M$27,Inputs!$B$4="Chapter Hunt"),CHOOSE(ArtifactsInput!$N$27+1,20,24,28,32,36,40),0)/100)))))/Skills!H13,1)))/Inputs!$B$43),G2548*Q2548)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2548*(1-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2548*(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2548*(1-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2548*(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8">
        <f>IF(C2548,(H2548*N2548*IF(AND(Inputs!$B$38&lt;&gt;"pvp",Inputs!$B$43&gt;0),((Skills!G13*((R2548-1)*IF(Skills!H13&gt;0,Skills!I13/Skills!H13,1)+IF(Skills!H13&gt;0,MIN(Skills!I13,MAX(0,MAX(0,Inputs!$B$43-B2573)-((R2548-1)*(IF(Inputs!$B$38="pvp",15,MAX(0.1,Skills!D13-IF(Skills!E13=TRUE,Inputs!$B$32,0)))*(1-IF(AND(ArtifactsInput!$M$27,Inputs!$B$4="Chapter Hunt"),CHOOSE(ArtifactsInput!$N$27+1,20,24,28,32,36,40),0)/100)))))/Skills!H13,1)))/Inputs!$B$43),G2548*Q2548))*IF(Inputs!$B$38="pvp",1,(1+(Inputs!$B$21+Skills!Q13+(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9">
      <c r="A2549">
        <f>Skills!A14</f>
        <v/>
      </c>
      <c r="B2549">
        <f>Skills!B14</f>
        <v/>
      </c>
      <c r="C2549">
        <f>Inputs!$B$3&gt;=125</f>
        <v/>
      </c>
      <c r="D2549">
        <f>IF(Skills!C14=1,60+Inputs!$B$25+Inputs!$B$29,IF(Skills!C14=2,90+Inputs!$B$26+Inputs!$B$29,IF(Skills!C14=3,120+Inputs!$B$27+Inputs!$B$29,MAX(0,(Inputs!$B$3-100)*3)+Inputs!$B$28+Inputs!$B$29)))</f>
        <v/>
      </c>
      <c r="E2549">
        <f>INDEX(FactorTable!$B$2:$Y$301, MATCH(ROUND(MIN(300,MAX(1,D2549)),0), FactorTable!$A$2:$A$301,0), Skills!M14+1)</f>
        <v/>
      </c>
      <c r="F2549">
        <f>IF(Skills!N14=TRUE,(Skills!L14/10)*(E2549/1000),Skills!L14/10)+Skills!O14</f>
        <v/>
      </c>
      <c r="G2549">
        <f>Skills!G14*IF(Skills!H14&gt;0,Skills!I14/Skills!H14,1)</f>
        <v/>
      </c>
      <c r="H2549">
        <f>1-(1-Skills!J14/100)^Skills!K14</f>
        <v/>
      </c>
      <c r="I2549" t="inlineStr">
        <is>
          <t>1</t>
        </is>
      </c>
      <c r="J2549">
        <f>((Inputs!$B$6*(1+Inputs!$B$7/100))+(((Inputs!$B$12*(1+Inputs!$B$13/100))-(Inputs!$B$12*(1+Inputs!$B$13/100)))+0.25*(Inputs!$B$14-Inputs!$B$14))*(1+Inputs!$B$7/100))*(F2549/100)</f>
        <v/>
      </c>
      <c r="K2549">
        <f>J2549*(1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2549)</f>
        <v/>
      </c>
      <c r="L2549">
        <f>K2549*(MIN(Inputs!$B$22+((C2557=TRUE)*(F2557-Calc!F22)),(Inputs!$B$23+0+(IF(ArtifactsInput!$M$15,CHOOSE(ArtifactsInput!$N$15+1,25,30,35,40,45,50)/100*(Inputs!$B$11-Inputs!$B$11),0))))/100+(Inputs!$B$23+0+(IF(ArtifactsInput!$M$15,CHOOSE(ArtifactsInput!$N$15+1,25,30,35,40,45,50)/100*(Inputs!$B$11-Inputs!$B$11),0)))/100)/2</f>
        <v/>
      </c>
      <c r="M2549">
        <f>L2549*(1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9">
        <f>L2549*(1-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2549*(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9">
        <f>(1-Summary!$B$11)*T2549+Summary!$B$11*V2549</f>
        <v/>
      </c>
      <c r="P2549">
        <f>IF(B2576=0,0,O2549/B2576)</f>
        <v/>
      </c>
      <c r="Q2549" t="n">
        <v>0</v>
      </c>
      <c r="R2549" t="n">
        <v>0</v>
      </c>
      <c r="S2549">
        <f>IFERROR(O2549/N2549,0)</f>
        <v/>
      </c>
      <c r="T2549">
        <f>IF(C2549,(H2549*N2549*(B2570+IF(AND(Inputs!$B$38&lt;&gt;"pvp",Inputs!$B$43&gt;0),((Skills!G8*((R2543-1)*IF(Skills!H8&gt;0,Skills!I8/Skills!H8,1)+IF(Skills!H8&gt;0,MIN(Skills!I8,MAX(0,MAX(0,Inputs!$B$43-B2573)-((R2543-1)*(IF(Inputs!$B$38="pvp",15,MAX(0.1,Skills!D8-IF(Skills!E8=TRUE,Inputs!$B$32,0)))*(1-IF(AND(ArtifactsInput!$M$27,Inputs!$B$4="Chapter Hunt"),CHOOSE(ArtifactsInput!$N$27+1,20,24,28,32,36,40),0)/100)))))/Skills!H8,1)))/Inputs!$B$43),G2543*Q2543)+IF(AND(Inputs!$B$38&lt;&gt;"pvp",Inputs!$B$43&gt;0),((Skills!G11*((R2546-1)*IF(Skills!H11&gt;0,Skills!I11/Skills!H11,1)+IF(Skills!H11&gt;0,MIN(Skills!I11,MAX(0,MAX(0,Inputs!$B$43-B2573)-((R2546-1)*(IF(Inputs!$B$38="pvp",15,MAX(0.1,Skills!D11-IF(Skills!E11=TRUE,Inputs!$B$32,0)))*(1-IF(AND(ArtifactsInput!$M$27,Inputs!$B$4="Chapter Hunt"),CHOOSE(ArtifactsInput!$N$27+1,20,24,28,32,36,40),0)/100)))))/Skills!H11,1)))/Inputs!$B$43),G2546*Q2546)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2549*(1-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2549*(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2549*(1-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2549*(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9">
        <f>IF(C2549,(H2549*N2549*(B2570+IF(AND(Inputs!$B$38&lt;&gt;"pvp",Inputs!$B$43&gt;0),((Skills!G8*((R2543-1)*IF(Skills!H8&gt;0,Skills!I8/Skills!H8,1)+IF(Skills!H8&gt;0,MIN(Skills!I8,MAX(0,MAX(0,Inputs!$B$43-B2573)-((R2543-1)*(IF(Inputs!$B$38="pvp",15,MAX(0.1,Skills!D8-IF(Skills!E8=TRUE,Inputs!$B$32,0)))*(1-IF(AND(ArtifactsInput!$M$27,Inputs!$B$4="Chapter Hunt"),CHOOSE(ArtifactsInput!$N$27+1,20,24,28,32,36,40),0)/100)))))/Skills!H8,1)))/Inputs!$B$43),G2543*Q2543)+IF(AND(Inputs!$B$38&lt;&gt;"pvp",Inputs!$B$43&gt;0),((Skills!G11*((R2546-1)*IF(Skills!H11&gt;0,Skills!I11/Skills!H11,1)+IF(Skills!H11&gt;0,MIN(Skills!I11,MAX(0,MAX(0,Inputs!$B$43-B2573)-((R2546-1)*(IF(Inputs!$B$38="pvp",15,MAX(0.1,Skills!D11-IF(Skills!E11=TRUE,Inputs!$B$32,0)))*(1-IF(AND(ArtifactsInput!$M$27,Inputs!$B$4="Chapter Hunt"),CHOOSE(ArtifactsInput!$N$27+1,20,24,28,32,36,40),0)/100)))))/Skills!H11,1)))/Inputs!$B$43),G2546*Q2546)))*IF(Inputs!$B$38="pvp",1,(1+(Inputs!$B$21+Skills!Q14+(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0">
      <c r="A2550">
        <f>Skills!A15</f>
        <v/>
      </c>
      <c r="B2550">
        <f>Skills!B15</f>
        <v/>
      </c>
      <c r="C2550">
        <f>Inputs!$B$3&gt;=100</f>
        <v/>
      </c>
      <c r="D2550">
        <f>IF(Skills!C15=1,60+Inputs!$B$25+Inputs!$B$29,IF(Skills!C15=2,90+Inputs!$B$26+Inputs!$B$29,IF(Skills!C15=3,120+Inputs!$B$27+Inputs!$B$29,MAX(0,(Inputs!$B$3-100)*3)+Inputs!$B$28+Inputs!$B$29)))</f>
        <v/>
      </c>
      <c r="E2550">
        <f>INDEX(FactorTable!$B$2:$Y$301, MATCH(ROUND(MIN(300,MAX(1,D2550)),0), FactorTable!$A$2:$A$301,0), Skills!M15+1)</f>
        <v/>
      </c>
      <c r="F2550">
        <f>IF(Skills!N15=TRUE,(Skills!L15/10)*(E2550/1000),Skills!L15/10)+Skills!O15</f>
        <v/>
      </c>
      <c r="G2550" t="inlineStr"/>
      <c r="H2550" t="inlineStr"/>
      <c r="I2550" t="inlineStr">
        <is>
          <t>1</t>
        </is>
      </c>
      <c r="J2550" t="inlineStr"/>
      <c r="K2550" t="inlineStr"/>
      <c r="L2550" t="inlineStr"/>
      <c r="M2550" t="inlineStr"/>
      <c r="N2550" t="inlineStr"/>
      <c r="O2550" t="inlineStr"/>
      <c r="P2550" t="inlineStr"/>
      <c r="Q2550" t="inlineStr"/>
      <c r="R2550" t="inlineStr"/>
      <c r="S2550" t="inlineStr"/>
    </row>
    <row r="2551">
      <c r="A2551">
        <f>Skills!A16</f>
        <v/>
      </c>
      <c r="B2551">
        <f>Skills!B16</f>
        <v/>
      </c>
      <c r="C2551">
        <f>Inputs!$B$3&gt;=120</f>
        <v/>
      </c>
      <c r="D2551">
        <f>IF(Skills!C16=1,60+Inputs!$B$25+Inputs!$B$29,IF(Skills!C16=2,90+Inputs!$B$26+Inputs!$B$29,IF(Skills!C16=3,120+Inputs!$B$27+Inputs!$B$29,MAX(0,(Inputs!$B$3-100)*3)+Inputs!$B$28+Inputs!$B$29)))</f>
        <v/>
      </c>
      <c r="E2551">
        <f>INDEX(FactorTable!$B$2:$Y$301, MATCH(ROUND(MIN(300,MAX(1,D2551)),0), FactorTable!$A$2:$A$301,0), Skills!M16+1)</f>
        <v/>
      </c>
      <c r="F2551">
        <f>IF(Skills!N16=TRUE,(Skills!L16/10)*(E2551/1000),Skills!L16/10)+Skills!O16</f>
        <v/>
      </c>
      <c r="G2551" t="inlineStr"/>
      <c r="H2551" t="inlineStr"/>
      <c r="I2551" t="inlineStr">
        <is>
          <t>1</t>
        </is>
      </c>
      <c r="J2551" t="inlineStr"/>
      <c r="K2551" t="inlineStr"/>
      <c r="L2551" t="inlineStr"/>
      <c r="M2551" t="inlineStr"/>
      <c r="N2551" t="inlineStr"/>
      <c r="O2551" t="inlineStr"/>
      <c r="P2551" t="inlineStr"/>
      <c r="Q2551" t="inlineStr"/>
      <c r="R2551" t="inlineStr"/>
      <c r="S2551" t="inlineStr"/>
    </row>
    <row r="2552">
      <c r="A2552">
        <f>Skills!A17</f>
        <v/>
      </c>
      <c r="B2552">
        <f>Skills!B17</f>
        <v/>
      </c>
      <c r="C2552">
        <f>Inputs!$B$3&gt;=66</f>
        <v/>
      </c>
      <c r="D2552">
        <f>IF(Skills!C17=1,60+Inputs!$B$25+Inputs!$B$29,IF(Skills!C17=2,90+Inputs!$B$26+Inputs!$B$29,IF(Skills!C17=3,120+Inputs!$B$27+Inputs!$B$29,MAX(0,(Inputs!$B$3-100)*3)+Inputs!$B$28+Inputs!$B$29)))</f>
        <v/>
      </c>
      <c r="E2552">
        <f>INDEX(FactorTable!$B$2:$Y$301, MATCH(ROUND(MIN(300,MAX(1,D2552)),0), FactorTable!$A$2:$A$301,0), Skills!M17+1)</f>
        <v/>
      </c>
      <c r="F2552">
        <f>IF(Skills!N17=TRUE,(Skills!L17/10)*(E2552/1000),Skills!L17/10)+Skills!O17</f>
        <v/>
      </c>
      <c r="G2552">
        <f>Skills!G17*IF(Skills!H17&gt;0,Skills!I17/Skills!H17,1)</f>
        <v/>
      </c>
      <c r="H2552">
        <f>1-(1-Skills!J17/100)^Skills!K17</f>
        <v/>
      </c>
      <c r="I2552" t="inlineStr">
        <is>
          <t>1</t>
        </is>
      </c>
      <c r="J2552" t="inlineStr"/>
      <c r="K2552" t="inlineStr"/>
      <c r="L2552" t="inlineStr"/>
      <c r="M2552" t="inlineStr"/>
      <c r="N2552" t="inlineStr"/>
      <c r="O2552">
        <f>(1-Summary!$B$11)*T2552+Summary!$B$11*V2552</f>
        <v/>
      </c>
      <c r="P2552">
        <f>IF(B2576=0,0,O2552/B2576)</f>
        <v/>
      </c>
      <c r="Q2552" t="n">
        <v>0</v>
      </c>
      <c r="R2552" t="n">
        <v>0</v>
      </c>
      <c r="S2552">
        <f>IFERROR(O2552/N2552,0)</f>
        <v/>
      </c>
      <c r="T2552" t="n">
        <v>0</v>
      </c>
      <c r="V2552" t="n">
        <v>0</v>
      </c>
    </row>
    <row r="2553">
      <c r="A2553">
        <f>Skills!A18</f>
        <v/>
      </c>
      <c r="B2553">
        <f>Skills!B18</f>
        <v/>
      </c>
      <c r="C2553">
        <f>Inputs!$B$3&gt;=115</f>
        <v/>
      </c>
      <c r="D2553">
        <f>IF(Skills!C18=1,60+Inputs!$B$25+Inputs!$B$29,IF(Skills!C18=2,90+Inputs!$B$26+Inputs!$B$29,IF(Skills!C18=3,120+Inputs!$B$27+Inputs!$B$29,MAX(0,(Inputs!$B$3-100)*3)+Inputs!$B$28+Inputs!$B$29)))</f>
        <v/>
      </c>
      <c r="E2553">
        <f>INDEX(FactorTable!$B$2:$Y$301, MATCH(ROUND(MIN(300,MAX(1,D2553)),0), FactorTable!$A$2:$A$301,0), Skills!M18+1)</f>
        <v/>
      </c>
      <c r="F2553">
        <f>IF(Skills!N18=TRUE,(Skills!L18/10)*(E2553/1000),Skills!L18/10)+Skills!O18</f>
        <v/>
      </c>
      <c r="G2553">
        <f>Skills!G18*IF(Skills!H18&gt;0,Skills!I18/Skills!H18,1)</f>
        <v/>
      </c>
      <c r="H2553">
        <f>1-(1-Skills!J18/100)^Skills!K18</f>
        <v/>
      </c>
      <c r="I2553" t="inlineStr">
        <is>
          <t>1</t>
        </is>
      </c>
      <c r="J2553" t="inlineStr"/>
      <c r="K2553" t="inlineStr"/>
      <c r="L2553" t="inlineStr"/>
      <c r="M2553" t="inlineStr"/>
      <c r="N2553" t="inlineStr"/>
      <c r="O2553">
        <f>(1-Summary!$B$11)*T2553+Summary!$B$11*V2553</f>
        <v/>
      </c>
      <c r="P2553">
        <f>IF(B2576=0,0,O2553/B2576)</f>
        <v/>
      </c>
      <c r="Q2553">
        <f>IFERROR(1/(IF(Inputs!$B$38="pvp",15,MAX(0.1,Skills!D18-IF(Skills!E18=TRUE,Inputs!$B$32,0)))*(1-IF(AND(ArtifactsInput!$M$27,Inputs!$B$4="Chapter Hunt"),CHOOSE(ArtifactsInput!$N$27+1,20,24,28,32,36,40),0)/100)),0)</f>
        <v/>
      </c>
      <c r="R2553">
        <f>IF(AND(Inputs!$B$38&lt;&gt;"pvp",Inputs!$B$43&gt;0),IF(Inputs!$B$43&lt;=0,0,(INT(Inputs!$B$43/(IF(Inputs!$B$38="pvp",15,MAX(0.1,Skills!D18-IF(Skills!E18=TRUE,Inputs!$B$32,0)))*(1-IF(AND(ArtifactsInput!$M$27,Inputs!$B$4="Chapter Hunt"),CHOOSE(ArtifactsInput!$N$27+1,20,24,28,32,36,40),0)/100)))+1)),0)</f>
        <v/>
      </c>
      <c r="S2553">
        <f>IFERROR(O2553/N2553,0)</f>
        <v/>
      </c>
      <c r="T2553" t="n">
        <v>0</v>
      </c>
      <c r="V2553" t="n">
        <v>0</v>
      </c>
    </row>
    <row r="2554">
      <c r="A2554">
        <f>Skills!A19</f>
        <v/>
      </c>
      <c r="B2554">
        <f>Skills!B19</f>
        <v/>
      </c>
      <c r="C2554">
        <f>Inputs!$B$3&gt;=15</f>
        <v/>
      </c>
      <c r="D2554">
        <f>IF(Skills!C19=1,60+Inputs!$B$25+Inputs!$B$29,IF(Skills!C19=2,90+Inputs!$B$26+Inputs!$B$29,IF(Skills!C19=3,120+Inputs!$B$27+Inputs!$B$29,MAX(0,(Inputs!$B$3-100)*3)+Inputs!$B$28+Inputs!$B$29)))</f>
        <v/>
      </c>
      <c r="E2554">
        <f>INDEX(FactorTable!$B$2:$Y$301, MATCH(ROUND(MIN(300,MAX(1,D2554)),0), FactorTable!$A$2:$A$301,0), Skills!M19+1)</f>
        <v/>
      </c>
      <c r="F2554">
        <f>IF(Skills!N19=TRUE,(Skills!L19/10)*(E2554/1000),Skills!L19/10)+Skills!O19</f>
        <v/>
      </c>
      <c r="G2554">
        <f>Skills!G19*IF(Skills!H19&gt;0,Skills!I19/Skills!H19,1)</f>
        <v/>
      </c>
      <c r="H2554">
        <f>1-(1-Skills!J19/100)^Skills!K19</f>
        <v/>
      </c>
      <c r="I2554" t="inlineStr">
        <is>
          <t>1</t>
        </is>
      </c>
      <c r="J2554" t="inlineStr"/>
      <c r="K2554" t="inlineStr"/>
      <c r="L2554" t="inlineStr"/>
      <c r="M2554" t="inlineStr"/>
      <c r="N2554" t="inlineStr"/>
      <c r="O2554">
        <f>(1-Summary!$B$11)*T2554+Summary!$B$11*V2554</f>
        <v/>
      </c>
      <c r="P2554">
        <f>IF(B2576=0,0,O2554/B2576)</f>
        <v/>
      </c>
      <c r="Q2554" t="n">
        <v>0</v>
      </c>
      <c r="R2554" t="n">
        <v>0</v>
      </c>
      <c r="S2554">
        <f>IFERROR(O2554/N2554,0)</f>
        <v/>
      </c>
      <c r="T2554" t="n">
        <v>0</v>
      </c>
      <c r="V2554" t="n">
        <v>0</v>
      </c>
    </row>
    <row r="2555">
      <c r="A2555">
        <f>Skills!A20</f>
        <v/>
      </c>
      <c r="B2555">
        <f>Skills!B20</f>
        <v/>
      </c>
      <c r="C2555">
        <f>Inputs!$B$3&gt;=10</f>
        <v/>
      </c>
      <c r="D2555">
        <f>IF(Skills!C20=1,60+Inputs!$B$25+Inputs!$B$29,IF(Skills!C20=2,90+Inputs!$B$26+Inputs!$B$29,IF(Skills!C20=3,120+Inputs!$B$27+Inputs!$B$29,MAX(0,(Inputs!$B$3-100)*3)+Inputs!$B$28+Inputs!$B$29)))</f>
        <v/>
      </c>
      <c r="E2555">
        <f>INDEX(FactorTable!$B$2:$Y$301, MATCH(ROUND(MIN(300,MAX(1,D2555)),0), FactorTable!$A$2:$A$301,0), Skills!M20+1)</f>
        <v/>
      </c>
      <c r="F2555">
        <f>IF(Skills!N20=TRUE,(Skills!L20/10)*(E2555/1000),Skills!L20/10)+Skills!O20</f>
        <v/>
      </c>
      <c r="G2555">
        <f>Skills!G20*IF(Skills!H20&gt;0,Skills!I20/Skills!H20,1)</f>
        <v/>
      </c>
      <c r="H2555">
        <f>1-(1-Skills!J20/100)^Skills!K20</f>
        <v/>
      </c>
      <c r="I2555" t="inlineStr">
        <is>
          <t>1</t>
        </is>
      </c>
      <c r="J2555" t="inlineStr"/>
      <c r="K2555" t="inlineStr"/>
      <c r="L2555" t="inlineStr"/>
      <c r="M2555" t="inlineStr"/>
      <c r="N2555" t="inlineStr"/>
      <c r="O2555">
        <f>(1-Summary!$B$11)*T2555+Summary!$B$11*V2555</f>
        <v/>
      </c>
      <c r="P2555">
        <f>IF(B2576=0,0,O2555/B2576)</f>
        <v/>
      </c>
      <c r="Q2555" t="n">
        <v>0</v>
      </c>
      <c r="R2555" t="n">
        <v>0</v>
      </c>
      <c r="S2555">
        <f>IFERROR(O2555/N2555,0)</f>
        <v/>
      </c>
      <c r="T2555" t="n">
        <v>0</v>
      </c>
      <c r="V2555" t="n">
        <v>0</v>
      </c>
    </row>
    <row r="2556">
      <c r="A2556">
        <f>Skills!A21</f>
        <v/>
      </c>
      <c r="B2556">
        <f>Skills!B21</f>
        <v/>
      </c>
      <c r="C2556">
        <f>Inputs!$B$3&gt;=33</f>
        <v/>
      </c>
      <c r="D2556">
        <f>IF(Skills!C21=1,60+Inputs!$B$25+Inputs!$B$29,IF(Skills!C21=2,90+Inputs!$B$26+Inputs!$B$29,IF(Skills!C21=3,120+Inputs!$B$27+Inputs!$B$29,MAX(0,(Inputs!$B$3-100)*3)+Inputs!$B$28+Inputs!$B$29)))</f>
        <v/>
      </c>
      <c r="E2556">
        <f>INDEX(FactorTable!$B$2:$Y$301, MATCH(ROUND(MIN(300,MAX(1,D2556)),0), FactorTable!$A$2:$A$301,0), Skills!M21+1)</f>
        <v/>
      </c>
      <c r="F2556">
        <f>IF(Skills!N21=TRUE,(Skills!L21/10)*(E2556/1000),Skills!L21/10)+Skills!O21</f>
        <v/>
      </c>
      <c r="G2556">
        <f>Skills!G21*IF(Skills!H21&gt;0,Skills!I21/Skills!H21,1)</f>
        <v/>
      </c>
      <c r="H2556">
        <f>1-(1-Skills!J21/100)^Skills!K21</f>
        <v/>
      </c>
      <c r="I2556" t="inlineStr">
        <is>
          <t>1</t>
        </is>
      </c>
      <c r="J2556" t="inlineStr"/>
      <c r="K2556" t="inlineStr"/>
      <c r="L2556" t="inlineStr"/>
      <c r="M2556" t="inlineStr"/>
      <c r="N2556" t="inlineStr"/>
      <c r="O2556">
        <f>(1-Summary!$B$11)*T2556+Summary!$B$11*V2556</f>
        <v/>
      </c>
      <c r="P2556">
        <f>IF(B2576=0,0,O2556/B2576)</f>
        <v/>
      </c>
      <c r="Q2556" t="n">
        <v>0</v>
      </c>
      <c r="R2556" t="n">
        <v>0</v>
      </c>
      <c r="S2556">
        <f>IFERROR(O2556/N2556,0)</f>
        <v/>
      </c>
      <c r="T2556" t="n">
        <v>0</v>
      </c>
      <c r="V2556" t="n">
        <v>0</v>
      </c>
    </row>
    <row r="2557">
      <c r="A2557">
        <f>Skills!A22</f>
        <v/>
      </c>
      <c r="B2557">
        <f>Skills!B22</f>
        <v/>
      </c>
      <c r="C2557">
        <f>Inputs!$B$3&gt;=43</f>
        <v/>
      </c>
      <c r="D2557">
        <f>IF(Skills!C22=1,60+Inputs!$B$25+Inputs!$B$29,IF(Skills!C22=2,90+Inputs!$B$26+Inputs!$B$29,IF(Skills!C22=3,120+Inputs!$B$27+Inputs!$B$29,MAX(0,(Inputs!$B$3-100)*3)+Inputs!$B$28+Inputs!$B$29)))</f>
        <v/>
      </c>
      <c r="E2557">
        <f>INDEX(FactorTable!$B$2:$Y$301, MATCH(ROUND(MIN(300,MAX(1,D2557)),0), FactorTable!$A$2:$A$301,0), Skills!M22+1)</f>
        <v/>
      </c>
      <c r="F2557">
        <f>IF(Skills!N22=TRUE,(Skills!L22/10)*(E2557/1000),Skills!L22/10)+Skills!O22</f>
        <v/>
      </c>
      <c r="G2557">
        <f>Skills!G22*IF(Skills!H22&gt;0,Skills!I22/Skills!H22,1)</f>
        <v/>
      </c>
      <c r="H2557">
        <f>1-(1-Skills!J22/100)^Skills!K22</f>
        <v/>
      </c>
      <c r="I2557" t="inlineStr">
        <is>
          <t>1</t>
        </is>
      </c>
      <c r="J2557" t="inlineStr"/>
      <c r="K2557" t="inlineStr"/>
      <c r="L2557" t="inlineStr"/>
      <c r="M2557" t="inlineStr"/>
      <c r="N2557" t="inlineStr"/>
      <c r="O2557">
        <f>(1-Summary!$B$11)*T2557+Summary!$B$11*V2557</f>
        <v/>
      </c>
      <c r="P2557">
        <f>IF(B2576=0,0,O2557/B2576)</f>
        <v/>
      </c>
      <c r="Q2557" t="n">
        <v>0</v>
      </c>
      <c r="R2557" t="n">
        <v>0</v>
      </c>
      <c r="S2557">
        <f>IFERROR(O2557/N2557,0)</f>
        <v/>
      </c>
      <c r="T2557" t="n">
        <v>0</v>
      </c>
      <c r="V2557" t="n">
        <v>0</v>
      </c>
    </row>
    <row r="2558">
      <c r="A2558">
        <f>Skills!A23</f>
        <v/>
      </c>
      <c r="B2558">
        <f>Skills!B23</f>
        <v/>
      </c>
      <c r="C2558">
        <f>Inputs!$B$3&gt;=38</f>
        <v/>
      </c>
      <c r="D2558">
        <f>IF(Skills!C23=1,60+Inputs!$B$25+Inputs!$B$29,IF(Skills!C23=2,90+Inputs!$B$26+Inputs!$B$29,IF(Skills!C23=3,120+Inputs!$B$27+Inputs!$B$29,MAX(0,(Inputs!$B$3-100)*3)+Inputs!$B$28+Inputs!$B$29)))</f>
        <v/>
      </c>
      <c r="E2558">
        <f>INDEX(FactorTable!$B$2:$Y$301, MATCH(ROUND(MIN(300,MAX(1,D2558)),0), FactorTable!$A$2:$A$301,0), Skills!M23+1)</f>
        <v/>
      </c>
      <c r="F2558">
        <f>IF(Skills!N23=TRUE,(Skills!L23/10)*(E2558/1000),Skills!L23/10)+Skills!O23</f>
        <v/>
      </c>
      <c r="G2558">
        <f>Skills!G23*IF(Skills!H23&gt;0,Skills!I23/Skills!H23,1)</f>
        <v/>
      </c>
      <c r="H2558">
        <f>1-(1-Skills!J23/100)^Skills!K23</f>
        <v/>
      </c>
      <c r="I2558" t="inlineStr">
        <is>
          <t>1</t>
        </is>
      </c>
      <c r="J2558" t="inlineStr"/>
      <c r="K2558" t="inlineStr"/>
      <c r="L2558" t="inlineStr"/>
      <c r="M2558" t="inlineStr"/>
      <c r="N2558" t="inlineStr"/>
      <c r="O2558">
        <f>(1-Summary!$B$11)*T2558+Summary!$B$11*V2558</f>
        <v/>
      </c>
      <c r="P2558">
        <f>IF(B2576=0,0,O2558/B2576)</f>
        <v/>
      </c>
      <c r="Q2558" t="n">
        <v>0</v>
      </c>
      <c r="R2558" t="n">
        <v>0</v>
      </c>
      <c r="S2558">
        <f>IFERROR(O2558/N2558,0)</f>
        <v/>
      </c>
      <c r="T2558" t="n">
        <v>0</v>
      </c>
      <c r="V2558" t="n">
        <v>0</v>
      </c>
    </row>
    <row r="2559">
      <c r="A2559">
        <f>Skills!A24</f>
        <v/>
      </c>
      <c r="B2559">
        <f>Skills!B24</f>
        <v/>
      </c>
      <c r="C2559">
        <f>Inputs!$B$3&gt;=40</f>
        <v/>
      </c>
      <c r="D2559">
        <f>IF(Skills!C24=1,60+Inputs!$B$25+Inputs!$B$29,IF(Skills!C24=2,90+Inputs!$B$26+Inputs!$B$29,IF(Skills!C24=3,120+Inputs!$B$27+Inputs!$B$29,MAX(0,(Inputs!$B$3-100)*3)+Inputs!$B$28+Inputs!$B$29)))</f>
        <v/>
      </c>
      <c r="E2559">
        <f>INDEX(FactorTable!$B$2:$Y$301, MATCH(ROUND(MIN(300,MAX(1,D2559)),0), FactorTable!$A$2:$A$301,0), Skills!M24+1)</f>
        <v/>
      </c>
      <c r="F2559">
        <f>IF(Skills!N24=TRUE,(Skills!L24/10)*(E2559/1000),Skills!L24/10)+Skills!O24</f>
        <v/>
      </c>
      <c r="G2559">
        <f>Skills!G24*IF(Skills!H24&gt;0,Skills!I24/Skills!H24,1)</f>
        <v/>
      </c>
      <c r="H2559">
        <f>1-(1-Skills!J24/100)^Skills!K24</f>
        <v/>
      </c>
      <c r="I2559" t="inlineStr">
        <is>
          <t>1</t>
        </is>
      </c>
      <c r="J2559" t="inlineStr"/>
      <c r="K2559" t="inlineStr"/>
      <c r="L2559" t="inlineStr"/>
      <c r="M2559" t="inlineStr"/>
      <c r="N2559" t="inlineStr"/>
      <c r="O2559">
        <f>(1-Summary!$B$11)*T2559+Summary!$B$11*V2559</f>
        <v/>
      </c>
      <c r="P2559">
        <f>IF(B2576=0,0,O2559/B2576)</f>
        <v/>
      </c>
      <c r="Q2559" t="n">
        <v>0</v>
      </c>
      <c r="R2559" t="n">
        <v>0</v>
      </c>
      <c r="S2559">
        <f>IFERROR(O2559/N2559,0)</f>
        <v/>
      </c>
      <c r="T2559" t="n">
        <v>0</v>
      </c>
      <c r="V2559" t="n">
        <v>0</v>
      </c>
    </row>
    <row r="2560">
      <c r="A2560">
        <f>Skills!A25</f>
        <v/>
      </c>
      <c r="B2560">
        <f>Skills!B25</f>
        <v/>
      </c>
      <c r="C2560">
        <f>Inputs!$B$3&gt;=72</f>
        <v/>
      </c>
      <c r="D2560">
        <f>IF(Skills!C25=1,60+Inputs!$B$25+Inputs!$B$29,IF(Skills!C25=2,90+Inputs!$B$26+Inputs!$B$29,IF(Skills!C25=3,120+Inputs!$B$27+Inputs!$B$29,MAX(0,(Inputs!$B$3-100)*3)+Inputs!$B$28+Inputs!$B$29)))</f>
        <v/>
      </c>
      <c r="E2560">
        <f>INDEX(FactorTable!$B$2:$Y$301, MATCH(ROUND(MIN(300,MAX(1,D2560)),0), FactorTable!$A$2:$A$301,0), Skills!M25+1)</f>
        <v/>
      </c>
      <c r="F2560">
        <f>IF(Skills!N25=TRUE,(Skills!L25/10)*(E2560/1000),Skills!L25/10)+Skills!O25</f>
        <v/>
      </c>
      <c r="G2560">
        <f>Skills!G25*IF(Skills!H25&gt;0,Skills!I25/Skills!H25,1)</f>
        <v/>
      </c>
      <c r="H2560">
        <f>1-(1-Skills!J25/100)^Skills!K25</f>
        <v/>
      </c>
      <c r="I2560" t="inlineStr">
        <is>
          <t>1</t>
        </is>
      </c>
      <c r="J2560" t="inlineStr"/>
      <c r="K2560" t="inlineStr"/>
      <c r="L2560" t="inlineStr"/>
      <c r="M2560" t="inlineStr"/>
      <c r="N2560" t="inlineStr"/>
      <c r="O2560">
        <f>(1-Summary!$B$11)*T2560+Summary!$B$11*V2560</f>
        <v/>
      </c>
      <c r="P2560">
        <f>IF(B2576=0,0,O2560/B2576)</f>
        <v/>
      </c>
      <c r="Q2560" t="n">
        <v>0</v>
      </c>
      <c r="R2560" t="n">
        <v>0</v>
      </c>
      <c r="S2560">
        <f>IFERROR(O2560/N2560,0)</f>
        <v/>
      </c>
      <c r="T2560" t="n">
        <v>0</v>
      </c>
      <c r="V2560" t="n">
        <v>0</v>
      </c>
    </row>
    <row r="2561">
      <c r="A2561">
        <f>Skills!A26</f>
        <v/>
      </c>
      <c r="B2561">
        <f>Skills!B26</f>
        <v/>
      </c>
      <c r="C2561">
        <f>Inputs!$B$3&gt;=75</f>
        <v/>
      </c>
      <c r="D2561">
        <f>IF(Skills!C26=1,60+Inputs!$B$25+Inputs!$B$29,IF(Skills!C26=2,90+Inputs!$B$26+Inputs!$B$29,IF(Skills!C26=3,120+Inputs!$B$27+Inputs!$B$29,MAX(0,(Inputs!$B$3-100)*3)+Inputs!$B$28+Inputs!$B$29)))</f>
        <v/>
      </c>
      <c r="E2561">
        <f>INDEX(FactorTable!$B$2:$Y$301, MATCH(ROUND(MIN(300,MAX(1,D2561)),0), FactorTable!$A$2:$A$301,0), Skills!M26+1)</f>
        <v/>
      </c>
      <c r="F2561">
        <f>IF(Skills!N26=TRUE,(Skills!L26/10)*(E2561/1000),Skills!L26/10)+Skills!O26</f>
        <v/>
      </c>
      <c r="G2561">
        <f>Skills!G26*IF(Skills!H26&gt;0,Skills!I26/Skills!H26,1)</f>
        <v/>
      </c>
      <c r="H2561">
        <f>1-(1-Skills!J26/100)^Skills!K26</f>
        <v/>
      </c>
      <c r="I2561" t="inlineStr">
        <is>
          <t>1</t>
        </is>
      </c>
      <c r="J2561" t="inlineStr"/>
      <c r="K2561" t="inlineStr"/>
      <c r="L2561" t="inlineStr"/>
      <c r="M2561" t="inlineStr"/>
      <c r="N2561" t="inlineStr"/>
      <c r="O2561">
        <f>(1-Summary!$B$11)*T2561+Summary!$B$11*V2561</f>
        <v/>
      </c>
      <c r="P2561">
        <f>IF(B2576=0,0,O2561/B2576)</f>
        <v/>
      </c>
      <c r="Q2561" t="n">
        <v>0</v>
      </c>
      <c r="R2561" t="n">
        <v>0</v>
      </c>
      <c r="S2561">
        <f>IFERROR(O2561/N2561,0)</f>
        <v/>
      </c>
      <c r="T2561" t="n">
        <v>0</v>
      </c>
      <c r="V2561" t="n">
        <v>0</v>
      </c>
    </row>
    <row r="2562">
      <c r="A2562">
        <f>Skills!A27</f>
        <v/>
      </c>
      <c r="B2562">
        <f>Skills!B27</f>
        <v/>
      </c>
      <c r="C2562">
        <f>Inputs!$B$3&gt;=117</f>
        <v/>
      </c>
      <c r="D2562">
        <f>IF(Skills!C27=1,60+Inputs!$B$25+Inputs!$B$29,IF(Skills!C27=2,90+Inputs!$B$26+Inputs!$B$29,IF(Skills!C27=3,120+Inputs!$B$27+Inputs!$B$29,MAX(0,(Inputs!$B$3-100)*3)+Inputs!$B$28+Inputs!$B$29)))</f>
        <v/>
      </c>
      <c r="E2562">
        <f>INDEX(FactorTable!$B$2:$Y$301, MATCH(ROUND(MIN(300,MAX(1,D2562)),0), FactorTable!$A$2:$A$301,0), Skills!M27+1)</f>
        <v/>
      </c>
      <c r="F2562">
        <f>IF(Skills!N27=TRUE,(Skills!L27/10)*(E2562/1000),Skills!L27/10)+Skills!O27</f>
        <v/>
      </c>
      <c r="G2562">
        <f>Skills!G27*IF(Skills!H27&gt;0,Skills!I27/Skills!H27,1)</f>
        <v/>
      </c>
      <c r="H2562">
        <f>1-(1-Skills!J27/100)^Skills!K27</f>
        <v/>
      </c>
      <c r="I2562" t="inlineStr">
        <is>
          <t>1</t>
        </is>
      </c>
      <c r="J2562" t="inlineStr"/>
      <c r="K2562" t="inlineStr"/>
      <c r="L2562" t="inlineStr"/>
      <c r="M2562" t="inlineStr"/>
      <c r="N2562" t="inlineStr"/>
      <c r="O2562">
        <f>(1-Summary!$B$11)*T2562+Summary!$B$11*V2562</f>
        <v/>
      </c>
      <c r="P2562">
        <f>IF(B2576=0,0,O2562/B2576)</f>
        <v/>
      </c>
      <c r="Q2562" t="n">
        <v>0</v>
      </c>
      <c r="R2562" t="n">
        <v>0</v>
      </c>
      <c r="S2562">
        <f>IFERROR(O2562/N2562,0)</f>
        <v/>
      </c>
      <c r="T2562" t="n">
        <v>0</v>
      </c>
      <c r="V2562" t="n">
        <v>0</v>
      </c>
    </row>
    <row r="2563">
      <c r="A2563">
        <f>Skills!A28</f>
        <v/>
      </c>
      <c r="B2563">
        <f>Skills!B28</f>
        <v/>
      </c>
      <c r="C2563">
        <f>TRUE</f>
        <v/>
      </c>
      <c r="D2563">
        <f>IF(Skills!C28=1,60+Inputs!$B$25+Inputs!$B$29,IF(Skills!C28=2,90+Inputs!$B$26+Inputs!$B$29,IF(Skills!C28=3,120+Inputs!$B$27+Inputs!$B$29,MAX(0,(Inputs!$B$3-100)*3)+Inputs!$B$28+Inputs!$B$29)))</f>
        <v/>
      </c>
      <c r="E2563">
        <f>INDEX(FactorTable!$B$2:$Y$301, MATCH(ROUND(MIN(300,MAX(1,D2563)),0), FactorTable!$A$2:$A$301,0), Skills!M28+1)</f>
        <v/>
      </c>
      <c r="F2563">
        <f>IF(Skills!N28=TRUE,(Skills!L28/10)*(E2563/1000),Skills!L28/10)+Skills!O28</f>
        <v/>
      </c>
      <c r="G2563">
        <f>Skills!G28*IF(Skills!H28&gt;0,Skills!I28/Skills!H28,1)</f>
        <v/>
      </c>
      <c r="H2563">
        <f>1-(1-Skills!J28/100)^Skills!K28</f>
        <v/>
      </c>
      <c r="I2563" t="inlineStr">
        <is>
          <t>1</t>
        </is>
      </c>
      <c r="J2563" t="inlineStr"/>
      <c r="K2563" t="inlineStr"/>
      <c r="L2563" t="inlineStr"/>
      <c r="M2563" t="inlineStr"/>
      <c r="N2563" t="inlineStr"/>
      <c r="O2563">
        <f>(1-Summary!$B$11)*T2563+Summary!$B$11*V2563</f>
        <v/>
      </c>
      <c r="P2563">
        <f>IF(B2576=0,0,O2563/B2576)</f>
        <v/>
      </c>
      <c r="Q2563">
        <f>IFERROR(1/(IF(Inputs!$B$38="pvp",15,MAX(0.1,Skills!D28-IF(Skills!E28=TRUE,Inputs!$B$32,0)))*(1-IF(AND(ArtifactsInput!$M$27,Inputs!$B$4="Chapter Hunt"),CHOOSE(ArtifactsInput!$N$27+1,20,24,28,32,36,40),0)/100)),0)</f>
        <v/>
      </c>
      <c r="R2563">
        <f>IF(AND(Inputs!$B$38&lt;&gt;"pvp",Inputs!$B$43&gt;0),IF(Inputs!$B$43&lt;=0,0,(INT(Inputs!$B$43/(IF(Inputs!$B$38="pvp",15,MAX(0.1,Skills!D28-IF(Skills!E28=TRUE,Inputs!$B$32,0)))*(1-IF(AND(ArtifactsInput!$M$27,Inputs!$B$4="Chapter Hunt"),CHOOSE(ArtifactsInput!$N$27+1,20,24,28,32,36,40),0)/100)))+1)),0)</f>
        <v/>
      </c>
      <c r="S2563">
        <f>IFERROR(O2563/N2563,0)</f>
        <v/>
      </c>
      <c r="T2563" t="n">
        <v>0</v>
      </c>
      <c r="V2563" t="n">
        <v>0</v>
      </c>
    </row>
    <row r="2565">
      <c r="A2565" t="inlineStr">
        <is>
          <t>Attack% Bucket Multiplier</t>
        </is>
      </c>
      <c r="B2565">
        <f>(1+(((C2552=TRUE)*F2552*5/7)+((C2559=TRUE)*(F2559-Calc!F24))+(IF(ArtifactsInput!$M$21,CHOOSE(ArtifactsInput!$N$21+1,25,30,35,40,45,50)*(IF(OR(Inputs!$B$4="Chapter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66">
      <c r="A2566" t="inlineStr">
        <is>
          <t>Global Crit Rate Bonus %</t>
        </is>
      </c>
      <c r="B2566" t="n">
        <v>0</v>
      </c>
    </row>
    <row r="2567">
      <c r="A2567" t="inlineStr">
        <is>
          <t>Attack Speed Buff Bonus % (Nimble Feet, duty-cycle averaged)</t>
        </is>
      </c>
      <c r="B2567">
        <f>((C2563=TRUE)*F2563*IF(AND(Inputs!$B$38&lt;&gt;"pvp",Inputs!$B$43&gt;0),(((R2563-1)*(Skills!T28*(1+Inputs!$B$34/100))+MIN((Skills!T28*(1+Inputs!$B$34/100)),MAX(0,Inputs!$B$43-((R2563-1)*Skills!D28))))/Inputs!$B$43),IF(Inputs!$B$38="pvp",MIN((Skills!T28*(1+Inputs!$B$34/100)),15)/15,(Skills!T28*(1+Inputs!$B$34/100))/Skills!D28)))</f>
        <v/>
      </c>
    </row>
    <row r="2568">
      <c r="A2568" t="inlineStr">
        <is>
          <t>Actions Per Second</t>
        </is>
      </c>
      <c r="B2568">
        <f>1+MIN(150,150*(1-(1-(Inputs!$B$11+((C2555=TRUE)*(F2555-Calc!F20))+((C2556=TRUE)*(F2556-Calc!F21)))/150)*(1-B2567/150)))/100</f>
        <v/>
      </c>
    </row>
    <row r="2569">
      <c r="A2569" t="inlineStr">
        <is>
          <t>Skill + Buff Cast Rate</t>
        </is>
      </c>
      <c r="B2569">
        <f>IF(AND(Inputs!$B$38&lt;&gt;"pvp",Inputs!$B$43&gt;0),SUMPRODUCT((Skills!E2:E28=TRUE)*(C2537:C2563=TRUE)*R2537:R2563*Skills!F2:F28)/Inputs!$B$43,SUMPRODUCT((Skills!E2:E28=TRUE)*(C2537:C2563=TRUE)*Q2537:Q2563*Skills!F2:F28))</f>
        <v/>
      </c>
    </row>
    <row r="2570">
      <c r="A2570" t="inlineStr">
        <is>
          <t>Eight-Legs Easton Casts Per Second</t>
        </is>
      </c>
      <c r="B2570">
        <f>MAX(0,B2568-B2569)</f>
        <v/>
      </c>
    </row>
    <row r="2571">
      <c r="A2571" t="inlineStr">
        <is>
          <t>Global Critical Damage Bonus % (unused)</t>
        </is>
      </c>
      <c r="B2571" t="n">
        <v>0</v>
      </c>
    </row>
    <row r="2572">
      <c r="A2572" t="inlineStr">
        <is>
          <t>Global Final Damage Bonus % (Jolly Roger + Ahoy Mateys - Final Damage proc)</t>
        </is>
      </c>
      <c r="B2572">
        <f>((C2553=TRUE)*F2553*IF(AND(Inputs!$B$38&lt;&gt;"pvp",Inputs!$B$43&gt;0),(((R2553-1)*(Skills!T18*(1+Inputs!$B$34/100))+MIN((Skills!T18*(1+Inputs!$B$34/100)),MAX(0,Inputs!$B$43-((R2553-1)*Skills!D18))))/Inputs!$B$43),IF(Inputs!$B$38="pvp",MIN((Skills!T18*(1+Inputs!$B$34/100)),15)/15,(Skills!T18*(1+Inputs!$B$34/100))/Skills!D18)))+IF(Inputs!$B$3&gt;=122,20*IF(Inputs!$B$38="pvp",MIN((20*(1+Inputs!$B$34/100)),15)/15,(20*(1+Inputs!$B$34/100))/Skills!D4),0)</f>
        <v/>
      </c>
    </row>
    <row r="2573">
      <c r="A2573" t="inlineStr">
        <is>
          <t>Buff-Casting Startup Delay (s, fixed-duration only)</t>
        </is>
      </c>
      <c r="B2573">
        <f>IF(AND(Inputs!$B$38&lt;&gt;"pvp",Inputs!$B$43&gt;0),SUMPRODUCT((Skills!T2:T28&gt;0)*(Skills!E2:E28=TRUE)*(C2537:C2563=TRUE))/B2568,0)</f>
        <v/>
      </c>
    </row>
    <row r="2574">
      <c r="A2574" t="inlineStr">
        <is>
          <t>Boss-Only Total DPS (this block's swept value)</t>
        </is>
      </c>
      <c r="B2574">
        <f>SUM(T2537:T2563)</f>
        <v/>
      </c>
    </row>
    <row r="2575">
      <c r="A2575" t="inlineStr">
        <is>
          <t>Normal-Only Total DPS (this block's swept value)</t>
        </is>
      </c>
      <c r="B2575">
        <f>SUM(V2537:V2563)</f>
        <v/>
      </c>
    </row>
    <row r="2576">
      <c r="A2576" s="6" t="inlineStr">
        <is>
          <t>TOTAL DPS</t>
        </is>
      </c>
      <c r="B2576" s="6">
        <f>SUM(O2537:O2563)</f>
        <v/>
      </c>
    </row>
    <row r="2579">
      <c r="A2579" s="6" t="inlineStr">
        <is>
          <t>Stat: Horn Flute (Equip)</t>
        </is>
      </c>
    </row>
    <row r="2580">
      <c r="A2580" s="5" t="inlineStr">
        <is>
          <t>Key</t>
        </is>
      </c>
      <c r="B2580" s="5" t="inlineStr">
        <is>
          <t>Name</t>
        </is>
      </c>
      <c r="C2580" s="5" t="inlineStr">
        <is>
          <t>Unlocked</t>
        </is>
      </c>
      <c r="D2580" s="5" t="inlineStr">
        <is>
          <t>InputLevel</t>
        </is>
      </c>
      <c r="E2580" s="5" t="inlineStr">
        <is>
          <t>Factor</t>
        </is>
      </c>
      <c r="F2580" s="5" t="inlineStr">
        <is>
          <t>CoefficientPercent</t>
        </is>
      </c>
      <c r="G2580" s="5" t="inlineStr">
        <is>
          <t>EffectiveHits</t>
        </is>
      </c>
      <c r="H2580" s="5" t="inlineStr">
        <is>
          <t>ProcProbability</t>
        </is>
      </c>
      <c r="I2580" s="5" t="inlineStr">
        <is>
          <t>MapleHeroMultiplier</t>
        </is>
      </c>
      <c r="J2580" s="5" t="inlineStr">
        <is>
          <t>BaseDamage</t>
        </is>
      </c>
      <c r="K2580" s="5" t="inlineStr">
        <is>
          <t>BaseHitDamage</t>
        </is>
      </c>
      <c r="L2580" s="5" t="inlineStr">
        <is>
          <t>NonCritAvg</t>
        </is>
      </c>
      <c r="M2580" s="5" t="inlineStr">
        <is>
          <t>CritAvg</t>
        </is>
      </c>
      <c r="N2580" s="5" t="inlineStr">
        <is>
          <t>ExpectedDamage(perHit)</t>
        </is>
      </c>
      <c r="O2580" s="5" t="inlineStr">
        <is>
          <t>DPS</t>
        </is>
      </c>
      <c r="P2580" s="5" t="inlineStr">
        <is>
          <t>% of Total</t>
        </is>
      </c>
      <c r="Q2580" s="5" t="inlineStr">
        <is>
          <t>InvCooldown</t>
        </is>
      </c>
      <c r="R2580" s="5" t="inlineStr">
        <is>
          <t>CastsInFight</t>
        </is>
      </c>
      <c r="S2580" s="5" t="inlineStr">
        <is>
          <t>HitRate(perSec)</t>
        </is>
      </c>
      <c r="U2580" t="inlineStr">
        <is>
          <t>helpers</t>
        </is>
      </c>
    </row>
    <row r="2581">
      <c r="A2581">
        <f>Skills!A2</f>
        <v/>
      </c>
      <c r="B2581">
        <f>Skills!B2</f>
        <v/>
      </c>
      <c r="C2581">
        <f>Inputs!$B$3&gt;=100</f>
        <v/>
      </c>
      <c r="D2581" t="inlineStr"/>
      <c r="E2581" t="inlineStr"/>
      <c r="F2581">
        <f>U2583+Skills!O2</f>
        <v/>
      </c>
      <c r="G2581">
        <f>Skills!G2*IF(Skills!H2&gt;0,Skills!I2/Skills!H2,1)</f>
        <v/>
      </c>
      <c r="H2581">
        <f>1-(1-Skills!J2/100)^Skills!K2</f>
        <v/>
      </c>
      <c r="I2581" t="inlineStr">
        <is>
          <t>1</t>
        </is>
      </c>
      <c r="J2581">
        <f>((Inputs!$B$6*(1+Inputs!$B$7/100))+(((Inputs!$B$12*(1+Inputs!$B$13/100))-(Inputs!$B$12*(1+Inputs!$B$13/100)))+0.25*(Inputs!$B$14-Inputs!$B$14))*(1+Inputs!$B$7/100))*(F2581/100)</f>
        <v/>
      </c>
      <c r="K2581">
        <f>J2581*(1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2581)</f>
        <v/>
      </c>
      <c r="L2581">
        <f>K2581*(MIN(Inputs!$B$22+((C2601=TRUE)*(F2601-Calc!F22)),(Inputs!$B$23+0+(IF(ArtifactsInput!$M$15,CHOOSE(ArtifactsInput!$N$15+1,25,30,35,40,45,50)/100*(Inputs!$B$11-Inputs!$B$11),0))))/100+(Inputs!$B$23+0+(IF(ArtifactsInput!$M$15,CHOOSE(ArtifactsInput!$N$15+1,25,30,35,40,45,50)/100*(Inputs!$B$11-Inputs!$B$11),0)))/100)/2</f>
        <v/>
      </c>
      <c r="M2581">
        <f>L2581*(1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1">
        <f>L2581*(1-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1">
        <f>(1-Summary!$B$11)*T2581+Summary!$B$11*V2581</f>
        <v/>
      </c>
      <c r="P2581">
        <f>IF(B2620=0,0,O2581/B2620)</f>
        <v/>
      </c>
      <c r="Q2581" t="n">
        <v>0</v>
      </c>
      <c r="R2581" t="n">
        <v>0</v>
      </c>
      <c r="S2581">
        <f>IFERROR(O2581/N2581,0)</f>
        <v/>
      </c>
      <c r="T2581">
        <f>IF(C2581,(Skills!G2*N2581*B2614)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2581*(1-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2581*(1-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1">
        <f>MAX(0,(Inputs!$B$3-100)*3)+Inputs!$B$28+Inputs!$B$29</f>
        <v/>
      </c>
      <c r="V2581">
        <f>IF(C2581,(Skills!G2*N2581*B2614)*IF(Inputs!$B$38="pvp",1,(1+(Inputs!$B$21+Skills!Q2+(IF(ArtifactsInput!$M$33,CHOOSE(ArtifactsInput!$N$33+1,30,36,42,48,54,60),0))+(IF(AND(ArtifactsInput!$M$35,Inputs!$B$4&lt;&gt;"Chapter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2">
      <c r="A2582">
        <f>Skills!A3</f>
        <v/>
      </c>
      <c r="B2582">
        <f>Skills!B3</f>
        <v/>
      </c>
      <c r="C2582">
        <f>Inputs!$B$3&gt;=35</f>
        <v/>
      </c>
      <c r="D2582">
        <f>IF(Skills!C3=1,60+Inputs!$B$25+Inputs!$B$29,IF(Skills!C3=2,90+Inputs!$B$26+Inputs!$B$29,IF(Skills!C3=3,120+Inputs!$B$27+Inputs!$B$29,MAX(0,(Inputs!$B$3-100)*3)+Inputs!$B$28+Inputs!$B$29)))</f>
        <v/>
      </c>
      <c r="E2582">
        <f>INDEX(FactorTable!$B$2:$Y$301, MATCH(ROUND(MIN(300,MAX(1,D2582)),0), FactorTable!$A$2:$A$301,0), Skills!M3+1)</f>
        <v/>
      </c>
      <c r="F2582">
        <f>IF(Skills!N3=TRUE,(Skills!L3/10)*(E2582/1000),Skills!L3/10)+Skills!O3</f>
        <v/>
      </c>
      <c r="G2582">
        <f>Skills!G3*IF(Skills!H3&gt;0,Skills!I3/Skills!H3,1)</f>
        <v/>
      </c>
      <c r="H2582">
        <f>1-(1-Skills!J3/100)^Skills!K3</f>
        <v/>
      </c>
      <c r="I2582" t="inlineStr">
        <is>
          <t>1</t>
        </is>
      </c>
      <c r="J2582">
        <f>((Inputs!$B$6*(1+Inputs!$B$7/100))+(((Inputs!$B$12*(1+Inputs!$B$13/100))-(Inputs!$B$12*(1+Inputs!$B$13/100)))+0.25*(Inputs!$B$14-Inputs!$B$14))*(1+Inputs!$B$7/100))*(F2582/100)</f>
        <v/>
      </c>
      <c r="K2582">
        <f>J2582*(1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2594=TRUE,F2594,0)/100)*(1+(IF(Skills!A3="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2582)</f>
        <v/>
      </c>
      <c r="L2582">
        <f>K2582*(MIN(Inputs!$B$22+((C2601=TRUE)*(F2601-Calc!F22)),(Inputs!$B$23+0+(IF(ArtifactsInput!$M$15,CHOOSE(ArtifactsInput!$N$15+1,25,30,35,40,45,50)/100*(Inputs!$B$11-Inputs!$B$11),0))))/100+(Inputs!$B$23+0+(IF(ArtifactsInput!$M$15,CHOOSE(ArtifactsInput!$N$15+1,25,30,35,40,45,50)/100*(Inputs!$B$11-Inputs!$B$11),0)))/100)/2</f>
        <v/>
      </c>
      <c r="M2582">
        <f>L2582*(1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2">
        <f>L2582*(1-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2582*(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2">
        <f>(1-Summary!$B$11)*T2582+Summary!$B$11*V2582</f>
        <v/>
      </c>
      <c r="P2582">
        <f>IF(B2620=0,0,O2582/B2620)</f>
        <v/>
      </c>
      <c r="Q2582">
        <f>IFERROR(1/(IF(Inputs!$B$38="pvp",15,MAX(0.1,Skills!D3-IF(Skills!E3=TRUE,Inputs!$B$32,0)))*(1-IF(AND(ArtifactsInput!$M$27,Inputs!$B$4="Chapter Hunt"),CHOOSE(ArtifactsInput!$N$27+1,20,24,28,32,36,40),0)/100)),0)</f>
        <v/>
      </c>
      <c r="R2582">
        <f>IF(AND(Inputs!$B$38&lt;&gt;"pvp",Inputs!$B$43&gt;0),IF(MAX(0,Inputs!$B$43-B2617)&lt;=0,0,(INT(MAX(0,Inputs!$B$43-B2617)/(IF(Inputs!$B$38="pvp",15,MAX(0.1,Skills!D3-IF(Skills!E3=TRUE,Inputs!$B$32,0)))*(1-IF(AND(ArtifactsInput!$M$27,Inputs!$B$4="Chapter Hunt"),CHOOSE(ArtifactsInput!$N$27+1,20,24,28,32,36,40),0)/100)))+1)),0)</f>
        <v/>
      </c>
      <c r="S2582">
        <f>IFERROR(O2582/N2582,0)</f>
        <v/>
      </c>
      <c r="T2582">
        <f>IF(C2582,(H2582*N2582*IF(AND(Inputs!$B$38&lt;&gt;"pvp",Inputs!$B$43&gt;0),((Skills!G3*((R2582-1)*IF(Skills!H3&gt;0,Skills!I3/Skills!H3,1)+IF(Skills!H3&gt;0,MIN(Skills!I3,MAX(0,MAX(0,Inputs!$B$43-B2617)-((R2582-1)*(IF(Inputs!$B$38="pvp",15,MAX(0.1,Skills!D3-IF(Skills!E3=TRUE,Inputs!$B$32,0)))*(1-IF(AND(ArtifactsInput!$M$27,Inputs!$B$4="Chapter Hunt"),CHOOSE(ArtifactsInput!$N$27+1,20,24,28,32,36,40),0)/100)))))/Skills!H3,1)))/Inputs!$B$43),G2582*Q2582)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2582*(1-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2582*(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2582*(1-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2582*(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2">
        <f>INDEX(FactorTable!$B$2:$Y$301, MATCH(ROUND(MIN(300,MAX(1,U2581)),0), FactorTable!$A$2:$A$301,0), 22)</f>
        <v/>
      </c>
      <c r="V2582">
        <f>IF(C2582,(H2582*N2582*IF(AND(Inputs!$B$38&lt;&gt;"pvp",Inputs!$B$43&gt;0),((Skills!G3*((R2582-1)*IF(Skills!H3&gt;0,Skills!I3/Skills!H3,1)+IF(Skills!H3&gt;0,MIN(Skills!I3,MAX(0,MAX(0,Inputs!$B$43-B2617)-((R2582-1)*(IF(Inputs!$B$38="pvp",15,MAX(0.1,Skills!D3-IF(Skills!E3=TRUE,Inputs!$B$32,0)))*(1-IF(AND(ArtifactsInput!$M$27,Inputs!$B$4="Chapter Hunt"),CHOOSE(ArtifactsInput!$N$27+1,20,24,28,32,36,40),0)/100)))))/Skills!H3,1)))/Inputs!$B$43),G2582*Q2582))*IF(Inputs!$B$38="pvp",1,(1+(Inputs!$B$21+Skills!Q3+(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3">
      <c r="A2583">
        <f>Skills!A4</f>
        <v/>
      </c>
      <c r="B2583">
        <f>Skills!B4</f>
        <v/>
      </c>
      <c r="C2583">
        <f>Inputs!$B$3&gt;=40</f>
        <v/>
      </c>
      <c r="D2583">
        <f>IF(Skills!C4=1,60+Inputs!$B$25+Inputs!$B$29,IF(Skills!C4=2,90+Inputs!$B$26+Inputs!$B$29,IF(Skills!C4=3,120+Inputs!$B$27+Inputs!$B$29,MAX(0,(Inputs!$B$3-100)*3)+Inputs!$B$28+Inputs!$B$29)))</f>
        <v/>
      </c>
      <c r="E2583">
        <f>INDEX(FactorTable!$B$2:$Y$301, MATCH(ROUND(MIN(300,MAX(1,D2583)),0), FactorTable!$A$2:$A$301,0), Skills!M4+1)</f>
        <v/>
      </c>
      <c r="F2583">
        <f>IF(Skills!N4=TRUE,(Skills!L4/10)*(E2583/1000),Skills!L4/10)+Skills!O4</f>
        <v/>
      </c>
      <c r="G2583">
        <f>Skills!G4*IF(Skills!H4&gt;0,Skills!I4/Skills!H4,1)</f>
        <v/>
      </c>
      <c r="H2583">
        <f>1-(1-Skills!J4/100)^Skills!K4</f>
        <v/>
      </c>
      <c r="I2583" t="inlineStr">
        <is>
          <t>1</t>
        </is>
      </c>
      <c r="J2583">
        <f>((Inputs!$B$6*(1+Inputs!$B$7/100))+(((Inputs!$B$12*(1+Inputs!$B$13/100))-(Inputs!$B$12*(1+Inputs!$B$13/100)))+0.25*(Inputs!$B$14-Inputs!$B$14))*(1+Inputs!$B$7/100))*(F2583/100)</f>
        <v/>
      </c>
      <c r="K2583">
        <f>J2583*(1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2595=TRUE,F2595,0)/100)*(1+(IF(Skills!A4="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2583)</f>
        <v/>
      </c>
      <c r="L2583">
        <f>K2583*(MIN(Inputs!$B$22+((C2601=TRUE)*(F2601-Calc!F22)),(Inputs!$B$23+0+(IF(ArtifactsInput!$M$15,CHOOSE(ArtifactsInput!$N$15+1,25,30,35,40,45,50)/100*(Inputs!$B$11-Inputs!$B$11),0))))/100+(Inputs!$B$23+0+(IF(ArtifactsInput!$M$15,CHOOSE(ArtifactsInput!$N$15+1,25,30,35,40,45,50)/100*(Inputs!$B$11-Inputs!$B$11),0)))/100)/2</f>
        <v/>
      </c>
      <c r="M2583">
        <f>L2583*(1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3">
        <f>L2583*(1-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2583*(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3">
        <f>(1-Summary!$B$11)*T2583+Summary!$B$11*V2583</f>
        <v/>
      </c>
      <c r="P2583">
        <f>IF(B2620=0,0,O2583/B2620)</f>
        <v/>
      </c>
      <c r="Q2583">
        <f>IFERROR(1/(IF(Inputs!$B$38="pvp",15,MAX(0.1,Skills!D4-IF(Skills!E4=TRUE,Inputs!$B$32,0)))*(1-IF(AND(ArtifactsInput!$M$27,Inputs!$B$4="Chapter Hunt"),CHOOSE(ArtifactsInput!$N$27+1,20,24,28,32,36,40),0)/100)),0)</f>
        <v/>
      </c>
      <c r="R2583">
        <f>IF(AND(Inputs!$B$38&lt;&gt;"pvp",Inputs!$B$43&gt;0),IF(MAX(0,Inputs!$B$43-B2617)&lt;=0,0,(INT(MAX(0,Inputs!$B$43-B2617)/(IF(Inputs!$B$38="pvp",15,MAX(0.1,Skills!D4-IF(Skills!E4=TRUE,Inputs!$B$32,0)))*(1-IF(AND(ArtifactsInput!$M$27,Inputs!$B$4="Chapter Hunt"),CHOOSE(ArtifactsInput!$N$27+1,20,24,28,32,36,40),0)/100)))+1)),0)</f>
        <v/>
      </c>
      <c r="S2583">
        <f>IFERROR(O2583/N2583,0)</f>
        <v/>
      </c>
      <c r="T2583">
        <f>IF(C2583,(H2583*N2583*IF(AND(Inputs!$B$38&lt;&gt;"pvp",Inputs!$B$43&gt;0),((Skills!G4*((R2583-1)*IF(Skills!H4&gt;0,Skills!I4/Skills!H4,1)+IF(Skills!H4&gt;0,MIN(Skills!I4,MAX(0,MAX(0,Inputs!$B$43-B2617)-((R2583-1)*(IF(Inputs!$B$38="pvp",15,MAX(0.1,Skills!D4-IF(Skills!E4=TRUE,Inputs!$B$32,0)))*(1-IF(AND(ArtifactsInput!$M$27,Inputs!$B$4="Chapter Hunt"),CHOOSE(ArtifactsInput!$N$27+1,20,24,28,32,36,40),0)/100)))))/Skills!H4,1)))/Inputs!$B$43),G2583*Q2583)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2583*(1-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2583*(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2583*(1-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2583*(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3">
        <f>290*U2582/1000</f>
        <v/>
      </c>
      <c r="V2583">
        <f>IF(C2583,(H2583*N2583*IF(AND(Inputs!$B$38&lt;&gt;"pvp",Inputs!$B$43&gt;0),((Skills!G4*((R2583-1)*IF(Skills!H4&gt;0,Skills!I4/Skills!H4,1)+IF(Skills!H4&gt;0,MIN(Skills!I4,MAX(0,MAX(0,Inputs!$B$43-B2617)-((R2583-1)*(IF(Inputs!$B$38="pvp",15,MAX(0.1,Skills!D4-IF(Skills!E4=TRUE,Inputs!$B$32,0)))*(1-IF(AND(ArtifactsInput!$M$27,Inputs!$B$4="Chapter Hunt"),CHOOSE(ArtifactsInput!$N$27+1,20,24,28,32,36,40),0)/100)))))/Skills!H4,1)))/Inputs!$B$43),G2583*Q2583))*IF(Inputs!$B$38="pvp",1,(1+(Inputs!$B$21+Skills!Q4+(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4">
      <c r="A2584">
        <f>Skills!A5</f>
        <v/>
      </c>
      <c r="B2584">
        <f>Skills!B5</f>
        <v/>
      </c>
      <c r="C2584">
        <f>Inputs!$B$3&gt;=45</f>
        <v/>
      </c>
      <c r="D2584">
        <f>IF(Skills!C5=1,60+Inputs!$B$25+Inputs!$B$29,IF(Skills!C5=2,90+Inputs!$B$26+Inputs!$B$29,IF(Skills!C5=3,120+Inputs!$B$27+Inputs!$B$29,MAX(0,(Inputs!$B$3-100)*3)+Inputs!$B$28+Inputs!$B$29)))</f>
        <v/>
      </c>
      <c r="E2584">
        <f>INDEX(FactorTable!$B$2:$Y$301, MATCH(ROUND(MIN(300,MAX(1,D2584)),0), FactorTable!$A$2:$A$301,0), Skills!M5+1)</f>
        <v/>
      </c>
      <c r="F2584">
        <f>IF(Skills!N5=TRUE,(Skills!L5/10)*(E2584/1000),Skills!L5/10)+Skills!O5</f>
        <v/>
      </c>
      <c r="G2584">
        <f>Skills!G5*IF(Skills!H5&gt;0,Skills!I5/Skills!H5,1)</f>
        <v/>
      </c>
      <c r="H2584">
        <f>1-(1-Skills!J5/100)^Skills!K5</f>
        <v/>
      </c>
      <c r="I2584" t="inlineStr">
        <is>
          <t>1</t>
        </is>
      </c>
      <c r="J2584">
        <f>((Inputs!$B$6*(1+Inputs!$B$7/100))+(((Inputs!$B$12*(1+Inputs!$B$13/100))-(Inputs!$B$12*(1+Inputs!$B$13/100)))+0.25*(Inputs!$B$14-Inputs!$B$14))*(1+Inputs!$B$7/100))*(F2584/100)</f>
        <v/>
      </c>
      <c r="K2584">
        <f>J2584*(1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2595=TRUE,F2595,0)/100)*(1+(IF(Skills!A5="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2584)</f>
        <v/>
      </c>
      <c r="L2584">
        <f>K2584*(MIN(Inputs!$B$22+((C2601=TRUE)*(F2601-Calc!F22)),(Inputs!$B$23+0+(IF(ArtifactsInput!$M$15,CHOOSE(ArtifactsInput!$N$15+1,25,30,35,40,45,50)/100*(Inputs!$B$11-Inputs!$B$11),0))))/100+(Inputs!$B$23+0+(IF(ArtifactsInput!$M$15,CHOOSE(ArtifactsInput!$N$15+1,25,30,35,40,45,50)/100*(Inputs!$B$11-Inputs!$B$11),0)))/100)/2</f>
        <v/>
      </c>
      <c r="M2584">
        <f>L2584*(1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4">
        <f>L2584*(1-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2584*(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4">
        <f>(1-Summary!$B$11)*T2584+Summary!$B$11*V2584</f>
        <v/>
      </c>
      <c r="P2584">
        <f>IF(B2620=0,0,O2584/B2620)</f>
        <v/>
      </c>
      <c r="Q2584">
        <f>IFERROR(1/(IF(Inputs!$B$38="pvp",15,MAX(0.1,Skills!D5-IF(Skills!E5=TRUE,Inputs!$B$32,0)))*(1-IF(AND(ArtifactsInput!$M$27,Inputs!$B$4="Chapter Hunt"),CHOOSE(ArtifactsInput!$N$27+1,20,24,28,32,36,40),0)/100)),0)</f>
        <v/>
      </c>
      <c r="R2584">
        <f>IF(AND(Inputs!$B$38&lt;&gt;"pvp",Inputs!$B$43&gt;0),IF(MAX(0,Inputs!$B$43-B2617)&lt;=0,0,(INT(MAX(0,Inputs!$B$43-B2617)/(IF(Inputs!$B$38="pvp",15,MAX(0.1,Skills!D5-IF(Skills!E5=TRUE,Inputs!$B$32,0)))*(1-IF(AND(ArtifactsInput!$M$27,Inputs!$B$4="Chapter Hunt"),CHOOSE(ArtifactsInput!$N$27+1,20,24,28,32,36,40),0)/100)))+1)),0)</f>
        <v/>
      </c>
      <c r="S2584">
        <f>IFERROR(O2584/N2584,0)</f>
        <v/>
      </c>
      <c r="T2584">
        <f>IF(C2584,(H2584*N2584*IF(AND(Inputs!$B$38&lt;&gt;"pvp",Inputs!$B$43&gt;0),((Skills!G5*((R2584-1)*IF(Skills!H5&gt;0,Skills!I5/Skills!H5,1)+IF(Skills!H5&gt;0,MIN(Skills!I5,MAX(0,MAX(0,Inputs!$B$43-B2617)-((R2584-1)*(IF(Inputs!$B$38="pvp",15,MAX(0.1,Skills!D5-IF(Skills!E5=TRUE,Inputs!$B$32,0)))*(1-IF(AND(ArtifactsInput!$M$27,Inputs!$B$4="Chapter Hunt"),CHOOSE(ArtifactsInput!$N$27+1,20,24,28,32,36,40),0)/100)))))/Skills!H5,1)))/Inputs!$B$43),G2584*Q2584)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2584*(1-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2584*(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2584*(1-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2584*(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4">
        <f>IF(C2584,(H2584*N2584*IF(AND(Inputs!$B$38&lt;&gt;"pvp",Inputs!$B$43&gt;0),((Skills!G5*((R2584-1)*IF(Skills!H5&gt;0,Skills!I5/Skills!H5,1)+IF(Skills!H5&gt;0,MIN(Skills!I5,MAX(0,MAX(0,Inputs!$B$43-B2617)-((R2584-1)*(IF(Inputs!$B$38="pvp",15,MAX(0.1,Skills!D5-IF(Skills!E5=TRUE,Inputs!$B$32,0)))*(1-IF(AND(ArtifactsInput!$M$27,Inputs!$B$4="Chapter Hunt"),CHOOSE(ArtifactsInput!$N$27+1,20,24,28,32,36,40),0)/100)))))/Skills!H5,1)))/Inputs!$B$43),G2584*Q2584))*IF(Inputs!$B$38="pvp",1,(1+(Inputs!$B$21+Skills!Q5+(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5">
      <c r="A2585">
        <f>Skills!A6</f>
        <v/>
      </c>
      <c r="B2585">
        <f>Skills!B6</f>
        <v/>
      </c>
      <c r="C2585">
        <f>Inputs!$B$3&gt;=63</f>
        <v/>
      </c>
      <c r="D2585">
        <f>IF(Skills!C6=1,60+Inputs!$B$25+Inputs!$B$29,IF(Skills!C6=2,90+Inputs!$B$26+Inputs!$B$29,IF(Skills!C6=3,120+Inputs!$B$27+Inputs!$B$29,MAX(0,(Inputs!$B$3-100)*3)+Inputs!$B$28+Inputs!$B$29)))</f>
        <v/>
      </c>
      <c r="E2585">
        <f>INDEX(FactorTable!$B$2:$Y$301, MATCH(ROUND(MIN(300,MAX(1,D2585)),0), FactorTable!$A$2:$A$301,0), Skills!M6+1)</f>
        <v/>
      </c>
      <c r="F2585">
        <f>IF(Skills!N6=TRUE,(Skills!L6/10)*(E2585/1000),Skills!L6/10)+Skills!O6</f>
        <v/>
      </c>
      <c r="G2585">
        <f>Skills!G6*IF(Skills!H6&gt;0,Skills!I6/Skills!H6,1)</f>
        <v/>
      </c>
      <c r="H2585">
        <f>1-(1-Skills!J6/100)^Skills!K6</f>
        <v/>
      </c>
      <c r="I2585" t="inlineStr">
        <is>
          <t>1</t>
        </is>
      </c>
      <c r="J2585">
        <f>((Inputs!$B$6*(1+Inputs!$B$7/100))+(((Inputs!$B$12*(1+Inputs!$B$13/100))-(Inputs!$B$12*(1+Inputs!$B$13/100)))+0.25*(Inputs!$B$14-Inputs!$B$14))*(1+Inputs!$B$7/100))*(F2585/100)</f>
        <v/>
      </c>
      <c r="K2585">
        <f>J2585*(1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2594=TRUE,F2594,0)/100)*(1+(IF(Skills!A6="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2585)</f>
        <v/>
      </c>
      <c r="L2585">
        <f>K2585*(MIN(Inputs!$B$22+((C2601=TRUE)*(F2601-Calc!F22)),(Inputs!$B$23+0+(IF(ArtifactsInput!$M$15,CHOOSE(ArtifactsInput!$N$15+1,25,30,35,40,45,50)/100*(Inputs!$B$11-Inputs!$B$11),0))))/100+(Inputs!$B$23+0+(IF(ArtifactsInput!$M$15,CHOOSE(ArtifactsInput!$N$15+1,25,30,35,40,45,50)/100*(Inputs!$B$11-Inputs!$B$11),0)))/100)/2</f>
        <v/>
      </c>
      <c r="M2585">
        <f>L2585*(1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5">
        <f>L2585*(1-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2585*(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5">
        <f>(1-Summary!$B$11)*T2585+Summary!$B$11*V2585</f>
        <v/>
      </c>
      <c r="P2585">
        <f>IF(B2620=0,0,O2585/B2620)</f>
        <v/>
      </c>
      <c r="Q2585">
        <f>IFERROR(1/(IF(Inputs!$B$38="pvp",15,MAX(0.1,Skills!D6-IF(Skills!E6=TRUE,Inputs!$B$32,0)))*(1-IF(AND(ArtifactsInput!$M$27,Inputs!$B$4="Chapter Hunt"),CHOOSE(ArtifactsInput!$N$27+1,20,24,28,32,36,40),0)/100)),0)</f>
        <v/>
      </c>
      <c r="R2585">
        <f>IF(AND(Inputs!$B$38&lt;&gt;"pvp",Inputs!$B$43&gt;0),IF(MAX(0,Inputs!$B$43-B2617)&lt;=0,0,(INT(MAX(0,Inputs!$B$43-B2617)/(IF(Inputs!$B$38="pvp",15,MAX(0.1,Skills!D6-IF(Skills!E6=TRUE,Inputs!$B$32,0)))*(1-IF(AND(ArtifactsInput!$M$27,Inputs!$B$4="Chapter Hunt"),CHOOSE(ArtifactsInput!$N$27+1,20,24,28,32,36,40),0)/100)))+1)),0)</f>
        <v/>
      </c>
      <c r="S2585">
        <f>IFERROR(O2585/N2585,0)</f>
        <v/>
      </c>
      <c r="T2585">
        <f>IF(C2585,(H2585*N2585*IF(AND(Inputs!$B$38&lt;&gt;"pvp",Inputs!$B$43&gt;0),((Skills!G6*((R2585-1)*IF(Skills!H6&gt;0,Skills!I6/Skills!H6,1)+IF(Skills!H6&gt;0,MIN(Skills!I6,MAX(0,MAX(0,Inputs!$B$43-B2617)-((R2585-1)*(IF(Inputs!$B$38="pvp",15,MAX(0.1,Skills!D6-IF(Skills!E6=TRUE,Inputs!$B$32,0)))*(1-IF(AND(ArtifactsInput!$M$27,Inputs!$B$4="Chapter Hunt"),CHOOSE(ArtifactsInput!$N$27+1,20,24,28,32,36,40),0)/100)))))/Skills!H6,1)))/Inputs!$B$43),G2585*Q2585)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2585*(1-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2585*(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2585*(1-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2585*(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5">
        <f>IF(C2585,(H2585*N2585*IF(AND(Inputs!$B$38&lt;&gt;"pvp",Inputs!$B$43&gt;0),((Skills!G6*((R2585-1)*IF(Skills!H6&gt;0,Skills!I6/Skills!H6,1)+IF(Skills!H6&gt;0,MIN(Skills!I6,MAX(0,MAX(0,Inputs!$B$43-B2617)-((R2585-1)*(IF(Inputs!$B$38="pvp",15,MAX(0.1,Skills!D6-IF(Skills!E6=TRUE,Inputs!$B$32,0)))*(1-IF(AND(ArtifactsInput!$M$27,Inputs!$B$4="Chapter Hunt"),CHOOSE(ArtifactsInput!$N$27+1,20,24,28,32,36,40),0)/100)))))/Skills!H6,1)))/Inputs!$B$43),G2585*Q2585))*IF(Inputs!$B$38="pvp",1,(1+(Inputs!$B$21+Skills!Q6+(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6">
      <c r="A2586">
        <f>Skills!A7</f>
        <v/>
      </c>
      <c r="B2586">
        <f>Skills!B7</f>
        <v/>
      </c>
      <c r="C2586">
        <f>Inputs!$B$3&gt;=66</f>
        <v/>
      </c>
      <c r="D2586">
        <f>IF(Skills!C7=1,60+Inputs!$B$25+Inputs!$B$29,IF(Skills!C7=2,90+Inputs!$B$26+Inputs!$B$29,IF(Skills!C7=3,120+Inputs!$B$27+Inputs!$B$29,MAX(0,(Inputs!$B$3-100)*3)+Inputs!$B$28+Inputs!$B$29)))</f>
        <v/>
      </c>
      <c r="E2586">
        <f>INDEX(FactorTable!$B$2:$Y$301, MATCH(ROUND(MIN(300,MAX(1,D2586)),0), FactorTable!$A$2:$A$301,0), Skills!M7+1)</f>
        <v/>
      </c>
      <c r="F2586">
        <f>IF(Skills!N7=TRUE,(Skills!L7/10)*(E2586/1000),Skills!L7/10)+Skills!O7</f>
        <v/>
      </c>
      <c r="G2586">
        <f>Skills!G7*IF(Skills!H7&gt;0,Skills!I7/Skills!H7,1)</f>
        <v/>
      </c>
      <c r="H2586">
        <f>1-(1-Skills!J7/100)^Skills!K7</f>
        <v/>
      </c>
      <c r="I2586" t="inlineStr">
        <is>
          <t>1</t>
        </is>
      </c>
      <c r="J2586">
        <f>((Inputs!$B$6*(1+Inputs!$B$7/100))+(((Inputs!$B$12*(1+Inputs!$B$13/100))-(Inputs!$B$12*(1+Inputs!$B$13/100)))+0.25*(Inputs!$B$14-Inputs!$B$14))*(1+Inputs!$B$7/100))*(F2586/100)</f>
        <v/>
      </c>
      <c r="K2586">
        <f>J2586*(1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2594=TRUE,F2594,0)/100)*(1+(IF(Skills!A7="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2586)</f>
        <v/>
      </c>
      <c r="L2586">
        <f>K2586*(MIN(Inputs!$B$22+((C2601=TRUE)*(F2601-Calc!F22)),(Inputs!$B$23+0+(IF(ArtifactsInput!$M$15,CHOOSE(ArtifactsInput!$N$15+1,25,30,35,40,45,50)/100*(Inputs!$B$11-Inputs!$B$11),0))))/100+(Inputs!$B$23+0+(IF(ArtifactsInput!$M$15,CHOOSE(ArtifactsInput!$N$15+1,25,30,35,40,45,50)/100*(Inputs!$B$11-Inputs!$B$11),0)))/100)/2</f>
        <v/>
      </c>
      <c r="M2586">
        <f>L2586*(1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6">
        <f>L2586*(1-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2586*(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6">
        <f>(1-Summary!$B$11)*T2586+Summary!$B$11*V2586</f>
        <v/>
      </c>
      <c r="P2586">
        <f>IF(B2620=0,0,O2586/B2620)</f>
        <v/>
      </c>
      <c r="Q2586">
        <f>IFERROR(1/(IF(Inputs!$B$38="pvp",15,MAX(0.1,Skills!D7-IF(Skills!E7=TRUE,Inputs!$B$32,0)))*(1-IF(AND(ArtifactsInput!$M$27,Inputs!$B$4="Chapter Hunt"),CHOOSE(ArtifactsInput!$N$27+1,20,24,28,32,36,40),0)/100)),0)</f>
        <v/>
      </c>
      <c r="R2586">
        <f>IF(AND(Inputs!$B$38&lt;&gt;"pvp",Inputs!$B$43&gt;0),IF(MAX(0,Inputs!$B$43-B2617)&lt;=0,0,(INT(MAX(0,Inputs!$B$43-B2617)/(IF(Inputs!$B$38="pvp",15,MAX(0.1,Skills!D7-IF(Skills!E7=TRUE,Inputs!$B$32,0)))*(1-IF(AND(ArtifactsInput!$M$27,Inputs!$B$4="Chapter Hunt"),CHOOSE(ArtifactsInput!$N$27+1,20,24,28,32,36,40),0)/100)))+1)),0)</f>
        <v/>
      </c>
      <c r="S2586">
        <f>IFERROR(O2586/N2586,0)</f>
        <v/>
      </c>
      <c r="T2586">
        <f>IF(C2586,(H2586*N2586*IF(AND(Inputs!$B$38&lt;&gt;"pvp",Inputs!$B$43&gt;0),((Skills!G7*((R2586-1)*IF(Skills!H7&gt;0,Skills!I7/Skills!H7,1)+IF(Skills!H7&gt;0,MIN(Skills!I7,MAX(0,MAX(0,Inputs!$B$43-B2617)-((R2586-1)*(IF(Inputs!$B$38="pvp",15,MAX(0.1,Skills!D7-IF(Skills!E7=TRUE,Inputs!$B$32,0)))*(1-IF(AND(ArtifactsInput!$M$27,Inputs!$B$4="Chapter Hunt"),CHOOSE(ArtifactsInput!$N$27+1,20,24,28,32,36,40),0)/100)))))/Skills!H7,1)))/Inputs!$B$43),G2586*Q2586)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2586*(1-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2586*(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2586*(1-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2586*(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6">
        <f>IF(C2586,(H2586*N2586*IF(AND(Inputs!$B$38&lt;&gt;"pvp",Inputs!$B$43&gt;0),((Skills!G7*((R2586-1)*IF(Skills!H7&gt;0,Skills!I7/Skills!H7,1)+IF(Skills!H7&gt;0,MIN(Skills!I7,MAX(0,MAX(0,Inputs!$B$43-B2617)-((R2586-1)*(IF(Inputs!$B$38="pvp",15,MAX(0.1,Skills!D7-IF(Skills!E7=TRUE,Inputs!$B$32,0)))*(1-IF(AND(ArtifactsInput!$M$27,Inputs!$B$4="Chapter Hunt"),CHOOSE(ArtifactsInput!$N$27+1,20,24,28,32,36,40),0)/100)))))/Skills!H7,1)))/Inputs!$B$43),G2586*Q2586))*IF(Inputs!$B$38="pvp",1,(1+(Inputs!$B$21+Skills!Q7+(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7">
      <c r="A2587">
        <f>Skills!A8</f>
        <v/>
      </c>
      <c r="B2587">
        <f>Skills!B8</f>
        <v/>
      </c>
      <c r="C2587">
        <f>Inputs!$B$3&gt;=100</f>
        <v/>
      </c>
      <c r="D2587">
        <f>IF(Skills!C8=1,60+Inputs!$B$25+Inputs!$B$29,IF(Skills!C8=2,90+Inputs!$B$26+Inputs!$B$29,IF(Skills!C8=3,120+Inputs!$B$27+Inputs!$B$29,MAX(0,(Inputs!$B$3-100)*3)+Inputs!$B$28+Inputs!$B$29)))</f>
        <v/>
      </c>
      <c r="E2587">
        <f>INDEX(FactorTable!$B$2:$Y$301, MATCH(ROUND(MIN(300,MAX(1,D2587)),0), FactorTable!$A$2:$A$301,0), Skills!M8+1)</f>
        <v/>
      </c>
      <c r="F2587">
        <f>IF(Skills!N8=TRUE,(Skills!L8/10)*(E2587/1000),Skills!L8/10)+Skills!O8</f>
        <v/>
      </c>
      <c r="G2587">
        <f>Skills!G8*IF(Skills!H8&gt;0,Skills!I8/Skills!H8,1)</f>
        <v/>
      </c>
      <c r="H2587">
        <f>1-(1-Skills!J8/100)^Skills!K8</f>
        <v/>
      </c>
      <c r="I2587" t="inlineStr">
        <is>
          <t>1</t>
        </is>
      </c>
      <c r="J2587">
        <f>((Inputs!$B$6*(1+Inputs!$B$7/100))+(((Inputs!$B$12*(1+Inputs!$B$13/100))-(Inputs!$B$12*(1+Inputs!$B$13/100)))+0.25*(Inputs!$B$14-Inputs!$B$14))*(1+Inputs!$B$7/100))*(F2587/100)</f>
        <v/>
      </c>
      <c r="K2587">
        <f>J2587*(1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2587)</f>
        <v/>
      </c>
      <c r="L2587">
        <f>K2587*(MIN(Inputs!$B$22+((C2601=TRUE)*(F2601-Calc!F22)),(Inputs!$B$23+0+(IF(ArtifactsInput!$M$15,CHOOSE(ArtifactsInput!$N$15+1,25,30,35,40,45,50)/100*(Inputs!$B$11-Inputs!$B$11),0))))/100+(Inputs!$B$23+0+(IF(ArtifactsInput!$M$15,CHOOSE(ArtifactsInput!$N$15+1,25,30,35,40,45,50)/100*(Inputs!$B$11-Inputs!$B$11),0)))/100)/2</f>
        <v/>
      </c>
      <c r="M2587">
        <f>L2587*(1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7">
        <f>L2587*(1-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2587*(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7">
        <f>(1-Summary!$B$11)*T2587+Summary!$B$11*V2587</f>
        <v/>
      </c>
      <c r="P2587">
        <f>IF(B2620=0,0,O2587/B2620)</f>
        <v/>
      </c>
      <c r="Q2587">
        <f>IFERROR(1/(IF(Inputs!$B$38="pvp",15,MAX(0.1,Skills!D8-IF(Skills!E8=TRUE,Inputs!$B$32,0)))*(1-IF(AND(ArtifactsInput!$M$27,Inputs!$B$4="Chapter Hunt"),CHOOSE(ArtifactsInput!$N$27+1,20,24,28,32,36,40),0)/100)),0)</f>
        <v/>
      </c>
      <c r="R2587">
        <f>IF(AND(Inputs!$B$38&lt;&gt;"pvp",Inputs!$B$43&gt;0),IF(MAX(0,Inputs!$B$43-B2617)&lt;=0,0,(INT(MAX(0,Inputs!$B$43-B2617)/(IF(Inputs!$B$38="pvp",15,MAX(0.1,Skills!D8-IF(Skills!E8=TRUE,Inputs!$B$32,0)))*(1-IF(AND(ArtifactsInput!$M$27,Inputs!$B$4="Chapter Hunt"),CHOOSE(ArtifactsInput!$N$27+1,20,24,28,32,36,40),0)/100)))+1)),0)</f>
        <v/>
      </c>
      <c r="S2587">
        <f>IFERROR(O2587/N2587,0)</f>
        <v/>
      </c>
      <c r="T2587">
        <f>IF(C2587,(H2587*N2587*IF(AND(Inputs!$B$38&lt;&gt;"pvp",Inputs!$B$43&gt;0),((Skills!G8*((R2587-1)*IF(Skills!H8&gt;0,Skills!I8/Skills!H8,1)+IF(Skills!H8&gt;0,MIN(Skills!I8,MAX(0,MAX(0,Inputs!$B$43-B2617)-((R2587-1)*(IF(Inputs!$B$38="pvp",15,MAX(0.1,Skills!D8-IF(Skills!E8=TRUE,Inputs!$B$32,0)))*(1-IF(AND(ArtifactsInput!$M$27,Inputs!$B$4="Chapter Hunt"),CHOOSE(ArtifactsInput!$N$27+1,20,24,28,32,36,40),0)/100)))))/Skills!H8,1)))/Inputs!$B$43),G2587*Q2587)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2587*(1-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2587*(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2587*(1-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2587*(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7">
        <f>IF(C2587,(H2587*N2587*IF(AND(Inputs!$B$38&lt;&gt;"pvp",Inputs!$B$43&gt;0),((Skills!G8*((R2587-1)*IF(Skills!H8&gt;0,Skills!I8/Skills!H8,1)+IF(Skills!H8&gt;0,MIN(Skills!I8,MAX(0,MAX(0,Inputs!$B$43-B2617)-((R2587-1)*(IF(Inputs!$B$38="pvp",15,MAX(0.1,Skills!D8-IF(Skills!E8=TRUE,Inputs!$B$32,0)))*(1-IF(AND(ArtifactsInput!$M$27,Inputs!$B$4="Chapter Hunt"),CHOOSE(ArtifactsInput!$N$27+1,20,24,28,32,36,40),0)/100)))))/Skills!H8,1)))/Inputs!$B$43),G2587*Q2587))*IF(Inputs!$B$38="pvp",1,(1+(Inputs!$B$21+Skills!Q8+(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8">
      <c r="A2588">
        <f>Skills!A9</f>
        <v/>
      </c>
      <c r="B2588">
        <f>Skills!B9</f>
        <v/>
      </c>
      <c r="C2588">
        <f>Inputs!$B$3&gt;=103</f>
        <v/>
      </c>
      <c r="D2588">
        <f>IF(Skills!C9=1,60+Inputs!$B$25+Inputs!$B$29,IF(Skills!C9=2,90+Inputs!$B$26+Inputs!$B$29,IF(Skills!C9=3,120+Inputs!$B$27+Inputs!$B$29,MAX(0,(Inputs!$B$3-100)*3)+Inputs!$B$28+Inputs!$B$29)))</f>
        <v/>
      </c>
      <c r="E2588">
        <f>INDEX(FactorTable!$B$2:$Y$301, MATCH(ROUND(MIN(300,MAX(1,D2588)),0), FactorTable!$A$2:$A$301,0), Skills!M9+1)</f>
        <v/>
      </c>
      <c r="F2588">
        <f>IF(Skills!N9=TRUE,(Skills!L9/10)*(E2588/1000),Skills!L9/10)+Skills!O9</f>
        <v/>
      </c>
      <c r="G2588">
        <f>Skills!G9*IF(Skills!H9&gt;0,Skills!I9/Skills!H9,1)</f>
        <v/>
      </c>
      <c r="H2588">
        <f>1-(1-Skills!J9/100)^Skills!K9</f>
        <v/>
      </c>
      <c r="I2588" t="inlineStr">
        <is>
          <t>1</t>
        </is>
      </c>
      <c r="J2588">
        <f>((Inputs!$B$6*(1+Inputs!$B$7/100))+(((Inputs!$B$12*(1+Inputs!$B$13/100))-(Inputs!$B$12*(1+Inputs!$B$13/100)))+0.25*(Inputs!$B$14-Inputs!$B$14))*(1+Inputs!$B$7/100))*(F2588/100)</f>
        <v/>
      </c>
      <c r="K2588">
        <f>J2588*(1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2588)</f>
        <v/>
      </c>
      <c r="L2588">
        <f>K2588*(MIN(Inputs!$B$22+((C2601=TRUE)*(F2601-Calc!F22)),(Inputs!$B$23+0+(IF(ArtifactsInput!$M$15,CHOOSE(ArtifactsInput!$N$15+1,25,30,35,40,45,50)/100*(Inputs!$B$11-Inputs!$B$11),0))))/100+(Inputs!$B$23+0+(IF(ArtifactsInput!$M$15,CHOOSE(ArtifactsInput!$N$15+1,25,30,35,40,45,50)/100*(Inputs!$B$11-Inputs!$B$11),0)))/100)/2</f>
        <v/>
      </c>
      <c r="M2588">
        <f>L2588*(1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8">
        <f>L2588*(1-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2588*(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8">
        <f>(1-Summary!$B$11)*T2588+Summary!$B$11*V2588</f>
        <v/>
      </c>
      <c r="P2588">
        <f>IF(B2620=0,0,O2588/B2620)</f>
        <v/>
      </c>
      <c r="Q2588">
        <f>IFERROR(1/(IF(Inputs!$B$38="pvp",15,MAX(0.1,Skills!D9-IF(Skills!E9=TRUE,Inputs!$B$32,0)))*(1-IF(AND(ArtifactsInput!$M$27,Inputs!$B$4="Chapter Hunt"),CHOOSE(ArtifactsInput!$N$27+1,20,24,28,32,36,40),0)/100)),0)</f>
        <v/>
      </c>
      <c r="R2588">
        <f>IF(AND(Inputs!$B$38&lt;&gt;"pvp",Inputs!$B$43&gt;0),IF(MAX(0,Inputs!$B$43-B2617)&lt;=0,0,(INT(MAX(0,Inputs!$B$43-B2617)/(IF(Inputs!$B$38="pvp",15,MAX(0.1,Skills!D9-IF(Skills!E9=TRUE,Inputs!$B$32,0)))*(1-IF(AND(ArtifactsInput!$M$27,Inputs!$B$4="Chapter Hunt"),CHOOSE(ArtifactsInput!$N$27+1,20,24,28,32,36,40),0)/100)))+1)),0)</f>
        <v/>
      </c>
      <c r="S2588">
        <f>IFERROR(O2588/N2588,0)</f>
        <v/>
      </c>
      <c r="T2588">
        <f>IF(C2588,(H2588*N2588*IF(AND(Inputs!$B$38&lt;&gt;"pvp",Inputs!$B$43&gt;0),((Skills!G9*((R2588-1)*IF(Skills!H9&gt;0,Skills!I9/Skills!H9,1)+IF(Skills!H9&gt;0,MIN(Skills!I9,MAX(0,MAX(0,Inputs!$B$43-B2617)-((R2588-1)*(IF(Inputs!$B$38="pvp",15,MAX(0.1,Skills!D9-IF(Skills!E9=TRUE,Inputs!$B$32,0)))*(1-IF(AND(ArtifactsInput!$M$27,Inputs!$B$4="Chapter Hunt"),CHOOSE(ArtifactsInput!$N$27+1,20,24,28,32,36,40),0)/100)))))/Skills!H9,1)))/Inputs!$B$43),G2588*Q2588)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2588*(1-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2588*(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2588*(1-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2588*(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8">
        <f>IF(C2588,(H2588*N2588*IF(AND(Inputs!$B$38&lt;&gt;"pvp",Inputs!$B$43&gt;0),((Skills!G9*((R2588-1)*IF(Skills!H9&gt;0,Skills!I9/Skills!H9,1)+IF(Skills!H9&gt;0,MIN(Skills!I9,MAX(0,MAX(0,Inputs!$B$43-B2617)-((R2588-1)*(IF(Inputs!$B$38="pvp",15,MAX(0.1,Skills!D9-IF(Skills!E9=TRUE,Inputs!$B$32,0)))*(1-IF(AND(ArtifactsInput!$M$27,Inputs!$B$4="Chapter Hunt"),CHOOSE(ArtifactsInput!$N$27+1,20,24,28,32,36,40),0)/100)))))/Skills!H9,1)))/Inputs!$B$43),G2588*Q2588))*IF(Inputs!$B$38="pvp",1,(1+(Inputs!$B$21+Skills!Q9+(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9">
      <c r="A2589">
        <f>Skills!A10</f>
        <v/>
      </c>
      <c r="B2589">
        <f>Skills!B10</f>
        <v/>
      </c>
      <c r="C2589">
        <f>Inputs!$B$3&gt;=113</f>
        <v/>
      </c>
      <c r="D2589">
        <f>IF(Skills!C10=1,60+Inputs!$B$25+Inputs!$B$29,IF(Skills!C10=2,90+Inputs!$B$26+Inputs!$B$29,IF(Skills!C10=3,120+Inputs!$B$27+Inputs!$B$29,MAX(0,(Inputs!$B$3-100)*3)+Inputs!$B$28+Inputs!$B$29)))</f>
        <v/>
      </c>
      <c r="E2589">
        <f>INDEX(FactorTable!$B$2:$Y$301, MATCH(ROUND(MIN(300,MAX(1,D2589)),0), FactorTable!$A$2:$A$301,0), Skills!M10+1)</f>
        <v/>
      </c>
      <c r="F2589">
        <f>IF(Skills!N10=TRUE,(Skills!L10/10)*(E2589/1000),Skills!L10/10)+Skills!O10</f>
        <v/>
      </c>
      <c r="G2589">
        <f>Skills!G10*IF(Skills!H10&gt;0,Skills!I10/Skills!H10,1)</f>
        <v/>
      </c>
      <c r="H2589">
        <f>1-(1-Skills!J10/100)^Skills!K10</f>
        <v/>
      </c>
      <c r="I2589" t="inlineStr">
        <is>
          <t>1</t>
        </is>
      </c>
      <c r="J2589">
        <f>((Inputs!$B$6*(1+Inputs!$B$7/100))+(((Inputs!$B$12*(1+Inputs!$B$13/100))-(Inputs!$B$12*(1+Inputs!$B$13/100)))+0.25*(Inputs!$B$14-Inputs!$B$14))*(1+Inputs!$B$7/100))*(F2589/100)</f>
        <v/>
      </c>
      <c r="K2589">
        <f>J2589*(1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2589)</f>
        <v/>
      </c>
      <c r="L2589">
        <f>K2589*(MIN(Inputs!$B$22+((C2601=TRUE)*(F2601-Calc!F22)),(Inputs!$B$23+0+(IF(ArtifactsInput!$M$15,CHOOSE(ArtifactsInput!$N$15+1,25,30,35,40,45,50)/100*(Inputs!$B$11-Inputs!$B$11),0))))/100+(Inputs!$B$23+0+(IF(ArtifactsInput!$M$15,CHOOSE(ArtifactsInput!$N$15+1,25,30,35,40,45,50)/100*(Inputs!$B$11-Inputs!$B$11),0)))/100)/2</f>
        <v/>
      </c>
      <c r="M2589">
        <f>L2589*(1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9">
        <f>L2589*(1-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2589*(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9">
        <f>(1-Summary!$B$11)*T2589+Summary!$B$11*V2589</f>
        <v/>
      </c>
      <c r="P2589">
        <f>IF(B2620=0,0,O2589/B2620)</f>
        <v/>
      </c>
      <c r="Q2589">
        <f>IFERROR(1/(IF(Inputs!$B$38="pvp",15,MAX(0.1,Skills!D10-IF(Skills!E10=TRUE,Inputs!$B$32,0)))*(1-IF(AND(ArtifactsInput!$M$27,Inputs!$B$4="Chapter Hunt"),CHOOSE(ArtifactsInput!$N$27+1,20,24,28,32,36,40),0)/100)),0)</f>
        <v/>
      </c>
      <c r="R2589">
        <f>IF(AND(Inputs!$B$38&lt;&gt;"pvp",Inputs!$B$43&gt;0),IF(MAX(0,Inputs!$B$43-B2617)&lt;=0,0,(INT(MAX(0,Inputs!$B$43-B2617)/(IF(Inputs!$B$38="pvp",15,MAX(0.1,Skills!D10-IF(Skills!E10=TRUE,Inputs!$B$32,0)))*(1-IF(AND(ArtifactsInput!$M$27,Inputs!$B$4="Chapter Hunt"),CHOOSE(ArtifactsInput!$N$27+1,20,24,28,32,36,40),0)/100)))+1)),0)</f>
        <v/>
      </c>
      <c r="S2589">
        <f>IFERROR(O2589/N2589,0)</f>
        <v/>
      </c>
      <c r="T2589">
        <f>IF(C2589,(H2589*N2589*IF(AND(Inputs!$B$38&lt;&gt;"pvp",Inputs!$B$43&gt;0),((Skills!G10*((R2589-1)*IF(Skills!H10&gt;0,Skills!I10/Skills!H10,1)+IF(Skills!H10&gt;0,MIN(Skills!I10,MAX(0,MAX(0,Inputs!$B$43-B2617)-((R2589-1)*(IF(Inputs!$B$38="pvp",15,MAX(0.1,Skills!D10-IF(Skills!E10=TRUE,Inputs!$B$32,0)))*(1-IF(AND(ArtifactsInput!$M$27,Inputs!$B$4="Chapter Hunt"),CHOOSE(ArtifactsInput!$N$27+1,20,24,28,32,36,40),0)/100)))))/Skills!H10,1)))/Inputs!$B$43),G2589*Q2589)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2589*(1-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2589*(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2589*(1-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2589*(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9">
        <f>IF(C2589,(H2589*N2589*IF(AND(Inputs!$B$38&lt;&gt;"pvp",Inputs!$B$43&gt;0),((Skills!G10*((R2589-1)*IF(Skills!H10&gt;0,Skills!I10/Skills!H10,1)+IF(Skills!H10&gt;0,MIN(Skills!I10,MAX(0,MAX(0,Inputs!$B$43-B2617)-((R2589-1)*(IF(Inputs!$B$38="pvp",15,MAX(0.1,Skills!D10-IF(Skills!E10=TRUE,Inputs!$B$32,0)))*(1-IF(AND(ArtifactsInput!$M$27,Inputs!$B$4="Chapter Hunt"),CHOOSE(ArtifactsInput!$N$27+1,20,24,28,32,36,40),0)/100)))))/Skills!H10,1)))/Inputs!$B$43),G2589*Q2589))*IF(Inputs!$B$38="pvp",1,(1+(Inputs!$B$21+Skills!Q10+(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0">
      <c r="A2590">
        <f>Skills!A11</f>
        <v/>
      </c>
      <c r="B2590">
        <f>Skills!B11</f>
        <v/>
      </c>
      <c r="C2590">
        <f>Inputs!$B$3&gt;=107</f>
        <v/>
      </c>
      <c r="D2590">
        <f>IF(Skills!C11=1,60+Inputs!$B$25+Inputs!$B$29,IF(Skills!C11=2,90+Inputs!$B$26+Inputs!$B$29,IF(Skills!C11=3,120+Inputs!$B$27+Inputs!$B$29,MAX(0,(Inputs!$B$3-100)*3)+Inputs!$B$28+Inputs!$B$29)))</f>
        <v/>
      </c>
      <c r="E2590">
        <f>INDEX(FactorTable!$B$2:$Y$301, MATCH(ROUND(MIN(300,MAX(1,D2590)),0), FactorTable!$A$2:$A$301,0), Skills!M11+1)</f>
        <v/>
      </c>
      <c r="F2590">
        <f>IF(Skills!N11=TRUE,(Skills!L11/10)*(E2590/1000),Skills!L11/10)+Skills!O11</f>
        <v/>
      </c>
      <c r="G2590">
        <f>Skills!G11*IF(Skills!H11&gt;0,Skills!I11/Skills!H11,1)</f>
        <v/>
      </c>
      <c r="H2590">
        <f>1-(1-Skills!J11/100)^Skills!K11</f>
        <v/>
      </c>
      <c r="I2590" t="inlineStr">
        <is>
          <t>1</t>
        </is>
      </c>
      <c r="J2590">
        <f>((Inputs!$B$6*(1+Inputs!$B$7/100))+(((Inputs!$B$12*(1+Inputs!$B$13/100))-(Inputs!$B$12*(1+Inputs!$B$13/100)))+0.25*(Inputs!$B$14-Inputs!$B$14))*(1+Inputs!$B$7/100))*(F2590/100)</f>
        <v/>
      </c>
      <c r="K2590">
        <f>J2590*(1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2590)</f>
        <v/>
      </c>
      <c r="L2590">
        <f>K2590*(MIN(Inputs!$B$22+((C2601=TRUE)*(F2601-Calc!F22)),(Inputs!$B$23+0+(IF(ArtifactsInput!$M$15,CHOOSE(ArtifactsInput!$N$15+1,25,30,35,40,45,50)/100*(Inputs!$B$11-Inputs!$B$11),0))))/100+(Inputs!$B$23+0+(IF(ArtifactsInput!$M$15,CHOOSE(ArtifactsInput!$N$15+1,25,30,35,40,45,50)/100*(Inputs!$B$11-Inputs!$B$11),0)))/100)/2</f>
        <v/>
      </c>
      <c r="M2590">
        <f>L2590*(1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0">
        <f>L2590*(1-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2590*(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0">
        <f>(1-Summary!$B$11)*T2590+Summary!$B$11*V2590</f>
        <v/>
      </c>
      <c r="P2590">
        <f>IF(B2620=0,0,O2590/B2620)</f>
        <v/>
      </c>
      <c r="Q2590">
        <f>IFERROR(1/(IF(Inputs!$B$38="pvp",15,MAX(0.1,Skills!D11-IF(Skills!E11=TRUE,Inputs!$B$32,0)))*(1-IF(AND(ArtifactsInput!$M$27,Inputs!$B$4="Chapter Hunt"),CHOOSE(ArtifactsInput!$N$27+1,20,24,28,32,36,40),0)/100)),0)</f>
        <v/>
      </c>
      <c r="R2590">
        <f>IF(AND(Inputs!$B$38&lt;&gt;"pvp",Inputs!$B$43&gt;0),IF(MAX(0,Inputs!$B$43-B2617)&lt;=0,0,(INT(MAX(0,Inputs!$B$43-B2617)/(IF(Inputs!$B$38="pvp",15,MAX(0.1,Skills!D11-IF(Skills!E11=TRUE,Inputs!$B$32,0)))*(1-IF(AND(ArtifactsInput!$M$27,Inputs!$B$4="Chapter Hunt"),CHOOSE(ArtifactsInput!$N$27+1,20,24,28,32,36,40),0)/100)))+1)),0)</f>
        <v/>
      </c>
      <c r="S2590">
        <f>IFERROR(O2590/N2590,0)</f>
        <v/>
      </c>
      <c r="T2590">
        <f>IF(C2590,(H2590*N2590*IF(AND(Inputs!$B$38&lt;&gt;"pvp",Inputs!$B$43&gt;0),((Skills!G11*((R2590-1)*IF(Skills!H11&gt;0,Skills!I11/Skills!H11,1)+IF(Skills!H11&gt;0,MIN(Skills!I11,MAX(0,MAX(0,Inputs!$B$43-B2617)-((R2590-1)*(IF(Inputs!$B$38="pvp",15,MAX(0.1,Skills!D11-IF(Skills!E11=TRUE,Inputs!$B$32,0)))*(1-IF(AND(ArtifactsInput!$M$27,Inputs!$B$4="Chapter Hunt"),CHOOSE(ArtifactsInput!$N$27+1,20,24,28,32,36,40),0)/100)))))/Skills!H11,1)))/Inputs!$B$43),G2590*Q2590)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2590*(1-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2590*(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2590*(1-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2590*(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0">
        <f>IF(C2590,(H2590*N2590*IF(AND(Inputs!$B$38&lt;&gt;"pvp",Inputs!$B$43&gt;0),((Skills!G11*((R2590-1)*IF(Skills!H11&gt;0,Skills!I11/Skills!H11,1)+IF(Skills!H11&gt;0,MIN(Skills!I11,MAX(0,MAX(0,Inputs!$B$43-B2617)-((R2590-1)*(IF(Inputs!$B$38="pvp",15,MAX(0.1,Skills!D11-IF(Skills!E11=TRUE,Inputs!$B$32,0)))*(1-IF(AND(ArtifactsInput!$M$27,Inputs!$B$4="Chapter Hunt"),CHOOSE(ArtifactsInput!$N$27+1,20,24,28,32,36,40),0)/100)))))/Skills!H11,1)))/Inputs!$B$43),G2590*Q2590))*IF(Inputs!$B$38="pvp",1,(1+(Inputs!$B$21+Skills!Q11+(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1">
      <c r="A2591">
        <f>Skills!A12</f>
        <v/>
      </c>
      <c r="B2591">
        <f>Skills!B12</f>
        <v/>
      </c>
      <c r="C2591">
        <f>Inputs!$B$3&gt;=110</f>
        <v/>
      </c>
      <c r="D2591">
        <f>IF(Skills!C12=1,60+Inputs!$B$25+Inputs!$B$29,IF(Skills!C12=2,90+Inputs!$B$26+Inputs!$B$29,IF(Skills!C12=3,120+Inputs!$B$27+Inputs!$B$29,MAX(0,(Inputs!$B$3-100)*3)+Inputs!$B$28+Inputs!$B$29)))</f>
        <v/>
      </c>
      <c r="E2591">
        <f>INDEX(FactorTable!$B$2:$Y$301, MATCH(ROUND(MIN(300,MAX(1,D2591)),0), FactorTable!$A$2:$A$301,0), Skills!M12+1)</f>
        <v/>
      </c>
      <c r="F2591">
        <f>IF(Skills!N12=TRUE,(Skills!L12/10)*(E2591/1000),Skills!L12/10)+Skills!O12</f>
        <v/>
      </c>
      <c r="G2591">
        <f>Skills!G12*IF(Skills!H12&gt;0,Skills!I12/Skills!H12,1)</f>
        <v/>
      </c>
      <c r="H2591">
        <f>1-(1-Skills!J12/100)^Skills!K12</f>
        <v/>
      </c>
      <c r="I2591" t="inlineStr">
        <is>
          <t>1</t>
        </is>
      </c>
      <c r="J2591">
        <f>((Inputs!$B$6*(1+Inputs!$B$7/100))+(((Inputs!$B$12*(1+Inputs!$B$13/100))-(Inputs!$B$12*(1+Inputs!$B$13/100)))+0.25*(Inputs!$B$14-Inputs!$B$14))*(1+Inputs!$B$7/100))*(F2591/100)</f>
        <v/>
      </c>
      <c r="K2591">
        <f>J2591*(1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2591)</f>
        <v/>
      </c>
      <c r="L2591">
        <f>K2591*(MIN(Inputs!$B$22+((C2601=TRUE)*(F2601-Calc!F22)),(Inputs!$B$23+0+(IF(ArtifactsInput!$M$15,CHOOSE(ArtifactsInput!$N$15+1,25,30,35,40,45,50)/100*(Inputs!$B$11-Inputs!$B$11),0))))/100+(Inputs!$B$23+0+(IF(ArtifactsInput!$M$15,CHOOSE(ArtifactsInput!$N$15+1,25,30,35,40,45,50)/100*(Inputs!$B$11-Inputs!$B$11),0)))/100)/2</f>
        <v/>
      </c>
      <c r="M2591">
        <f>L2591*(1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1">
        <f>L2591*(1-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1">
        <f>(1-Summary!$B$11)*T2591+Summary!$B$11*V2591</f>
        <v/>
      </c>
      <c r="P2591">
        <f>IF(B2620=0,0,O2591/B2620)</f>
        <v/>
      </c>
      <c r="Q2591">
        <f>IFERROR(1/(IF(Inputs!$B$38="pvp",15,MAX(0.1,Skills!D12-IF(Skills!E12=TRUE,Inputs!$B$32,0)))*(1-IF(AND(ArtifactsInput!$M$27,Inputs!$B$4="Chapter Hunt"),CHOOSE(ArtifactsInput!$N$27+1,20,24,28,32,36,40),0)/100)),0)</f>
        <v/>
      </c>
      <c r="R2591">
        <f>IF(AND(Inputs!$B$38&lt;&gt;"pvp",Inputs!$B$43&gt;0),IF(MAX(0,Inputs!$B$43-B2617)&lt;=0,0,(INT(MAX(0,Inputs!$B$43-B2617)/(IF(Inputs!$B$38="pvp",15,MAX(0.1,Skills!D12-IF(Skills!E12=TRUE,Inputs!$B$32,0)))*(1-IF(AND(ArtifactsInput!$M$27,Inputs!$B$4="Chapter Hunt"),CHOOSE(ArtifactsInput!$N$27+1,20,24,28,32,36,40),0)/100)))+1)),0)</f>
        <v/>
      </c>
      <c r="S2591">
        <f>IFERROR(O2591/N2591,0)</f>
        <v/>
      </c>
      <c r="T2591">
        <f>IF(C2591,(H2591*N2591*IF(AND(Inputs!$B$38&lt;&gt;"pvp",Inputs!$B$43&gt;0),((Skills!G12*((R2591-1)*IF(Skills!H12&gt;0,Skills!I12/Skills!H12,1)+IF(Skills!H12&gt;0,MIN(Skills!I12,MAX(0,MAX(0,Inputs!$B$43-B2617)-((R2591-1)*(IF(Inputs!$B$38="pvp",15,MAX(0.1,Skills!D12-IF(Skills!E12=TRUE,Inputs!$B$32,0)))*(1-IF(AND(ArtifactsInput!$M$27,Inputs!$B$4="Chapter Hunt"),CHOOSE(ArtifactsInput!$N$27+1,20,24,28,32,36,40),0)/100)))))/Skills!H12,1)))/Inputs!$B$43),G2591*Q2591)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2591*(1-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2591*(1-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1">
        <f>IF(C2591,(H2591*N2591*IF(AND(Inputs!$B$38&lt;&gt;"pvp",Inputs!$B$43&gt;0),((Skills!G12*((R2591-1)*IF(Skills!H12&gt;0,Skills!I12/Skills!H12,1)+IF(Skills!H12&gt;0,MIN(Skills!I12,MAX(0,MAX(0,Inputs!$B$43-B2617)-((R2591-1)*(IF(Inputs!$B$38="pvp",15,MAX(0.1,Skills!D12-IF(Skills!E12=TRUE,Inputs!$B$32,0)))*(1-IF(AND(ArtifactsInput!$M$27,Inputs!$B$4="Chapter Hunt"),CHOOSE(ArtifactsInput!$N$27+1,20,24,28,32,36,40),0)/100)))))/Skills!H12,1)))/Inputs!$B$43),G2591*Q2591))*IF(Inputs!$B$38="pvp",1,(1+(Inputs!$B$21+Skills!Q12+(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2">
      <c r="A2592">
        <f>Skills!A13</f>
        <v/>
      </c>
      <c r="B2592">
        <f>Skills!B13</f>
        <v/>
      </c>
      <c r="C2592">
        <f>Inputs!$B$3&gt;=110</f>
        <v/>
      </c>
      <c r="D2592">
        <f>IF(Skills!C13=1,60+Inputs!$B$25+Inputs!$B$29,IF(Skills!C13=2,90+Inputs!$B$26+Inputs!$B$29,IF(Skills!C13=3,120+Inputs!$B$27+Inputs!$B$29,MAX(0,(Inputs!$B$3-100)*3)+Inputs!$B$28+Inputs!$B$29)))</f>
        <v/>
      </c>
      <c r="E2592">
        <f>INDEX(FactorTable!$B$2:$Y$301, MATCH(ROUND(MIN(300,MAX(1,D2592)),0), FactorTable!$A$2:$A$301,0), Skills!M13+1)</f>
        <v/>
      </c>
      <c r="F2592">
        <f>IF(Skills!N13=TRUE,(Skills!L13/10)*(E2592/1000),Skills!L13/10)+Skills!O13</f>
        <v/>
      </c>
      <c r="G2592">
        <f>Skills!G13*IF(Skills!H13&gt;0,Skills!I13/Skills!H13,1)</f>
        <v/>
      </c>
      <c r="H2592">
        <f>1-(1-Skills!J13/100)^Skills!K13</f>
        <v/>
      </c>
      <c r="I2592" t="inlineStr">
        <is>
          <t>1</t>
        </is>
      </c>
      <c r="J2592">
        <f>((Inputs!$B$6*(1+Inputs!$B$7/100))+(((Inputs!$B$12*(1+Inputs!$B$13/100))-(Inputs!$B$12*(1+Inputs!$B$13/100)))+0.25*(Inputs!$B$14-Inputs!$B$14))*(1+Inputs!$B$7/100))*(F2592/100)</f>
        <v/>
      </c>
      <c r="K2592">
        <f>J2592*(1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2592)</f>
        <v/>
      </c>
      <c r="L2592">
        <f>K2592*(MIN(Inputs!$B$22+((C2601=TRUE)*(F2601-Calc!F22)),(Inputs!$B$23+0+(IF(ArtifactsInput!$M$15,CHOOSE(ArtifactsInput!$N$15+1,25,30,35,40,45,50)/100*(Inputs!$B$11-Inputs!$B$11),0))))/100+(Inputs!$B$23+0+(IF(ArtifactsInput!$M$15,CHOOSE(ArtifactsInput!$N$15+1,25,30,35,40,45,50)/100*(Inputs!$B$11-Inputs!$B$11),0)))/100)/2</f>
        <v/>
      </c>
      <c r="M2592">
        <f>L2592*(1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2">
        <f>L2592*(1-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2592*(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2">
        <f>(1-Summary!$B$11)*T2592+Summary!$B$11*V2592</f>
        <v/>
      </c>
      <c r="P2592">
        <f>IF(B2620=0,0,O2592/B2620)</f>
        <v/>
      </c>
      <c r="Q2592">
        <f>IFERROR(1/(IF(Inputs!$B$38="pvp",15,MAX(0.1,Skills!D13-IF(Skills!E13=TRUE,Inputs!$B$32,0)))*(1-IF(AND(ArtifactsInput!$M$27,Inputs!$B$4="Chapter Hunt"),CHOOSE(ArtifactsInput!$N$27+1,20,24,28,32,36,40),0)/100)),0)</f>
        <v/>
      </c>
      <c r="R2592">
        <f>IF(AND(Inputs!$B$38&lt;&gt;"pvp",Inputs!$B$43&gt;0),IF(MAX(0,Inputs!$B$43-B2617)&lt;=0,0,(INT(MAX(0,Inputs!$B$43-B2617)/(IF(Inputs!$B$38="pvp",15,MAX(0.1,Skills!D13-IF(Skills!E13=TRUE,Inputs!$B$32,0)))*(1-IF(AND(ArtifactsInput!$M$27,Inputs!$B$4="Chapter Hunt"),CHOOSE(ArtifactsInput!$N$27+1,20,24,28,32,36,40),0)/100)))+1)),0)</f>
        <v/>
      </c>
      <c r="S2592">
        <f>IFERROR(O2592/N2592,0)</f>
        <v/>
      </c>
      <c r="T2592">
        <f>IF(C2592,(H2592*N2592*IF(AND(Inputs!$B$38&lt;&gt;"pvp",Inputs!$B$43&gt;0),((Skills!G13*((R2592-1)*IF(Skills!H13&gt;0,Skills!I13/Skills!H13,1)+IF(Skills!H13&gt;0,MIN(Skills!I13,MAX(0,MAX(0,Inputs!$B$43-B2617)-((R2592-1)*(IF(Inputs!$B$38="pvp",15,MAX(0.1,Skills!D13-IF(Skills!E13=TRUE,Inputs!$B$32,0)))*(1-IF(AND(ArtifactsInput!$M$27,Inputs!$B$4="Chapter Hunt"),CHOOSE(ArtifactsInput!$N$27+1,20,24,28,32,36,40),0)/100)))))/Skills!H13,1)))/Inputs!$B$43),G2592*Q2592)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2592*(1-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2592*(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2592*(1-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2592*(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2">
        <f>IF(C2592,(H2592*N2592*IF(AND(Inputs!$B$38&lt;&gt;"pvp",Inputs!$B$43&gt;0),((Skills!G13*((R2592-1)*IF(Skills!H13&gt;0,Skills!I13/Skills!H13,1)+IF(Skills!H13&gt;0,MIN(Skills!I13,MAX(0,MAX(0,Inputs!$B$43-B2617)-((R2592-1)*(IF(Inputs!$B$38="pvp",15,MAX(0.1,Skills!D13-IF(Skills!E13=TRUE,Inputs!$B$32,0)))*(1-IF(AND(ArtifactsInput!$M$27,Inputs!$B$4="Chapter Hunt"),CHOOSE(ArtifactsInput!$N$27+1,20,24,28,32,36,40),0)/100)))))/Skills!H13,1)))/Inputs!$B$43),G2592*Q2592))*IF(Inputs!$B$38="pvp",1,(1+(Inputs!$B$21+Skills!Q13+(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3">
      <c r="A2593">
        <f>Skills!A14</f>
        <v/>
      </c>
      <c r="B2593">
        <f>Skills!B14</f>
        <v/>
      </c>
      <c r="C2593">
        <f>Inputs!$B$3&gt;=125</f>
        <v/>
      </c>
      <c r="D2593">
        <f>IF(Skills!C14=1,60+Inputs!$B$25+Inputs!$B$29,IF(Skills!C14=2,90+Inputs!$B$26+Inputs!$B$29,IF(Skills!C14=3,120+Inputs!$B$27+Inputs!$B$29,MAX(0,(Inputs!$B$3-100)*3)+Inputs!$B$28+Inputs!$B$29)))</f>
        <v/>
      </c>
      <c r="E2593">
        <f>INDEX(FactorTable!$B$2:$Y$301, MATCH(ROUND(MIN(300,MAX(1,D2593)),0), FactorTable!$A$2:$A$301,0), Skills!M14+1)</f>
        <v/>
      </c>
      <c r="F2593">
        <f>IF(Skills!N14=TRUE,(Skills!L14/10)*(E2593/1000),Skills!L14/10)+Skills!O14</f>
        <v/>
      </c>
      <c r="G2593">
        <f>Skills!G14*IF(Skills!H14&gt;0,Skills!I14/Skills!H14,1)</f>
        <v/>
      </c>
      <c r="H2593">
        <f>1-(1-Skills!J14/100)^Skills!K14</f>
        <v/>
      </c>
      <c r="I2593" t="inlineStr">
        <is>
          <t>1</t>
        </is>
      </c>
      <c r="J2593">
        <f>((Inputs!$B$6*(1+Inputs!$B$7/100))+(((Inputs!$B$12*(1+Inputs!$B$13/100))-(Inputs!$B$12*(1+Inputs!$B$13/100)))+0.25*(Inputs!$B$14-Inputs!$B$14))*(1+Inputs!$B$7/100))*(F2593/100)</f>
        <v/>
      </c>
      <c r="K2593">
        <f>J2593*(1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2593)</f>
        <v/>
      </c>
      <c r="L2593">
        <f>K2593*(MIN(Inputs!$B$22+((C2601=TRUE)*(F2601-Calc!F22)),(Inputs!$B$23+0+(IF(ArtifactsInput!$M$15,CHOOSE(ArtifactsInput!$N$15+1,25,30,35,40,45,50)/100*(Inputs!$B$11-Inputs!$B$11),0))))/100+(Inputs!$B$23+0+(IF(ArtifactsInput!$M$15,CHOOSE(ArtifactsInput!$N$15+1,25,30,35,40,45,50)/100*(Inputs!$B$11-Inputs!$B$11),0)))/100)/2</f>
        <v/>
      </c>
      <c r="M2593">
        <f>L2593*(1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3">
        <f>L2593*(1-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2593*(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3">
        <f>(1-Summary!$B$11)*T2593+Summary!$B$11*V2593</f>
        <v/>
      </c>
      <c r="P2593">
        <f>IF(B2620=0,0,O2593/B2620)</f>
        <v/>
      </c>
      <c r="Q2593" t="n">
        <v>0</v>
      </c>
      <c r="R2593" t="n">
        <v>0</v>
      </c>
      <c r="S2593">
        <f>IFERROR(O2593/N2593,0)</f>
        <v/>
      </c>
      <c r="T2593">
        <f>IF(C2593,(H2593*N2593*(B2614+IF(AND(Inputs!$B$38&lt;&gt;"pvp",Inputs!$B$43&gt;0),((Skills!G8*((R2587-1)*IF(Skills!H8&gt;0,Skills!I8/Skills!H8,1)+IF(Skills!H8&gt;0,MIN(Skills!I8,MAX(0,MAX(0,Inputs!$B$43-B2617)-((R2587-1)*(IF(Inputs!$B$38="pvp",15,MAX(0.1,Skills!D8-IF(Skills!E8=TRUE,Inputs!$B$32,0)))*(1-IF(AND(ArtifactsInput!$M$27,Inputs!$B$4="Chapter Hunt"),CHOOSE(ArtifactsInput!$N$27+1,20,24,28,32,36,40),0)/100)))))/Skills!H8,1)))/Inputs!$B$43),G2587*Q2587)+IF(AND(Inputs!$B$38&lt;&gt;"pvp",Inputs!$B$43&gt;0),((Skills!G11*((R2590-1)*IF(Skills!H11&gt;0,Skills!I11/Skills!H11,1)+IF(Skills!H11&gt;0,MIN(Skills!I11,MAX(0,MAX(0,Inputs!$B$43-B2617)-((R2590-1)*(IF(Inputs!$B$38="pvp",15,MAX(0.1,Skills!D11-IF(Skills!E11=TRUE,Inputs!$B$32,0)))*(1-IF(AND(ArtifactsInput!$M$27,Inputs!$B$4="Chapter Hunt"),CHOOSE(ArtifactsInput!$N$27+1,20,24,28,32,36,40),0)/100)))))/Skills!H11,1)))/Inputs!$B$43),G2590*Q2590)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2593*(1-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2593*(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2593*(1-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2593*(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3">
        <f>IF(C2593,(H2593*N2593*(B2614+IF(AND(Inputs!$B$38&lt;&gt;"pvp",Inputs!$B$43&gt;0),((Skills!G8*((R2587-1)*IF(Skills!H8&gt;0,Skills!I8/Skills!H8,1)+IF(Skills!H8&gt;0,MIN(Skills!I8,MAX(0,MAX(0,Inputs!$B$43-B2617)-((R2587-1)*(IF(Inputs!$B$38="pvp",15,MAX(0.1,Skills!D8-IF(Skills!E8=TRUE,Inputs!$B$32,0)))*(1-IF(AND(ArtifactsInput!$M$27,Inputs!$B$4="Chapter Hunt"),CHOOSE(ArtifactsInput!$N$27+1,20,24,28,32,36,40),0)/100)))))/Skills!H8,1)))/Inputs!$B$43),G2587*Q2587)+IF(AND(Inputs!$B$38&lt;&gt;"pvp",Inputs!$B$43&gt;0),((Skills!G11*((R2590-1)*IF(Skills!H11&gt;0,Skills!I11/Skills!H11,1)+IF(Skills!H11&gt;0,MIN(Skills!I11,MAX(0,MAX(0,Inputs!$B$43-B2617)-((R2590-1)*(IF(Inputs!$B$38="pvp",15,MAX(0.1,Skills!D11-IF(Skills!E11=TRUE,Inputs!$B$32,0)))*(1-IF(AND(ArtifactsInput!$M$27,Inputs!$B$4="Chapter Hunt"),CHOOSE(ArtifactsInput!$N$27+1,20,24,28,32,36,40),0)/100)))))/Skills!H11,1)))/Inputs!$B$43),G2590*Q2590)))*IF(Inputs!$B$38="pvp",1,(1+(Inputs!$B$21+Skills!Q14+(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4">
      <c r="A2594">
        <f>Skills!A15</f>
        <v/>
      </c>
      <c r="B2594">
        <f>Skills!B15</f>
        <v/>
      </c>
      <c r="C2594">
        <f>Inputs!$B$3&gt;=100</f>
        <v/>
      </c>
      <c r="D2594">
        <f>IF(Skills!C15=1,60+Inputs!$B$25+Inputs!$B$29,IF(Skills!C15=2,90+Inputs!$B$26+Inputs!$B$29,IF(Skills!C15=3,120+Inputs!$B$27+Inputs!$B$29,MAX(0,(Inputs!$B$3-100)*3)+Inputs!$B$28+Inputs!$B$29)))</f>
        <v/>
      </c>
      <c r="E2594">
        <f>INDEX(FactorTable!$B$2:$Y$301, MATCH(ROUND(MIN(300,MAX(1,D2594)),0), FactorTable!$A$2:$A$301,0), Skills!M15+1)</f>
        <v/>
      </c>
      <c r="F2594">
        <f>IF(Skills!N15=TRUE,(Skills!L15/10)*(E2594/1000),Skills!L15/10)+Skills!O15</f>
        <v/>
      </c>
      <c r="G2594" t="inlineStr"/>
      <c r="H2594" t="inlineStr"/>
      <c r="I2594" t="inlineStr">
        <is>
          <t>1</t>
        </is>
      </c>
      <c r="J2594" t="inlineStr"/>
      <c r="K2594" t="inlineStr"/>
      <c r="L2594" t="inlineStr"/>
      <c r="M2594" t="inlineStr"/>
      <c r="N2594" t="inlineStr"/>
      <c r="O2594" t="inlineStr"/>
      <c r="P2594" t="inlineStr"/>
      <c r="Q2594" t="inlineStr"/>
      <c r="R2594" t="inlineStr"/>
      <c r="S2594" t="inlineStr"/>
    </row>
    <row r="2595">
      <c r="A2595">
        <f>Skills!A16</f>
        <v/>
      </c>
      <c r="B2595">
        <f>Skills!B16</f>
        <v/>
      </c>
      <c r="C2595">
        <f>Inputs!$B$3&gt;=120</f>
        <v/>
      </c>
      <c r="D2595">
        <f>IF(Skills!C16=1,60+Inputs!$B$25+Inputs!$B$29,IF(Skills!C16=2,90+Inputs!$B$26+Inputs!$B$29,IF(Skills!C16=3,120+Inputs!$B$27+Inputs!$B$29,MAX(0,(Inputs!$B$3-100)*3)+Inputs!$B$28+Inputs!$B$29)))</f>
        <v/>
      </c>
      <c r="E2595">
        <f>INDEX(FactorTable!$B$2:$Y$301, MATCH(ROUND(MIN(300,MAX(1,D2595)),0), FactorTable!$A$2:$A$301,0), Skills!M16+1)</f>
        <v/>
      </c>
      <c r="F2595">
        <f>IF(Skills!N16=TRUE,(Skills!L16/10)*(E2595/1000),Skills!L16/10)+Skills!O16</f>
        <v/>
      </c>
      <c r="G2595" t="inlineStr"/>
      <c r="H2595" t="inlineStr"/>
      <c r="I2595" t="inlineStr">
        <is>
          <t>1</t>
        </is>
      </c>
      <c r="J2595" t="inlineStr"/>
      <c r="K2595" t="inlineStr"/>
      <c r="L2595" t="inlineStr"/>
      <c r="M2595" t="inlineStr"/>
      <c r="N2595" t="inlineStr"/>
      <c r="O2595" t="inlineStr"/>
      <c r="P2595" t="inlineStr"/>
      <c r="Q2595" t="inlineStr"/>
      <c r="R2595" t="inlineStr"/>
      <c r="S2595" t="inlineStr"/>
    </row>
    <row r="2596">
      <c r="A2596">
        <f>Skills!A17</f>
        <v/>
      </c>
      <c r="B2596">
        <f>Skills!B17</f>
        <v/>
      </c>
      <c r="C2596">
        <f>Inputs!$B$3&gt;=66</f>
        <v/>
      </c>
      <c r="D2596">
        <f>IF(Skills!C17=1,60+Inputs!$B$25+Inputs!$B$29,IF(Skills!C17=2,90+Inputs!$B$26+Inputs!$B$29,IF(Skills!C17=3,120+Inputs!$B$27+Inputs!$B$29,MAX(0,(Inputs!$B$3-100)*3)+Inputs!$B$28+Inputs!$B$29)))</f>
        <v/>
      </c>
      <c r="E2596">
        <f>INDEX(FactorTable!$B$2:$Y$301, MATCH(ROUND(MIN(300,MAX(1,D2596)),0), FactorTable!$A$2:$A$301,0), Skills!M17+1)</f>
        <v/>
      </c>
      <c r="F2596">
        <f>IF(Skills!N17=TRUE,(Skills!L17/10)*(E2596/1000),Skills!L17/10)+Skills!O17</f>
        <v/>
      </c>
      <c r="G2596">
        <f>Skills!G17*IF(Skills!H17&gt;0,Skills!I17/Skills!H17,1)</f>
        <v/>
      </c>
      <c r="H2596">
        <f>1-(1-Skills!J17/100)^Skills!K17</f>
        <v/>
      </c>
      <c r="I2596" t="inlineStr">
        <is>
          <t>1</t>
        </is>
      </c>
      <c r="J2596" t="inlineStr"/>
      <c r="K2596" t="inlineStr"/>
      <c r="L2596" t="inlineStr"/>
      <c r="M2596" t="inlineStr"/>
      <c r="N2596" t="inlineStr"/>
      <c r="O2596">
        <f>(1-Summary!$B$11)*T2596+Summary!$B$11*V2596</f>
        <v/>
      </c>
      <c r="P2596">
        <f>IF(B2620=0,0,O2596/B2620)</f>
        <v/>
      </c>
      <c r="Q2596" t="n">
        <v>0</v>
      </c>
      <c r="R2596" t="n">
        <v>0</v>
      </c>
      <c r="S2596">
        <f>IFERROR(O2596/N2596,0)</f>
        <v/>
      </c>
      <c r="T2596" t="n">
        <v>0</v>
      </c>
      <c r="V2596" t="n">
        <v>0</v>
      </c>
    </row>
    <row r="2597">
      <c r="A2597">
        <f>Skills!A18</f>
        <v/>
      </c>
      <c r="B2597">
        <f>Skills!B18</f>
        <v/>
      </c>
      <c r="C2597">
        <f>Inputs!$B$3&gt;=115</f>
        <v/>
      </c>
      <c r="D2597">
        <f>IF(Skills!C18=1,60+Inputs!$B$25+Inputs!$B$29,IF(Skills!C18=2,90+Inputs!$B$26+Inputs!$B$29,IF(Skills!C18=3,120+Inputs!$B$27+Inputs!$B$29,MAX(0,(Inputs!$B$3-100)*3)+Inputs!$B$28+Inputs!$B$29)))</f>
        <v/>
      </c>
      <c r="E2597">
        <f>INDEX(FactorTable!$B$2:$Y$301, MATCH(ROUND(MIN(300,MAX(1,D2597)),0), FactorTable!$A$2:$A$301,0), Skills!M18+1)</f>
        <v/>
      </c>
      <c r="F2597">
        <f>IF(Skills!N18=TRUE,(Skills!L18/10)*(E2597/1000),Skills!L18/10)+Skills!O18</f>
        <v/>
      </c>
      <c r="G2597">
        <f>Skills!G18*IF(Skills!H18&gt;0,Skills!I18/Skills!H18,1)</f>
        <v/>
      </c>
      <c r="H2597">
        <f>1-(1-Skills!J18/100)^Skills!K18</f>
        <v/>
      </c>
      <c r="I2597" t="inlineStr">
        <is>
          <t>1</t>
        </is>
      </c>
      <c r="J2597" t="inlineStr"/>
      <c r="K2597" t="inlineStr"/>
      <c r="L2597" t="inlineStr"/>
      <c r="M2597" t="inlineStr"/>
      <c r="N2597" t="inlineStr"/>
      <c r="O2597">
        <f>(1-Summary!$B$11)*T2597+Summary!$B$11*V2597</f>
        <v/>
      </c>
      <c r="P2597">
        <f>IF(B2620=0,0,O2597/B2620)</f>
        <v/>
      </c>
      <c r="Q2597">
        <f>IFERROR(1/(IF(Inputs!$B$38="pvp",15,MAX(0.1,Skills!D18-IF(Skills!E18=TRUE,Inputs!$B$32,0)))*(1-IF(AND(ArtifactsInput!$M$27,Inputs!$B$4="Chapter Hunt"),CHOOSE(ArtifactsInput!$N$27+1,20,24,28,32,36,40),0)/100)),0)</f>
        <v/>
      </c>
      <c r="R2597">
        <f>IF(AND(Inputs!$B$38&lt;&gt;"pvp",Inputs!$B$43&gt;0),IF(Inputs!$B$43&lt;=0,0,(INT(Inputs!$B$43/(IF(Inputs!$B$38="pvp",15,MAX(0.1,Skills!D18-IF(Skills!E18=TRUE,Inputs!$B$32,0)))*(1-IF(AND(ArtifactsInput!$M$27,Inputs!$B$4="Chapter Hunt"),CHOOSE(ArtifactsInput!$N$27+1,20,24,28,32,36,40),0)/100)))+1)),0)</f>
        <v/>
      </c>
      <c r="S2597">
        <f>IFERROR(O2597/N2597,0)</f>
        <v/>
      </c>
      <c r="T2597" t="n">
        <v>0</v>
      </c>
      <c r="V2597" t="n">
        <v>0</v>
      </c>
    </row>
    <row r="2598">
      <c r="A2598">
        <f>Skills!A19</f>
        <v/>
      </c>
      <c r="B2598">
        <f>Skills!B19</f>
        <v/>
      </c>
      <c r="C2598">
        <f>Inputs!$B$3&gt;=15</f>
        <v/>
      </c>
      <c r="D2598">
        <f>IF(Skills!C19=1,60+Inputs!$B$25+Inputs!$B$29,IF(Skills!C19=2,90+Inputs!$B$26+Inputs!$B$29,IF(Skills!C19=3,120+Inputs!$B$27+Inputs!$B$29,MAX(0,(Inputs!$B$3-100)*3)+Inputs!$B$28+Inputs!$B$29)))</f>
        <v/>
      </c>
      <c r="E2598">
        <f>INDEX(FactorTable!$B$2:$Y$301, MATCH(ROUND(MIN(300,MAX(1,D2598)),0), FactorTable!$A$2:$A$301,0), Skills!M19+1)</f>
        <v/>
      </c>
      <c r="F2598">
        <f>IF(Skills!N19=TRUE,(Skills!L19/10)*(E2598/1000),Skills!L19/10)+Skills!O19</f>
        <v/>
      </c>
      <c r="G2598">
        <f>Skills!G19*IF(Skills!H19&gt;0,Skills!I19/Skills!H19,1)</f>
        <v/>
      </c>
      <c r="H2598">
        <f>1-(1-Skills!J19/100)^Skills!K19</f>
        <v/>
      </c>
      <c r="I2598" t="inlineStr">
        <is>
          <t>1</t>
        </is>
      </c>
      <c r="J2598" t="inlineStr"/>
      <c r="K2598" t="inlineStr"/>
      <c r="L2598" t="inlineStr"/>
      <c r="M2598" t="inlineStr"/>
      <c r="N2598" t="inlineStr"/>
      <c r="O2598">
        <f>(1-Summary!$B$11)*T2598+Summary!$B$11*V2598</f>
        <v/>
      </c>
      <c r="P2598">
        <f>IF(B2620=0,0,O2598/B2620)</f>
        <v/>
      </c>
      <c r="Q2598" t="n">
        <v>0</v>
      </c>
      <c r="R2598" t="n">
        <v>0</v>
      </c>
      <c r="S2598">
        <f>IFERROR(O2598/N2598,0)</f>
        <v/>
      </c>
      <c r="T2598" t="n">
        <v>0</v>
      </c>
      <c r="V2598" t="n">
        <v>0</v>
      </c>
    </row>
    <row r="2599">
      <c r="A2599">
        <f>Skills!A20</f>
        <v/>
      </c>
      <c r="B2599">
        <f>Skills!B20</f>
        <v/>
      </c>
      <c r="C2599">
        <f>Inputs!$B$3&gt;=10</f>
        <v/>
      </c>
      <c r="D2599">
        <f>IF(Skills!C20=1,60+Inputs!$B$25+Inputs!$B$29,IF(Skills!C20=2,90+Inputs!$B$26+Inputs!$B$29,IF(Skills!C20=3,120+Inputs!$B$27+Inputs!$B$29,MAX(0,(Inputs!$B$3-100)*3)+Inputs!$B$28+Inputs!$B$29)))</f>
        <v/>
      </c>
      <c r="E2599">
        <f>INDEX(FactorTable!$B$2:$Y$301, MATCH(ROUND(MIN(300,MAX(1,D2599)),0), FactorTable!$A$2:$A$301,0), Skills!M20+1)</f>
        <v/>
      </c>
      <c r="F2599">
        <f>IF(Skills!N20=TRUE,(Skills!L20/10)*(E2599/1000),Skills!L20/10)+Skills!O20</f>
        <v/>
      </c>
      <c r="G2599">
        <f>Skills!G20*IF(Skills!H20&gt;0,Skills!I20/Skills!H20,1)</f>
        <v/>
      </c>
      <c r="H2599">
        <f>1-(1-Skills!J20/100)^Skills!K20</f>
        <v/>
      </c>
      <c r="I2599" t="inlineStr">
        <is>
          <t>1</t>
        </is>
      </c>
      <c r="J2599" t="inlineStr"/>
      <c r="K2599" t="inlineStr"/>
      <c r="L2599" t="inlineStr"/>
      <c r="M2599" t="inlineStr"/>
      <c r="N2599" t="inlineStr"/>
      <c r="O2599">
        <f>(1-Summary!$B$11)*T2599+Summary!$B$11*V2599</f>
        <v/>
      </c>
      <c r="P2599">
        <f>IF(B2620=0,0,O2599/B2620)</f>
        <v/>
      </c>
      <c r="Q2599" t="n">
        <v>0</v>
      </c>
      <c r="R2599" t="n">
        <v>0</v>
      </c>
      <c r="S2599">
        <f>IFERROR(O2599/N2599,0)</f>
        <v/>
      </c>
      <c r="T2599" t="n">
        <v>0</v>
      </c>
      <c r="V2599" t="n">
        <v>0</v>
      </c>
    </row>
    <row r="2600">
      <c r="A2600">
        <f>Skills!A21</f>
        <v/>
      </c>
      <c r="B2600">
        <f>Skills!B21</f>
        <v/>
      </c>
      <c r="C2600">
        <f>Inputs!$B$3&gt;=33</f>
        <v/>
      </c>
      <c r="D2600">
        <f>IF(Skills!C21=1,60+Inputs!$B$25+Inputs!$B$29,IF(Skills!C21=2,90+Inputs!$B$26+Inputs!$B$29,IF(Skills!C21=3,120+Inputs!$B$27+Inputs!$B$29,MAX(0,(Inputs!$B$3-100)*3)+Inputs!$B$28+Inputs!$B$29)))</f>
        <v/>
      </c>
      <c r="E2600">
        <f>INDEX(FactorTable!$B$2:$Y$301, MATCH(ROUND(MIN(300,MAX(1,D2600)),0), FactorTable!$A$2:$A$301,0), Skills!M21+1)</f>
        <v/>
      </c>
      <c r="F2600">
        <f>IF(Skills!N21=TRUE,(Skills!L21/10)*(E2600/1000),Skills!L21/10)+Skills!O21</f>
        <v/>
      </c>
      <c r="G2600">
        <f>Skills!G21*IF(Skills!H21&gt;0,Skills!I21/Skills!H21,1)</f>
        <v/>
      </c>
      <c r="H2600">
        <f>1-(1-Skills!J21/100)^Skills!K21</f>
        <v/>
      </c>
      <c r="I2600" t="inlineStr">
        <is>
          <t>1</t>
        </is>
      </c>
      <c r="J2600" t="inlineStr"/>
      <c r="K2600" t="inlineStr"/>
      <c r="L2600" t="inlineStr"/>
      <c r="M2600" t="inlineStr"/>
      <c r="N2600" t="inlineStr"/>
      <c r="O2600">
        <f>(1-Summary!$B$11)*T2600+Summary!$B$11*V2600</f>
        <v/>
      </c>
      <c r="P2600">
        <f>IF(B2620=0,0,O2600/B2620)</f>
        <v/>
      </c>
      <c r="Q2600" t="n">
        <v>0</v>
      </c>
      <c r="R2600" t="n">
        <v>0</v>
      </c>
      <c r="S2600">
        <f>IFERROR(O2600/N2600,0)</f>
        <v/>
      </c>
      <c r="T2600" t="n">
        <v>0</v>
      </c>
      <c r="V2600" t="n">
        <v>0</v>
      </c>
    </row>
    <row r="2601">
      <c r="A2601">
        <f>Skills!A22</f>
        <v/>
      </c>
      <c r="B2601">
        <f>Skills!B22</f>
        <v/>
      </c>
      <c r="C2601">
        <f>Inputs!$B$3&gt;=43</f>
        <v/>
      </c>
      <c r="D2601">
        <f>IF(Skills!C22=1,60+Inputs!$B$25+Inputs!$B$29,IF(Skills!C22=2,90+Inputs!$B$26+Inputs!$B$29,IF(Skills!C22=3,120+Inputs!$B$27+Inputs!$B$29,MAX(0,(Inputs!$B$3-100)*3)+Inputs!$B$28+Inputs!$B$29)))</f>
        <v/>
      </c>
      <c r="E2601">
        <f>INDEX(FactorTable!$B$2:$Y$301, MATCH(ROUND(MIN(300,MAX(1,D2601)),0), FactorTable!$A$2:$A$301,0), Skills!M22+1)</f>
        <v/>
      </c>
      <c r="F2601">
        <f>IF(Skills!N22=TRUE,(Skills!L22/10)*(E2601/1000),Skills!L22/10)+Skills!O22</f>
        <v/>
      </c>
      <c r="G2601">
        <f>Skills!G22*IF(Skills!H22&gt;0,Skills!I22/Skills!H22,1)</f>
        <v/>
      </c>
      <c r="H2601">
        <f>1-(1-Skills!J22/100)^Skills!K22</f>
        <v/>
      </c>
      <c r="I2601" t="inlineStr">
        <is>
          <t>1</t>
        </is>
      </c>
      <c r="J2601" t="inlineStr"/>
      <c r="K2601" t="inlineStr"/>
      <c r="L2601" t="inlineStr"/>
      <c r="M2601" t="inlineStr"/>
      <c r="N2601" t="inlineStr"/>
      <c r="O2601">
        <f>(1-Summary!$B$11)*T2601+Summary!$B$11*V2601</f>
        <v/>
      </c>
      <c r="P2601">
        <f>IF(B2620=0,0,O2601/B2620)</f>
        <v/>
      </c>
      <c r="Q2601" t="n">
        <v>0</v>
      </c>
      <c r="R2601" t="n">
        <v>0</v>
      </c>
      <c r="S2601">
        <f>IFERROR(O2601/N2601,0)</f>
        <v/>
      </c>
      <c r="T2601" t="n">
        <v>0</v>
      </c>
      <c r="V2601" t="n">
        <v>0</v>
      </c>
    </row>
    <row r="2602">
      <c r="A2602">
        <f>Skills!A23</f>
        <v/>
      </c>
      <c r="B2602">
        <f>Skills!B23</f>
        <v/>
      </c>
      <c r="C2602">
        <f>Inputs!$B$3&gt;=38</f>
        <v/>
      </c>
      <c r="D2602">
        <f>IF(Skills!C23=1,60+Inputs!$B$25+Inputs!$B$29,IF(Skills!C23=2,90+Inputs!$B$26+Inputs!$B$29,IF(Skills!C23=3,120+Inputs!$B$27+Inputs!$B$29,MAX(0,(Inputs!$B$3-100)*3)+Inputs!$B$28+Inputs!$B$29)))</f>
        <v/>
      </c>
      <c r="E2602">
        <f>INDEX(FactorTable!$B$2:$Y$301, MATCH(ROUND(MIN(300,MAX(1,D2602)),0), FactorTable!$A$2:$A$301,0), Skills!M23+1)</f>
        <v/>
      </c>
      <c r="F2602">
        <f>IF(Skills!N23=TRUE,(Skills!L23/10)*(E2602/1000),Skills!L23/10)+Skills!O23</f>
        <v/>
      </c>
      <c r="G2602">
        <f>Skills!G23*IF(Skills!H23&gt;0,Skills!I23/Skills!H23,1)</f>
        <v/>
      </c>
      <c r="H2602">
        <f>1-(1-Skills!J23/100)^Skills!K23</f>
        <v/>
      </c>
      <c r="I2602" t="inlineStr">
        <is>
          <t>1</t>
        </is>
      </c>
      <c r="J2602" t="inlineStr"/>
      <c r="K2602" t="inlineStr"/>
      <c r="L2602" t="inlineStr"/>
      <c r="M2602" t="inlineStr"/>
      <c r="N2602" t="inlineStr"/>
      <c r="O2602">
        <f>(1-Summary!$B$11)*T2602+Summary!$B$11*V2602</f>
        <v/>
      </c>
      <c r="P2602">
        <f>IF(B2620=0,0,O2602/B2620)</f>
        <v/>
      </c>
      <c r="Q2602" t="n">
        <v>0</v>
      </c>
      <c r="R2602" t="n">
        <v>0</v>
      </c>
      <c r="S2602">
        <f>IFERROR(O2602/N2602,0)</f>
        <v/>
      </c>
      <c r="T2602" t="n">
        <v>0</v>
      </c>
      <c r="V2602" t="n">
        <v>0</v>
      </c>
    </row>
    <row r="2603">
      <c r="A2603">
        <f>Skills!A24</f>
        <v/>
      </c>
      <c r="B2603">
        <f>Skills!B24</f>
        <v/>
      </c>
      <c r="C2603">
        <f>Inputs!$B$3&gt;=40</f>
        <v/>
      </c>
      <c r="D2603">
        <f>IF(Skills!C24=1,60+Inputs!$B$25+Inputs!$B$29,IF(Skills!C24=2,90+Inputs!$B$26+Inputs!$B$29,IF(Skills!C24=3,120+Inputs!$B$27+Inputs!$B$29,MAX(0,(Inputs!$B$3-100)*3)+Inputs!$B$28+Inputs!$B$29)))</f>
        <v/>
      </c>
      <c r="E2603">
        <f>INDEX(FactorTable!$B$2:$Y$301, MATCH(ROUND(MIN(300,MAX(1,D2603)),0), FactorTable!$A$2:$A$301,0), Skills!M24+1)</f>
        <v/>
      </c>
      <c r="F2603">
        <f>IF(Skills!N24=TRUE,(Skills!L24/10)*(E2603/1000),Skills!L24/10)+Skills!O24</f>
        <v/>
      </c>
      <c r="G2603">
        <f>Skills!G24*IF(Skills!H24&gt;0,Skills!I24/Skills!H24,1)</f>
        <v/>
      </c>
      <c r="H2603">
        <f>1-(1-Skills!J24/100)^Skills!K24</f>
        <v/>
      </c>
      <c r="I2603" t="inlineStr">
        <is>
          <t>1</t>
        </is>
      </c>
      <c r="J2603" t="inlineStr"/>
      <c r="K2603" t="inlineStr"/>
      <c r="L2603" t="inlineStr"/>
      <c r="M2603" t="inlineStr"/>
      <c r="N2603" t="inlineStr"/>
      <c r="O2603">
        <f>(1-Summary!$B$11)*T2603+Summary!$B$11*V2603</f>
        <v/>
      </c>
      <c r="P2603">
        <f>IF(B2620=0,0,O2603/B2620)</f>
        <v/>
      </c>
      <c r="Q2603" t="n">
        <v>0</v>
      </c>
      <c r="R2603" t="n">
        <v>0</v>
      </c>
      <c r="S2603">
        <f>IFERROR(O2603/N2603,0)</f>
        <v/>
      </c>
      <c r="T2603" t="n">
        <v>0</v>
      </c>
      <c r="V2603" t="n">
        <v>0</v>
      </c>
    </row>
    <row r="2604">
      <c r="A2604">
        <f>Skills!A25</f>
        <v/>
      </c>
      <c r="B2604">
        <f>Skills!B25</f>
        <v/>
      </c>
      <c r="C2604">
        <f>Inputs!$B$3&gt;=72</f>
        <v/>
      </c>
      <c r="D2604">
        <f>IF(Skills!C25=1,60+Inputs!$B$25+Inputs!$B$29,IF(Skills!C25=2,90+Inputs!$B$26+Inputs!$B$29,IF(Skills!C25=3,120+Inputs!$B$27+Inputs!$B$29,MAX(0,(Inputs!$B$3-100)*3)+Inputs!$B$28+Inputs!$B$29)))</f>
        <v/>
      </c>
      <c r="E2604">
        <f>INDEX(FactorTable!$B$2:$Y$301, MATCH(ROUND(MIN(300,MAX(1,D2604)),0), FactorTable!$A$2:$A$301,0), Skills!M25+1)</f>
        <v/>
      </c>
      <c r="F2604">
        <f>IF(Skills!N25=TRUE,(Skills!L25/10)*(E2604/1000),Skills!L25/10)+Skills!O25</f>
        <v/>
      </c>
      <c r="G2604">
        <f>Skills!G25*IF(Skills!H25&gt;0,Skills!I25/Skills!H25,1)</f>
        <v/>
      </c>
      <c r="H2604">
        <f>1-(1-Skills!J25/100)^Skills!K25</f>
        <v/>
      </c>
      <c r="I2604" t="inlineStr">
        <is>
          <t>1</t>
        </is>
      </c>
      <c r="J2604" t="inlineStr"/>
      <c r="K2604" t="inlineStr"/>
      <c r="L2604" t="inlineStr"/>
      <c r="M2604" t="inlineStr"/>
      <c r="N2604" t="inlineStr"/>
      <c r="O2604">
        <f>(1-Summary!$B$11)*T2604+Summary!$B$11*V2604</f>
        <v/>
      </c>
      <c r="P2604">
        <f>IF(B2620=0,0,O2604/B2620)</f>
        <v/>
      </c>
      <c r="Q2604" t="n">
        <v>0</v>
      </c>
      <c r="R2604" t="n">
        <v>0</v>
      </c>
      <c r="S2604">
        <f>IFERROR(O2604/N2604,0)</f>
        <v/>
      </c>
      <c r="T2604" t="n">
        <v>0</v>
      </c>
      <c r="V2604" t="n">
        <v>0</v>
      </c>
    </row>
    <row r="2605">
      <c r="A2605">
        <f>Skills!A26</f>
        <v/>
      </c>
      <c r="B2605">
        <f>Skills!B26</f>
        <v/>
      </c>
      <c r="C2605">
        <f>Inputs!$B$3&gt;=75</f>
        <v/>
      </c>
      <c r="D2605">
        <f>IF(Skills!C26=1,60+Inputs!$B$25+Inputs!$B$29,IF(Skills!C26=2,90+Inputs!$B$26+Inputs!$B$29,IF(Skills!C26=3,120+Inputs!$B$27+Inputs!$B$29,MAX(0,(Inputs!$B$3-100)*3)+Inputs!$B$28+Inputs!$B$29)))</f>
        <v/>
      </c>
      <c r="E2605">
        <f>INDEX(FactorTable!$B$2:$Y$301, MATCH(ROUND(MIN(300,MAX(1,D2605)),0), FactorTable!$A$2:$A$301,0), Skills!M26+1)</f>
        <v/>
      </c>
      <c r="F2605">
        <f>IF(Skills!N26=TRUE,(Skills!L26/10)*(E2605/1000),Skills!L26/10)+Skills!O26</f>
        <v/>
      </c>
      <c r="G2605">
        <f>Skills!G26*IF(Skills!H26&gt;0,Skills!I26/Skills!H26,1)</f>
        <v/>
      </c>
      <c r="H2605">
        <f>1-(1-Skills!J26/100)^Skills!K26</f>
        <v/>
      </c>
      <c r="I2605" t="inlineStr">
        <is>
          <t>1</t>
        </is>
      </c>
      <c r="J2605" t="inlineStr"/>
      <c r="K2605" t="inlineStr"/>
      <c r="L2605" t="inlineStr"/>
      <c r="M2605" t="inlineStr"/>
      <c r="N2605" t="inlineStr"/>
      <c r="O2605">
        <f>(1-Summary!$B$11)*T2605+Summary!$B$11*V2605</f>
        <v/>
      </c>
      <c r="P2605">
        <f>IF(B2620=0,0,O2605/B2620)</f>
        <v/>
      </c>
      <c r="Q2605" t="n">
        <v>0</v>
      </c>
      <c r="R2605" t="n">
        <v>0</v>
      </c>
      <c r="S2605">
        <f>IFERROR(O2605/N2605,0)</f>
        <v/>
      </c>
      <c r="T2605" t="n">
        <v>0</v>
      </c>
      <c r="V2605" t="n">
        <v>0</v>
      </c>
    </row>
    <row r="2606">
      <c r="A2606">
        <f>Skills!A27</f>
        <v/>
      </c>
      <c r="B2606">
        <f>Skills!B27</f>
        <v/>
      </c>
      <c r="C2606">
        <f>Inputs!$B$3&gt;=117</f>
        <v/>
      </c>
      <c r="D2606">
        <f>IF(Skills!C27=1,60+Inputs!$B$25+Inputs!$B$29,IF(Skills!C27=2,90+Inputs!$B$26+Inputs!$B$29,IF(Skills!C27=3,120+Inputs!$B$27+Inputs!$B$29,MAX(0,(Inputs!$B$3-100)*3)+Inputs!$B$28+Inputs!$B$29)))</f>
        <v/>
      </c>
      <c r="E2606">
        <f>INDEX(FactorTable!$B$2:$Y$301, MATCH(ROUND(MIN(300,MAX(1,D2606)),0), FactorTable!$A$2:$A$301,0), Skills!M27+1)</f>
        <v/>
      </c>
      <c r="F2606">
        <f>IF(Skills!N27=TRUE,(Skills!L27/10)*(E2606/1000),Skills!L27/10)+Skills!O27</f>
        <v/>
      </c>
      <c r="G2606">
        <f>Skills!G27*IF(Skills!H27&gt;0,Skills!I27/Skills!H27,1)</f>
        <v/>
      </c>
      <c r="H2606">
        <f>1-(1-Skills!J27/100)^Skills!K27</f>
        <v/>
      </c>
      <c r="I2606" t="inlineStr">
        <is>
          <t>1</t>
        </is>
      </c>
      <c r="J2606" t="inlineStr"/>
      <c r="K2606" t="inlineStr"/>
      <c r="L2606" t="inlineStr"/>
      <c r="M2606" t="inlineStr"/>
      <c r="N2606" t="inlineStr"/>
      <c r="O2606">
        <f>(1-Summary!$B$11)*T2606+Summary!$B$11*V2606</f>
        <v/>
      </c>
      <c r="P2606">
        <f>IF(B2620=0,0,O2606/B2620)</f>
        <v/>
      </c>
      <c r="Q2606" t="n">
        <v>0</v>
      </c>
      <c r="R2606" t="n">
        <v>0</v>
      </c>
      <c r="S2606">
        <f>IFERROR(O2606/N2606,0)</f>
        <v/>
      </c>
      <c r="T2606" t="n">
        <v>0</v>
      </c>
      <c r="V2606" t="n">
        <v>0</v>
      </c>
    </row>
    <row r="2607">
      <c r="A2607">
        <f>Skills!A28</f>
        <v/>
      </c>
      <c r="B2607">
        <f>Skills!B28</f>
        <v/>
      </c>
      <c r="C2607">
        <f>TRUE</f>
        <v/>
      </c>
      <c r="D2607">
        <f>IF(Skills!C28=1,60+Inputs!$B$25+Inputs!$B$29,IF(Skills!C28=2,90+Inputs!$B$26+Inputs!$B$29,IF(Skills!C28=3,120+Inputs!$B$27+Inputs!$B$29,MAX(0,(Inputs!$B$3-100)*3)+Inputs!$B$28+Inputs!$B$29)))</f>
        <v/>
      </c>
      <c r="E2607">
        <f>INDEX(FactorTable!$B$2:$Y$301, MATCH(ROUND(MIN(300,MAX(1,D2607)),0), FactorTable!$A$2:$A$301,0), Skills!M28+1)</f>
        <v/>
      </c>
      <c r="F2607">
        <f>IF(Skills!N28=TRUE,(Skills!L28/10)*(E2607/1000),Skills!L28/10)+Skills!O28</f>
        <v/>
      </c>
      <c r="G2607">
        <f>Skills!G28*IF(Skills!H28&gt;0,Skills!I28/Skills!H28,1)</f>
        <v/>
      </c>
      <c r="H2607">
        <f>1-(1-Skills!J28/100)^Skills!K28</f>
        <v/>
      </c>
      <c r="I2607" t="inlineStr">
        <is>
          <t>1</t>
        </is>
      </c>
      <c r="J2607" t="inlineStr"/>
      <c r="K2607" t="inlineStr"/>
      <c r="L2607" t="inlineStr"/>
      <c r="M2607" t="inlineStr"/>
      <c r="N2607" t="inlineStr"/>
      <c r="O2607">
        <f>(1-Summary!$B$11)*T2607+Summary!$B$11*V2607</f>
        <v/>
      </c>
      <c r="P2607">
        <f>IF(B2620=0,0,O2607/B2620)</f>
        <v/>
      </c>
      <c r="Q2607">
        <f>IFERROR(1/(IF(Inputs!$B$38="pvp",15,MAX(0.1,Skills!D28-IF(Skills!E28=TRUE,Inputs!$B$32,0)))*(1-IF(AND(ArtifactsInput!$M$27,Inputs!$B$4="Chapter Hunt"),CHOOSE(ArtifactsInput!$N$27+1,20,24,28,32,36,40),0)/100)),0)</f>
        <v/>
      </c>
      <c r="R2607">
        <f>IF(AND(Inputs!$B$38&lt;&gt;"pvp",Inputs!$B$43&gt;0),IF(Inputs!$B$43&lt;=0,0,(INT(Inputs!$B$43/(IF(Inputs!$B$38="pvp",15,MAX(0.1,Skills!D28-IF(Skills!E28=TRUE,Inputs!$B$32,0)))*(1-IF(AND(ArtifactsInput!$M$27,Inputs!$B$4="Chapter Hunt"),CHOOSE(ArtifactsInput!$N$27+1,20,24,28,32,36,40),0)/100)))+1)),0)</f>
        <v/>
      </c>
      <c r="S2607">
        <f>IFERROR(O2607/N2607,0)</f>
        <v/>
      </c>
      <c r="T2607" t="n">
        <v>0</v>
      </c>
      <c r="V2607" t="n">
        <v>0</v>
      </c>
    </row>
    <row r="2609">
      <c r="A2609" t="inlineStr">
        <is>
          <t>Attack% Bucket Multiplier</t>
        </is>
      </c>
      <c r="B2609">
        <f>(1+(((C2596=TRUE)*F2596*5/7)+((C2603=TRUE)*(F2603-Calc!F24))+(IF(ArtifactsInput!$M$21,CHOOSE(ArtifactsInput!$N$21+1,25,30,35,40,45,50)*(IF(OR(Inputs!$B$4="Chapter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10">
      <c r="A2610" t="inlineStr">
        <is>
          <t>Global Crit Rate Bonus %</t>
        </is>
      </c>
      <c r="B2610" t="n">
        <v>0</v>
      </c>
    </row>
    <row r="2611">
      <c r="A2611" t="inlineStr">
        <is>
          <t>Attack Speed Buff Bonus % (Nimble Feet, duty-cycle averaged)</t>
        </is>
      </c>
      <c r="B2611">
        <f>((C2607=TRUE)*F2607*IF(AND(Inputs!$B$38&lt;&gt;"pvp",Inputs!$B$43&gt;0),(((R2607-1)*(Skills!T28*(1+Inputs!$B$34/100))+MIN((Skills!T28*(1+Inputs!$B$34/100)),MAX(0,Inputs!$B$43-((R2607-1)*Skills!D28))))/Inputs!$B$43),IF(Inputs!$B$38="pvp",MIN((Skills!T28*(1+Inputs!$B$34/100)),15)/15,(Skills!T28*(1+Inputs!$B$34/100))/Skills!D28)))</f>
        <v/>
      </c>
    </row>
    <row r="2612">
      <c r="A2612" t="inlineStr">
        <is>
          <t>Actions Per Second</t>
        </is>
      </c>
      <c r="B2612">
        <f>1+MIN(150,150*(1-(1-(Inputs!$B$11+((C2599=TRUE)*(F2599-Calc!F20))+((C2600=TRUE)*(F2600-Calc!F21)))/150)*(1-B2611/150)))/100</f>
        <v/>
      </c>
    </row>
    <row r="2613">
      <c r="A2613" t="inlineStr">
        <is>
          <t>Skill + Buff Cast Rate</t>
        </is>
      </c>
      <c r="B2613">
        <f>IF(AND(Inputs!$B$38&lt;&gt;"pvp",Inputs!$B$43&gt;0),SUMPRODUCT((Skills!E2:E28=TRUE)*(C2581:C2607=TRUE)*R2581:R2607*Skills!F2:F28)/Inputs!$B$43,SUMPRODUCT((Skills!E2:E28=TRUE)*(C2581:C2607=TRUE)*Q2581:Q2607*Skills!F2:F28))</f>
        <v/>
      </c>
    </row>
    <row r="2614">
      <c r="A2614" t="inlineStr">
        <is>
          <t>Eight-Legs Easton Casts Per Second</t>
        </is>
      </c>
      <c r="B2614">
        <f>MAX(0,B2612-B2613)</f>
        <v/>
      </c>
    </row>
    <row r="2615">
      <c r="A2615" t="inlineStr">
        <is>
          <t>Global Critical Damage Bonus % (unused)</t>
        </is>
      </c>
      <c r="B2615" t="n">
        <v>0</v>
      </c>
    </row>
    <row r="2616">
      <c r="A2616" t="inlineStr">
        <is>
          <t>Global Final Damage Bonus % (Jolly Roger + Ahoy Mateys - Final Damage proc)</t>
        </is>
      </c>
      <c r="B2616">
        <f>((C2597=TRUE)*F2597*IF(AND(Inputs!$B$38&lt;&gt;"pvp",Inputs!$B$43&gt;0),(((R2597-1)*(Skills!T18*(1+Inputs!$B$34/100))+MIN((Skills!T18*(1+Inputs!$B$34/100)),MAX(0,Inputs!$B$43-((R2597-1)*Skills!D18))))/Inputs!$B$43),IF(Inputs!$B$38="pvp",MIN((Skills!T18*(1+Inputs!$B$34/100)),15)/15,(Skills!T18*(1+Inputs!$B$34/100))/Skills!D18)))+IF(Inputs!$B$3&gt;=122,20*IF(Inputs!$B$38="pvp",MIN((20*(1+Inputs!$B$34/100)),15)/15,(20*(1+Inputs!$B$34/100))/Skills!D4),0)</f>
        <v/>
      </c>
    </row>
    <row r="2617">
      <c r="A2617" t="inlineStr">
        <is>
          <t>Buff-Casting Startup Delay (s, fixed-duration only)</t>
        </is>
      </c>
      <c r="B2617">
        <f>IF(AND(Inputs!$B$38&lt;&gt;"pvp",Inputs!$B$43&gt;0),SUMPRODUCT((Skills!T2:T28&gt;0)*(Skills!E2:E28=TRUE)*(C2581:C2607=TRUE))/B2612,0)</f>
        <v/>
      </c>
    </row>
    <row r="2618">
      <c r="A2618" t="inlineStr">
        <is>
          <t>Boss-Only Total DPS (this block's swept value)</t>
        </is>
      </c>
      <c r="B2618">
        <f>SUM(T2581:T2607)</f>
        <v/>
      </c>
    </row>
    <row r="2619">
      <c r="A2619" t="inlineStr">
        <is>
          <t>Normal-Only Total DPS (this block's swept value)</t>
        </is>
      </c>
      <c r="B2619">
        <f>SUM(V2581:V2607)</f>
        <v/>
      </c>
    </row>
    <row r="2620">
      <c r="A2620" s="6" t="inlineStr">
        <is>
          <t>TOTAL DPS</t>
        </is>
      </c>
      <c r="B2620" s="6">
        <f>SUM(O2581:O2607)</f>
        <v/>
      </c>
    </row>
    <row r="2623">
      <c r="A2623" s="6" t="inlineStr">
        <is>
          <t>Stat: Cursed Doll (Equip)</t>
        </is>
      </c>
    </row>
    <row r="2624">
      <c r="A2624" s="5" t="inlineStr">
        <is>
          <t>Key</t>
        </is>
      </c>
      <c r="B2624" s="5" t="inlineStr">
        <is>
          <t>Name</t>
        </is>
      </c>
      <c r="C2624" s="5" t="inlineStr">
        <is>
          <t>Unlocked</t>
        </is>
      </c>
      <c r="D2624" s="5" t="inlineStr">
        <is>
          <t>InputLevel</t>
        </is>
      </c>
      <c r="E2624" s="5" t="inlineStr">
        <is>
          <t>Factor</t>
        </is>
      </c>
      <c r="F2624" s="5" t="inlineStr">
        <is>
          <t>CoefficientPercent</t>
        </is>
      </c>
      <c r="G2624" s="5" t="inlineStr">
        <is>
          <t>EffectiveHits</t>
        </is>
      </c>
      <c r="H2624" s="5" t="inlineStr">
        <is>
          <t>ProcProbability</t>
        </is>
      </c>
      <c r="I2624" s="5" t="inlineStr">
        <is>
          <t>MapleHeroMultiplier</t>
        </is>
      </c>
      <c r="J2624" s="5" t="inlineStr">
        <is>
          <t>BaseDamage</t>
        </is>
      </c>
      <c r="K2624" s="5" t="inlineStr">
        <is>
          <t>BaseHitDamage</t>
        </is>
      </c>
      <c r="L2624" s="5" t="inlineStr">
        <is>
          <t>NonCritAvg</t>
        </is>
      </c>
      <c r="M2624" s="5" t="inlineStr">
        <is>
          <t>CritAvg</t>
        </is>
      </c>
      <c r="N2624" s="5" t="inlineStr">
        <is>
          <t>ExpectedDamage(perHit)</t>
        </is>
      </c>
      <c r="O2624" s="5" t="inlineStr">
        <is>
          <t>DPS</t>
        </is>
      </c>
      <c r="P2624" s="5" t="inlineStr">
        <is>
          <t>% of Total</t>
        </is>
      </c>
      <c r="Q2624" s="5" t="inlineStr">
        <is>
          <t>InvCooldown</t>
        </is>
      </c>
      <c r="R2624" s="5" t="inlineStr">
        <is>
          <t>CastsInFight</t>
        </is>
      </c>
      <c r="S2624" s="5" t="inlineStr">
        <is>
          <t>HitRate(perSec)</t>
        </is>
      </c>
      <c r="U2624" t="inlineStr">
        <is>
          <t>helpers</t>
        </is>
      </c>
    </row>
    <row r="2625">
      <c r="A2625">
        <f>Skills!A2</f>
        <v/>
      </c>
      <c r="B2625">
        <f>Skills!B2</f>
        <v/>
      </c>
      <c r="C2625">
        <f>Inputs!$B$3&gt;=100</f>
        <v/>
      </c>
      <c r="D2625" t="inlineStr"/>
      <c r="E2625" t="inlineStr"/>
      <c r="F2625">
        <f>U2627+Skills!O2</f>
        <v/>
      </c>
      <c r="G2625">
        <f>Skills!G2*IF(Skills!H2&gt;0,Skills!I2/Skills!H2,1)</f>
        <v/>
      </c>
      <c r="H2625">
        <f>1-(1-Skills!J2/100)^Skills!K2</f>
        <v/>
      </c>
      <c r="I2625" t="inlineStr">
        <is>
          <t>1</t>
        </is>
      </c>
      <c r="J2625">
        <f>((Inputs!$B$6*(1+Inputs!$B$7/100))+(((Inputs!$B$12*(1+Inputs!$B$13/100))-(Inputs!$B$12*(1+Inputs!$B$13/100)))+0.25*(Inputs!$B$14-Inputs!$B$14))*(1+Inputs!$B$7/100))*(F2625/100)</f>
        <v/>
      </c>
      <c r="K2625">
        <f>J2625*(1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2625)</f>
        <v/>
      </c>
      <c r="L2625">
        <f>K2625*(MIN(Inputs!$B$22+((C2645=TRUE)*(F2645-Calc!F22)),(Inputs!$B$23+0+(IF(ArtifactsInput!$M$15,CHOOSE(ArtifactsInput!$N$15+1,25,30,35,40,45,50)/100*(Inputs!$B$11-Inputs!$B$11),0))))/100+(Inputs!$B$23+0+(IF(ArtifactsInput!$M$15,CHOOSE(ArtifactsInput!$N$15+1,25,30,35,40,45,50)/100*(Inputs!$B$11-Inputs!$B$11),0)))/100)/2</f>
        <v/>
      </c>
      <c r="M2625">
        <f>L2625*(1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5">
        <f>L2625*(1-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2625*(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5">
        <f>(1-Summary!$B$11)*T2625+Summary!$B$11*V2625</f>
        <v/>
      </c>
      <c r="P2625">
        <f>IF(B2664=0,0,O2625/B2664)</f>
        <v/>
      </c>
      <c r="Q2625" t="n">
        <v>0</v>
      </c>
      <c r="R2625" t="n">
        <v>0</v>
      </c>
      <c r="S2625">
        <f>IFERROR(O2625/N2625,0)</f>
        <v/>
      </c>
      <c r="T2625">
        <f>IF(C2625,(Skills!G2*N2625*B2658)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2625*(1-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2625*(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2625*(1-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2625*(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5">
        <f>MAX(0,(Inputs!$B$3-100)*3)+Inputs!$B$28+Inputs!$B$29</f>
        <v/>
      </c>
      <c r="V2625">
        <f>IF(C2625,(Skills!G2*N2625*B2658)*IF(Inputs!$B$38="pvp",1,(1+(Inputs!$B$21+Skills!Q2+(IF(ArtifactsInput!$M$33,CHOOSE(ArtifactsInput!$N$33+1,30,36,42,48,54,60),0))+(IF(AND(ArtifactsInput!$M$35,Inputs!$B$4&lt;&gt;"Chapter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6">
      <c r="A2626">
        <f>Skills!A3</f>
        <v/>
      </c>
      <c r="B2626">
        <f>Skills!B3</f>
        <v/>
      </c>
      <c r="C2626">
        <f>Inputs!$B$3&gt;=35</f>
        <v/>
      </c>
      <c r="D2626">
        <f>IF(Skills!C3=1,60+Inputs!$B$25+Inputs!$B$29,IF(Skills!C3=2,90+Inputs!$B$26+Inputs!$B$29,IF(Skills!C3=3,120+Inputs!$B$27+Inputs!$B$29,MAX(0,(Inputs!$B$3-100)*3)+Inputs!$B$28+Inputs!$B$29)))</f>
        <v/>
      </c>
      <c r="E2626">
        <f>INDEX(FactorTable!$B$2:$Y$301, MATCH(ROUND(MIN(300,MAX(1,D2626)),0), FactorTable!$A$2:$A$301,0), Skills!M3+1)</f>
        <v/>
      </c>
      <c r="F2626">
        <f>IF(Skills!N3=TRUE,(Skills!L3/10)*(E2626/1000),Skills!L3/10)+Skills!O3</f>
        <v/>
      </c>
      <c r="G2626">
        <f>Skills!G3*IF(Skills!H3&gt;0,Skills!I3/Skills!H3,1)</f>
        <v/>
      </c>
      <c r="H2626">
        <f>1-(1-Skills!J3/100)^Skills!K3</f>
        <v/>
      </c>
      <c r="I2626" t="inlineStr">
        <is>
          <t>1</t>
        </is>
      </c>
      <c r="J2626">
        <f>((Inputs!$B$6*(1+Inputs!$B$7/100))+(((Inputs!$B$12*(1+Inputs!$B$13/100))-(Inputs!$B$12*(1+Inputs!$B$13/100)))+0.25*(Inputs!$B$14-Inputs!$B$14))*(1+Inputs!$B$7/100))*(F2626/100)</f>
        <v/>
      </c>
      <c r="K2626">
        <f>J2626*(1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2638=TRUE,F2638,0)/100)*(1+(IF(Skills!A3="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2626)</f>
        <v/>
      </c>
      <c r="L2626">
        <f>K2626*(MIN(Inputs!$B$22+((C2645=TRUE)*(F2645-Calc!F22)),(Inputs!$B$23+0+(IF(ArtifactsInput!$M$15,CHOOSE(ArtifactsInput!$N$15+1,25,30,35,40,45,50)/100*(Inputs!$B$11-Inputs!$B$11),0))))/100+(Inputs!$B$23+0+(IF(ArtifactsInput!$M$15,CHOOSE(ArtifactsInput!$N$15+1,25,30,35,40,45,50)/100*(Inputs!$B$11-Inputs!$B$11),0)))/100)/2</f>
        <v/>
      </c>
      <c r="M2626">
        <f>L2626*(1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6">
        <f>L2626*(1-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2626*(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6">
        <f>(1-Summary!$B$11)*T2626+Summary!$B$11*V2626</f>
        <v/>
      </c>
      <c r="P2626">
        <f>IF(B2664=0,0,O2626/B2664)</f>
        <v/>
      </c>
      <c r="Q2626">
        <f>IFERROR(1/(IF(Inputs!$B$38="pvp",15,MAX(0.1,Skills!D3-IF(Skills!E3=TRUE,Inputs!$B$32,0)))*(1-IF(AND(ArtifactsInput!$M$27,Inputs!$B$4="Chapter Hunt"),CHOOSE(ArtifactsInput!$N$27+1,20,24,28,32,36,40),0)/100)),0)</f>
        <v/>
      </c>
      <c r="R2626">
        <f>IF(AND(Inputs!$B$38&lt;&gt;"pvp",Inputs!$B$43&gt;0),IF(MAX(0,Inputs!$B$43-B2661)&lt;=0,0,(INT(MAX(0,Inputs!$B$43-B2661)/(IF(Inputs!$B$38="pvp",15,MAX(0.1,Skills!D3-IF(Skills!E3=TRUE,Inputs!$B$32,0)))*(1-IF(AND(ArtifactsInput!$M$27,Inputs!$B$4="Chapter Hunt"),CHOOSE(ArtifactsInput!$N$27+1,20,24,28,32,36,40),0)/100)))+1)),0)</f>
        <v/>
      </c>
      <c r="S2626">
        <f>IFERROR(O2626/N2626,0)</f>
        <v/>
      </c>
      <c r="T2626">
        <f>IF(C2626,(H2626*N2626*IF(AND(Inputs!$B$38&lt;&gt;"pvp",Inputs!$B$43&gt;0),((Skills!G3*((R2626-1)*IF(Skills!H3&gt;0,Skills!I3/Skills!H3,1)+IF(Skills!H3&gt;0,MIN(Skills!I3,MAX(0,MAX(0,Inputs!$B$43-B2661)-((R2626-1)*(IF(Inputs!$B$38="pvp",15,MAX(0.1,Skills!D3-IF(Skills!E3=TRUE,Inputs!$B$32,0)))*(1-IF(AND(ArtifactsInput!$M$27,Inputs!$B$4="Chapter Hunt"),CHOOSE(ArtifactsInput!$N$27+1,20,24,28,32,36,40),0)/100)))))/Skills!H3,1)))/Inputs!$B$43),G2626*Q2626)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2626*(1-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2626*(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2626*(1-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2626*(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6">
        <f>INDEX(FactorTable!$B$2:$Y$301, MATCH(ROUND(MIN(300,MAX(1,U2625)),0), FactorTable!$A$2:$A$301,0), 22)</f>
        <v/>
      </c>
      <c r="V2626">
        <f>IF(C2626,(H2626*N2626*IF(AND(Inputs!$B$38&lt;&gt;"pvp",Inputs!$B$43&gt;0),((Skills!G3*((R2626-1)*IF(Skills!H3&gt;0,Skills!I3/Skills!H3,1)+IF(Skills!H3&gt;0,MIN(Skills!I3,MAX(0,MAX(0,Inputs!$B$43-B2661)-((R2626-1)*(IF(Inputs!$B$38="pvp",15,MAX(0.1,Skills!D3-IF(Skills!E3=TRUE,Inputs!$B$32,0)))*(1-IF(AND(ArtifactsInput!$M$27,Inputs!$B$4="Chapter Hunt"),CHOOSE(ArtifactsInput!$N$27+1,20,24,28,32,36,40),0)/100)))))/Skills!H3,1)))/Inputs!$B$43),G2626*Q2626))*IF(Inputs!$B$38="pvp",1,(1+(Inputs!$B$21+Skills!Q3+(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7">
      <c r="A2627">
        <f>Skills!A4</f>
        <v/>
      </c>
      <c r="B2627">
        <f>Skills!B4</f>
        <v/>
      </c>
      <c r="C2627">
        <f>Inputs!$B$3&gt;=40</f>
        <v/>
      </c>
      <c r="D2627">
        <f>IF(Skills!C4=1,60+Inputs!$B$25+Inputs!$B$29,IF(Skills!C4=2,90+Inputs!$B$26+Inputs!$B$29,IF(Skills!C4=3,120+Inputs!$B$27+Inputs!$B$29,MAX(0,(Inputs!$B$3-100)*3)+Inputs!$B$28+Inputs!$B$29)))</f>
        <v/>
      </c>
      <c r="E2627">
        <f>INDEX(FactorTable!$B$2:$Y$301, MATCH(ROUND(MIN(300,MAX(1,D2627)),0), FactorTable!$A$2:$A$301,0), Skills!M4+1)</f>
        <v/>
      </c>
      <c r="F2627">
        <f>IF(Skills!N4=TRUE,(Skills!L4/10)*(E2627/1000),Skills!L4/10)+Skills!O4</f>
        <v/>
      </c>
      <c r="G2627">
        <f>Skills!G4*IF(Skills!H4&gt;0,Skills!I4/Skills!H4,1)</f>
        <v/>
      </c>
      <c r="H2627">
        <f>1-(1-Skills!J4/100)^Skills!K4</f>
        <v/>
      </c>
      <c r="I2627" t="inlineStr">
        <is>
          <t>1</t>
        </is>
      </c>
      <c r="J2627">
        <f>((Inputs!$B$6*(1+Inputs!$B$7/100))+(((Inputs!$B$12*(1+Inputs!$B$13/100))-(Inputs!$B$12*(1+Inputs!$B$13/100)))+0.25*(Inputs!$B$14-Inputs!$B$14))*(1+Inputs!$B$7/100))*(F2627/100)</f>
        <v/>
      </c>
      <c r="K2627">
        <f>J2627*(1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2639=TRUE,F2639,0)/100)*(1+(IF(Skills!A4="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2627)</f>
        <v/>
      </c>
      <c r="L2627">
        <f>K2627*(MIN(Inputs!$B$22+((C2645=TRUE)*(F2645-Calc!F22)),(Inputs!$B$23+0+(IF(ArtifactsInput!$M$15,CHOOSE(ArtifactsInput!$N$15+1,25,30,35,40,45,50)/100*(Inputs!$B$11-Inputs!$B$11),0))))/100+(Inputs!$B$23+0+(IF(ArtifactsInput!$M$15,CHOOSE(ArtifactsInput!$N$15+1,25,30,35,40,45,50)/100*(Inputs!$B$11-Inputs!$B$11),0)))/100)/2</f>
        <v/>
      </c>
      <c r="M2627">
        <f>L2627*(1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7">
        <f>L2627*(1-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2627*(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7">
        <f>(1-Summary!$B$11)*T2627+Summary!$B$11*V2627</f>
        <v/>
      </c>
      <c r="P2627">
        <f>IF(B2664=0,0,O2627/B2664)</f>
        <v/>
      </c>
      <c r="Q2627">
        <f>IFERROR(1/(IF(Inputs!$B$38="pvp",15,MAX(0.1,Skills!D4-IF(Skills!E4=TRUE,Inputs!$B$32,0)))*(1-IF(AND(ArtifactsInput!$M$27,Inputs!$B$4="Chapter Hunt"),CHOOSE(ArtifactsInput!$N$27+1,20,24,28,32,36,40),0)/100)),0)</f>
        <v/>
      </c>
      <c r="R2627">
        <f>IF(AND(Inputs!$B$38&lt;&gt;"pvp",Inputs!$B$43&gt;0),IF(MAX(0,Inputs!$B$43-B2661)&lt;=0,0,(INT(MAX(0,Inputs!$B$43-B2661)/(IF(Inputs!$B$38="pvp",15,MAX(0.1,Skills!D4-IF(Skills!E4=TRUE,Inputs!$B$32,0)))*(1-IF(AND(ArtifactsInput!$M$27,Inputs!$B$4="Chapter Hunt"),CHOOSE(ArtifactsInput!$N$27+1,20,24,28,32,36,40),0)/100)))+1)),0)</f>
        <v/>
      </c>
      <c r="S2627">
        <f>IFERROR(O2627/N2627,0)</f>
        <v/>
      </c>
      <c r="T2627">
        <f>IF(C2627,(H2627*N2627*IF(AND(Inputs!$B$38&lt;&gt;"pvp",Inputs!$B$43&gt;0),((Skills!G4*((R2627-1)*IF(Skills!H4&gt;0,Skills!I4/Skills!H4,1)+IF(Skills!H4&gt;0,MIN(Skills!I4,MAX(0,MAX(0,Inputs!$B$43-B2661)-((R2627-1)*(IF(Inputs!$B$38="pvp",15,MAX(0.1,Skills!D4-IF(Skills!E4=TRUE,Inputs!$B$32,0)))*(1-IF(AND(ArtifactsInput!$M$27,Inputs!$B$4="Chapter Hunt"),CHOOSE(ArtifactsInput!$N$27+1,20,24,28,32,36,40),0)/100)))))/Skills!H4,1)))/Inputs!$B$43),G2627*Q2627)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2627*(1-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2627*(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2627*(1-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2627*(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7">
        <f>290*U2626/1000</f>
        <v/>
      </c>
      <c r="V2627">
        <f>IF(C2627,(H2627*N2627*IF(AND(Inputs!$B$38&lt;&gt;"pvp",Inputs!$B$43&gt;0),((Skills!G4*((R2627-1)*IF(Skills!H4&gt;0,Skills!I4/Skills!H4,1)+IF(Skills!H4&gt;0,MIN(Skills!I4,MAX(0,MAX(0,Inputs!$B$43-B2661)-((R2627-1)*(IF(Inputs!$B$38="pvp",15,MAX(0.1,Skills!D4-IF(Skills!E4=TRUE,Inputs!$B$32,0)))*(1-IF(AND(ArtifactsInput!$M$27,Inputs!$B$4="Chapter Hunt"),CHOOSE(ArtifactsInput!$N$27+1,20,24,28,32,36,40),0)/100)))))/Skills!H4,1)))/Inputs!$B$43),G2627*Q2627))*IF(Inputs!$B$38="pvp",1,(1+(Inputs!$B$21+Skills!Q4+(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8">
      <c r="A2628">
        <f>Skills!A5</f>
        <v/>
      </c>
      <c r="B2628">
        <f>Skills!B5</f>
        <v/>
      </c>
      <c r="C2628">
        <f>Inputs!$B$3&gt;=45</f>
        <v/>
      </c>
      <c r="D2628">
        <f>IF(Skills!C5=1,60+Inputs!$B$25+Inputs!$B$29,IF(Skills!C5=2,90+Inputs!$B$26+Inputs!$B$29,IF(Skills!C5=3,120+Inputs!$B$27+Inputs!$B$29,MAX(0,(Inputs!$B$3-100)*3)+Inputs!$B$28+Inputs!$B$29)))</f>
        <v/>
      </c>
      <c r="E2628">
        <f>INDEX(FactorTable!$B$2:$Y$301, MATCH(ROUND(MIN(300,MAX(1,D2628)),0), FactorTable!$A$2:$A$301,0), Skills!M5+1)</f>
        <v/>
      </c>
      <c r="F2628">
        <f>IF(Skills!N5=TRUE,(Skills!L5/10)*(E2628/1000),Skills!L5/10)+Skills!O5</f>
        <v/>
      </c>
      <c r="G2628">
        <f>Skills!G5*IF(Skills!H5&gt;0,Skills!I5/Skills!H5,1)</f>
        <v/>
      </c>
      <c r="H2628">
        <f>1-(1-Skills!J5/100)^Skills!K5</f>
        <v/>
      </c>
      <c r="I2628" t="inlineStr">
        <is>
          <t>1</t>
        </is>
      </c>
      <c r="J2628">
        <f>((Inputs!$B$6*(1+Inputs!$B$7/100))+(((Inputs!$B$12*(1+Inputs!$B$13/100))-(Inputs!$B$12*(1+Inputs!$B$13/100)))+0.25*(Inputs!$B$14-Inputs!$B$14))*(1+Inputs!$B$7/100))*(F2628/100)</f>
        <v/>
      </c>
      <c r="K2628">
        <f>J2628*(1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2639=TRUE,F2639,0)/100)*(1+(IF(Skills!A5="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2628)</f>
        <v/>
      </c>
      <c r="L2628">
        <f>K2628*(MIN(Inputs!$B$22+((C2645=TRUE)*(F2645-Calc!F22)),(Inputs!$B$23+0+(IF(ArtifactsInput!$M$15,CHOOSE(ArtifactsInput!$N$15+1,25,30,35,40,45,50)/100*(Inputs!$B$11-Inputs!$B$11),0))))/100+(Inputs!$B$23+0+(IF(ArtifactsInput!$M$15,CHOOSE(ArtifactsInput!$N$15+1,25,30,35,40,45,50)/100*(Inputs!$B$11-Inputs!$B$11),0)))/100)/2</f>
        <v/>
      </c>
      <c r="M2628">
        <f>L2628*(1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8">
        <f>L2628*(1-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2628*(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8">
        <f>(1-Summary!$B$11)*T2628+Summary!$B$11*V2628</f>
        <v/>
      </c>
      <c r="P2628">
        <f>IF(B2664=0,0,O2628/B2664)</f>
        <v/>
      </c>
      <c r="Q2628">
        <f>IFERROR(1/(IF(Inputs!$B$38="pvp",15,MAX(0.1,Skills!D5-IF(Skills!E5=TRUE,Inputs!$B$32,0)))*(1-IF(AND(ArtifactsInput!$M$27,Inputs!$B$4="Chapter Hunt"),CHOOSE(ArtifactsInput!$N$27+1,20,24,28,32,36,40),0)/100)),0)</f>
        <v/>
      </c>
      <c r="R2628">
        <f>IF(AND(Inputs!$B$38&lt;&gt;"pvp",Inputs!$B$43&gt;0),IF(MAX(0,Inputs!$B$43-B2661)&lt;=0,0,(INT(MAX(0,Inputs!$B$43-B2661)/(IF(Inputs!$B$38="pvp",15,MAX(0.1,Skills!D5-IF(Skills!E5=TRUE,Inputs!$B$32,0)))*(1-IF(AND(ArtifactsInput!$M$27,Inputs!$B$4="Chapter Hunt"),CHOOSE(ArtifactsInput!$N$27+1,20,24,28,32,36,40),0)/100)))+1)),0)</f>
        <v/>
      </c>
      <c r="S2628">
        <f>IFERROR(O2628/N2628,0)</f>
        <v/>
      </c>
      <c r="T2628">
        <f>IF(C2628,(H2628*N2628*IF(AND(Inputs!$B$38&lt;&gt;"pvp",Inputs!$B$43&gt;0),((Skills!G5*((R2628-1)*IF(Skills!H5&gt;0,Skills!I5/Skills!H5,1)+IF(Skills!H5&gt;0,MIN(Skills!I5,MAX(0,MAX(0,Inputs!$B$43-B2661)-((R2628-1)*(IF(Inputs!$B$38="pvp",15,MAX(0.1,Skills!D5-IF(Skills!E5=TRUE,Inputs!$B$32,0)))*(1-IF(AND(ArtifactsInput!$M$27,Inputs!$B$4="Chapter Hunt"),CHOOSE(ArtifactsInput!$N$27+1,20,24,28,32,36,40),0)/100)))))/Skills!H5,1)))/Inputs!$B$43),G2628*Q2628)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2628*(1-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2628*(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2628*(1-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2628*(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8">
        <f>IF(C2628,(H2628*N2628*IF(AND(Inputs!$B$38&lt;&gt;"pvp",Inputs!$B$43&gt;0),((Skills!G5*((R2628-1)*IF(Skills!H5&gt;0,Skills!I5/Skills!H5,1)+IF(Skills!H5&gt;0,MIN(Skills!I5,MAX(0,MAX(0,Inputs!$B$43-B2661)-((R2628-1)*(IF(Inputs!$B$38="pvp",15,MAX(0.1,Skills!D5-IF(Skills!E5=TRUE,Inputs!$B$32,0)))*(1-IF(AND(ArtifactsInput!$M$27,Inputs!$B$4="Chapter Hunt"),CHOOSE(ArtifactsInput!$N$27+1,20,24,28,32,36,40),0)/100)))))/Skills!H5,1)))/Inputs!$B$43),G2628*Q2628))*IF(Inputs!$B$38="pvp",1,(1+(Inputs!$B$21+Skills!Q5+(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9">
      <c r="A2629">
        <f>Skills!A6</f>
        <v/>
      </c>
      <c r="B2629">
        <f>Skills!B6</f>
        <v/>
      </c>
      <c r="C2629">
        <f>Inputs!$B$3&gt;=63</f>
        <v/>
      </c>
      <c r="D2629">
        <f>IF(Skills!C6=1,60+Inputs!$B$25+Inputs!$B$29,IF(Skills!C6=2,90+Inputs!$B$26+Inputs!$B$29,IF(Skills!C6=3,120+Inputs!$B$27+Inputs!$B$29,MAX(0,(Inputs!$B$3-100)*3)+Inputs!$B$28+Inputs!$B$29)))</f>
        <v/>
      </c>
      <c r="E2629">
        <f>INDEX(FactorTable!$B$2:$Y$301, MATCH(ROUND(MIN(300,MAX(1,D2629)),0), FactorTable!$A$2:$A$301,0), Skills!M6+1)</f>
        <v/>
      </c>
      <c r="F2629">
        <f>IF(Skills!N6=TRUE,(Skills!L6/10)*(E2629/1000),Skills!L6/10)+Skills!O6</f>
        <v/>
      </c>
      <c r="G2629">
        <f>Skills!G6*IF(Skills!H6&gt;0,Skills!I6/Skills!H6,1)</f>
        <v/>
      </c>
      <c r="H2629">
        <f>1-(1-Skills!J6/100)^Skills!K6</f>
        <v/>
      </c>
      <c r="I2629" t="inlineStr">
        <is>
          <t>1</t>
        </is>
      </c>
      <c r="J2629">
        <f>((Inputs!$B$6*(1+Inputs!$B$7/100))+(((Inputs!$B$12*(1+Inputs!$B$13/100))-(Inputs!$B$12*(1+Inputs!$B$13/100)))+0.25*(Inputs!$B$14-Inputs!$B$14))*(1+Inputs!$B$7/100))*(F2629/100)</f>
        <v/>
      </c>
      <c r="K2629">
        <f>J2629*(1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2638=TRUE,F2638,0)/100)*(1+(IF(Skills!A6="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2629)</f>
        <v/>
      </c>
      <c r="L2629">
        <f>K2629*(MIN(Inputs!$B$22+((C2645=TRUE)*(F2645-Calc!F22)),(Inputs!$B$23+0+(IF(ArtifactsInput!$M$15,CHOOSE(ArtifactsInput!$N$15+1,25,30,35,40,45,50)/100*(Inputs!$B$11-Inputs!$B$11),0))))/100+(Inputs!$B$23+0+(IF(ArtifactsInput!$M$15,CHOOSE(ArtifactsInput!$N$15+1,25,30,35,40,45,50)/100*(Inputs!$B$11-Inputs!$B$11),0)))/100)/2</f>
        <v/>
      </c>
      <c r="M2629">
        <f>L2629*(1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9">
        <f>L2629*(1-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2629*(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9">
        <f>(1-Summary!$B$11)*T2629+Summary!$B$11*V2629</f>
        <v/>
      </c>
      <c r="P2629">
        <f>IF(B2664=0,0,O2629/B2664)</f>
        <v/>
      </c>
      <c r="Q2629">
        <f>IFERROR(1/(IF(Inputs!$B$38="pvp",15,MAX(0.1,Skills!D6-IF(Skills!E6=TRUE,Inputs!$B$32,0)))*(1-IF(AND(ArtifactsInput!$M$27,Inputs!$B$4="Chapter Hunt"),CHOOSE(ArtifactsInput!$N$27+1,20,24,28,32,36,40),0)/100)),0)</f>
        <v/>
      </c>
      <c r="R2629">
        <f>IF(AND(Inputs!$B$38&lt;&gt;"pvp",Inputs!$B$43&gt;0),IF(MAX(0,Inputs!$B$43-B2661)&lt;=0,0,(INT(MAX(0,Inputs!$B$43-B2661)/(IF(Inputs!$B$38="pvp",15,MAX(0.1,Skills!D6-IF(Skills!E6=TRUE,Inputs!$B$32,0)))*(1-IF(AND(ArtifactsInput!$M$27,Inputs!$B$4="Chapter Hunt"),CHOOSE(ArtifactsInput!$N$27+1,20,24,28,32,36,40),0)/100)))+1)),0)</f>
        <v/>
      </c>
      <c r="S2629">
        <f>IFERROR(O2629/N2629,0)</f>
        <v/>
      </c>
      <c r="T2629">
        <f>IF(C2629,(H2629*N2629*IF(AND(Inputs!$B$38&lt;&gt;"pvp",Inputs!$B$43&gt;0),((Skills!G6*((R2629-1)*IF(Skills!H6&gt;0,Skills!I6/Skills!H6,1)+IF(Skills!H6&gt;0,MIN(Skills!I6,MAX(0,MAX(0,Inputs!$B$43-B2661)-((R2629-1)*(IF(Inputs!$B$38="pvp",15,MAX(0.1,Skills!D6-IF(Skills!E6=TRUE,Inputs!$B$32,0)))*(1-IF(AND(ArtifactsInput!$M$27,Inputs!$B$4="Chapter Hunt"),CHOOSE(ArtifactsInput!$N$27+1,20,24,28,32,36,40),0)/100)))))/Skills!H6,1)))/Inputs!$B$43),G2629*Q2629)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2629*(1-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2629*(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2629*(1-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2629*(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9">
        <f>IF(C2629,(H2629*N2629*IF(AND(Inputs!$B$38&lt;&gt;"pvp",Inputs!$B$43&gt;0),((Skills!G6*((R2629-1)*IF(Skills!H6&gt;0,Skills!I6/Skills!H6,1)+IF(Skills!H6&gt;0,MIN(Skills!I6,MAX(0,MAX(0,Inputs!$B$43-B2661)-((R2629-1)*(IF(Inputs!$B$38="pvp",15,MAX(0.1,Skills!D6-IF(Skills!E6=TRUE,Inputs!$B$32,0)))*(1-IF(AND(ArtifactsInput!$M$27,Inputs!$B$4="Chapter Hunt"),CHOOSE(ArtifactsInput!$N$27+1,20,24,28,32,36,40),0)/100)))))/Skills!H6,1)))/Inputs!$B$43),G2629*Q2629))*IF(Inputs!$B$38="pvp",1,(1+(Inputs!$B$21+Skills!Q6+(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0">
      <c r="A2630">
        <f>Skills!A7</f>
        <v/>
      </c>
      <c r="B2630">
        <f>Skills!B7</f>
        <v/>
      </c>
      <c r="C2630">
        <f>Inputs!$B$3&gt;=66</f>
        <v/>
      </c>
      <c r="D2630">
        <f>IF(Skills!C7=1,60+Inputs!$B$25+Inputs!$B$29,IF(Skills!C7=2,90+Inputs!$B$26+Inputs!$B$29,IF(Skills!C7=3,120+Inputs!$B$27+Inputs!$B$29,MAX(0,(Inputs!$B$3-100)*3)+Inputs!$B$28+Inputs!$B$29)))</f>
        <v/>
      </c>
      <c r="E2630">
        <f>INDEX(FactorTable!$B$2:$Y$301, MATCH(ROUND(MIN(300,MAX(1,D2630)),0), FactorTable!$A$2:$A$301,0), Skills!M7+1)</f>
        <v/>
      </c>
      <c r="F2630">
        <f>IF(Skills!N7=TRUE,(Skills!L7/10)*(E2630/1000),Skills!L7/10)+Skills!O7</f>
        <v/>
      </c>
      <c r="G2630">
        <f>Skills!G7*IF(Skills!H7&gt;0,Skills!I7/Skills!H7,1)</f>
        <v/>
      </c>
      <c r="H2630">
        <f>1-(1-Skills!J7/100)^Skills!K7</f>
        <v/>
      </c>
      <c r="I2630" t="inlineStr">
        <is>
          <t>1</t>
        </is>
      </c>
      <c r="J2630">
        <f>((Inputs!$B$6*(1+Inputs!$B$7/100))+(((Inputs!$B$12*(1+Inputs!$B$13/100))-(Inputs!$B$12*(1+Inputs!$B$13/100)))+0.25*(Inputs!$B$14-Inputs!$B$14))*(1+Inputs!$B$7/100))*(F2630/100)</f>
        <v/>
      </c>
      <c r="K2630">
        <f>J2630*(1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2638=TRUE,F2638,0)/100)*(1+(IF(Skills!A7="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2630)</f>
        <v/>
      </c>
      <c r="L2630">
        <f>K2630*(MIN(Inputs!$B$22+((C2645=TRUE)*(F2645-Calc!F22)),(Inputs!$B$23+0+(IF(ArtifactsInput!$M$15,CHOOSE(ArtifactsInput!$N$15+1,25,30,35,40,45,50)/100*(Inputs!$B$11-Inputs!$B$11),0))))/100+(Inputs!$B$23+0+(IF(ArtifactsInput!$M$15,CHOOSE(ArtifactsInput!$N$15+1,25,30,35,40,45,50)/100*(Inputs!$B$11-Inputs!$B$11),0)))/100)/2</f>
        <v/>
      </c>
      <c r="M2630">
        <f>L2630*(1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0">
        <f>L2630*(1-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2630*(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0">
        <f>(1-Summary!$B$11)*T2630+Summary!$B$11*V2630</f>
        <v/>
      </c>
      <c r="P2630">
        <f>IF(B2664=0,0,O2630/B2664)</f>
        <v/>
      </c>
      <c r="Q2630">
        <f>IFERROR(1/(IF(Inputs!$B$38="pvp",15,MAX(0.1,Skills!D7-IF(Skills!E7=TRUE,Inputs!$B$32,0)))*(1-IF(AND(ArtifactsInput!$M$27,Inputs!$B$4="Chapter Hunt"),CHOOSE(ArtifactsInput!$N$27+1,20,24,28,32,36,40),0)/100)),0)</f>
        <v/>
      </c>
      <c r="R2630">
        <f>IF(AND(Inputs!$B$38&lt;&gt;"pvp",Inputs!$B$43&gt;0),IF(MAX(0,Inputs!$B$43-B2661)&lt;=0,0,(INT(MAX(0,Inputs!$B$43-B2661)/(IF(Inputs!$B$38="pvp",15,MAX(0.1,Skills!D7-IF(Skills!E7=TRUE,Inputs!$B$32,0)))*(1-IF(AND(ArtifactsInput!$M$27,Inputs!$B$4="Chapter Hunt"),CHOOSE(ArtifactsInput!$N$27+1,20,24,28,32,36,40),0)/100)))+1)),0)</f>
        <v/>
      </c>
      <c r="S2630">
        <f>IFERROR(O2630/N2630,0)</f>
        <v/>
      </c>
      <c r="T2630">
        <f>IF(C2630,(H2630*N2630*IF(AND(Inputs!$B$38&lt;&gt;"pvp",Inputs!$B$43&gt;0),((Skills!G7*((R2630-1)*IF(Skills!H7&gt;0,Skills!I7/Skills!H7,1)+IF(Skills!H7&gt;0,MIN(Skills!I7,MAX(0,MAX(0,Inputs!$B$43-B2661)-((R2630-1)*(IF(Inputs!$B$38="pvp",15,MAX(0.1,Skills!D7-IF(Skills!E7=TRUE,Inputs!$B$32,0)))*(1-IF(AND(ArtifactsInput!$M$27,Inputs!$B$4="Chapter Hunt"),CHOOSE(ArtifactsInput!$N$27+1,20,24,28,32,36,40),0)/100)))))/Skills!H7,1)))/Inputs!$B$43),G2630*Q2630)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2630*(1-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2630*(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2630*(1-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2630*(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0">
        <f>IF(C2630,(H2630*N2630*IF(AND(Inputs!$B$38&lt;&gt;"pvp",Inputs!$B$43&gt;0),((Skills!G7*((R2630-1)*IF(Skills!H7&gt;0,Skills!I7/Skills!H7,1)+IF(Skills!H7&gt;0,MIN(Skills!I7,MAX(0,MAX(0,Inputs!$B$43-B2661)-((R2630-1)*(IF(Inputs!$B$38="pvp",15,MAX(0.1,Skills!D7-IF(Skills!E7=TRUE,Inputs!$B$32,0)))*(1-IF(AND(ArtifactsInput!$M$27,Inputs!$B$4="Chapter Hunt"),CHOOSE(ArtifactsInput!$N$27+1,20,24,28,32,36,40),0)/100)))))/Skills!H7,1)))/Inputs!$B$43),G2630*Q2630))*IF(Inputs!$B$38="pvp",1,(1+(Inputs!$B$21+Skills!Q7+(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1">
      <c r="A2631">
        <f>Skills!A8</f>
        <v/>
      </c>
      <c r="B2631">
        <f>Skills!B8</f>
        <v/>
      </c>
      <c r="C2631">
        <f>Inputs!$B$3&gt;=100</f>
        <v/>
      </c>
      <c r="D2631">
        <f>IF(Skills!C8=1,60+Inputs!$B$25+Inputs!$B$29,IF(Skills!C8=2,90+Inputs!$B$26+Inputs!$B$29,IF(Skills!C8=3,120+Inputs!$B$27+Inputs!$B$29,MAX(0,(Inputs!$B$3-100)*3)+Inputs!$B$28+Inputs!$B$29)))</f>
        <v/>
      </c>
      <c r="E2631">
        <f>INDEX(FactorTable!$B$2:$Y$301, MATCH(ROUND(MIN(300,MAX(1,D2631)),0), FactorTable!$A$2:$A$301,0), Skills!M8+1)</f>
        <v/>
      </c>
      <c r="F2631">
        <f>IF(Skills!N8=TRUE,(Skills!L8/10)*(E2631/1000),Skills!L8/10)+Skills!O8</f>
        <v/>
      </c>
      <c r="G2631">
        <f>Skills!G8*IF(Skills!H8&gt;0,Skills!I8/Skills!H8,1)</f>
        <v/>
      </c>
      <c r="H2631">
        <f>1-(1-Skills!J8/100)^Skills!K8</f>
        <v/>
      </c>
      <c r="I2631" t="inlineStr">
        <is>
          <t>1</t>
        </is>
      </c>
      <c r="J2631">
        <f>((Inputs!$B$6*(1+Inputs!$B$7/100))+(((Inputs!$B$12*(1+Inputs!$B$13/100))-(Inputs!$B$12*(1+Inputs!$B$13/100)))+0.25*(Inputs!$B$14-Inputs!$B$14))*(1+Inputs!$B$7/100))*(F2631/100)</f>
        <v/>
      </c>
      <c r="K2631">
        <f>J2631*(1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2631)</f>
        <v/>
      </c>
      <c r="L2631">
        <f>K2631*(MIN(Inputs!$B$22+((C2645=TRUE)*(F2645-Calc!F22)),(Inputs!$B$23+0+(IF(ArtifactsInput!$M$15,CHOOSE(ArtifactsInput!$N$15+1,25,30,35,40,45,50)/100*(Inputs!$B$11-Inputs!$B$11),0))))/100+(Inputs!$B$23+0+(IF(ArtifactsInput!$M$15,CHOOSE(ArtifactsInput!$N$15+1,25,30,35,40,45,50)/100*(Inputs!$B$11-Inputs!$B$11),0)))/100)/2</f>
        <v/>
      </c>
      <c r="M2631">
        <f>L2631*(1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1">
        <f>L2631*(1-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1">
        <f>(1-Summary!$B$11)*T2631+Summary!$B$11*V2631</f>
        <v/>
      </c>
      <c r="P2631">
        <f>IF(B2664=0,0,O2631/B2664)</f>
        <v/>
      </c>
      <c r="Q2631">
        <f>IFERROR(1/(IF(Inputs!$B$38="pvp",15,MAX(0.1,Skills!D8-IF(Skills!E8=TRUE,Inputs!$B$32,0)))*(1-IF(AND(ArtifactsInput!$M$27,Inputs!$B$4="Chapter Hunt"),CHOOSE(ArtifactsInput!$N$27+1,20,24,28,32,36,40),0)/100)),0)</f>
        <v/>
      </c>
      <c r="R2631">
        <f>IF(AND(Inputs!$B$38&lt;&gt;"pvp",Inputs!$B$43&gt;0),IF(MAX(0,Inputs!$B$43-B2661)&lt;=0,0,(INT(MAX(0,Inputs!$B$43-B2661)/(IF(Inputs!$B$38="pvp",15,MAX(0.1,Skills!D8-IF(Skills!E8=TRUE,Inputs!$B$32,0)))*(1-IF(AND(ArtifactsInput!$M$27,Inputs!$B$4="Chapter Hunt"),CHOOSE(ArtifactsInput!$N$27+1,20,24,28,32,36,40),0)/100)))+1)),0)</f>
        <v/>
      </c>
      <c r="S2631">
        <f>IFERROR(O2631/N2631,0)</f>
        <v/>
      </c>
      <c r="T2631">
        <f>IF(C2631,(H2631*N2631*IF(AND(Inputs!$B$38&lt;&gt;"pvp",Inputs!$B$43&gt;0),((Skills!G8*((R2631-1)*IF(Skills!H8&gt;0,Skills!I8/Skills!H8,1)+IF(Skills!H8&gt;0,MIN(Skills!I8,MAX(0,MAX(0,Inputs!$B$43-B2661)-((R2631-1)*(IF(Inputs!$B$38="pvp",15,MAX(0.1,Skills!D8-IF(Skills!E8=TRUE,Inputs!$B$32,0)))*(1-IF(AND(ArtifactsInput!$M$27,Inputs!$B$4="Chapter Hunt"),CHOOSE(ArtifactsInput!$N$27+1,20,24,28,32,36,40),0)/100)))))/Skills!H8,1)))/Inputs!$B$43),G2631*Q2631)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2631*(1-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2631*(1-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1">
        <f>IF(C2631,(H2631*N2631*IF(AND(Inputs!$B$38&lt;&gt;"pvp",Inputs!$B$43&gt;0),((Skills!G8*((R2631-1)*IF(Skills!H8&gt;0,Skills!I8/Skills!H8,1)+IF(Skills!H8&gt;0,MIN(Skills!I8,MAX(0,MAX(0,Inputs!$B$43-B2661)-((R2631-1)*(IF(Inputs!$B$38="pvp",15,MAX(0.1,Skills!D8-IF(Skills!E8=TRUE,Inputs!$B$32,0)))*(1-IF(AND(ArtifactsInput!$M$27,Inputs!$B$4="Chapter Hunt"),CHOOSE(ArtifactsInput!$N$27+1,20,24,28,32,36,40),0)/100)))))/Skills!H8,1)))/Inputs!$B$43),G2631*Q2631))*IF(Inputs!$B$38="pvp",1,(1+(Inputs!$B$21+Skills!Q8+(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2">
      <c r="A2632">
        <f>Skills!A9</f>
        <v/>
      </c>
      <c r="B2632">
        <f>Skills!B9</f>
        <v/>
      </c>
      <c r="C2632">
        <f>Inputs!$B$3&gt;=103</f>
        <v/>
      </c>
      <c r="D2632">
        <f>IF(Skills!C9=1,60+Inputs!$B$25+Inputs!$B$29,IF(Skills!C9=2,90+Inputs!$B$26+Inputs!$B$29,IF(Skills!C9=3,120+Inputs!$B$27+Inputs!$B$29,MAX(0,(Inputs!$B$3-100)*3)+Inputs!$B$28+Inputs!$B$29)))</f>
        <v/>
      </c>
      <c r="E2632">
        <f>INDEX(FactorTable!$B$2:$Y$301, MATCH(ROUND(MIN(300,MAX(1,D2632)),0), FactorTable!$A$2:$A$301,0), Skills!M9+1)</f>
        <v/>
      </c>
      <c r="F2632">
        <f>IF(Skills!N9=TRUE,(Skills!L9/10)*(E2632/1000),Skills!L9/10)+Skills!O9</f>
        <v/>
      </c>
      <c r="G2632">
        <f>Skills!G9*IF(Skills!H9&gt;0,Skills!I9/Skills!H9,1)</f>
        <v/>
      </c>
      <c r="H2632">
        <f>1-(1-Skills!J9/100)^Skills!K9</f>
        <v/>
      </c>
      <c r="I2632" t="inlineStr">
        <is>
          <t>1</t>
        </is>
      </c>
      <c r="J2632">
        <f>((Inputs!$B$6*(1+Inputs!$B$7/100))+(((Inputs!$B$12*(1+Inputs!$B$13/100))-(Inputs!$B$12*(1+Inputs!$B$13/100)))+0.25*(Inputs!$B$14-Inputs!$B$14))*(1+Inputs!$B$7/100))*(F2632/100)</f>
        <v/>
      </c>
      <c r="K2632">
        <f>J2632*(1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2632)</f>
        <v/>
      </c>
      <c r="L2632">
        <f>K2632*(MIN(Inputs!$B$22+((C2645=TRUE)*(F2645-Calc!F22)),(Inputs!$B$23+0+(IF(ArtifactsInput!$M$15,CHOOSE(ArtifactsInput!$N$15+1,25,30,35,40,45,50)/100*(Inputs!$B$11-Inputs!$B$11),0))))/100+(Inputs!$B$23+0+(IF(ArtifactsInput!$M$15,CHOOSE(ArtifactsInput!$N$15+1,25,30,35,40,45,50)/100*(Inputs!$B$11-Inputs!$B$11),0)))/100)/2</f>
        <v/>
      </c>
      <c r="M2632">
        <f>L2632*(1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2">
        <f>L2632*(1-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2632*(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2">
        <f>(1-Summary!$B$11)*T2632+Summary!$B$11*V2632</f>
        <v/>
      </c>
      <c r="P2632">
        <f>IF(B2664=0,0,O2632/B2664)</f>
        <v/>
      </c>
      <c r="Q2632">
        <f>IFERROR(1/(IF(Inputs!$B$38="pvp",15,MAX(0.1,Skills!D9-IF(Skills!E9=TRUE,Inputs!$B$32,0)))*(1-IF(AND(ArtifactsInput!$M$27,Inputs!$B$4="Chapter Hunt"),CHOOSE(ArtifactsInput!$N$27+1,20,24,28,32,36,40),0)/100)),0)</f>
        <v/>
      </c>
      <c r="R2632">
        <f>IF(AND(Inputs!$B$38&lt;&gt;"pvp",Inputs!$B$43&gt;0),IF(MAX(0,Inputs!$B$43-B2661)&lt;=0,0,(INT(MAX(0,Inputs!$B$43-B2661)/(IF(Inputs!$B$38="pvp",15,MAX(0.1,Skills!D9-IF(Skills!E9=TRUE,Inputs!$B$32,0)))*(1-IF(AND(ArtifactsInput!$M$27,Inputs!$B$4="Chapter Hunt"),CHOOSE(ArtifactsInput!$N$27+1,20,24,28,32,36,40),0)/100)))+1)),0)</f>
        <v/>
      </c>
      <c r="S2632">
        <f>IFERROR(O2632/N2632,0)</f>
        <v/>
      </c>
      <c r="T2632">
        <f>IF(C2632,(H2632*N2632*IF(AND(Inputs!$B$38&lt;&gt;"pvp",Inputs!$B$43&gt;0),((Skills!G9*((R2632-1)*IF(Skills!H9&gt;0,Skills!I9/Skills!H9,1)+IF(Skills!H9&gt;0,MIN(Skills!I9,MAX(0,MAX(0,Inputs!$B$43-B2661)-((R2632-1)*(IF(Inputs!$B$38="pvp",15,MAX(0.1,Skills!D9-IF(Skills!E9=TRUE,Inputs!$B$32,0)))*(1-IF(AND(ArtifactsInput!$M$27,Inputs!$B$4="Chapter Hunt"),CHOOSE(ArtifactsInput!$N$27+1,20,24,28,32,36,40),0)/100)))))/Skills!H9,1)))/Inputs!$B$43),G2632*Q2632)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2632*(1-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2632*(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2632*(1-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2632*(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2">
        <f>IF(C2632,(H2632*N2632*IF(AND(Inputs!$B$38&lt;&gt;"pvp",Inputs!$B$43&gt;0),((Skills!G9*((R2632-1)*IF(Skills!H9&gt;0,Skills!I9/Skills!H9,1)+IF(Skills!H9&gt;0,MIN(Skills!I9,MAX(0,MAX(0,Inputs!$B$43-B2661)-((R2632-1)*(IF(Inputs!$B$38="pvp",15,MAX(0.1,Skills!D9-IF(Skills!E9=TRUE,Inputs!$B$32,0)))*(1-IF(AND(ArtifactsInput!$M$27,Inputs!$B$4="Chapter Hunt"),CHOOSE(ArtifactsInput!$N$27+1,20,24,28,32,36,40),0)/100)))))/Skills!H9,1)))/Inputs!$B$43),G2632*Q2632))*IF(Inputs!$B$38="pvp",1,(1+(Inputs!$B$21+Skills!Q9+(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3">
      <c r="A2633">
        <f>Skills!A10</f>
        <v/>
      </c>
      <c r="B2633">
        <f>Skills!B10</f>
        <v/>
      </c>
      <c r="C2633">
        <f>Inputs!$B$3&gt;=113</f>
        <v/>
      </c>
      <c r="D2633">
        <f>IF(Skills!C10=1,60+Inputs!$B$25+Inputs!$B$29,IF(Skills!C10=2,90+Inputs!$B$26+Inputs!$B$29,IF(Skills!C10=3,120+Inputs!$B$27+Inputs!$B$29,MAX(0,(Inputs!$B$3-100)*3)+Inputs!$B$28+Inputs!$B$29)))</f>
        <v/>
      </c>
      <c r="E2633">
        <f>INDEX(FactorTable!$B$2:$Y$301, MATCH(ROUND(MIN(300,MAX(1,D2633)),0), FactorTable!$A$2:$A$301,0), Skills!M10+1)</f>
        <v/>
      </c>
      <c r="F2633">
        <f>IF(Skills!N10=TRUE,(Skills!L10/10)*(E2633/1000),Skills!L10/10)+Skills!O10</f>
        <v/>
      </c>
      <c r="G2633">
        <f>Skills!G10*IF(Skills!H10&gt;0,Skills!I10/Skills!H10,1)</f>
        <v/>
      </c>
      <c r="H2633">
        <f>1-(1-Skills!J10/100)^Skills!K10</f>
        <v/>
      </c>
      <c r="I2633" t="inlineStr">
        <is>
          <t>1</t>
        </is>
      </c>
      <c r="J2633">
        <f>((Inputs!$B$6*(1+Inputs!$B$7/100))+(((Inputs!$B$12*(1+Inputs!$B$13/100))-(Inputs!$B$12*(1+Inputs!$B$13/100)))+0.25*(Inputs!$B$14-Inputs!$B$14))*(1+Inputs!$B$7/100))*(F2633/100)</f>
        <v/>
      </c>
      <c r="K2633">
        <f>J2633*(1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2633)</f>
        <v/>
      </c>
      <c r="L2633">
        <f>K2633*(MIN(Inputs!$B$22+((C2645=TRUE)*(F2645-Calc!F22)),(Inputs!$B$23+0+(IF(ArtifactsInput!$M$15,CHOOSE(ArtifactsInput!$N$15+1,25,30,35,40,45,50)/100*(Inputs!$B$11-Inputs!$B$11),0))))/100+(Inputs!$B$23+0+(IF(ArtifactsInput!$M$15,CHOOSE(ArtifactsInput!$N$15+1,25,30,35,40,45,50)/100*(Inputs!$B$11-Inputs!$B$11),0)))/100)/2</f>
        <v/>
      </c>
      <c r="M2633">
        <f>L2633*(1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3">
        <f>L2633*(1-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2633*(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3">
        <f>(1-Summary!$B$11)*T2633+Summary!$B$11*V2633</f>
        <v/>
      </c>
      <c r="P2633">
        <f>IF(B2664=0,0,O2633/B2664)</f>
        <v/>
      </c>
      <c r="Q2633">
        <f>IFERROR(1/(IF(Inputs!$B$38="pvp",15,MAX(0.1,Skills!D10-IF(Skills!E10=TRUE,Inputs!$B$32,0)))*(1-IF(AND(ArtifactsInput!$M$27,Inputs!$B$4="Chapter Hunt"),CHOOSE(ArtifactsInput!$N$27+1,20,24,28,32,36,40),0)/100)),0)</f>
        <v/>
      </c>
      <c r="R2633">
        <f>IF(AND(Inputs!$B$38&lt;&gt;"pvp",Inputs!$B$43&gt;0),IF(MAX(0,Inputs!$B$43-B2661)&lt;=0,0,(INT(MAX(0,Inputs!$B$43-B2661)/(IF(Inputs!$B$38="pvp",15,MAX(0.1,Skills!D10-IF(Skills!E10=TRUE,Inputs!$B$32,0)))*(1-IF(AND(ArtifactsInput!$M$27,Inputs!$B$4="Chapter Hunt"),CHOOSE(ArtifactsInput!$N$27+1,20,24,28,32,36,40),0)/100)))+1)),0)</f>
        <v/>
      </c>
      <c r="S2633">
        <f>IFERROR(O2633/N2633,0)</f>
        <v/>
      </c>
      <c r="T2633">
        <f>IF(C2633,(H2633*N2633*IF(AND(Inputs!$B$38&lt;&gt;"pvp",Inputs!$B$43&gt;0),((Skills!G10*((R2633-1)*IF(Skills!H10&gt;0,Skills!I10/Skills!H10,1)+IF(Skills!H10&gt;0,MIN(Skills!I10,MAX(0,MAX(0,Inputs!$B$43-B2661)-((R2633-1)*(IF(Inputs!$B$38="pvp",15,MAX(0.1,Skills!D10-IF(Skills!E10=TRUE,Inputs!$B$32,0)))*(1-IF(AND(ArtifactsInput!$M$27,Inputs!$B$4="Chapter Hunt"),CHOOSE(ArtifactsInput!$N$27+1,20,24,28,32,36,40),0)/100)))))/Skills!H10,1)))/Inputs!$B$43),G2633*Q2633)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2633*(1-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2633*(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2633*(1-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2633*(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3">
        <f>IF(C2633,(H2633*N2633*IF(AND(Inputs!$B$38&lt;&gt;"pvp",Inputs!$B$43&gt;0),((Skills!G10*((R2633-1)*IF(Skills!H10&gt;0,Skills!I10/Skills!H10,1)+IF(Skills!H10&gt;0,MIN(Skills!I10,MAX(0,MAX(0,Inputs!$B$43-B2661)-((R2633-1)*(IF(Inputs!$B$38="pvp",15,MAX(0.1,Skills!D10-IF(Skills!E10=TRUE,Inputs!$B$32,0)))*(1-IF(AND(ArtifactsInput!$M$27,Inputs!$B$4="Chapter Hunt"),CHOOSE(ArtifactsInput!$N$27+1,20,24,28,32,36,40),0)/100)))))/Skills!H10,1)))/Inputs!$B$43),G2633*Q2633))*IF(Inputs!$B$38="pvp",1,(1+(Inputs!$B$21+Skills!Q10+(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4">
      <c r="A2634">
        <f>Skills!A11</f>
        <v/>
      </c>
      <c r="B2634">
        <f>Skills!B11</f>
        <v/>
      </c>
      <c r="C2634">
        <f>Inputs!$B$3&gt;=107</f>
        <v/>
      </c>
      <c r="D2634">
        <f>IF(Skills!C11=1,60+Inputs!$B$25+Inputs!$B$29,IF(Skills!C11=2,90+Inputs!$B$26+Inputs!$B$29,IF(Skills!C11=3,120+Inputs!$B$27+Inputs!$B$29,MAX(0,(Inputs!$B$3-100)*3)+Inputs!$B$28+Inputs!$B$29)))</f>
        <v/>
      </c>
      <c r="E2634">
        <f>INDEX(FactorTable!$B$2:$Y$301, MATCH(ROUND(MIN(300,MAX(1,D2634)),0), FactorTable!$A$2:$A$301,0), Skills!M11+1)</f>
        <v/>
      </c>
      <c r="F2634">
        <f>IF(Skills!N11=TRUE,(Skills!L11/10)*(E2634/1000),Skills!L11/10)+Skills!O11</f>
        <v/>
      </c>
      <c r="G2634">
        <f>Skills!G11*IF(Skills!H11&gt;0,Skills!I11/Skills!H11,1)</f>
        <v/>
      </c>
      <c r="H2634">
        <f>1-(1-Skills!J11/100)^Skills!K11</f>
        <v/>
      </c>
      <c r="I2634" t="inlineStr">
        <is>
          <t>1</t>
        </is>
      </c>
      <c r="J2634">
        <f>((Inputs!$B$6*(1+Inputs!$B$7/100))+(((Inputs!$B$12*(1+Inputs!$B$13/100))-(Inputs!$B$12*(1+Inputs!$B$13/100)))+0.25*(Inputs!$B$14-Inputs!$B$14))*(1+Inputs!$B$7/100))*(F2634/100)</f>
        <v/>
      </c>
      <c r="K2634">
        <f>J2634*(1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2634)</f>
        <v/>
      </c>
      <c r="L2634">
        <f>K2634*(MIN(Inputs!$B$22+((C2645=TRUE)*(F2645-Calc!F22)),(Inputs!$B$23+0+(IF(ArtifactsInput!$M$15,CHOOSE(ArtifactsInput!$N$15+1,25,30,35,40,45,50)/100*(Inputs!$B$11-Inputs!$B$11),0))))/100+(Inputs!$B$23+0+(IF(ArtifactsInput!$M$15,CHOOSE(ArtifactsInput!$N$15+1,25,30,35,40,45,50)/100*(Inputs!$B$11-Inputs!$B$11),0)))/100)/2</f>
        <v/>
      </c>
      <c r="M2634">
        <f>L2634*(1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4">
        <f>L2634*(1-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2634*(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4">
        <f>(1-Summary!$B$11)*T2634+Summary!$B$11*V2634</f>
        <v/>
      </c>
      <c r="P2634">
        <f>IF(B2664=0,0,O2634/B2664)</f>
        <v/>
      </c>
      <c r="Q2634">
        <f>IFERROR(1/(IF(Inputs!$B$38="pvp",15,MAX(0.1,Skills!D11-IF(Skills!E11=TRUE,Inputs!$B$32,0)))*(1-IF(AND(ArtifactsInput!$M$27,Inputs!$B$4="Chapter Hunt"),CHOOSE(ArtifactsInput!$N$27+1,20,24,28,32,36,40),0)/100)),0)</f>
        <v/>
      </c>
      <c r="R2634">
        <f>IF(AND(Inputs!$B$38&lt;&gt;"pvp",Inputs!$B$43&gt;0),IF(MAX(0,Inputs!$B$43-B2661)&lt;=0,0,(INT(MAX(0,Inputs!$B$43-B2661)/(IF(Inputs!$B$38="pvp",15,MAX(0.1,Skills!D11-IF(Skills!E11=TRUE,Inputs!$B$32,0)))*(1-IF(AND(ArtifactsInput!$M$27,Inputs!$B$4="Chapter Hunt"),CHOOSE(ArtifactsInput!$N$27+1,20,24,28,32,36,40),0)/100)))+1)),0)</f>
        <v/>
      </c>
      <c r="S2634">
        <f>IFERROR(O2634/N2634,0)</f>
        <v/>
      </c>
      <c r="T2634">
        <f>IF(C2634,(H2634*N2634*IF(AND(Inputs!$B$38&lt;&gt;"pvp",Inputs!$B$43&gt;0),((Skills!G11*((R2634-1)*IF(Skills!H11&gt;0,Skills!I11/Skills!H11,1)+IF(Skills!H11&gt;0,MIN(Skills!I11,MAX(0,MAX(0,Inputs!$B$43-B2661)-((R2634-1)*(IF(Inputs!$B$38="pvp",15,MAX(0.1,Skills!D11-IF(Skills!E11=TRUE,Inputs!$B$32,0)))*(1-IF(AND(ArtifactsInput!$M$27,Inputs!$B$4="Chapter Hunt"),CHOOSE(ArtifactsInput!$N$27+1,20,24,28,32,36,40),0)/100)))))/Skills!H11,1)))/Inputs!$B$43),G2634*Q2634)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2634*(1-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2634*(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2634*(1-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2634*(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4">
        <f>IF(C2634,(H2634*N2634*IF(AND(Inputs!$B$38&lt;&gt;"pvp",Inputs!$B$43&gt;0),((Skills!G11*((R2634-1)*IF(Skills!H11&gt;0,Skills!I11/Skills!H11,1)+IF(Skills!H11&gt;0,MIN(Skills!I11,MAX(0,MAX(0,Inputs!$B$43-B2661)-((R2634-1)*(IF(Inputs!$B$38="pvp",15,MAX(0.1,Skills!D11-IF(Skills!E11=TRUE,Inputs!$B$32,0)))*(1-IF(AND(ArtifactsInput!$M$27,Inputs!$B$4="Chapter Hunt"),CHOOSE(ArtifactsInput!$N$27+1,20,24,28,32,36,40),0)/100)))))/Skills!H11,1)))/Inputs!$B$43),G2634*Q2634))*IF(Inputs!$B$38="pvp",1,(1+(Inputs!$B$21+Skills!Q11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5">
      <c r="A2635">
        <f>Skills!A12</f>
        <v/>
      </c>
      <c r="B2635">
        <f>Skills!B12</f>
        <v/>
      </c>
      <c r="C2635">
        <f>Inputs!$B$3&gt;=110</f>
        <v/>
      </c>
      <c r="D2635">
        <f>IF(Skills!C12=1,60+Inputs!$B$25+Inputs!$B$29,IF(Skills!C12=2,90+Inputs!$B$26+Inputs!$B$29,IF(Skills!C12=3,120+Inputs!$B$27+Inputs!$B$29,MAX(0,(Inputs!$B$3-100)*3)+Inputs!$B$28+Inputs!$B$29)))</f>
        <v/>
      </c>
      <c r="E2635">
        <f>INDEX(FactorTable!$B$2:$Y$301, MATCH(ROUND(MIN(300,MAX(1,D2635)),0), FactorTable!$A$2:$A$301,0), Skills!M12+1)</f>
        <v/>
      </c>
      <c r="F2635">
        <f>IF(Skills!N12=TRUE,(Skills!L12/10)*(E2635/1000),Skills!L12/10)+Skills!O12</f>
        <v/>
      </c>
      <c r="G2635">
        <f>Skills!G12*IF(Skills!H12&gt;0,Skills!I12/Skills!H12,1)</f>
        <v/>
      </c>
      <c r="H2635">
        <f>1-(1-Skills!J12/100)^Skills!K12</f>
        <v/>
      </c>
      <c r="I2635" t="inlineStr">
        <is>
          <t>1</t>
        </is>
      </c>
      <c r="J2635">
        <f>((Inputs!$B$6*(1+Inputs!$B$7/100))+(((Inputs!$B$12*(1+Inputs!$B$13/100))-(Inputs!$B$12*(1+Inputs!$B$13/100)))+0.25*(Inputs!$B$14-Inputs!$B$14))*(1+Inputs!$B$7/100))*(F2635/100)</f>
        <v/>
      </c>
      <c r="K2635">
        <f>J2635*(1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2635)</f>
        <v/>
      </c>
      <c r="L2635">
        <f>K2635*(MIN(Inputs!$B$22+((C2645=TRUE)*(F2645-Calc!F22)),(Inputs!$B$23+0+(IF(ArtifactsInput!$M$15,CHOOSE(ArtifactsInput!$N$15+1,25,30,35,40,45,50)/100*(Inputs!$B$11-Inputs!$B$11),0))))/100+(Inputs!$B$23+0+(IF(ArtifactsInput!$M$15,CHOOSE(ArtifactsInput!$N$15+1,25,30,35,40,45,50)/100*(Inputs!$B$11-Inputs!$B$11),0)))/100)/2</f>
        <v/>
      </c>
      <c r="M2635">
        <f>L2635*(1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5">
        <f>L2635*(1-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2635*(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5">
        <f>(1-Summary!$B$11)*T2635+Summary!$B$11*V2635</f>
        <v/>
      </c>
      <c r="P2635">
        <f>IF(B2664=0,0,O2635/B2664)</f>
        <v/>
      </c>
      <c r="Q2635">
        <f>IFERROR(1/(IF(Inputs!$B$38="pvp",15,MAX(0.1,Skills!D12-IF(Skills!E12=TRUE,Inputs!$B$32,0)))*(1-IF(AND(ArtifactsInput!$M$27,Inputs!$B$4="Chapter Hunt"),CHOOSE(ArtifactsInput!$N$27+1,20,24,28,32,36,40),0)/100)),0)</f>
        <v/>
      </c>
      <c r="R2635">
        <f>IF(AND(Inputs!$B$38&lt;&gt;"pvp",Inputs!$B$43&gt;0),IF(MAX(0,Inputs!$B$43-B2661)&lt;=0,0,(INT(MAX(0,Inputs!$B$43-B2661)/(IF(Inputs!$B$38="pvp",15,MAX(0.1,Skills!D12-IF(Skills!E12=TRUE,Inputs!$B$32,0)))*(1-IF(AND(ArtifactsInput!$M$27,Inputs!$B$4="Chapter Hunt"),CHOOSE(ArtifactsInput!$N$27+1,20,24,28,32,36,40),0)/100)))+1)),0)</f>
        <v/>
      </c>
      <c r="S2635">
        <f>IFERROR(O2635/N2635,0)</f>
        <v/>
      </c>
      <c r="T2635">
        <f>IF(C2635,(H2635*N2635*IF(AND(Inputs!$B$38&lt;&gt;"pvp",Inputs!$B$43&gt;0),((Skills!G12*((R2635-1)*IF(Skills!H12&gt;0,Skills!I12/Skills!H12,1)+IF(Skills!H12&gt;0,MIN(Skills!I12,MAX(0,MAX(0,Inputs!$B$43-B2661)-((R2635-1)*(IF(Inputs!$B$38="pvp",15,MAX(0.1,Skills!D12-IF(Skills!E12=TRUE,Inputs!$B$32,0)))*(1-IF(AND(ArtifactsInput!$M$27,Inputs!$B$4="Chapter Hunt"),CHOOSE(ArtifactsInput!$N$27+1,20,24,28,32,36,40),0)/100)))))/Skills!H12,1)))/Inputs!$B$43),G2635*Q2635)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2635*(1-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2635*(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2635*(1-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2635*(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5">
        <f>IF(C2635,(H2635*N2635*IF(AND(Inputs!$B$38&lt;&gt;"pvp",Inputs!$B$43&gt;0),((Skills!G12*((R2635-1)*IF(Skills!H12&gt;0,Skills!I12/Skills!H12,1)+IF(Skills!H12&gt;0,MIN(Skills!I12,MAX(0,MAX(0,Inputs!$B$43-B2661)-((R2635-1)*(IF(Inputs!$B$38="pvp",15,MAX(0.1,Skills!D12-IF(Skills!E12=TRUE,Inputs!$B$32,0)))*(1-IF(AND(ArtifactsInput!$M$27,Inputs!$B$4="Chapter Hunt"),CHOOSE(ArtifactsInput!$N$27+1,20,24,28,32,36,40),0)/100)))))/Skills!H12,1)))/Inputs!$B$43),G2635*Q2635))*IF(Inputs!$B$38="pvp",1,(1+(Inputs!$B$21+Skills!Q12+(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6">
      <c r="A2636">
        <f>Skills!A13</f>
        <v/>
      </c>
      <c r="B2636">
        <f>Skills!B13</f>
        <v/>
      </c>
      <c r="C2636">
        <f>Inputs!$B$3&gt;=110</f>
        <v/>
      </c>
      <c r="D2636">
        <f>IF(Skills!C13=1,60+Inputs!$B$25+Inputs!$B$29,IF(Skills!C13=2,90+Inputs!$B$26+Inputs!$B$29,IF(Skills!C13=3,120+Inputs!$B$27+Inputs!$B$29,MAX(0,(Inputs!$B$3-100)*3)+Inputs!$B$28+Inputs!$B$29)))</f>
        <v/>
      </c>
      <c r="E2636">
        <f>INDEX(FactorTable!$B$2:$Y$301, MATCH(ROUND(MIN(300,MAX(1,D2636)),0), FactorTable!$A$2:$A$301,0), Skills!M13+1)</f>
        <v/>
      </c>
      <c r="F2636">
        <f>IF(Skills!N13=TRUE,(Skills!L13/10)*(E2636/1000),Skills!L13/10)+Skills!O13</f>
        <v/>
      </c>
      <c r="G2636">
        <f>Skills!G13*IF(Skills!H13&gt;0,Skills!I13/Skills!H13,1)</f>
        <v/>
      </c>
      <c r="H2636">
        <f>1-(1-Skills!J13/100)^Skills!K13</f>
        <v/>
      </c>
      <c r="I2636" t="inlineStr">
        <is>
          <t>1</t>
        </is>
      </c>
      <c r="J2636">
        <f>((Inputs!$B$6*(1+Inputs!$B$7/100))+(((Inputs!$B$12*(1+Inputs!$B$13/100))-(Inputs!$B$12*(1+Inputs!$B$13/100)))+0.25*(Inputs!$B$14-Inputs!$B$14))*(1+Inputs!$B$7/100))*(F2636/100)</f>
        <v/>
      </c>
      <c r="K2636">
        <f>J2636*(1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2636)</f>
        <v/>
      </c>
      <c r="L2636">
        <f>K2636*(MIN(Inputs!$B$22+((C2645=TRUE)*(F2645-Calc!F22)),(Inputs!$B$23+0+(IF(ArtifactsInput!$M$15,CHOOSE(ArtifactsInput!$N$15+1,25,30,35,40,45,50)/100*(Inputs!$B$11-Inputs!$B$11),0))))/100+(Inputs!$B$23+0+(IF(ArtifactsInput!$M$15,CHOOSE(ArtifactsInput!$N$15+1,25,30,35,40,45,50)/100*(Inputs!$B$11-Inputs!$B$11),0)))/100)/2</f>
        <v/>
      </c>
      <c r="M2636">
        <f>L2636*(1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6">
        <f>L2636*(1-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2636*(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6">
        <f>(1-Summary!$B$11)*T2636+Summary!$B$11*V2636</f>
        <v/>
      </c>
      <c r="P2636">
        <f>IF(B2664=0,0,O2636/B2664)</f>
        <v/>
      </c>
      <c r="Q2636">
        <f>IFERROR(1/(IF(Inputs!$B$38="pvp",15,MAX(0.1,Skills!D13-IF(Skills!E13=TRUE,Inputs!$B$32,0)))*(1-IF(AND(ArtifactsInput!$M$27,Inputs!$B$4="Chapter Hunt"),CHOOSE(ArtifactsInput!$N$27+1,20,24,28,32,36,40),0)/100)),0)</f>
        <v/>
      </c>
      <c r="R2636">
        <f>IF(AND(Inputs!$B$38&lt;&gt;"pvp",Inputs!$B$43&gt;0),IF(MAX(0,Inputs!$B$43-B2661)&lt;=0,0,(INT(MAX(0,Inputs!$B$43-B2661)/(IF(Inputs!$B$38="pvp",15,MAX(0.1,Skills!D13-IF(Skills!E13=TRUE,Inputs!$B$32,0)))*(1-IF(AND(ArtifactsInput!$M$27,Inputs!$B$4="Chapter Hunt"),CHOOSE(ArtifactsInput!$N$27+1,20,24,28,32,36,40),0)/100)))+1)),0)</f>
        <v/>
      </c>
      <c r="S2636">
        <f>IFERROR(O2636/N2636,0)</f>
        <v/>
      </c>
      <c r="T2636">
        <f>IF(C2636,(H2636*N2636*IF(AND(Inputs!$B$38&lt;&gt;"pvp",Inputs!$B$43&gt;0),((Skills!G13*((R2636-1)*IF(Skills!H13&gt;0,Skills!I13/Skills!H13,1)+IF(Skills!H13&gt;0,MIN(Skills!I13,MAX(0,MAX(0,Inputs!$B$43-B2661)-((R2636-1)*(IF(Inputs!$B$38="pvp",15,MAX(0.1,Skills!D13-IF(Skills!E13=TRUE,Inputs!$B$32,0)))*(1-IF(AND(ArtifactsInput!$M$27,Inputs!$B$4="Chapter Hunt"),CHOOSE(ArtifactsInput!$N$27+1,20,24,28,32,36,40),0)/100)))))/Skills!H13,1)))/Inputs!$B$43),G2636*Q2636)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2636*(1-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2636*(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2636*(1-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2636*(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6">
        <f>IF(C2636,(H2636*N2636*IF(AND(Inputs!$B$38&lt;&gt;"pvp",Inputs!$B$43&gt;0),((Skills!G13*((R2636-1)*IF(Skills!H13&gt;0,Skills!I13/Skills!H13,1)+IF(Skills!H13&gt;0,MIN(Skills!I13,MAX(0,MAX(0,Inputs!$B$43-B2661)-((R2636-1)*(IF(Inputs!$B$38="pvp",15,MAX(0.1,Skills!D13-IF(Skills!E13=TRUE,Inputs!$B$32,0)))*(1-IF(AND(ArtifactsInput!$M$27,Inputs!$B$4="Chapter Hunt"),CHOOSE(ArtifactsInput!$N$27+1,20,24,28,32,36,40),0)/100)))))/Skills!H13,1)))/Inputs!$B$43),G2636*Q2636))*IF(Inputs!$B$38="pvp",1,(1+(Inputs!$B$21+Skills!Q13+(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7">
      <c r="A2637">
        <f>Skills!A14</f>
        <v/>
      </c>
      <c r="B2637">
        <f>Skills!B14</f>
        <v/>
      </c>
      <c r="C2637">
        <f>Inputs!$B$3&gt;=125</f>
        <v/>
      </c>
      <c r="D2637">
        <f>IF(Skills!C14=1,60+Inputs!$B$25+Inputs!$B$29,IF(Skills!C14=2,90+Inputs!$B$26+Inputs!$B$29,IF(Skills!C14=3,120+Inputs!$B$27+Inputs!$B$29,MAX(0,(Inputs!$B$3-100)*3)+Inputs!$B$28+Inputs!$B$29)))</f>
        <v/>
      </c>
      <c r="E2637">
        <f>INDEX(FactorTable!$B$2:$Y$301, MATCH(ROUND(MIN(300,MAX(1,D2637)),0), FactorTable!$A$2:$A$301,0), Skills!M14+1)</f>
        <v/>
      </c>
      <c r="F2637">
        <f>IF(Skills!N14=TRUE,(Skills!L14/10)*(E2637/1000),Skills!L14/10)+Skills!O14</f>
        <v/>
      </c>
      <c r="G2637">
        <f>Skills!G14*IF(Skills!H14&gt;0,Skills!I14/Skills!H14,1)</f>
        <v/>
      </c>
      <c r="H2637">
        <f>1-(1-Skills!J14/100)^Skills!K14</f>
        <v/>
      </c>
      <c r="I2637" t="inlineStr">
        <is>
          <t>1</t>
        </is>
      </c>
      <c r="J2637">
        <f>((Inputs!$B$6*(1+Inputs!$B$7/100))+(((Inputs!$B$12*(1+Inputs!$B$13/100))-(Inputs!$B$12*(1+Inputs!$B$13/100)))+0.25*(Inputs!$B$14-Inputs!$B$14))*(1+Inputs!$B$7/100))*(F2637/100)</f>
        <v/>
      </c>
      <c r="K2637">
        <f>J2637*(1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2637)</f>
        <v/>
      </c>
      <c r="L2637">
        <f>K2637*(MIN(Inputs!$B$22+((C2645=TRUE)*(F2645-Calc!F22)),(Inputs!$B$23+0+(IF(ArtifactsInput!$M$15,CHOOSE(ArtifactsInput!$N$15+1,25,30,35,40,45,50)/100*(Inputs!$B$11-Inputs!$B$11),0))))/100+(Inputs!$B$23+0+(IF(ArtifactsInput!$M$15,CHOOSE(ArtifactsInput!$N$15+1,25,30,35,40,45,50)/100*(Inputs!$B$11-Inputs!$B$11),0)))/100)/2</f>
        <v/>
      </c>
      <c r="M2637">
        <f>L2637*(1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7">
        <f>L2637*(1-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2637*(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7">
        <f>(1-Summary!$B$11)*T2637+Summary!$B$11*V2637</f>
        <v/>
      </c>
      <c r="P2637">
        <f>IF(B2664=0,0,O2637/B2664)</f>
        <v/>
      </c>
      <c r="Q2637" t="n">
        <v>0</v>
      </c>
      <c r="R2637" t="n">
        <v>0</v>
      </c>
      <c r="S2637">
        <f>IFERROR(O2637/N2637,0)</f>
        <v/>
      </c>
      <c r="T2637">
        <f>IF(C2637,(H2637*N2637*(B2658+IF(AND(Inputs!$B$38&lt;&gt;"pvp",Inputs!$B$43&gt;0),((Skills!G8*((R2631-1)*IF(Skills!H8&gt;0,Skills!I8/Skills!H8,1)+IF(Skills!H8&gt;0,MIN(Skills!I8,MAX(0,MAX(0,Inputs!$B$43-B2661)-((R2631-1)*(IF(Inputs!$B$38="pvp",15,MAX(0.1,Skills!D8-IF(Skills!E8=TRUE,Inputs!$B$32,0)))*(1-IF(AND(ArtifactsInput!$M$27,Inputs!$B$4="Chapter Hunt"),CHOOSE(ArtifactsInput!$N$27+1,20,24,28,32,36,40),0)/100)))))/Skills!H8,1)))/Inputs!$B$43),G2631*Q2631)+IF(AND(Inputs!$B$38&lt;&gt;"pvp",Inputs!$B$43&gt;0),((Skills!G11*((R2634-1)*IF(Skills!H11&gt;0,Skills!I11/Skills!H11,1)+IF(Skills!H11&gt;0,MIN(Skills!I11,MAX(0,MAX(0,Inputs!$B$43-B2661)-((R2634-1)*(IF(Inputs!$B$38="pvp",15,MAX(0.1,Skills!D11-IF(Skills!E11=TRUE,Inputs!$B$32,0)))*(1-IF(AND(ArtifactsInput!$M$27,Inputs!$B$4="Chapter Hunt"),CHOOSE(ArtifactsInput!$N$27+1,20,24,28,32,36,40),0)/100)))))/Skills!H11,1)))/Inputs!$B$43),G2634*Q2634)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2637*(1-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2637*(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2637*(1-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2637*(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7">
        <f>IF(C2637,(H2637*N2637*(B2658+IF(AND(Inputs!$B$38&lt;&gt;"pvp",Inputs!$B$43&gt;0),((Skills!G8*((R2631-1)*IF(Skills!H8&gt;0,Skills!I8/Skills!H8,1)+IF(Skills!H8&gt;0,MIN(Skills!I8,MAX(0,MAX(0,Inputs!$B$43-B2661)-((R2631-1)*(IF(Inputs!$B$38="pvp",15,MAX(0.1,Skills!D8-IF(Skills!E8=TRUE,Inputs!$B$32,0)))*(1-IF(AND(ArtifactsInput!$M$27,Inputs!$B$4="Chapter Hunt"),CHOOSE(ArtifactsInput!$N$27+1,20,24,28,32,36,40),0)/100)))))/Skills!H8,1)))/Inputs!$B$43),G2631*Q2631)+IF(AND(Inputs!$B$38&lt;&gt;"pvp",Inputs!$B$43&gt;0),((Skills!G11*((R2634-1)*IF(Skills!H11&gt;0,Skills!I11/Skills!H11,1)+IF(Skills!H11&gt;0,MIN(Skills!I11,MAX(0,MAX(0,Inputs!$B$43-B2661)-((R2634-1)*(IF(Inputs!$B$38="pvp",15,MAX(0.1,Skills!D11-IF(Skills!E11=TRUE,Inputs!$B$32,0)))*(1-IF(AND(ArtifactsInput!$M$27,Inputs!$B$4="Chapter Hunt"),CHOOSE(ArtifactsInput!$N$27+1,20,24,28,32,36,40),0)/100)))))/Skills!H11,1)))/Inputs!$B$43),G2634*Q2634)))*IF(Inputs!$B$38="pvp",1,(1+(Inputs!$B$21+Skills!Q14+(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8">
      <c r="A2638">
        <f>Skills!A15</f>
        <v/>
      </c>
      <c r="B2638">
        <f>Skills!B15</f>
        <v/>
      </c>
      <c r="C2638">
        <f>Inputs!$B$3&gt;=100</f>
        <v/>
      </c>
      <c r="D2638">
        <f>IF(Skills!C15=1,60+Inputs!$B$25+Inputs!$B$29,IF(Skills!C15=2,90+Inputs!$B$26+Inputs!$B$29,IF(Skills!C15=3,120+Inputs!$B$27+Inputs!$B$29,MAX(0,(Inputs!$B$3-100)*3)+Inputs!$B$28+Inputs!$B$29)))</f>
        <v/>
      </c>
      <c r="E2638">
        <f>INDEX(FactorTable!$B$2:$Y$301, MATCH(ROUND(MIN(300,MAX(1,D2638)),0), FactorTable!$A$2:$A$301,0), Skills!M15+1)</f>
        <v/>
      </c>
      <c r="F2638">
        <f>IF(Skills!N15=TRUE,(Skills!L15/10)*(E2638/1000),Skills!L15/10)+Skills!O15</f>
        <v/>
      </c>
      <c r="G2638" t="inlineStr"/>
      <c r="H2638" t="inlineStr"/>
      <c r="I2638" t="inlineStr">
        <is>
          <t>1</t>
        </is>
      </c>
      <c r="J2638" t="inlineStr"/>
      <c r="K2638" t="inlineStr"/>
      <c r="L2638" t="inlineStr"/>
      <c r="M2638" t="inlineStr"/>
      <c r="N2638" t="inlineStr"/>
      <c r="O2638" t="inlineStr"/>
      <c r="P2638" t="inlineStr"/>
      <c r="Q2638" t="inlineStr"/>
      <c r="R2638" t="inlineStr"/>
      <c r="S2638" t="inlineStr"/>
    </row>
    <row r="2639">
      <c r="A2639">
        <f>Skills!A16</f>
        <v/>
      </c>
      <c r="B2639">
        <f>Skills!B16</f>
        <v/>
      </c>
      <c r="C2639">
        <f>Inputs!$B$3&gt;=120</f>
        <v/>
      </c>
      <c r="D2639">
        <f>IF(Skills!C16=1,60+Inputs!$B$25+Inputs!$B$29,IF(Skills!C16=2,90+Inputs!$B$26+Inputs!$B$29,IF(Skills!C16=3,120+Inputs!$B$27+Inputs!$B$29,MAX(0,(Inputs!$B$3-100)*3)+Inputs!$B$28+Inputs!$B$29)))</f>
        <v/>
      </c>
      <c r="E2639">
        <f>INDEX(FactorTable!$B$2:$Y$301, MATCH(ROUND(MIN(300,MAX(1,D2639)),0), FactorTable!$A$2:$A$301,0), Skills!M16+1)</f>
        <v/>
      </c>
      <c r="F2639">
        <f>IF(Skills!N16=TRUE,(Skills!L16/10)*(E2639/1000),Skills!L16/10)+Skills!O16</f>
        <v/>
      </c>
      <c r="G2639" t="inlineStr"/>
      <c r="H2639" t="inlineStr"/>
      <c r="I2639" t="inlineStr">
        <is>
          <t>1</t>
        </is>
      </c>
      <c r="J2639" t="inlineStr"/>
      <c r="K2639" t="inlineStr"/>
      <c r="L2639" t="inlineStr"/>
      <c r="M2639" t="inlineStr"/>
      <c r="N2639" t="inlineStr"/>
      <c r="O2639" t="inlineStr"/>
      <c r="P2639" t="inlineStr"/>
      <c r="Q2639" t="inlineStr"/>
      <c r="R2639" t="inlineStr"/>
      <c r="S2639" t="inlineStr"/>
    </row>
    <row r="2640">
      <c r="A2640">
        <f>Skills!A17</f>
        <v/>
      </c>
      <c r="B2640">
        <f>Skills!B17</f>
        <v/>
      </c>
      <c r="C2640">
        <f>Inputs!$B$3&gt;=66</f>
        <v/>
      </c>
      <c r="D2640">
        <f>IF(Skills!C17=1,60+Inputs!$B$25+Inputs!$B$29,IF(Skills!C17=2,90+Inputs!$B$26+Inputs!$B$29,IF(Skills!C17=3,120+Inputs!$B$27+Inputs!$B$29,MAX(0,(Inputs!$B$3-100)*3)+Inputs!$B$28+Inputs!$B$29)))</f>
        <v/>
      </c>
      <c r="E2640">
        <f>INDEX(FactorTable!$B$2:$Y$301, MATCH(ROUND(MIN(300,MAX(1,D2640)),0), FactorTable!$A$2:$A$301,0), Skills!M17+1)</f>
        <v/>
      </c>
      <c r="F2640">
        <f>IF(Skills!N17=TRUE,(Skills!L17/10)*(E2640/1000),Skills!L17/10)+Skills!O17</f>
        <v/>
      </c>
      <c r="G2640">
        <f>Skills!G17*IF(Skills!H17&gt;0,Skills!I17/Skills!H17,1)</f>
        <v/>
      </c>
      <c r="H2640">
        <f>1-(1-Skills!J17/100)^Skills!K17</f>
        <v/>
      </c>
      <c r="I2640" t="inlineStr">
        <is>
          <t>1</t>
        </is>
      </c>
      <c r="J2640" t="inlineStr"/>
      <c r="K2640" t="inlineStr"/>
      <c r="L2640" t="inlineStr"/>
      <c r="M2640" t="inlineStr"/>
      <c r="N2640" t="inlineStr"/>
      <c r="O2640">
        <f>(1-Summary!$B$11)*T2640+Summary!$B$11*V2640</f>
        <v/>
      </c>
      <c r="P2640">
        <f>IF(B2664=0,0,O2640/B2664)</f>
        <v/>
      </c>
      <c r="Q2640" t="n">
        <v>0</v>
      </c>
      <c r="R2640" t="n">
        <v>0</v>
      </c>
      <c r="S2640">
        <f>IFERROR(O2640/N2640,0)</f>
        <v/>
      </c>
      <c r="T2640" t="n">
        <v>0</v>
      </c>
      <c r="V2640" t="n">
        <v>0</v>
      </c>
    </row>
    <row r="2641">
      <c r="A2641">
        <f>Skills!A18</f>
        <v/>
      </c>
      <c r="B2641">
        <f>Skills!B18</f>
        <v/>
      </c>
      <c r="C2641">
        <f>Inputs!$B$3&gt;=115</f>
        <v/>
      </c>
      <c r="D2641">
        <f>IF(Skills!C18=1,60+Inputs!$B$25+Inputs!$B$29,IF(Skills!C18=2,90+Inputs!$B$26+Inputs!$B$29,IF(Skills!C18=3,120+Inputs!$B$27+Inputs!$B$29,MAX(0,(Inputs!$B$3-100)*3)+Inputs!$B$28+Inputs!$B$29)))</f>
        <v/>
      </c>
      <c r="E2641">
        <f>INDEX(FactorTable!$B$2:$Y$301, MATCH(ROUND(MIN(300,MAX(1,D2641)),0), FactorTable!$A$2:$A$301,0), Skills!M18+1)</f>
        <v/>
      </c>
      <c r="F2641">
        <f>IF(Skills!N18=TRUE,(Skills!L18/10)*(E2641/1000),Skills!L18/10)+Skills!O18</f>
        <v/>
      </c>
      <c r="G2641">
        <f>Skills!G18*IF(Skills!H18&gt;0,Skills!I18/Skills!H18,1)</f>
        <v/>
      </c>
      <c r="H2641">
        <f>1-(1-Skills!J18/100)^Skills!K18</f>
        <v/>
      </c>
      <c r="I2641" t="inlineStr">
        <is>
          <t>1</t>
        </is>
      </c>
      <c r="J2641" t="inlineStr"/>
      <c r="K2641" t="inlineStr"/>
      <c r="L2641" t="inlineStr"/>
      <c r="M2641" t="inlineStr"/>
      <c r="N2641" t="inlineStr"/>
      <c r="O2641">
        <f>(1-Summary!$B$11)*T2641+Summary!$B$11*V2641</f>
        <v/>
      </c>
      <c r="P2641">
        <f>IF(B2664=0,0,O2641/B2664)</f>
        <v/>
      </c>
      <c r="Q2641">
        <f>IFERROR(1/(IF(Inputs!$B$38="pvp",15,MAX(0.1,Skills!D18-IF(Skills!E18=TRUE,Inputs!$B$32,0)))*(1-IF(AND(ArtifactsInput!$M$27,Inputs!$B$4="Chapter Hunt"),CHOOSE(ArtifactsInput!$N$27+1,20,24,28,32,36,40),0)/100)),0)</f>
        <v/>
      </c>
      <c r="R2641">
        <f>IF(AND(Inputs!$B$38&lt;&gt;"pvp",Inputs!$B$43&gt;0),IF(Inputs!$B$43&lt;=0,0,(INT(Inputs!$B$43/(IF(Inputs!$B$38="pvp",15,MAX(0.1,Skills!D18-IF(Skills!E18=TRUE,Inputs!$B$32,0)))*(1-IF(AND(ArtifactsInput!$M$27,Inputs!$B$4="Chapter Hunt"),CHOOSE(ArtifactsInput!$N$27+1,20,24,28,32,36,40),0)/100)))+1)),0)</f>
        <v/>
      </c>
      <c r="S2641">
        <f>IFERROR(O2641/N2641,0)</f>
        <v/>
      </c>
      <c r="T2641" t="n">
        <v>0</v>
      </c>
      <c r="V2641" t="n">
        <v>0</v>
      </c>
    </row>
    <row r="2642">
      <c r="A2642">
        <f>Skills!A19</f>
        <v/>
      </c>
      <c r="B2642">
        <f>Skills!B19</f>
        <v/>
      </c>
      <c r="C2642">
        <f>Inputs!$B$3&gt;=15</f>
        <v/>
      </c>
      <c r="D2642">
        <f>IF(Skills!C19=1,60+Inputs!$B$25+Inputs!$B$29,IF(Skills!C19=2,90+Inputs!$B$26+Inputs!$B$29,IF(Skills!C19=3,120+Inputs!$B$27+Inputs!$B$29,MAX(0,(Inputs!$B$3-100)*3)+Inputs!$B$28+Inputs!$B$29)))</f>
        <v/>
      </c>
      <c r="E2642">
        <f>INDEX(FactorTable!$B$2:$Y$301, MATCH(ROUND(MIN(300,MAX(1,D2642)),0), FactorTable!$A$2:$A$301,0), Skills!M19+1)</f>
        <v/>
      </c>
      <c r="F2642">
        <f>IF(Skills!N19=TRUE,(Skills!L19/10)*(E2642/1000),Skills!L19/10)+Skills!O19</f>
        <v/>
      </c>
      <c r="G2642">
        <f>Skills!G19*IF(Skills!H19&gt;0,Skills!I19/Skills!H19,1)</f>
        <v/>
      </c>
      <c r="H2642">
        <f>1-(1-Skills!J19/100)^Skills!K19</f>
        <v/>
      </c>
      <c r="I2642" t="inlineStr">
        <is>
          <t>1</t>
        </is>
      </c>
      <c r="J2642" t="inlineStr"/>
      <c r="K2642" t="inlineStr"/>
      <c r="L2642" t="inlineStr"/>
      <c r="M2642" t="inlineStr"/>
      <c r="N2642" t="inlineStr"/>
      <c r="O2642">
        <f>(1-Summary!$B$11)*T2642+Summary!$B$11*V2642</f>
        <v/>
      </c>
      <c r="P2642">
        <f>IF(B2664=0,0,O2642/B2664)</f>
        <v/>
      </c>
      <c r="Q2642" t="n">
        <v>0</v>
      </c>
      <c r="R2642" t="n">
        <v>0</v>
      </c>
      <c r="S2642">
        <f>IFERROR(O2642/N2642,0)</f>
        <v/>
      </c>
      <c r="T2642" t="n">
        <v>0</v>
      </c>
      <c r="V2642" t="n">
        <v>0</v>
      </c>
    </row>
    <row r="2643">
      <c r="A2643">
        <f>Skills!A20</f>
        <v/>
      </c>
      <c r="B2643">
        <f>Skills!B20</f>
        <v/>
      </c>
      <c r="C2643">
        <f>Inputs!$B$3&gt;=10</f>
        <v/>
      </c>
      <c r="D2643">
        <f>IF(Skills!C20=1,60+Inputs!$B$25+Inputs!$B$29,IF(Skills!C20=2,90+Inputs!$B$26+Inputs!$B$29,IF(Skills!C20=3,120+Inputs!$B$27+Inputs!$B$29,MAX(0,(Inputs!$B$3-100)*3)+Inputs!$B$28+Inputs!$B$29)))</f>
        <v/>
      </c>
      <c r="E2643">
        <f>INDEX(FactorTable!$B$2:$Y$301, MATCH(ROUND(MIN(300,MAX(1,D2643)),0), FactorTable!$A$2:$A$301,0), Skills!M20+1)</f>
        <v/>
      </c>
      <c r="F2643">
        <f>IF(Skills!N20=TRUE,(Skills!L20/10)*(E2643/1000),Skills!L20/10)+Skills!O20</f>
        <v/>
      </c>
      <c r="G2643">
        <f>Skills!G20*IF(Skills!H20&gt;0,Skills!I20/Skills!H20,1)</f>
        <v/>
      </c>
      <c r="H2643">
        <f>1-(1-Skills!J20/100)^Skills!K20</f>
        <v/>
      </c>
      <c r="I2643" t="inlineStr">
        <is>
          <t>1</t>
        </is>
      </c>
      <c r="J2643" t="inlineStr"/>
      <c r="K2643" t="inlineStr"/>
      <c r="L2643" t="inlineStr"/>
      <c r="M2643" t="inlineStr"/>
      <c r="N2643" t="inlineStr"/>
      <c r="O2643">
        <f>(1-Summary!$B$11)*T2643+Summary!$B$11*V2643</f>
        <v/>
      </c>
      <c r="P2643">
        <f>IF(B2664=0,0,O2643/B2664)</f>
        <v/>
      </c>
      <c r="Q2643" t="n">
        <v>0</v>
      </c>
      <c r="R2643" t="n">
        <v>0</v>
      </c>
      <c r="S2643">
        <f>IFERROR(O2643/N2643,0)</f>
        <v/>
      </c>
      <c r="T2643" t="n">
        <v>0</v>
      </c>
      <c r="V2643" t="n">
        <v>0</v>
      </c>
    </row>
    <row r="2644">
      <c r="A2644">
        <f>Skills!A21</f>
        <v/>
      </c>
      <c r="B2644">
        <f>Skills!B21</f>
        <v/>
      </c>
      <c r="C2644">
        <f>Inputs!$B$3&gt;=33</f>
        <v/>
      </c>
      <c r="D2644">
        <f>IF(Skills!C21=1,60+Inputs!$B$25+Inputs!$B$29,IF(Skills!C21=2,90+Inputs!$B$26+Inputs!$B$29,IF(Skills!C21=3,120+Inputs!$B$27+Inputs!$B$29,MAX(0,(Inputs!$B$3-100)*3)+Inputs!$B$28+Inputs!$B$29)))</f>
        <v/>
      </c>
      <c r="E2644">
        <f>INDEX(FactorTable!$B$2:$Y$301, MATCH(ROUND(MIN(300,MAX(1,D2644)),0), FactorTable!$A$2:$A$301,0), Skills!M21+1)</f>
        <v/>
      </c>
      <c r="F2644">
        <f>IF(Skills!N21=TRUE,(Skills!L21/10)*(E2644/1000),Skills!L21/10)+Skills!O21</f>
        <v/>
      </c>
      <c r="G2644">
        <f>Skills!G21*IF(Skills!H21&gt;0,Skills!I21/Skills!H21,1)</f>
        <v/>
      </c>
      <c r="H2644">
        <f>1-(1-Skills!J21/100)^Skills!K21</f>
        <v/>
      </c>
      <c r="I2644" t="inlineStr">
        <is>
          <t>1</t>
        </is>
      </c>
      <c r="J2644" t="inlineStr"/>
      <c r="K2644" t="inlineStr"/>
      <c r="L2644" t="inlineStr"/>
      <c r="M2644" t="inlineStr"/>
      <c r="N2644" t="inlineStr"/>
      <c r="O2644">
        <f>(1-Summary!$B$11)*T2644+Summary!$B$11*V2644</f>
        <v/>
      </c>
      <c r="P2644">
        <f>IF(B2664=0,0,O2644/B2664)</f>
        <v/>
      </c>
      <c r="Q2644" t="n">
        <v>0</v>
      </c>
      <c r="R2644" t="n">
        <v>0</v>
      </c>
      <c r="S2644">
        <f>IFERROR(O2644/N2644,0)</f>
        <v/>
      </c>
      <c r="T2644" t="n">
        <v>0</v>
      </c>
      <c r="V2644" t="n">
        <v>0</v>
      </c>
    </row>
    <row r="2645">
      <c r="A2645">
        <f>Skills!A22</f>
        <v/>
      </c>
      <c r="B2645">
        <f>Skills!B22</f>
        <v/>
      </c>
      <c r="C2645">
        <f>Inputs!$B$3&gt;=43</f>
        <v/>
      </c>
      <c r="D2645">
        <f>IF(Skills!C22=1,60+Inputs!$B$25+Inputs!$B$29,IF(Skills!C22=2,90+Inputs!$B$26+Inputs!$B$29,IF(Skills!C22=3,120+Inputs!$B$27+Inputs!$B$29,MAX(0,(Inputs!$B$3-100)*3)+Inputs!$B$28+Inputs!$B$29)))</f>
        <v/>
      </c>
      <c r="E2645">
        <f>INDEX(FactorTable!$B$2:$Y$301, MATCH(ROUND(MIN(300,MAX(1,D2645)),0), FactorTable!$A$2:$A$301,0), Skills!M22+1)</f>
        <v/>
      </c>
      <c r="F2645">
        <f>IF(Skills!N22=TRUE,(Skills!L22/10)*(E2645/1000),Skills!L22/10)+Skills!O22</f>
        <v/>
      </c>
      <c r="G2645">
        <f>Skills!G22*IF(Skills!H22&gt;0,Skills!I22/Skills!H22,1)</f>
        <v/>
      </c>
      <c r="H2645">
        <f>1-(1-Skills!J22/100)^Skills!K22</f>
        <v/>
      </c>
      <c r="I2645" t="inlineStr">
        <is>
          <t>1</t>
        </is>
      </c>
      <c r="J2645" t="inlineStr"/>
      <c r="K2645" t="inlineStr"/>
      <c r="L2645" t="inlineStr"/>
      <c r="M2645" t="inlineStr"/>
      <c r="N2645" t="inlineStr"/>
      <c r="O2645">
        <f>(1-Summary!$B$11)*T2645+Summary!$B$11*V2645</f>
        <v/>
      </c>
      <c r="P2645">
        <f>IF(B2664=0,0,O2645/B2664)</f>
        <v/>
      </c>
      <c r="Q2645" t="n">
        <v>0</v>
      </c>
      <c r="R2645" t="n">
        <v>0</v>
      </c>
      <c r="S2645">
        <f>IFERROR(O2645/N2645,0)</f>
        <v/>
      </c>
      <c r="T2645" t="n">
        <v>0</v>
      </c>
      <c r="V2645" t="n">
        <v>0</v>
      </c>
    </row>
    <row r="2646">
      <c r="A2646">
        <f>Skills!A23</f>
        <v/>
      </c>
      <c r="B2646">
        <f>Skills!B23</f>
        <v/>
      </c>
      <c r="C2646">
        <f>Inputs!$B$3&gt;=38</f>
        <v/>
      </c>
      <c r="D2646">
        <f>IF(Skills!C23=1,60+Inputs!$B$25+Inputs!$B$29,IF(Skills!C23=2,90+Inputs!$B$26+Inputs!$B$29,IF(Skills!C23=3,120+Inputs!$B$27+Inputs!$B$29,MAX(0,(Inputs!$B$3-100)*3)+Inputs!$B$28+Inputs!$B$29)))</f>
        <v/>
      </c>
      <c r="E2646">
        <f>INDEX(FactorTable!$B$2:$Y$301, MATCH(ROUND(MIN(300,MAX(1,D2646)),0), FactorTable!$A$2:$A$301,0), Skills!M23+1)</f>
        <v/>
      </c>
      <c r="F2646">
        <f>IF(Skills!N23=TRUE,(Skills!L23/10)*(E2646/1000),Skills!L23/10)+Skills!O23</f>
        <v/>
      </c>
      <c r="G2646">
        <f>Skills!G23*IF(Skills!H23&gt;0,Skills!I23/Skills!H23,1)</f>
        <v/>
      </c>
      <c r="H2646">
        <f>1-(1-Skills!J23/100)^Skills!K23</f>
        <v/>
      </c>
      <c r="I2646" t="inlineStr">
        <is>
          <t>1</t>
        </is>
      </c>
      <c r="J2646" t="inlineStr"/>
      <c r="K2646" t="inlineStr"/>
      <c r="L2646" t="inlineStr"/>
      <c r="M2646" t="inlineStr"/>
      <c r="N2646" t="inlineStr"/>
      <c r="O2646">
        <f>(1-Summary!$B$11)*T2646+Summary!$B$11*V2646</f>
        <v/>
      </c>
      <c r="P2646">
        <f>IF(B2664=0,0,O2646/B2664)</f>
        <v/>
      </c>
      <c r="Q2646" t="n">
        <v>0</v>
      </c>
      <c r="R2646" t="n">
        <v>0</v>
      </c>
      <c r="S2646">
        <f>IFERROR(O2646/N2646,0)</f>
        <v/>
      </c>
      <c r="T2646" t="n">
        <v>0</v>
      </c>
      <c r="V2646" t="n">
        <v>0</v>
      </c>
    </row>
    <row r="2647">
      <c r="A2647">
        <f>Skills!A24</f>
        <v/>
      </c>
      <c r="B2647">
        <f>Skills!B24</f>
        <v/>
      </c>
      <c r="C2647">
        <f>Inputs!$B$3&gt;=40</f>
        <v/>
      </c>
      <c r="D2647">
        <f>IF(Skills!C24=1,60+Inputs!$B$25+Inputs!$B$29,IF(Skills!C24=2,90+Inputs!$B$26+Inputs!$B$29,IF(Skills!C24=3,120+Inputs!$B$27+Inputs!$B$29,MAX(0,(Inputs!$B$3-100)*3)+Inputs!$B$28+Inputs!$B$29)))</f>
        <v/>
      </c>
      <c r="E2647">
        <f>INDEX(FactorTable!$B$2:$Y$301, MATCH(ROUND(MIN(300,MAX(1,D2647)),0), FactorTable!$A$2:$A$301,0), Skills!M24+1)</f>
        <v/>
      </c>
      <c r="F2647">
        <f>IF(Skills!N24=TRUE,(Skills!L24/10)*(E2647/1000),Skills!L24/10)+Skills!O24</f>
        <v/>
      </c>
      <c r="G2647">
        <f>Skills!G24*IF(Skills!H24&gt;0,Skills!I24/Skills!H24,1)</f>
        <v/>
      </c>
      <c r="H2647">
        <f>1-(1-Skills!J24/100)^Skills!K24</f>
        <v/>
      </c>
      <c r="I2647" t="inlineStr">
        <is>
          <t>1</t>
        </is>
      </c>
      <c r="J2647" t="inlineStr"/>
      <c r="K2647" t="inlineStr"/>
      <c r="L2647" t="inlineStr"/>
      <c r="M2647" t="inlineStr"/>
      <c r="N2647" t="inlineStr"/>
      <c r="O2647">
        <f>(1-Summary!$B$11)*T2647+Summary!$B$11*V2647</f>
        <v/>
      </c>
      <c r="P2647">
        <f>IF(B2664=0,0,O2647/B2664)</f>
        <v/>
      </c>
      <c r="Q2647" t="n">
        <v>0</v>
      </c>
      <c r="R2647" t="n">
        <v>0</v>
      </c>
      <c r="S2647">
        <f>IFERROR(O2647/N2647,0)</f>
        <v/>
      </c>
      <c r="T2647" t="n">
        <v>0</v>
      </c>
      <c r="V2647" t="n">
        <v>0</v>
      </c>
    </row>
    <row r="2648">
      <c r="A2648">
        <f>Skills!A25</f>
        <v/>
      </c>
      <c r="B2648">
        <f>Skills!B25</f>
        <v/>
      </c>
      <c r="C2648">
        <f>Inputs!$B$3&gt;=72</f>
        <v/>
      </c>
      <c r="D2648">
        <f>IF(Skills!C25=1,60+Inputs!$B$25+Inputs!$B$29,IF(Skills!C25=2,90+Inputs!$B$26+Inputs!$B$29,IF(Skills!C25=3,120+Inputs!$B$27+Inputs!$B$29,MAX(0,(Inputs!$B$3-100)*3)+Inputs!$B$28+Inputs!$B$29)))</f>
        <v/>
      </c>
      <c r="E2648">
        <f>INDEX(FactorTable!$B$2:$Y$301, MATCH(ROUND(MIN(300,MAX(1,D2648)),0), FactorTable!$A$2:$A$301,0), Skills!M25+1)</f>
        <v/>
      </c>
      <c r="F2648">
        <f>IF(Skills!N25=TRUE,(Skills!L25/10)*(E2648/1000),Skills!L25/10)+Skills!O25</f>
        <v/>
      </c>
      <c r="G2648">
        <f>Skills!G25*IF(Skills!H25&gt;0,Skills!I25/Skills!H25,1)</f>
        <v/>
      </c>
      <c r="H2648">
        <f>1-(1-Skills!J25/100)^Skills!K25</f>
        <v/>
      </c>
      <c r="I2648" t="inlineStr">
        <is>
          <t>1</t>
        </is>
      </c>
      <c r="J2648" t="inlineStr"/>
      <c r="K2648" t="inlineStr"/>
      <c r="L2648" t="inlineStr"/>
      <c r="M2648" t="inlineStr"/>
      <c r="N2648" t="inlineStr"/>
      <c r="O2648">
        <f>(1-Summary!$B$11)*T2648+Summary!$B$11*V2648</f>
        <v/>
      </c>
      <c r="P2648">
        <f>IF(B2664=0,0,O2648/B2664)</f>
        <v/>
      </c>
      <c r="Q2648" t="n">
        <v>0</v>
      </c>
      <c r="R2648" t="n">
        <v>0</v>
      </c>
      <c r="S2648">
        <f>IFERROR(O2648/N2648,0)</f>
        <v/>
      </c>
      <c r="T2648" t="n">
        <v>0</v>
      </c>
      <c r="V2648" t="n">
        <v>0</v>
      </c>
    </row>
    <row r="2649">
      <c r="A2649">
        <f>Skills!A26</f>
        <v/>
      </c>
      <c r="B2649">
        <f>Skills!B26</f>
        <v/>
      </c>
      <c r="C2649">
        <f>Inputs!$B$3&gt;=75</f>
        <v/>
      </c>
      <c r="D2649">
        <f>IF(Skills!C26=1,60+Inputs!$B$25+Inputs!$B$29,IF(Skills!C26=2,90+Inputs!$B$26+Inputs!$B$29,IF(Skills!C26=3,120+Inputs!$B$27+Inputs!$B$29,MAX(0,(Inputs!$B$3-100)*3)+Inputs!$B$28+Inputs!$B$29)))</f>
        <v/>
      </c>
      <c r="E2649">
        <f>INDEX(FactorTable!$B$2:$Y$301, MATCH(ROUND(MIN(300,MAX(1,D2649)),0), FactorTable!$A$2:$A$301,0), Skills!M26+1)</f>
        <v/>
      </c>
      <c r="F2649">
        <f>IF(Skills!N26=TRUE,(Skills!L26/10)*(E2649/1000),Skills!L26/10)+Skills!O26</f>
        <v/>
      </c>
      <c r="G2649">
        <f>Skills!G26*IF(Skills!H26&gt;0,Skills!I26/Skills!H26,1)</f>
        <v/>
      </c>
      <c r="H2649">
        <f>1-(1-Skills!J26/100)^Skills!K26</f>
        <v/>
      </c>
      <c r="I2649" t="inlineStr">
        <is>
          <t>1</t>
        </is>
      </c>
      <c r="J2649" t="inlineStr"/>
      <c r="K2649" t="inlineStr"/>
      <c r="L2649" t="inlineStr"/>
      <c r="M2649" t="inlineStr"/>
      <c r="N2649" t="inlineStr"/>
      <c r="O2649">
        <f>(1-Summary!$B$11)*T2649+Summary!$B$11*V2649</f>
        <v/>
      </c>
      <c r="P2649">
        <f>IF(B2664=0,0,O2649/B2664)</f>
        <v/>
      </c>
      <c r="Q2649" t="n">
        <v>0</v>
      </c>
      <c r="R2649" t="n">
        <v>0</v>
      </c>
      <c r="S2649">
        <f>IFERROR(O2649/N2649,0)</f>
        <v/>
      </c>
      <c r="T2649" t="n">
        <v>0</v>
      </c>
      <c r="V2649" t="n">
        <v>0</v>
      </c>
    </row>
    <row r="2650">
      <c r="A2650">
        <f>Skills!A27</f>
        <v/>
      </c>
      <c r="B2650">
        <f>Skills!B27</f>
        <v/>
      </c>
      <c r="C2650">
        <f>Inputs!$B$3&gt;=117</f>
        <v/>
      </c>
      <c r="D2650">
        <f>IF(Skills!C27=1,60+Inputs!$B$25+Inputs!$B$29,IF(Skills!C27=2,90+Inputs!$B$26+Inputs!$B$29,IF(Skills!C27=3,120+Inputs!$B$27+Inputs!$B$29,MAX(0,(Inputs!$B$3-100)*3)+Inputs!$B$28+Inputs!$B$29)))</f>
        <v/>
      </c>
      <c r="E2650">
        <f>INDEX(FactorTable!$B$2:$Y$301, MATCH(ROUND(MIN(300,MAX(1,D2650)),0), FactorTable!$A$2:$A$301,0), Skills!M27+1)</f>
        <v/>
      </c>
      <c r="F2650">
        <f>IF(Skills!N27=TRUE,(Skills!L27/10)*(E2650/1000),Skills!L27/10)+Skills!O27</f>
        <v/>
      </c>
      <c r="G2650">
        <f>Skills!G27*IF(Skills!H27&gt;0,Skills!I27/Skills!H27,1)</f>
        <v/>
      </c>
      <c r="H2650">
        <f>1-(1-Skills!J27/100)^Skills!K27</f>
        <v/>
      </c>
      <c r="I2650" t="inlineStr">
        <is>
          <t>1</t>
        </is>
      </c>
      <c r="J2650" t="inlineStr"/>
      <c r="K2650" t="inlineStr"/>
      <c r="L2650" t="inlineStr"/>
      <c r="M2650" t="inlineStr"/>
      <c r="N2650" t="inlineStr"/>
      <c r="O2650">
        <f>(1-Summary!$B$11)*T2650+Summary!$B$11*V2650</f>
        <v/>
      </c>
      <c r="P2650">
        <f>IF(B2664=0,0,O2650/B2664)</f>
        <v/>
      </c>
      <c r="Q2650" t="n">
        <v>0</v>
      </c>
      <c r="R2650" t="n">
        <v>0</v>
      </c>
      <c r="S2650">
        <f>IFERROR(O2650/N2650,0)</f>
        <v/>
      </c>
      <c r="T2650" t="n">
        <v>0</v>
      </c>
      <c r="V2650" t="n">
        <v>0</v>
      </c>
    </row>
    <row r="2651">
      <c r="A2651">
        <f>Skills!A28</f>
        <v/>
      </c>
      <c r="B2651">
        <f>Skills!B28</f>
        <v/>
      </c>
      <c r="C2651">
        <f>TRUE</f>
        <v/>
      </c>
      <c r="D2651">
        <f>IF(Skills!C28=1,60+Inputs!$B$25+Inputs!$B$29,IF(Skills!C28=2,90+Inputs!$B$26+Inputs!$B$29,IF(Skills!C28=3,120+Inputs!$B$27+Inputs!$B$29,MAX(0,(Inputs!$B$3-100)*3)+Inputs!$B$28+Inputs!$B$29)))</f>
        <v/>
      </c>
      <c r="E2651">
        <f>INDEX(FactorTable!$B$2:$Y$301, MATCH(ROUND(MIN(300,MAX(1,D2651)),0), FactorTable!$A$2:$A$301,0), Skills!M28+1)</f>
        <v/>
      </c>
      <c r="F2651">
        <f>IF(Skills!N28=TRUE,(Skills!L28/10)*(E2651/1000),Skills!L28/10)+Skills!O28</f>
        <v/>
      </c>
      <c r="G2651">
        <f>Skills!G28*IF(Skills!H28&gt;0,Skills!I28/Skills!H28,1)</f>
        <v/>
      </c>
      <c r="H2651">
        <f>1-(1-Skills!J28/100)^Skills!K28</f>
        <v/>
      </c>
      <c r="I2651" t="inlineStr">
        <is>
          <t>1</t>
        </is>
      </c>
      <c r="J2651" t="inlineStr"/>
      <c r="K2651" t="inlineStr"/>
      <c r="L2651" t="inlineStr"/>
      <c r="M2651" t="inlineStr"/>
      <c r="N2651" t="inlineStr"/>
      <c r="O2651">
        <f>(1-Summary!$B$11)*T2651+Summary!$B$11*V2651</f>
        <v/>
      </c>
      <c r="P2651">
        <f>IF(B2664=0,0,O2651/B2664)</f>
        <v/>
      </c>
      <c r="Q2651">
        <f>IFERROR(1/(IF(Inputs!$B$38="pvp",15,MAX(0.1,Skills!D28-IF(Skills!E28=TRUE,Inputs!$B$32,0)))*(1-IF(AND(ArtifactsInput!$M$27,Inputs!$B$4="Chapter Hunt"),CHOOSE(ArtifactsInput!$N$27+1,20,24,28,32,36,40),0)/100)),0)</f>
        <v/>
      </c>
      <c r="R2651">
        <f>IF(AND(Inputs!$B$38&lt;&gt;"pvp",Inputs!$B$43&gt;0),IF(Inputs!$B$43&lt;=0,0,(INT(Inputs!$B$43/(IF(Inputs!$B$38="pvp",15,MAX(0.1,Skills!D28-IF(Skills!E28=TRUE,Inputs!$B$32,0)))*(1-IF(AND(ArtifactsInput!$M$27,Inputs!$B$4="Chapter Hunt"),CHOOSE(ArtifactsInput!$N$27+1,20,24,28,32,36,40),0)/100)))+1)),0)</f>
        <v/>
      </c>
      <c r="S2651">
        <f>IFERROR(O2651/N2651,0)</f>
        <v/>
      </c>
      <c r="T2651" t="n">
        <v>0</v>
      </c>
      <c r="V2651" t="n">
        <v>0</v>
      </c>
    </row>
    <row r="2653">
      <c r="A2653" t="inlineStr">
        <is>
          <t>Attack% Bucket Multiplier</t>
        </is>
      </c>
      <c r="B2653">
        <f>(1+(((C2640=TRUE)*F2640*5/7)+((C2647=TRUE)*(F2647-Calc!F24))+(IF(ArtifactsInput!$M$21,CHOOSE(ArtifactsInput!$N$21+1,25,30,35,40,45,50)*(IF(OR(Inputs!$B$4="Chapter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54">
      <c r="A2654" t="inlineStr">
        <is>
          <t>Global Crit Rate Bonus %</t>
        </is>
      </c>
      <c r="B2654" t="n">
        <v>0</v>
      </c>
    </row>
    <row r="2655">
      <c r="A2655" t="inlineStr">
        <is>
          <t>Attack Speed Buff Bonus % (Nimble Feet, duty-cycle averaged)</t>
        </is>
      </c>
      <c r="B2655">
        <f>((C2651=TRUE)*F2651*IF(AND(Inputs!$B$38&lt;&gt;"pvp",Inputs!$B$43&gt;0),(((R2651-1)*(Skills!T28*(1+Inputs!$B$34/100))+MIN((Skills!T28*(1+Inputs!$B$34/100)),MAX(0,Inputs!$B$43-((R2651-1)*Skills!D28))))/Inputs!$B$43),IF(Inputs!$B$38="pvp",MIN((Skills!T28*(1+Inputs!$B$34/100)),15)/15,(Skills!T28*(1+Inputs!$B$34/100))/Skills!D28)))</f>
        <v/>
      </c>
    </row>
    <row r="2656">
      <c r="A2656" t="inlineStr">
        <is>
          <t>Actions Per Second</t>
        </is>
      </c>
      <c r="B2656">
        <f>1+MIN(150,150*(1-(1-(Inputs!$B$11+((C2643=TRUE)*(F2643-Calc!F20))+((C2644=TRUE)*(F2644-Calc!F21)))/150)*(1-B2655/150)))/100</f>
        <v/>
      </c>
    </row>
    <row r="2657">
      <c r="A2657" t="inlineStr">
        <is>
          <t>Skill + Buff Cast Rate</t>
        </is>
      </c>
      <c r="B2657">
        <f>IF(AND(Inputs!$B$38&lt;&gt;"pvp",Inputs!$B$43&gt;0),SUMPRODUCT((Skills!E2:E28=TRUE)*(C2625:C2651=TRUE)*R2625:R2651*Skills!F2:F28)/Inputs!$B$43,SUMPRODUCT((Skills!E2:E28=TRUE)*(C2625:C2651=TRUE)*Q2625:Q2651*Skills!F2:F28))</f>
        <v/>
      </c>
    </row>
    <row r="2658">
      <c r="A2658" t="inlineStr">
        <is>
          <t>Eight-Legs Easton Casts Per Second</t>
        </is>
      </c>
      <c r="B2658">
        <f>MAX(0,B2656-B2657)</f>
        <v/>
      </c>
    </row>
    <row r="2659">
      <c r="A2659" t="inlineStr">
        <is>
          <t>Global Critical Damage Bonus % (unused)</t>
        </is>
      </c>
      <c r="B2659" t="n">
        <v>0</v>
      </c>
    </row>
    <row r="2660">
      <c r="A2660" t="inlineStr">
        <is>
          <t>Global Final Damage Bonus % (Jolly Roger + Ahoy Mateys - Final Damage proc)</t>
        </is>
      </c>
      <c r="B2660">
        <f>((C2641=TRUE)*F2641*IF(AND(Inputs!$B$38&lt;&gt;"pvp",Inputs!$B$43&gt;0),(((R2641-1)*(Skills!T18*(1+Inputs!$B$34/100))+MIN((Skills!T18*(1+Inputs!$B$34/100)),MAX(0,Inputs!$B$43-((R2641-1)*Skills!D18))))/Inputs!$B$43),IF(Inputs!$B$38="pvp",MIN((Skills!T18*(1+Inputs!$B$34/100)),15)/15,(Skills!T18*(1+Inputs!$B$34/100))/Skills!D18)))+IF(Inputs!$B$3&gt;=122,20*IF(Inputs!$B$38="pvp",MIN((20*(1+Inputs!$B$34/100)),15)/15,(20*(1+Inputs!$B$34/100))/Skills!D4),0)</f>
        <v/>
      </c>
    </row>
    <row r="2661">
      <c r="A2661" t="inlineStr">
        <is>
          <t>Buff-Casting Startup Delay (s, fixed-duration only)</t>
        </is>
      </c>
      <c r="B2661">
        <f>IF(AND(Inputs!$B$38&lt;&gt;"pvp",Inputs!$B$43&gt;0),SUMPRODUCT((Skills!T2:T28&gt;0)*(Skills!E2:E28=TRUE)*(C2625:C2651=TRUE))/B2656,0)</f>
        <v/>
      </c>
    </row>
    <row r="2662">
      <c r="A2662" t="inlineStr">
        <is>
          <t>Boss-Only Total DPS (this block's swept value)</t>
        </is>
      </c>
      <c r="B2662">
        <f>SUM(T2625:T2651)</f>
        <v/>
      </c>
    </row>
    <row r="2663">
      <c r="A2663" t="inlineStr">
        <is>
          <t>Normal-Only Total DPS (this block's swept value)</t>
        </is>
      </c>
      <c r="B2663">
        <f>SUM(V2625:V2651)</f>
        <v/>
      </c>
    </row>
    <row r="2664">
      <c r="A2664" s="6" t="inlineStr">
        <is>
          <t>TOTAL DPS</t>
        </is>
      </c>
      <c r="B2664" s="6">
        <f>SUM(O2625:O2651)</f>
        <v/>
      </c>
    </row>
    <row r="2667">
      <c r="A2667" s="6" t="inlineStr">
        <is>
          <t>Stat: Reindeer's Spear (Equip)</t>
        </is>
      </c>
    </row>
    <row r="2668">
      <c r="A2668" s="5" t="inlineStr">
        <is>
          <t>Key</t>
        </is>
      </c>
      <c r="B2668" s="5" t="inlineStr">
        <is>
          <t>Name</t>
        </is>
      </c>
      <c r="C2668" s="5" t="inlineStr">
        <is>
          <t>Unlocked</t>
        </is>
      </c>
      <c r="D2668" s="5" t="inlineStr">
        <is>
          <t>InputLevel</t>
        </is>
      </c>
      <c r="E2668" s="5" t="inlineStr">
        <is>
          <t>Factor</t>
        </is>
      </c>
      <c r="F2668" s="5" t="inlineStr">
        <is>
          <t>CoefficientPercent</t>
        </is>
      </c>
      <c r="G2668" s="5" t="inlineStr">
        <is>
          <t>EffectiveHits</t>
        </is>
      </c>
      <c r="H2668" s="5" t="inlineStr">
        <is>
          <t>ProcProbability</t>
        </is>
      </c>
      <c r="I2668" s="5" t="inlineStr">
        <is>
          <t>MapleHeroMultiplier</t>
        </is>
      </c>
      <c r="J2668" s="5" t="inlineStr">
        <is>
          <t>BaseDamage</t>
        </is>
      </c>
      <c r="K2668" s="5" t="inlineStr">
        <is>
          <t>BaseHitDamage</t>
        </is>
      </c>
      <c r="L2668" s="5" t="inlineStr">
        <is>
          <t>NonCritAvg</t>
        </is>
      </c>
      <c r="M2668" s="5" t="inlineStr">
        <is>
          <t>CritAvg</t>
        </is>
      </c>
      <c r="N2668" s="5" t="inlineStr">
        <is>
          <t>ExpectedDamage(perHit)</t>
        </is>
      </c>
      <c r="O2668" s="5" t="inlineStr">
        <is>
          <t>DPS</t>
        </is>
      </c>
      <c r="P2668" s="5" t="inlineStr">
        <is>
          <t>% of Total</t>
        </is>
      </c>
      <c r="Q2668" s="5" t="inlineStr">
        <is>
          <t>InvCooldown</t>
        </is>
      </c>
      <c r="R2668" s="5" t="inlineStr">
        <is>
          <t>CastsInFight</t>
        </is>
      </c>
      <c r="S2668" s="5" t="inlineStr">
        <is>
          <t>HitRate(perSec)</t>
        </is>
      </c>
      <c r="U2668" t="inlineStr">
        <is>
          <t>helpers</t>
        </is>
      </c>
    </row>
    <row r="2669">
      <c r="A2669">
        <f>Skills!A2</f>
        <v/>
      </c>
      <c r="B2669">
        <f>Skills!B2</f>
        <v/>
      </c>
      <c r="C2669">
        <f>Inputs!$B$3&gt;=100</f>
        <v/>
      </c>
      <c r="D2669" t="inlineStr"/>
      <c r="E2669" t="inlineStr"/>
      <c r="F2669">
        <f>U2671+Skills!O2</f>
        <v/>
      </c>
      <c r="G2669">
        <f>Skills!G2*IF(Skills!H2&gt;0,Skills!I2/Skills!H2,1)</f>
        <v/>
      </c>
      <c r="H2669">
        <f>1-(1-Skills!J2/100)^Skills!K2</f>
        <v/>
      </c>
      <c r="I2669" t="inlineStr">
        <is>
          <t>1</t>
        </is>
      </c>
      <c r="J2669">
        <f>((Inputs!$B$6*(1+Inputs!$B$7/100))+(((Inputs!$B$12*(1+Inputs!$B$13/100))-(Inputs!$B$12*(1+Inputs!$B$13/100)))+0.25*(Inputs!$B$14-Inputs!$B$14))*(1+Inputs!$B$7/100))*(F2669/100)</f>
        <v/>
      </c>
      <c r="K2669">
        <f>J2669*(1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2669)</f>
        <v/>
      </c>
      <c r="L2669">
        <f>K2669*(MIN(Inputs!$B$22+((C2689=TRUE)*(F2689-Calc!F22)),(Inputs!$B$23+0+(IF(ArtifactsInput!$M$15,CHOOSE(ArtifactsInput!$N$15+1,25,30,35,40,45,50)/100*(Inputs!$B$11-Inputs!$B$11),0))))/100+(Inputs!$B$23+0+(IF(ArtifactsInput!$M$15,CHOOSE(ArtifactsInput!$N$15+1,25,30,35,40,45,50)/100*(Inputs!$B$11-Inputs!$B$11),0)))/100)/2</f>
        <v/>
      </c>
      <c r="M2669">
        <f>L2669*(1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9">
        <f>L2669*(1-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2669*(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9">
        <f>(1-Summary!$B$11)*T2669+Summary!$B$11*V2669</f>
        <v/>
      </c>
      <c r="P2669">
        <f>IF(B2708=0,0,O2669/B2708)</f>
        <v/>
      </c>
      <c r="Q2669" t="n">
        <v>0</v>
      </c>
      <c r="R2669" t="n">
        <v>0</v>
      </c>
      <c r="S2669">
        <f>IFERROR(O2669/N2669,0)</f>
        <v/>
      </c>
      <c r="T2669">
        <f>IF(C2669,(Skills!G2*N2669*B2702)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2669*(1-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2669*(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2669*(1-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2669*(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69">
        <f>MAX(0,(Inputs!$B$3-100)*3)+Inputs!$B$28+Inputs!$B$29</f>
        <v/>
      </c>
      <c r="V2669">
        <f>IF(C2669,(Skills!G2*N2669*B2702)*IF(Inputs!$B$38="pvp",1,(1+(Inputs!$B$21+Skills!Q2+(IF(ArtifactsInput!$M$33,CHOOSE(ArtifactsInput!$N$33+1,30,36,42,48,54,60),0))+(IF(AND(ArtifactsInput!$M$35,Inputs!$B$4&lt;&gt;"Chapter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0">
      <c r="A2670">
        <f>Skills!A3</f>
        <v/>
      </c>
      <c r="B2670">
        <f>Skills!B3</f>
        <v/>
      </c>
      <c r="C2670">
        <f>Inputs!$B$3&gt;=35</f>
        <v/>
      </c>
      <c r="D2670">
        <f>IF(Skills!C3=1,60+Inputs!$B$25+Inputs!$B$29,IF(Skills!C3=2,90+Inputs!$B$26+Inputs!$B$29,IF(Skills!C3=3,120+Inputs!$B$27+Inputs!$B$29,MAX(0,(Inputs!$B$3-100)*3)+Inputs!$B$28+Inputs!$B$29)))</f>
        <v/>
      </c>
      <c r="E2670">
        <f>INDEX(FactorTable!$B$2:$Y$301, MATCH(ROUND(MIN(300,MAX(1,D2670)),0), FactorTable!$A$2:$A$301,0), Skills!M3+1)</f>
        <v/>
      </c>
      <c r="F2670">
        <f>IF(Skills!N3=TRUE,(Skills!L3/10)*(E2670/1000),Skills!L3/10)+Skills!O3</f>
        <v/>
      </c>
      <c r="G2670">
        <f>Skills!G3*IF(Skills!H3&gt;0,Skills!I3/Skills!H3,1)</f>
        <v/>
      </c>
      <c r="H2670">
        <f>1-(1-Skills!J3/100)^Skills!K3</f>
        <v/>
      </c>
      <c r="I2670" t="inlineStr">
        <is>
          <t>1</t>
        </is>
      </c>
      <c r="J2670">
        <f>((Inputs!$B$6*(1+Inputs!$B$7/100))+(((Inputs!$B$12*(1+Inputs!$B$13/100))-(Inputs!$B$12*(1+Inputs!$B$13/100)))+0.25*(Inputs!$B$14-Inputs!$B$14))*(1+Inputs!$B$7/100))*(F2670/100)</f>
        <v/>
      </c>
      <c r="K2670">
        <f>J2670*(1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2682=TRUE,F2682,0)/100)*(1+(IF(Skills!A3="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2670)</f>
        <v/>
      </c>
      <c r="L2670">
        <f>K2670*(MIN(Inputs!$B$22+((C2689=TRUE)*(F2689-Calc!F22)),(Inputs!$B$23+0+(IF(ArtifactsInput!$M$15,CHOOSE(ArtifactsInput!$N$15+1,25,30,35,40,45,50)/100*(Inputs!$B$11-Inputs!$B$11),0))))/100+(Inputs!$B$23+0+(IF(ArtifactsInput!$M$15,CHOOSE(ArtifactsInput!$N$15+1,25,30,35,40,45,50)/100*(Inputs!$B$11-Inputs!$B$11),0)))/100)/2</f>
        <v/>
      </c>
      <c r="M2670">
        <f>L2670*(1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0">
        <f>L2670*(1-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2670*(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0">
        <f>(1-Summary!$B$11)*T2670+Summary!$B$11*V2670</f>
        <v/>
      </c>
      <c r="P2670">
        <f>IF(B2708=0,0,O2670/B2708)</f>
        <v/>
      </c>
      <c r="Q2670">
        <f>IFERROR(1/(IF(Inputs!$B$38="pvp",15,MAX(0.1,Skills!D3-IF(Skills!E3=TRUE,Inputs!$B$32,0)))*(1-IF(AND(ArtifactsInput!$M$27,Inputs!$B$4="Chapter Hunt"),CHOOSE(ArtifactsInput!$N$27+1,20,24,28,32,36,40),0)/100)),0)</f>
        <v/>
      </c>
      <c r="R2670">
        <f>IF(AND(Inputs!$B$38&lt;&gt;"pvp",Inputs!$B$43&gt;0),IF(MAX(0,Inputs!$B$43-B2705)&lt;=0,0,(INT(MAX(0,Inputs!$B$43-B2705)/(IF(Inputs!$B$38="pvp",15,MAX(0.1,Skills!D3-IF(Skills!E3=TRUE,Inputs!$B$32,0)))*(1-IF(AND(ArtifactsInput!$M$27,Inputs!$B$4="Chapter Hunt"),CHOOSE(ArtifactsInput!$N$27+1,20,24,28,32,36,40),0)/100)))+1)),0)</f>
        <v/>
      </c>
      <c r="S2670">
        <f>IFERROR(O2670/N2670,0)</f>
        <v/>
      </c>
      <c r="T2670">
        <f>IF(C2670,(H2670*N2670*IF(AND(Inputs!$B$38&lt;&gt;"pvp",Inputs!$B$43&gt;0),((Skills!G3*((R2670-1)*IF(Skills!H3&gt;0,Skills!I3/Skills!H3,1)+IF(Skills!H3&gt;0,MIN(Skills!I3,MAX(0,MAX(0,Inputs!$B$43-B2705)-((R2670-1)*(IF(Inputs!$B$38="pvp",15,MAX(0.1,Skills!D3-IF(Skills!E3=TRUE,Inputs!$B$32,0)))*(1-IF(AND(ArtifactsInput!$M$27,Inputs!$B$4="Chapter Hunt"),CHOOSE(ArtifactsInput!$N$27+1,20,24,28,32,36,40),0)/100)))))/Skills!H3,1)))/Inputs!$B$43),G2670*Q2670)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2670*(1-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2670*(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2670*(1-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2670*(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0">
        <f>INDEX(FactorTable!$B$2:$Y$301, MATCH(ROUND(MIN(300,MAX(1,U2669)),0), FactorTable!$A$2:$A$301,0), 22)</f>
        <v/>
      </c>
      <c r="V2670">
        <f>IF(C2670,(H2670*N2670*IF(AND(Inputs!$B$38&lt;&gt;"pvp",Inputs!$B$43&gt;0),((Skills!G3*((R2670-1)*IF(Skills!H3&gt;0,Skills!I3/Skills!H3,1)+IF(Skills!H3&gt;0,MIN(Skills!I3,MAX(0,MAX(0,Inputs!$B$43-B2705)-((R2670-1)*(IF(Inputs!$B$38="pvp",15,MAX(0.1,Skills!D3-IF(Skills!E3=TRUE,Inputs!$B$32,0)))*(1-IF(AND(ArtifactsInput!$M$27,Inputs!$B$4="Chapter Hunt"),CHOOSE(ArtifactsInput!$N$27+1,20,24,28,32,36,40),0)/100)))))/Skills!H3,1)))/Inputs!$B$43),G2670*Q2670))*IF(Inputs!$B$38="pvp",1,(1+(Inputs!$B$21+Skills!Q3+(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1">
      <c r="A2671">
        <f>Skills!A4</f>
        <v/>
      </c>
      <c r="B2671">
        <f>Skills!B4</f>
        <v/>
      </c>
      <c r="C2671">
        <f>Inputs!$B$3&gt;=40</f>
        <v/>
      </c>
      <c r="D2671">
        <f>IF(Skills!C4=1,60+Inputs!$B$25+Inputs!$B$29,IF(Skills!C4=2,90+Inputs!$B$26+Inputs!$B$29,IF(Skills!C4=3,120+Inputs!$B$27+Inputs!$B$29,MAX(0,(Inputs!$B$3-100)*3)+Inputs!$B$28+Inputs!$B$29)))</f>
        <v/>
      </c>
      <c r="E2671">
        <f>INDEX(FactorTable!$B$2:$Y$301, MATCH(ROUND(MIN(300,MAX(1,D2671)),0), FactorTable!$A$2:$A$301,0), Skills!M4+1)</f>
        <v/>
      </c>
      <c r="F2671">
        <f>IF(Skills!N4=TRUE,(Skills!L4/10)*(E2671/1000),Skills!L4/10)+Skills!O4</f>
        <v/>
      </c>
      <c r="G2671">
        <f>Skills!G4*IF(Skills!H4&gt;0,Skills!I4/Skills!H4,1)</f>
        <v/>
      </c>
      <c r="H2671">
        <f>1-(1-Skills!J4/100)^Skills!K4</f>
        <v/>
      </c>
      <c r="I2671" t="inlineStr">
        <is>
          <t>1</t>
        </is>
      </c>
      <c r="J2671">
        <f>((Inputs!$B$6*(1+Inputs!$B$7/100))+(((Inputs!$B$12*(1+Inputs!$B$13/100))-(Inputs!$B$12*(1+Inputs!$B$13/100)))+0.25*(Inputs!$B$14-Inputs!$B$14))*(1+Inputs!$B$7/100))*(F2671/100)</f>
        <v/>
      </c>
      <c r="K2671">
        <f>J2671*(1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2683=TRUE,F2683,0)/100)*(1+(IF(Skills!A4="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2671)</f>
        <v/>
      </c>
      <c r="L2671">
        <f>K2671*(MIN(Inputs!$B$22+((C2689=TRUE)*(F2689-Calc!F22)),(Inputs!$B$23+0+(IF(ArtifactsInput!$M$15,CHOOSE(ArtifactsInput!$N$15+1,25,30,35,40,45,50)/100*(Inputs!$B$11-Inputs!$B$11),0))))/100+(Inputs!$B$23+0+(IF(ArtifactsInput!$M$15,CHOOSE(ArtifactsInput!$N$15+1,25,30,35,40,45,50)/100*(Inputs!$B$11-Inputs!$B$11),0)))/100)/2</f>
        <v/>
      </c>
      <c r="M2671">
        <f>L2671*(1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1">
        <f>L2671*(1-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1">
        <f>(1-Summary!$B$11)*T2671+Summary!$B$11*V2671</f>
        <v/>
      </c>
      <c r="P2671">
        <f>IF(B2708=0,0,O2671/B2708)</f>
        <v/>
      </c>
      <c r="Q2671">
        <f>IFERROR(1/(IF(Inputs!$B$38="pvp",15,MAX(0.1,Skills!D4-IF(Skills!E4=TRUE,Inputs!$B$32,0)))*(1-IF(AND(ArtifactsInput!$M$27,Inputs!$B$4="Chapter Hunt"),CHOOSE(ArtifactsInput!$N$27+1,20,24,28,32,36,40),0)/100)),0)</f>
        <v/>
      </c>
      <c r="R2671">
        <f>IF(AND(Inputs!$B$38&lt;&gt;"pvp",Inputs!$B$43&gt;0),IF(MAX(0,Inputs!$B$43-B2705)&lt;=0,0,(INT(MAX(0,Inputs!$B$43-B2705)/(IF(Inputs!$B$38="pvp",15,MAX(0.1,Skills!D4-IF(Skills!E4=TRUE,Inputs!$B$32,0)))*(1-IF(AND(ArtifactsInput!$M$27,Inputs!$B$4="Chapter Hunt"),CHOOSE(ArtifactsInput!$N$27+1,20,24,28,32,36,40),0)/100)))+1)),0)</f>
        <v/>
      </c>
      <c r="S2671">
        <f>IFERROR(O2671/N2671,0)</f>
        <v/>
      </c>
      <c r="T2671">
        <f>IF(C2671,(H2671*N2671*IF(AND(Inputs!$B$38&lt;&gt;"pvp",Inputs!$B$43&gt;0),((Skills!G4*((R2671-1)*IF(Skills!H4&gt;0,Skills!I4/Skills!H4,1)+IF(Skills!H4&gt;0,MIN(Skills!I4,MAX(0,MAX(0,Inputs!$B$43-B2705)-((R2671-1)*(IF(Inputs!$B$38="pvp",15,MAX(0.1,Skills!D4-IF(Skills!E4=TRUE,Inputs!$B$32,0)))*(1-IF(AND(ArtifactsInput!$M$27,Inputs!$B$4="Chapter Hunt"),CHOOSE(ArtifactsInput!$N$27+1,20,24,28,32,36,40),0)/100)))))/Skills!H4,1)))/Inputs!$B$43),G2671*Q2671)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2671*(1-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2671*(1-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1">
        <f>290*U2670/1000</f>
        <v/>
      </c>
      <c r="V2671">
        <f>IF(C2671,(H2671*N2671*IF(AND(Inputs!$B$38&lt;&gt;"pvp",Inputs!$B$43&gt;0),((Skills!G4*((R2671-1)*IF(Skills!H4&gt;0,Skills!I4/Skills!H4,1)+IF(Skills!H4&gt;0,MIN(Skills!I4,MAX(0,MAX(0,Inputs!$B$43-B2705)-((R2671-1)*(IF(Inputs!$B$38="pvp",15,MAX(0.1,Skills!D4-IF(Skills!E4=TRUE,Inputs!$B$32,0)))*(1-IF(AND(ArtifactsInput!$M$27,Inputs!$B$4="Chapter Hunt"),CHOOSE(ArtifactsInput!$N$27+1,20,24,28,32,36,40),0)/100)))))/Skills!H4,1)))/Inputs!$B$43),G2671*Q2671))*IF(Inputs!$B$38="pvp",1,(1+(Inputs!$B$21+Skills!Q4+(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2">
      <c r="A2672">
        <f>Skills!A5</f>
        <v/>
      </c>
      <c r="B2672">
        <f>Skills!B5</f>
        <v/>
      </c>
      <c r="C2672">
        <f>Inputs!$B$3&gt;=45</f>
        <v/>
      </c>
      <c r="D2672">
        <f>IF(Skills!C5=1,60+Inputs!$B$25+Inputs!$B$29,IF(Skills!C5=2,90+Inputs!$B$26+Inputs!$B$29,IF(Skills!C5=3,120+Inputs!$B$27+Inputs!$B$29,MAX(0,(Inputs!$B$3-100)*3)+Inputs!$B$28+Inputs!$B$29)))</f>
        <v/>
      </c>
      <c r="E2672">
        <f>INDEX(FactorTable!$B$2:$Y$301, MATCH(ROUND(MIN(300,MAX(1,D2672)),0), FactorTable!$A$2:$A$301,0), Skills!M5+1)</f>
        <v/>
      </c>
      <c r="F2672">
        <f>IF(Skills!N5=TRUE,(Skills!L5/10)*(E2672/1000),Skills!L5/10)+Skills!O5</f>
        <v/>
      </c>
      <c r="G2672">
        <f>Skills!G5*IF(Skills!H5&gt;0,Skills!I5/Skills!H5,1)</f>
        <v/>
      </c>
      <c r="H2672">
        <f>1-(1-Skills!J5/100)^Skills!K5</f>
        <v/>
      </c>
      <c r="I2672" t="inlineStr">
        <is>
          <t>1</t>
        </is>
      </c>
      <c r="J2672">
        <f>((Inputs!$B$6*(1+Inputs!$B$7/100))+(((Inputs!$B$12*(1+Inputs!$B$13/100))-(Inputs!$B$12*(1+Inputs!$B$13/100)))+0.25*(Inputs!$B$14-Inputs!$B$14))*(1+Inputs!$B$7/100))*(F2672/100)</f>
        <v/>
      </c>
      <c r="K2672">
        <f>J2672*(1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2683=TRUE,F2683,0)/100)*(1+(IF(Skills!A5="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2672)</f>
        <v/>
      </c>
      <c r="L2672">
        <f>K2672*(MIN(Inputs!$B$22+((C2689=TRUE)*(F2689-Calc!F22)),(Inputs!$B$23+0+(IF(ArtifactsInput!$M$15,CHOOSE(ArtifactsInput!$N$15+1,25,30,35,40,45,50)/100*(Inputs!$B$11-Inputs!$B$11),0))))/100+(Inputs!$B$23+0+(IF(ArtifactsInput!$M$15,CHOOSE(ArtifactsInput!$N$15+1,25,30,35,40,45,50)/100*(Inputs!$B$11-Inputs!$B$11),0)))/100)/2</f>
        <v/>
      </c>
      <c r="M2672">
        <f>L2672*(1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2">
        <f>L2672*(1-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2672*(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2">
        <f>(1-Summary!$B$11)*T2672+Summary!$B$11*V2672</f>
        <v/>
      </c>
      <c r="P2672">
        <f>IF(B2708=0,0,O2672/B2708)</f>
        <v/>
      </c>
      <c r="Q2672">
        <f>IFERROR(1/(IF(Inputs!$B$38="pvp",15,MAX(0.1,Skills!D5-IF(Skills!E5=TRUE,Inputs!$B$32,0)))*(1-IF(AND(ArtifactsInput!$M$27,Inputs!$B$4="Chapter Hunt"),CHOOSE(ArtifactsInput!$N$27+1,20,24,28,32,36,40),0)/100)),0)</f>
        <v/>
      </c>
      <c r="R2672">
        <f>IF(AND(Inputs!$B$38&lt;&gt;"pvp",Inputs!$B$43&gt;0),IF(MAX(0,Inputs!$B$43-B2705)&lt;=0,0,(INT(MAX(0,Inputs!$B$43-B2705)/(IF(Inputs!$B$38="pvp",15,MAX(0.1,Skills!D5-IF(Skills!E5=TRUE,Inputs!$B$32,0)))*(1-IF(AND(ArtifactsInput!$M$27,Inputs!$B$4="Chapter Hunt"),CHOOSE(ArtifactsInput!$N$27+1,20,24,28,32,36,40),0)/100)))+1)),0)</f>
        <v/>
      </c>
      <c r="S2672">
        <f>IFERROR(O2672/N2672,0)</f>
        <v/>
      </c>
      <c r="T2672">
        <f>IF(C2672,(H2672*N2672*IF(AND(Inputs!$B$38&lt;&gt;"pvp",Inputs!$B$43&gt;0),((Skills!G5*((R2672-1)*IF(Skills!H5&gt;0,Skills!I5/Skills!H5,1)+IF(Skills!H5&gt;0,MIN(Skills!I5,MAX(0,MAX(0,Inputs!$B$43-B2705)-((R2672-1)*(IF(Inputs!$B$38="pvp",15,MAX(0.1,Skills!D5-IF(Skills!E5=TRUE,Inputs!$B$32,0)))*(1-IF(AND(ArtifactsInput!$M$27,Inputs!$B$4="Chapter Hunt"),CHOOSE(ArtifactsInput!$N$27+1,20,24,28,32,36,40),0)/100)))))/Skills!H5,1)))/Inputs!$B$43),G2672*Q2672)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2672*(1-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2672*(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2672*(1-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2672*(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2">
        <f>IF(C2672,(H2672*N2672*IF(AND(Inputs!$B$38&lt;&gt;"pvp",Inputs!$B$43&gt;0),((Skills!G5*((R2672-1)*IF(Skills!H5&gt;0,Skills!I5/Skills!H5,1)+IF(Skills!H5&gt;0,MIN(Skills!I5,MAX(0,MAX(0,Inputs!$B$43-B2705)-((R2672-1)*(IF(Inputs!$B$38="pvp",15,MAX(0.1,Skills!D5-IF(Skills!E5=TRUE,Inputs!$B$32,0)))*(1-IF(AND(ArtifactsInput!$M$27,Inputs!$B$4="Chapter Hunt"),CHOOSE(ArtifactsInput!$N$27+1,20,24,28,32,36,40),0)/100)))))/Skills!H5,1)))/Inputs!$B$43),G2672*Q2672))*IF(Inputs!$B$38="pvp",1,(1+(Inputs!$B$21+Skills!Q5+(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3">
      <c r="A2673">
        <f>Skills!A6</f>
        <v/>
      </c>
      <c r="B2673">
        <f>Skills!B6</f>
        <v/>
      </c>
      <c r="C2673">
        <f>Inputs!$B$3&gt;=63</f>
        <v/>
      </c>
      <c r="D2673">
        <f>IF(Skills!C6=1,60+Inputs!$B$25+Inputs!$B$29,IF(Skills!C6=2,90+Inputs!$B$26+Inputs!$B$29,IF(Skills!C6=3,120+Inputs!$B$27+Inputs!$B$29,MAX(0,(Inputs!$B$3-100)*3)+Inputs!$B$28+Inputs!$B$29)))</f>
        <v/>
      </c>
      <c r="E2673">
        <f>INDEX(FactorTable!$B$2:$Y$301, MATCH(ROUND(MIN(300,MAX(1,D2673)),0), FactorTable!$A$2:$A$301,0), Skills!M6+1)</f>
        <v/>
      </c>
      <c r="F2673">
        <f>IF(Skills!N6=TRUE,(Skills!L6/10)*(E2673/1000),Skills!L6/10)+Skills!O6</f>
        <v/>
      </c>
      <c r="G2673">
        <f>Skills!G6*IF(Skills!H6&gt;0,Skills!I6/Skills!H6,1)</f>
        <v/>
      </c>
      <c r="H2673">
        <f>1-(1-Skills!J6/100)^Skills!K6</f>
        <v/>
      </c>
      <c r="I2673" t="inlineStr">
        <is>
          <t>1</t>
        </is>
      </c>
      <c r="J2673">
        <f>((Inputs!$B$6*(1+Inputs!$B$7/100))+(((Inputs!$B$12*(1+Inputs!$B$13/100))-(Inputs!$B$12*(1+Inputs!$B$13/100)))+0.25*(Inputs!$B$14-Inputs!$B$14))*(1+Inputs!$B$7/100))*(F2673/100)</f>
        <v/>
      </c>
      <c r="K2673">
        <f>J2673*(1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2682=TRUE,F2682,0)/100)*(1+(IF(Skills!A6="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2673)</f>
        <v/>
      </c>
      <c r="L2673">
        <f>K2673*(MIN(Inputs!$B$22+((C2689=TRUE)*(F2689-Calc!F22)),(Inputs!$B$23+0+(IF(ArtifactsInput!$M$15,CHOOSE(ArtifactsInput!$N$15+1,25,30,35,40,45,50)/100*(Inputs!$B$11-Inputs!$B$11),0))))/100+(Inputs!$B$23+0+(IF(ArtifactsInput!$M$15,CHOOSE(ArtifactsInput!$N$15+1,25,30,35,40,45,50)/100*(Inputs!$B$11-Inputs!$B$11),0)))/100)/2</f>
        <v/>
      </c>
      <c r="M2673">
        <f>L2673*(1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3">
        <f>L2673*(1-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2673*(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3">
        <f>(1-Summary!$B$11)*T2673+Summary!$B$11*V2673</f>
        <v/>
      </c>
      <c r="P2673">
        <f>IF(B2708=0,0,O2673/B2708)</f>
        <v/>
      </c>
      <c r="Q2673">
        <f>IFERROR(1/(IF(Inputs!$B$38="pvp",15,MAX(0.1,Skills!D6-IF(Skills!E6=TRUE,Inputs!$B$32,0)))*(1-IF(AND(ArtifactsInput!$M$27,Inputs!$B$4="Chapter Hunt"),CHOOSE(ArtifactsInput!$N$27+1,20,24,28,32,36,40),0)/100)),0)</f>
        <v/>
      </c>
      <c r="R2673">
        <f>IF(AND(Inputs!$B$38&lt;&gt;"pvp",Inputs!$B$43&gt;0),IF(MAX(0,Inputs!$B$43-B2705)&lt;=0,0,(INT(MAX(0,Inputs!$B$43-B2705)/(IF(Inputs!$B$38="pvp",15,MAX(0.1,Skills!D6-IF(Skills!E6=TRUE,Inputs!$B$32,0)))*(1-IF(AND(ArtifactsInput!$M$27,Inputs!$B$4="Chapter Hunt"),CHOOSE(ArtifactsInput!$N$27+1,20,24,28,32,36,40),0)/100)))+1)),0)</f>
        <v/>
      </c>
      <c r="S2673">
        <f>IFERROR(O2673/N2673,0)</f>
        <v/>
      </c>
      <c r="T2673">
        <f>IF(C2673,(H2673*N2673*IF(AND(Inputs!$B$38&lt;&gt;"pvp",Inputs!$B$43&gt;0),((Skills!G6*((R2673-1)*IF(Skills!H6&gt;0,Skills!I6/Skills!H6,1)+IF(Skills!H6&gt;0,MIN(Skills!I6,MAX(0,MAX(0,Inputs!$B$43-B2705)-((R2673-1)*(IF(Inputs!$B$38="pvp",15,MAX(0.1,Skills!D6-IF(Skills!E6=TRUE,Inputs!$B$32,0)))*(1-IF(AND(ArtifactsInput!$M$27,Inputs!$B$4="Chapter Hunt"),CHOOSE(ArtifactsInput!$N$27+1,20,24,28,32,36,40),0)/100)))))/Skills!H6,1)))/Inputs!$B$43),G2673*Q2673)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2673*(1-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2673*(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2673*(1-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2673*(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3">
        <f>IF(C2673,(H2673*N2673*IF(AND(Inputs!$B$38&lt;&gt;"pvp",Inputs!$B$43&gt;0),((Skills!G6*((R2673-1)*IF(Skills!H6&gt;0,Skills!I6/Skills!H6,1)+IF(Skills!H6&gt;0,MIN(Skills!I6,MAX(0,MAX(0,Inputs!$B$43-B2705)-((R2673-1)*(IF(Inputs!$B$38="pvp",15,MAX(0.1,Skills!D6-IF(Skills!E6=TRUE,Inputs!$B$32,0)))*(1-IF(AND(ArtifactsInput!$M$27,Inputs!$B$4="Chapter Hunt"),CHOOSE(ArtifactsInput!$N$27+1,20,24,28,32,36,40),0)/100)))))/Skills!H6,1)))/Inputs!$B$43),G2673*Q2673))*IF(Inputs!$B$38="pvp",1,(1+(Inputs!$B$21+Skills!Q6+(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4">
      <c r="A2674">
        <f>Skills!A7</f>
        <v/>
      </c>
      <c r="B2674">
        <f>Skills!B7</f>
        <v/>
      </c>
      <c r="C2674">
        <f>Inputs!$B$3&gt;=66</f>
        <v/>
      </c>
      <c r="D2674">
        <f>IF(Skills!C7=1,60+Inputs!$B$25+Inputs!$B$29,IF(Skills!C7=2,90+Inputs!$B$26+Inputs!$B$29,IF(Skills!C7=3,120+Inputs!$B$27+Inputs!$B$29,MAX(0,(Inputs!$B$3-100)*3)+Inputs!$B$28+Inputs!$B$29)))</f>
        <v/>
      </c>
      <c r="E2674">
        <f>INDEX(FactorTable!$B$2:$Y$301, MATCH(ROUND(MIN(300,MAX(1,D2674)),0), FactorTable!$A$2:$A$301,0), Skills!M7+1)</f>
        <v/>
      </c>
      <c r="F2674">
        <f>IF(Skills!N7=TRUE,(Skills!L7/10)*(E2674/1000),Skills!L7/10)+Skills!O7</f>
        <v/>
      </c>
      <c r="G2674">
        <f>Skills!G7*IF(Skills!H7&gt;0,Skills!I7/Skills!H7,1)</f>
        <v/>
      </c>
      <c r="H2674">
        <f>1-(1-Skills!J7/100)^Skills!K7</f>
        <v/>
      </c>
      <c r="I2674" t="inlineStr">
        <is>
          <t>1</t>
        </is>
      </c>
      <c r="J2674">
        <f>((Inputs!$B$6*(1+Inputs!$B$7/100))+(((Inputs!$B$12*(1+Inputs!$B$13/100))-(Inputs!$B$12*(1+Inputs!$B$13/100)))+0.25*(Inputs!$B$14-Inputs!$B$14))*(1+Inputs!$B$7/100))*(F2674/100)</f>
        <v/>
      </c>
      <c r="K2674">
        <f>J2674*(1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2682=TRUE,F2682,0)/100)*(1+(IF(Skills!A7="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2674)</f>
        <v/>
      </c>
      <c r="L2674">
        <f>K2674*(MIN(Inputs!$B$22+((C2689=TRUE)*(F2689-Calc!F22)),(Inputs!$B$23+0+(IF(ArtifactsInput!$M$15,CHOOSE(ArtifactsInput!$N$15+1,25,30,35,40,45,50)/100*(Inputs!$B$11-Inputs!$B$11),0))))/100+(Inputs!$B$23+0+(IF(ArtifactsInput!$M$15,CHOOSE(ArtifactsInput!$N$15+1,25,30,35,40,45,50)/100*(Inputs!$B$11-Inputs!$B$11),0)))/100)/2</f>
        <v/>
      </c>
      <c r="M2674">
        <f>L2674*(1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4">
        <f>L2674*(1-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2674*(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4">
        <f>(1-Summary!$B$11)*T2674+Summary!$B$11*V2674</f>
        <v/>
      </c>
      <c r="P2674">
        <f>IF(B2708=0,0,O2674/B2708)</f>
        <v/>
      </c>
      <c r="Q2674">
        <f>IFERROR(1/(IF(Inputs!$B$38="pvp",15,MAX(0.1,Skills!D7-IF(Skills!E7=TRUE,Inputs!$B$32,0)))*(1-IF(AND(ArtifactsInput!$M$27,Inputs!$B$4="Chapter Hunt"),CHOOSE(ArtifactsInput!$N$27+1,20,24,28,32,36,40),0)/100)),0)</f>
        <v/>
      </c>
      <c r="R2674">
        <f>IF(AND(Inputs!$B$38&lt;&gt;"pvp",Inputs!$B$43&gt;0),IF(MAX(0,Inputs!$B$43-B2705)&lt;=0,0,(INT(MAX(0,Inputs!$B$43-B2705)/(IF(Inputs!$B$38="pvp",15,MAX(0.1,Skills!D7-IF(Skills!E7=TRUE,Inputs!$B$32,0)))*(1-IF(AND(ArtifactsInput!$M$27,Inputs!$B$4="Chapter Hunt"),CHOOSE(ArtifactsInput!$N$27+1,20,24,28,32,36,40),0)/100)))+1)),0)</f>
        <v/>
      </c>
      <c r="S2674">
        <f>IFERROR(O2674/N2674,0)</f>
        <v/>
      </c>
      <c r="T2674">
        <f>IF(C2674,(H2674*N2674*IF(AND(Inputs!$B$38&lt;&gt;"pvp",Inputs!$B$43&gt;0),((Skills!G7*((R2674-1)*IF(Skills!H7&gt;0,Skills!I7/Skills!H7,1)+IF(Skills!H7&gt;0,MIN(Skills!I7,MAX(0,MAX(0,Inputs!$B$43-B2705)-((R2674-1)*(IF(Inputs!$B$38="pvp",15,MAX(0.1,Skills!D7-IF(Skills!E7=TRUE,Inputs!$B$32,0)))*(1-IF(AND(ArtifactsInput!$M$27,Inputs!$B$4="Chapter Hunt"),CHOOSE(ArtifactsInput!$N$27+1,20,24,28,32,36,40),0)/100)))))/Skills!H7,1)))/Inputs!$B$43),G2674*Q2674)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2674*(1-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2674*(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2674*(1-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2674*(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4">
        <f>IF(C2674,(H2674*N2674*IF(AND(Inputs!$B$38&lt;&gt;"pvp",Inputs!$B$43&gt;0),((Skills!G7*((R2674-1)*IF(Skills!H7&gt;0,Skills!I7/Skills!H7,1)+IF(Skills!H7&gt;0,MIN(Skills!I7,MAX(0,MAX(0,Inputs!$B$43-B2705)-((R2674-1)*(IF(Inputs!$B$38="pvp",15,MAX(0.1,Skills!D7-IF(Skills!E7=TRUE,Inputs!$B$32,0)))*(1-IF(AND(ArtifactsInput!$M$27,Inputs!$B$4="Chapter Hunt"),CHOOSE(ArtifactsInput!$N$27+1,20,24,28,32,36,40),0)/100)))))/Skills!H7,1)))/Inputs!$B$43),G2674*Q2674))*IF(Inputs!$B$38="pvp",1,(1+(Inputs!$B$21+Skills!Q7+(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5">
      <c r="A2675">
        <f>Skills!A8</f>
        <v/>
      </c>
      <c r="B2675">
        <f>Skills!B8</f>
        <v/>
      </c>
      <c r="C2675">
        <f>Inputs!$B$3&gt;=100</f>
        <v/>
      </c>
      <c r="D2675">
        <f>IF(Skills!C8=1,60+Inputs!$B$25+Inputs!$B$29,IF(Skills!C8=2,90+Inputs!$B$26+Inputs!$B$29,IF(Skills!C8=3,120+Inputs!$B$27+Inputs!$B$29,MAX(0,(Inputs!$B$3-100)*3)+Inputs!$B$28+Inputs!$B$29)))</f>
        <v/>
      </c>
      <c r="E2675">
        <f>INDEX(FactorTable!$B$2:$Y$301, MATCH(ROUND(MIN(300,MAX(1,D2675)),0), FactorTable!$A$2:$A$301,0), Skills!M8+1)</f>
        <v/>
      </c>
      <c r="F2675">
        <f>IF(Skills!N8=TRUE,(Skills!L8/10)*(E2675/1000),Skills!L8/10)+Skills!O8</f>
        <v/>
      </c>
      <c r="G2675">
        <f>Skills!G8*IF(Skills!H8&gt;0,Skills!I8/Skills!H8,1)</f>
        <v/>
      </c>
      <c r="H2675">
        <f>1-(1-Skills!J8/100)^Skills!K8</f>
        <v/>
      </c>
      <c r="I2675" t="inlineStr">
        <is>
          <t>1</t>
        </is>
      </c>
      <c r="J2675">
        <f>((Inputs!$B$6*(1+Inputs!$B$7/100))+(((Inputs!$B$12*(1+Inputs!$B$13/100))-(Inputs!$B$12*(1+Inputs!$B$13/100)))+0.25*(Inputs!$B$14-Inputs!$B$14))*(1+Inputs!$B$7/100))*(F2675/100)</f>
        <v/>
      </c>
      <c r="K2675">
        <f>J2675*(1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2675)</f>
        <v/>
      </c>
      <c r="L2675">
        <f>K2675*(MIN(Inputs!$B$22+((C2689=TRUE)*(F2689-Calc!F22)),(Inputs!$B$23+0+(IF(ArtifactsInput!$M$15,CHOOSE(ArtifactsInput!$N$15+1,25,30,35,40,45,50)/100*(Inputs!$B$11-Inputs!$B$11),0))))/100+(Inputs!$B$23+0+(IF(ArtifactsInput!$M$15,CHOOSE(ArtifactsInput!$N$15+1,25,30,35,40,45,50)/100*(Inputs!$B$11-Inputs!$B$11),0)))/100)/2</f>
        <v/>
      </c>
      <c r="M2675">
        <f>L2675*(1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5">
        <f>L2675*(1-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2675*(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5">
        <f>(1-Summary!$B$11)*T2675+Summary!$B$11*V2675</f>
        <v/>
      </c>
      <c r="P2675">
        <f>IF(B2708=0,0,O2675/B2708)</f>
        <v/>
      </c>
      <c r="Q2675">
        <f>IFERROR(1/(IF(Inputs!$B$38="pvp",15,MAX(0.1,Skills!D8-IF(Skills!E8=TRUE,Inputs!$B$32,0)))*(1-IF(AND(ArtifactsInput!$M$27,Inputs!$B$4="Chapter Hunt"),CHOOSE(ArtifactsInput!$N$27+1,20,24,28,32,36,40),0)/100)),0)</f>
        <v/>
      </c>
      <c r="R2675">
        <f>IF(AND(Inputs!$B$38&lt;&gt;"pvp",Inputs!$B$43&gt;0),IF(MAX(0,Inputs!$B$43-B2705)&lt;=0,0,(INT(MAX(0,Inputs!$B$43-B2705)/(IF(Inputs!$B$38="pvp",15,MAX(0.1,Skills!D8-IF(Skills!E8=TRUE,Inputs!$B$32,0)))*(1-IF(AND(ArtifactsInput!$M$27,Inputs!$B$4="Chapter Hunt"),CHOOSE(ArtifactsInput!$N$27+1,20,24,28,32,36,40),0)/100)))+1)),0)</f>
        <v/>
      </c>
      <c r="S2675">
        <f>IFERROR(O2675/N2675,0)</f>
        <v/>
      </c>
      <c r="T2675">
        <f>IF(C2675,(H2675*N2675*IF(AND(Inputs!$B$38&lt;&gt;"pvp",Inputs!$B$43&gt;0),((Skills!G8*((R2675-1)*IF(Skills!H8&gt;0,Skills!I8/Skills!H8,1)+IF(Skills!H8&gt;0,MIN(Skills!I8,MAX(0,MAX(0,Inputs!$B$43-B2705)-((R2675-1)*(IF(Inputs!$B$38="pvp",15,MAX(0.1,Skills!D8-IF(Skills!E8=TRUE,Inputs!$B$32,0)))*(1-IF(AND(ArtifactsInput!$M$27,Inputs!$B$4="Chapter Hunt"),CHOOSE(ArtifactsInput!$N$27+1,20,24,28,32,36,40),0)/100)))))/Skills!H8,1)))/Inputs!$B$43),G2675*Q2675)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2675*(1-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2675*(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2675*(1-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2675*(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5">
        <f>IF(C2675,(H2675*N2675*IF(AND(Inputs!$B$38&lt;&gt;"pvp",Inputs!$B$43&gt;0),((Skills!G8*((R2675-1)*IF(Skills!H8&gt;0,Skills!I8/Skills!H8,1)+IF(Skills!H8&gt;0,MIN(Skills!I8,MAX(0,MAX(0,Inputs!$B$43-B2705)-((R2675-1)*(IF(Inputs!$B$38="pvp",15,MAX(0.1,Skills!D8-IF(Skills!E8=TRUE,Inputs!$B$32,0)))*(1-IF(AND(ArtifactsInput!$M$27,Inputs!$B$4="Chapter Hunt"),CHOOSE(ArtifactsInput!$N$27+1,20,24,28,32,36,40),0)/100)))))/Skills!H8,1)))/Inputs!$B$43),G2675*Q2675))*IF(Inputs!$B$38="pvp",1,(1+(Inputs!$B$21+Skills!Q8+(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6">
      <c r="A2676">
        <f>Skills!A9</f>
        <v/>
      </c>
      <c r="B2676">
        <f>Skills!B9</f>
        <v/>
      </c>
      <c r="C2676">
        <f>Inputs!$B$3&gt;=103</f>
        <v/>
      </c>
      <c r="D2676">
        <f>IF(Skills!C9=1,60+Inputs!$B$25+Inputs!$B$29,IF(Skills!C9=2,90+Inputs!$B$26+Inputs!$B$29,IF(Skills!C9=3,120+Inputs!$B$27+Inputs!$B$29,MAX(0,(Inputs!$B$3-100)*3)+Inputs!$B$28+Inputs!$B$29)))</f>
        <v/>
      </c>
      <c r="E2676">
        <f>INDEX(FactorTable!$B$2:$Y$301, MATCH(ROUND(MIN(300,MAX(1,D2676)),0), FactorTable!$A$2:$A$301,0), Skills!M9+1)</f>
        <v/>
      </c>
      <c r="F2676">
        <f>IF(Skills!N9=TRUE,(Skills!L9/10)*(E2676/1000),Skills!L9/10)+Skills!O9</f>
        <v/>
      </c>
      <c r="G2676">
        <f>Skills!G9*IF(Skills!H9&gt;0,Skills!I9/Skills!H9,1)</f>
        <v/>
      </c>
      <c r="H2676">
        <f>1-(1-Skills!J9/100)^Skills!K9</f>
        <v/>
      </c>
      <c r="I2676" t="inlineStr">
        <is>
          <t>1</t>
        </is>
      </c>
      <c r="J2676">
        <f>((Inputs!$B$6*(1+Inputs!$B$7/100))+(((Inputs!$B$12*(1+Inputs!$B$13/100))-(Inputs!$B$12*(1+Inputs!$B$13/100)))+0.25*(Inputs!$B$14-Inputs!$B$14))*(1+Inputs!$B$7/100))*(F2676/100)</f>
        <v/>
      </c>
      <c r="K2676">
        <f>J2676*(1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2676)</f>
        <v/>
      </c>
      <c r="L2676">
        <f>K2676*(MIN(Inputs!$B$22+((C2689=TRUE)*(F2689-Calc!F22)),(Inputs!$B$23+0+(IF(ArtifactsInput!$M$15,CHOOSE(ArtifactsInput!$N$15+1,25,30,35,40,45,50)/100*(Inputs!$B$11-Inputs!$B$11),0))))/100+(Inputs!$B$23+0+(IF(ArtifactsInput!$M$15,CHOOSE(ArtifactsInput!$N$15+1,25,30,35,40,45,50)/100*(Inputs!$B$11-Inputs!$B$11),0)))/100)/2</f>
        <v/>
      </c>
      <c r="M2676">
        <f>L2676*(1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6">
        <f>L2676*(1-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2676*(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6">
        <f>(1-Summary!$B$11)*T2676+Summary!$B$11*V2676</f>
        <v/>
      </c>
      <c r="P2676">
        <f>IF(B2708=0,0,O2676/B2708)</f>
        <v/>
      </c>
      <c r="Q2676">
        <f>IFERROR(1/(IF(Inputs!$B$38="pvp",15,MAX(0.1,Skills!D9-IF(Skills!E9=TRUE,Inputs!$B$32,0)))*(1-IF(AND(ArtifactsInput!$M$27,Inputs!$B$4="Chapter Hunt"),CHOOSE(ArtifactsInput!$N$27+1,20,24,28,32,36,40),0)/100)),0)</f>
        <v/>
      </c>
      <c r="R2676">
        <f>IF(AND(Inputs!$B$38&lt;&gt;"pvp",Inputs!$B$43&gt;0),IF(MAX(0,Inputs!$B$43-B2705)&lt;=0,0,(INT(MAX(0,Inputs!$B$43-B2705)/(IF(Inputs!$B$38="pvp",15,MAX(0.1,Skills!D9-IF(Skills!E9=TRUE,Inputs!$B$32,0)))*(1-IF(AND(ArtifactsInput!$M$27,Inputs!$B$4="Chapter Hunt"),CHOOSE(ArtifactsInput!$N$27+1,20,24,28,32,36,40),0)/100)))+1)),0)</f>
        <v/>
      </c>
      <c r="S2676">
        <f>IFERROR(O2676/N2676,0)</f>
        <v/>
      </c>
      <c r="T2676">
        <f>IF(C2676,(H2676*N2676*IF(AND(Inputs!$B$38&lt;&gt;"pvp",Inputs!$B$43&gt;0),((Skills!G9*((R2676-1)*IF(Skills!H9&gt;0,Skills!I9/Skills!H9,1)+IF(Skills!H9&gt;0,MIN(Skills!I9,MAX(0,MAX(0,Inputs!$B$43-B2705)-((R2676-1)*(IF(Inputs!$B$38="pvp",15,MAX(0.1,Skills!D9-IF(Skills!E9=TRUE,Inputs!$B$32,0)))*(1-IF(AND(ArtifactsInput!$M$27,Inputs!$B$4="Chapter Hunt"),CHOOSE(ArtifactsInput!$N$27+1,20,24,28,32,36,40),0)/100)))))/Skills!H9,1)))/Inputs!$B$43),G2676*Q2676)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2676*(1-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2676*(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2676*(1-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2676*(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6">
        <f>IF(C2676,(H2676*N2676*IF(AND(Inputs!$B$38&lt;&gt;"pvp",Inputs!$B$43&gt;0),((Skills!G9*((R2676-1)*IF(Skills!H9&gt;0,Skills!I9/Skills!H9,1)+IF(Skills!H9&gt;0,MIN(Skills!I9,MAX(0,MAX(0,Inputs!$B$43-B2705)-((R2676-1)*(IF(Inputs!$B$38="pvp",15,MAX(0.1,Skills!D9-IF(Skills!E9=TRUE,Inputs!$B$32,0)))*(1-IF(AND(ArtifactsInput!$M$27,Inputs!$B$4="Chapter Hunt"),CHOOSE(ArtifactsInput!$N$27+1,20,24,28,32,36,40),0)/100)))))/Skills!H9,1)))/Inputs!$B$43),G2676*Q2676))*IF(Inputs!$B$38="pvp",1,(1+(Inputs!$B$21+Skills!Q9+(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7">
      <c r="A2677">
        <f>Skills!A10</f>
        <v/>
      </c>
      <c r="B2677">
        <f>Skills!B10</f>
        <v/>
      </c>
      <c r="C2677">
        <f>Inputs!$B$3&gt;=113</f>
        <v/>
      </c>
      <c r="D2677">
        <f>IF(Skills!C10=1,60+Inputs!$B$25+Inputs!$B$29,IF(Skills!C10=2,90+Inputs!$B$26+Inputs!$B$29,IF(Skills!C10=3,120+Inputs!$B$27+Inputs!$B$29,MAX(0,(Inputs!$B$3-100)*3)+Inputs!$B$28+Inputs!$B$29)))</f>
        <v/>
      </c>
      <c r="E2677">
        <f>INDEX(FactorTable!$B$2:$Y$301, MATCH(ROUND(MIN(300,MAX(1,D2677)),0), FactorTable!$A$2:$A$301,0), Skills!M10+1)</f>
        <v/>
      </c>
      <c r="F2677">
        <f>IF(Skills!N10=TRUE,(Skills!L10/10)*(E2677/1000),Skills!L10/10)+Skills!O10</f>
        <v/>
      </c>
      <c r="G2677">
        <f>Skills!G10*IF(Skills!H10&gt;0,Skills!I10/Skills!H10,1)</f>
        <v/>
      </c>
      <c r="H2677">
        <f>1-(1-Skills!J10/100)^Skills!K10</f>
        <v/>
      </c>
      <c r="I2677" t="inlineStr">
        <is>
          <t>1</t>
        </is>
      </c>
      <c r="J2677">
        <f>((Inputs!$B$6*(1+Inputs!$B$7/100))+(((Inputs!$B$12*(1+Inputs!$B$13/100))-(Inputs!$B$12*(1+Inputs!$B$13/100)))+0.25*(Inputs!$B$14-Inputs!$B$14))*(1+Inputs!$B$7/100))*(F2677/100)</f>
        <v/>
      </c>
      <c r="K2677">
        <f>J2677*(1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2677)</f>
        <v/>
      </c>
      <c r="L2677">
        <f>K2677*(MIN(Inputs!$B$22+((C2689=TRUE)*(F2689-Calc!F22)),(Inputs!$B$23+0+(IF(ArtifactsInput!$M$15,CHOOSE(ArtifactsInput!$N$15+1,25,30,35,40,45,50)/100*(Inputs!$B$11-Inputs!$B$11),0))))/100+(Inputs!$B$23+0+(IF(ArtifactsInput!$M$15,CHOOSE(ArtifactsInput!$N$15+1,25,30,35,40,45,50)/100*(Inputs!$B$11-Inputs!$B$11),0)))/100)/2</f>
        <v/>
      </c>
      <c r="M2677">
        <f>L2677*(1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7">
        <f>L2677*(1-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2677*(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7">
        <f>(1-Summary!$B$11)*T2677+Summary!$B$11*V2677</f>
        <v/>
      </c>
      <c r="P2677">
        <f>IF(B2708=0,0,O2677/B2708)</f>
        <v/>
      </c>
      <c r="Q2677">
        <f>IFERROR(1/(IF(Inputs!$B$38="pvp",15,MAX(0.1,Skills!D10-IF(Skills!E10=TRUE,Inputs!$B$32,0)))*(1-IF(AND(ArtifactsInput!$M$27,Inputs!$B$4="Chapter Hunt"),CHOOSE(ArtifactsInput!$N$27+1,20,24,28,32,36,40),0)/100)),0)</f>
        <v/>
      </c>
      <c r="R2677">
        <f>IF(AND(Inputs!$B$38&lt;&gt;"pvp",Inputs!$B$43&gt;0),IF(MAX(0,Inputs!$B$43-B2705)&lt;=0,0,(INT(MAX(0,Inputs!$B$43-B2705)/(IF(Inputs!$B$38="pvp",15,MAX(0.1,Skills!D10-IF(Skills!E10=TRUE,Inputs!$B$32,0)))*(1-IF(AND(ArtifactsInput!$M$27,Inputs!$B$4="Chapter Hunt"),CHOOSE(ArtifactsInput!$N$27+1,20,24,28,32,36,40),0)/100)))+1)),0)</f>
        <v/>
      </c>
      <c r="S2677">
        <f>IFERROR(O2677/N2677,0)</f>
        <v/>
      </c>
      <c r="T2677">
        <f>IF(C2677,(H2677*N2677*IF(AND(Inputs!$B$38&lt;&gt;"pvp",Inputs!$B$43&gt;0),((Skills!G10*((R2677-1)*IF(Skills!H10&gt;0,Skills!I10/Skills!H10,1)+IF(Skills!H10&gt;0,MIN(Skills!I10,MAX(0,MAX(0,Inputs!$B$43-B2705)-((R2677-1)*(IF(Inputs!$B$38="pvp",15,MAX(0.1,Skills!D10-IF(Skills!E10=TRUE,Inputs!$B$32,0)))*(1-IF(AND(ArtifactsInput!$M$27,Inputs!$B$4="Chapter Hunt"),CHOOSE(ArtifactsInput!$N$27+1,20,24,28,32,36,40),0)/100)))))/Skills!H10,1)))/Inputs!$B$43),G2677*Q2677)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2677*(1-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2677*(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2677*(1-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2677*(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7">
        <f>IF(C2677,(H2677*N2677*IF(AND(Inputs!$B$38&lt;&gt;"pvp",Inputs!$B$43&gt;0),((Skills!G10*((R2677-1)*IF(Skills!H10&gt;0,Skills!I10/Skills!H10,1)+IF(Skills!H10&gt;0,MIN(Skills!I10,MAX(0,MAX(0,Inputs!$B$43-B2705)-((R2677-1)*(IF(Inputs!$B$38="pvp",15,MAX(0.1,Skills!D10-IF(Skills!E10=TRUE,Inputs!$B$32,0)))*(1-IF(AND(ArtifactsInput!$M$27,Inputs!$B$4="Chapter Hunt"),CHOOSE(ArtifactsInput!$N$27+1,20,24,28,32,36,40),0)/100)))))/Skills!H10,1)))/Inputs!$B$43),G2677*Q2677))*IF(Inputs!$B$38="pvp",1,(1+(Inputs!$B$21+Skills!Q10+(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8">
      <c r="A2678">
        <f>Skills!A11</f>
        <v/>
      </c>
      <c r="B2678">
        <f>Skills!B11</f>
        <v/>
      </c>
      <c r="C2678">
        <f>Inputs!$B$3&gt;=107</f>
        <v/>
      </c>
      <c r="D2678">
        <f>IF(Skills!C11=1,60+Inputs!$B$25+Inputs!$B$29,IF(Skills!C11=2,90+Inputs!$B$26+Inputs!$B$29,IF(Skills!C11=3,120+Inputs!$B$27+Inputs!$B$29,MAX(0,(Inputs!$B$3-100)*3)+Inputs!$B$28+Inputs!$B$29)))</f>
        <v/>
      </c>
      <c r="E2678">
        <f>INDEX(FactorTable!$B$2:$Y$301, MATCH(ROUND(MIN(300,MAX(1,D2678)),0), FactorTable!$A$2:$A$301,0), Skills!M11+1)</f>
        <v/>
      </c>
      <c r="F2678">
        <f>IF(Skills!N11=TRUE,(Skills!L11/10)*(E2678/1000),Skills!L11/10)+Skills!O11</f>
        <v/>
      </c>
      <c r="G2678">
        <f>Skills!G11*IF(Skills!H11&gt;0,Skills!I11/Skills!H11,1)</f>
        <v/>
      </c>
      <c r="H2678">
        <f>1-(1-Skills!J11/100)^Skills!K11</f>
        <v/>
      </c>
      <c r="I2678" t="inlineStr">
        <is>
          <t>1</t>
        </is>
      </c>
      <c r="J2678">
        <f>((Inputs!$B$6*(1+Inputs!$B$7/100))+(((Inputs!$B$12*(1+Inputs!$B$13/100))-(Inputs!$B$12*(1+Inputs!$B$13/100)))+0.25*(Inputs!$B$14-Inputs!$B$14))*(1+Inputs!$B$7/100))*(F2678/100)</f>
        <v/>
      </c>
      <c r="K2678">
        <f>J2678*(1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2678)</f>
        <v/>
      </c>
      <c r="L2678">
        <f>K2678*(MIN(Inputs!$B$22+((C2689=TRUE)*(F2689-Calc!F22)),(Inputs!$B$23+0+(IF(ArtifactsInput!$M$15,CHOOSE(ArtifactsInput!$N$15+1,25,30,35,40,45,50)/100*(Inputs!$B$11-Inputs!$B$11),0))))/100+(Inputs!$B$23+0+(IF(ArtifactsInput!$M$15,CHOOSE(ArtifactsInput!$N$15+1,25,30,35,40,45,50)/100*(Inputs!$B$11-Inputs!$B$11),0)))/100)/2</f>
        <v/>
      </c>
      <c r="M2678">
        <f>L2678*(1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8">
        <f>L2678*(1-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2678*(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8">
        <f>(1-Summary!$B$11)*T2678+Summary!$B$11*V2678</f>
        <v/>
      </c>
      <c r="P2678">
        <f>IF(B2708=0,0,O2678/B2708)</f>
        <v/>
      </c>
      <c r="Q2678">
        <f>IFERROR(1/(IF(Inputs!$B$38="pvp",15,MAX(0.1,Skills!D11-IF(Skills!E11=TRUE,Inputs!$B$32,0)))*(1-IF(AND(ArtifactsInput!$M$27,Inputs!$B$4="Chapter Hunt"),CHOOSE(ArtifactsInput!$N$27+1,20,24,28,32,36,40),0)/100)),0)</f>
        <v/>
      </c>
      <c r="R2678">
        <f>IF(AND(Inputs!$B$38&lt;&gt;"pvp",Inputs!$B$43&gt;0),IF(MAX(0,Inputs!$B$43-B2705)&lt;=0,0,(INT(MAX(0,Inputs!$B$43-B2705)/(IF(Inputs!$B$38="pvp",15,MAX(0.1,Skills!D11-IF(Skills!E11=TRUE,Inputs!$B$32,0)))*(1-IF(AND(ArtifactsInput!$M$27,Inputs!$B$4="Chapter Hunt"),CHOOSE(ArtifactsInput!$N$27+1,20,24,28,32,36,40),0)/100)))+1)),0)</f>
        <v/>
      </c>
      <c r="S2678">
        <f>IFERROR(O2678/N2678,0)</f>
        <v/>
      </c>
      <c r="T2678">
        <f>IF(C2678,(H2678*N2678*IF(AND(Inputs!$B$38&lt;&gt;"pvp",Inputs!$B$43&gt;0),((Skills!G11*((R2678-1)*IF(Skills!H11&gt;0,Skills!I11/Skills!H11,1)+IF(Skills!H11&gt;0,MIN(Skills!I11,MAX(0,MAX(0,Inputs!$B$43-B2705)-((R2678-1)*(IF(Inputs!$B$38="pvp",15,MAX(0.1,Skills!D11-IF(Skills!E11=TRUE,Inputs!$B$32,0)))*(1-IF(AND(ArtifactsInput!$M$27,Inputs!$B$4="Chapter Hunt"),CHOOSE(ArtifactsInput!$N$27+1,20,24,28,32,36,40),0)/100)))))/Skills!H11,1)))/Inputs!$B$43),G2678*Q2678)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2678*(1-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2678*(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2678*(1-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2678*(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8">
        <f>IF(C2678,(H2678*N2678*IF(AND(Inputs!$B$38&lt;&gt;"pvp",Inputs!$B$43&gt;0),((Skills!G11*((R2678-1)*IF(Skills!H11&gt;0,Skills!I11/Skills!H11,1)+IF(Skills!H11&gt;0,MIN(Skills!I11,MAX(0,MAX(0,Inputs!$B$43-B2705)-((R2678-1)*(IF(Inputs!$B$38="pvp",15,MAX(0.1,Skills!D11-IF(Skills!E11=TRUE,Inputs!$B$32,0)))*(1-IF(AND(ArtifactsInput!$M$27,Inputs!$B$4="Chapter Hunt"),CHOOSE(ArtifactsInput!$N$27+1,20,24,28,32,36,40),0)/100)))))/Skills!H11,1)))/Inputs!$B$43),G2678*Q2678))*IF(Inputs!$B$38="pvp",1,(1+(Inputs!$B$21+Skills!Q11+(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9">
      <c r="A2679">
        <f>Skills!A12</f>
        <v/>
      </c>
      <c r="B2679">
        <f>Skills!B12</f>
        <v/>
      </c>
      <c r="C2679">
        <f>Inputs!$B$3&gt;=110</f>
        <v/>
      </c>
      <c r="D2679">
        <f>IF(Skills!C12=1,60+Inputs!$B$25+Inputs!$B$29,IF(Skills!C12=2,90+Inputs!$B$26+Inputs!$B$29,IF(Skills!C12=3,120+Inputs!$B$27+Inputs!$B$29,MAX(0,(Inputs!$B$3-100)*3)+Inputs!$B$28+Inputs!$B$29)))</f>
        <v/>
      </c>
      <c r="E2679">
        <f>INDEX(FactorTable!$B$2:$Y$301, MATCH(ROUND(MIN(300,MAX(1,D2679)),0), FactorTable!$A$2:$A$301,0), Skills!M12+1)</f>
        <v/>
      </c>
      <c r="F2679">
        <f>IF(Skills!N12=TRUE,(Skills!L12/10)*(E2679/1000),Skills!L12/10)+Skills!O12</f>
        <v/>
      </c>
      <c r="G2679">
        <f>Skills!G12*IF(Skills!H12&gt;0,Skills!I12/Skills!H12,1)</f>
        <v/>
      </c>
      <c r="H2679">
        <f>1-(1-Skills!J12/100)^Skills!K12</f>
        <v/>
      </c>
      <c r="I2679" t="inlineStr">
        <is>
          <t>1</t>
        </is>
      </c>
      <c r="J2679">
        <f>((Inputs!$B$6*(1+Inputs!$B$7/100))+(((Inputs!$B$12*(1+Inputs!$B$13/100))-(Inputs!$B$12*(1+Inputs!$B$13/100)))+0.25*(Inputs!$B$14-Inputs!$B$14))*(1+Inputs!$B$7/100))*(F2679/100)</f>
        <v/>
      </c>
      <c r="K2679">
        <f>J2679*(1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2679)</f>
        <v/>
      </c>
      <c r="L2679">
        <f>K2679*(MIN(Inputs!$B$22+((C2689=TRUE)*(F2689-Calc!F22)),(Inputs!$B$23+0+(IF(ArtifactsInput!$M$15,CHOOSE(ArtifactsInput!$N$15+1,25,30,35,40,45,50)/100*(Inputs!$B$11-Inputs!$B$11),0))))/100+(Inputs!$B$23+0+(IF(ArtifactsInput!$M$15,CHOOSE(ArtifactsInput!$N$15+1,25,30,35,40,45,50)/100*(Inputs!$B$11-Inputs!$B$11),0)))/100)/2</f>
        <v/>
      </c>
      <c r="M2679">
        <f>L2679*(1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9">
        <f>L2679*(1-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2679*(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9">
        <f>(1-Summary!$B$11)*T2679+Summary!$B$11*V2679</f>
        <v/>
      </c>
      <c r="P2679">
        <f>IF(B2708=0,0,O2679/B2708)</f>
        <v/>
      </c>
      <c r="Q2679">
        <f>IFERROR(1/(IF(Inputs!$B$38="pvp",15,MAX(0.1,Skills!D12-IF(Skills!E12=TRUE,Inputs!$B$32,0)))*(1-IF(AND(ArtifactsInput!$M$27,Inputs!$B$4="Chapter Hunt"),CHOOSE(ArtifactsInput!$N$27+1,20,24,28,32,36,40),0)/100)),0)</f>
        <v/>
      </c>
      <c r="R2679">
        <f>IF(AND(Inputs!$B$38&lt;&gt;"pvp",Inputs!$B$43&gt;0),IF(MAX(0,Inputs!$B$43-B2705)&lt;=0,0,(INT(MAX(0,Inputs!$B$43-B2705)/(IF(Inputs!$B$38="pvp",15,MAX(0.1,Skills!D12-IF(Skills!E12=TRUE,Inputs!$B$32,0)))*(1-IF(AND(ArtifactsInput!$M$27,Inputs!$B$4="Chapter Hunt"),CHOOSE(ArtifactsInput!$N$27+1,20,24,28,32,36,40),0)/100)))+1)),0)</f>
        <v/>
      </c>
      <c r="S2679">
        <f>IFERROR(O2679/N2679,0)</f>
        <v/>
      </c>
      <c r="T2679">
        <f>IF(C2679,(H2679*N2679*IF(AND(Inputs!$B$38&lt;&gt;"pvp",Inputs!$B$43&gt;0),((Skills!G12*((R2679-1)*IF(Skills!H12&gt;0,Skills!I12/Skills!H12,1)+IF(Skills!H12&gt;0,MIN(Skills!I12,MAX(0,MAX(0,Inputs!$B$43-B2705)-((R2679-1)*(IF(Inputs!$B$38="pvp",15,MAX(0.1,Skills!D12-IF(Skills!E12=TRUE,Inputs!$B$32,0)))*(1-IF(AND(ArtifactsInput!$M$27,Inputs!$B$4="Chapter Hunt"),CHOOSE(ArtifactsInput!$N$27+1,20,24,28,32,36,40),0)/100)))))/Skills!H12,1)))/Inputs!$B$43),G2679*Q2679)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2679*(1-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2679*(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2679*(1-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2679*(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9">
        <f>IF(C2679,(H2679*N2679*IF(AND(Inputs!$B$38&lt;&gt;"pvp",Inputs!$B$43&gt;0),((Skills!G12*((R2679-1)*IF(Skills!H12&gt;0,Skills!I12/Skills!H12,1)+IF(Skills!H12&gt;0,MIN(Skills!I12,MAX(0,MAX(0,Inputs!$B$43-B2705)-((R2679-1)*(IF(Inputs!$B$38="pvp",15,MAX(0.1,Skills!D12-IF(Skills!E12=TRUE,Inputs!$B$32,0)))*(1-IF(AND(ArtifactsInput!$M$27,Inputs!$B$4="Chapter Hunt"),CHOOSE(ArtifactsInput!$N$27+1,20,24,28,32,36,40),0)/100)))))/Skills!H12,1)))/Inputs!$B$43),G2679*Q2679))*IF(Inputs!$B$38="pvp",1,(1+(Inputs!$B$21+Skills!Q12+(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0">
      <c r="A2680">
        <f>Skills!A13</f>
        <v/>
      </c>
      <c r="B2680">
        <f>Skills!B13</f>
        <v/>
      </c>
      <c r="C2680">
        <f>Inputs!$B$3&gt;=110</f>
        <v/>
      </c>
      <c r="D2680">
        <f>IF(Skills!C13=1,60+Inputs!$B$25+Inputs!$B$29,IF(Skills!C13=2,90+Inputs!$B$26+Inputs!$B$29,IF(Skills!C13=3,120+Inputs!$B$27+Inputs!$B$29,MAX(0,(Inputs!$B$3-100)*3)+Inputs!$B$28+Inputs!$B$29)))</f>
        <v/>
      </c>
      <c r="E2680">
        <f>INDEX(FactorTable!$B$2:$Y$301, MATCH(ROUND(MIN(300,MAX(1,D2680)),0), FactorTable!$A$2:$A$301,0), Skills!M13+1)</f>
        <v/>
      </c>
      <c r="F2680">
        <f>IF(Skills!N13=TRUE,(Skills!L13/10)*(E2680/1000),Skills!L13/10)+Skills!O13</f>
        <v/>
      </c>
      <c r="G2680">
        <f>Skills!G13*IF(Skills!H13&gt;0,Skills!I13/Skills!H13,1)</f>
        <v/>
      </c>
      <c r="H2680">
        <f>1-(1-Skills!J13/100)^Skills!K13</f>
        <v/>
      </c>
      <c r="I2680" t="inlineStr">
        <is>
          <t>1</t>
        </is>
      </c>
      <c r="J2680">
        <f>((Inputs!$B$6*(1+Inputs!$B$7/100))+(((Inputs!$B$12*(1+Inputs!$B$13/100))-(Inputs!$B$12*(1+Inputs!$B$13/100)))+0.25*(Inputs!$B$14-Inputs!$B$14))*(1+Inputs!$B$7/100))*(F2680/100)</f>
        <v/>
      </c>
      <c r="K2680">
        <f>J2680*(1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2680)</f>
        <v/>
      </c>
      <c r="L2680">
        <f>K2680*(MIN(Inputs!$B$22+((C2689=TRUE)*(F2689-Calc!F22)),(Inputs!$B$23+0+(IF(ArtifactsInput!$M$15,CHOOSE(ArtifactsInput!$N$15+1,25,30,35,40,45,50)/100*(Inputs!$B$11-Inputs!$B$11),0))))/100+(Inputs!$B$23+0+(IF(ArtifactsInput!$M$15,CHOOSE(ArtifactsInput!$N$15+1,25,30,35,40,45,50)/100*(Inputs!$B$11-Inputs!$B$11),0)))/100)/2</f>
        <v/>
      </c>
      <c r="M2680">
        <f>L2680*(1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0">
        <f>L2680*(1-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2680*(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0">
        <f>(1-Summary!$B$11)*T2680+Summary!$B$11*V2680</f>
        <v/>
      </c>
      <c r="P2680">
        <f>IF(B2708=0,0,O2680/B2708)</f>
        <v/>
      </c>
      <c r="Q2680">
        <f>IFERROR(1/(IF(Inputs!$B$38="pvp",15,MAX(0.1,Skills!D13-IF(Skills!E13=TRUE,Inputs!$B$32,0)))*(1-IF(AND(ArtifactsInput!$M$27,Inputs!$B$4="Chapter Hunt"),CHOOSE(ArtifactsInput!$N$27+1,20,24,28,32,36,40),0)/100)),0)</f>
        <v/>
      </c>
      <c r="R2680">
        <f>IF(AND(Inputs!$B$38&lt;&gt;"pvp",Inputs!$B$43&gt;0),IF(MAX(0,Inputs!$B$43-B2705)&lt;=0,0,(INT(MAX(0,Inputs!$B$43-B2705)/(IF(Inputs!$B$38="pvp",15,MAX(0.1,Skills!D13-IF(Skills!E13=TRUE,Inputs!$B$32,0)))*(1-IF(AND(ArtifactsInput!$M$27,Inputs!$B$4="Chapter Hunt"),CHOOSE(ArtifactsInput!$N$27+1,20,24,28,32,36,40),0)/100)))+1)),0)</f>
        <v/>
      </c>
      <c r="S2680">
        <f>IFERROR(O2680/N2680,0)</f>
        <v/>
      </c>
      <c r="T2680">
        <f>IF(C2680,(H2680*N2680*IF(AND(Inputs!$B$38&lt;&gt;"pvp",Inputs!$B$43&gt;0),((Skills!G13*((R2680-1)*IF(Skills!H13&gt;0,Skills!I13/Skills!H13,1)+IF(Skills!H13&gt;0,MIN(Skills!I13,MAX(0,MAX(0,Inputs!$B$43-B2705)-((R2680-1)*(IF(Inputs!$B$38="pvp",15,MAX(0.1,Skills!D13-IF(Skills!E13=TRUE,Inputs!$B$32,0)))*(1-IF(AND(ArtifactsInput!$M$27,Inputs!$B$4="Chapter Hunt"),CHOOSE(ArtifactsInput!$N$27+1,20,24,28,32,36,40),0)/100)))))/Skills!H13,1)))/Inputs!$B$43),G2680*Q2680)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2680*(1-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2680*(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2680*(1-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2680*(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0">
        <f>IF(C2680,(H2680*N2680*IF(AND(Inputs!$B$38&lt;&gt;"pvp",Inputs!$B$43&gt;0),((Skills!G13*((R2680-1)*IF(Skills!H13&gt;0,Skills!I13/Skills!H13,1)+IF(Skills!H13&gt;0,MIN(Skills!I13,MAX(0,MAX(0,Inputs!$B$43-B2705)-((R2680-1)*(IF(Inputs!$B$38="pvp",15,MAX(0.1,Skills!D13-IF(Skills!E13=TRUE,Inputs!$B$32,0)))*(1-IF(AND(ArtifactsInput!$M$27,Inputs!$B$4="Chapter Hunt"),CHOOSE(ArtifactsInput!$N$27+1,20,24,28,32,36,40),0)/100)))))/Skills!H13,1)))/Inputs!$B$43),G2680*Q2680))*IF(Inputs!$B$38="pvp",1,(1+(Inputs!$B$21+Skills!Q13+(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1">
      <c r="A2681">
        <f>Skills!A14</f>
        <v/>
      </c>
      <c r="B2681">
        <f>Skills!B14</f>
        <v/>
      </c>
      <c r="C2681">
        <f>Inputs!$B$3&gt;=125</f>
        <v/>
      </c>
      <c r="D2681">
        <f>IF(Skills!C14=1,60+Inputs!$B$25+Inputs!$B$29,IF(Skills!C14=2,90+Inputs!$B$26+Inputs!$B$29,IF(Skills!C14=3,120+Inputs!$B$27+Inputs!$B$29,MAX(0,(Inputs!$B$3-100)*3)+Inputs!$B$28+Inputs!$B$29)))</f>
        <v/>
      </c>
      <c r="E2681">
        <f>INDEX(FactorTable!$B$2:$Y$301, MATCH(ROUND(MIN(300,MAX(1,D2681)),0), FactorTable!$A$2:$A$301,0), Skills!M14+1)</f>
        <v/>
      </c>
      <c r="F2681">
        <f>IF(Skills!N14=TRUE,(Skills!L14/10)*(E2681/1000),Skills!L14/10)+Skills!O14</f>
        <v/>
      </c>
      <c r="G2681">
        <f>Skills!G14*IF(Skills!H14&gt;0,Skills!I14/Skills!H14,1)</f>
        <v/>
      </c>
      <c r="H2681">
        <f>1-(1-Skills!J14/100)^Skills!K14</f>
        <v/>
      </c>
      <c r="I2681" t="inlineStr">
        <is>
          <t>1</t>
        </is>
      </c>
      <c r="J2681">
        <f>((Inputs!$B$6*(1+Inputs!$B$7/100))+(((Inputs!$B$12*(1+Inputs!$B$13/100))-(Inputs!$B$12*(1+Inputs!$B$13/100)))+0.25*(Inputs!$B$14-Inputs!$B$14))*(1+Inputs!$B$7/100))*(F2681/100)</f>
        <v/>
      </c>
      <c r="K2681">
        <f>J2681*(1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2681)</f>
        <v/>
      </c>
      <c r="L2681">
        <f>K2681*(MIN(Inputs!$B$22+((C2689=TRUE)*(F2689-Calc!F22)),(Inputs!$B$23+0+(IF(ArtifactsInput!$M$15,CHOOSE(ArtifactsInput!$N$15+1,25,30,35,40,45,50)/100*(Inputs!$B$11-Inputs!$B$11),0))))/100+(Inputs!$B$23+0+(IF(ArtifactsInput!$M$15,CHOOSE(ArtifactsInput!$N$15+1,25,30,35,40,45,50)/100*(Inputs!$B$11-Inputs!$B$11),0)))/100)/2</f>
        <v/>
      </c>
      <c r="M2681">
        <f>L2681*(1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1">
        <f>L2681*(1-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1">
        <f>(1-Summary!$B$11)*T2681+Summary!$B$11*V2681</f>
        <v/>
      </c>
      <c r="P2681">
        <f>IF(B2708=0,0,O2681/B2708)</f>
        <v/>
      </c>
      <c r="Q2681" t="n">
        <v>0</v>
      </c>
      <c r="R2681" t="n">
        <v>0</v>
      </c>
      <c r="S2681">
        <f>IFERROR(O2681/N2681,0)</f>
        <v/>
      </c>
      <c r="T2681">
        <f>IF(C2681,(H2681*N2681*(B2702+IF(AND(Inputs!$B$38&lt;&gt;"pvp",Inputs!$B$43&gt;0),((Skills!G8*((R2675-1)*IF(Skills!H8&gt;0,Skills!I8/Skills!H8,1)+IF(Skills!H8&gt;0,MIN(Skills!I8,MAX(0,MAX(0,Inputs!$B$43-B2705)-((R2675-1)*(IF(Inputs!$B$38="pvp",15,MAX(0.1,Skills!D8-IF(Skills!E8=TRUE,Inputs!$B$32,0)))*(1-IF(AND(ArtifactsInput!$M$27,Inputs!$B$4="Chapter Hunt"),CHOOSE(ArtifactsInput!$N$27+1,20,24,28,32,36,40),0)/100)))))/Skills!H8,1)))/Inputs!$B$43),G2675*Q2675)+IF(AND(Inputs!$B$38&lt;&gt;"pvp",Inputs!$B$43&gt;0),((Skills!G11*((R2678-1)*IF(Skills!H11&gt;0,Skills!I11/Skills!H11,1)+IF(Skills!H11&gt;0,MIN(Skills!I11,MAX(0,MAX(0,Inputs!$B$43-B2705)-((R2678-1)*(IF(Inputs!$B$38="pvp",15,MAX(0.1,Skills!D11-IF(Skills!E11=TRUE,Inputs!$B$32,0)))*(1-IF(AND(ArtifactsInput!$M$27,Inputs!$B$4="Chapter Hunt"),CHOOSE(ArtifactsInput!$N$27+1,20,24,28,32,36,40),0)/100)))))/Skills!H11,1)))/Inputs!$B$43),G2678*Q2678)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2681*(1-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2681*(1-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1">
        <f>IF(C2681,(H2681*N2681*(B2702+IF(AND(Inputs!$B$38&lt;&gt;"pvp",Inputs!$B$43&gt;0),((Skills!G8*((R2675-1)*IF(Skills!H8&gt;0,Skills!I8/Skills!H8,1)+IF(Skills!H8&gt;0,MIN(Skills!I8,MAX(0,MAX(0,Inputs!$B$43-B2705)-((R2675-1)*(IF(Inputs!$B$38="pvp",15,MAX(0.1,Skills!D8-IF(Skills!E8=TRUE,Inputs!$B$32,0)))*(1-IF(AND(ArtifactsInput!$M$27,Inputs!$B$4="Chapter Hunt"),CHOOSE(ArtifactsInput!$N$27+1,20,24,28,32,36,40),0)/100)))))/Skills!H8,1)))/Inputs!$B$43),G2675*Q2675)+IF(AND(Inputs!$B$38&lt;&gt;"pvp",Inputs!$B$43&gt;0),((Skills!G11*((R2678-1)*IF(Skills!H11&gt;0,Skills!I11/Skills!H11,1)+IF(Skills!H11&gt;0,MIN(Skills!I11,MAX(0,MAX(0,Inputs!$B$43-B2705)-((R2678-1)*(IF(Inputs!$B$38="pvp",15,MAX(0.1,Skills!D11-IF(Skills!E11=TRUE,Inputs!$B$32,0)))*(1-IF(AND(ArtifactsInput!$M$27,Inputs!$B$4="Chapter Hunt"),CHOOSE(ArtifactsInput!$N$27+1,20,24,28,32,36,40),0)/100)))))/Skills!H11,1)))/Inputs!$B$43),G2678*Q2678)))*IF(Inputs!$B$38="pvp",1,(1+(Inputs!$B$21+Skills!Q14+(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2">
      <c r="A2682">
        <f>Skills!A15</f>
        <v/>
      </c>
      <c r="B2682">
        <f>Skills!B15</f>
        <v/>
      </c>
      <c r="C2682">
        <f>Inputs!$B$3&gt;=100</f>
        <v/>
      </c>
      <c r="D2682">
        <f>IF(Skills!C15=1,60+Inputs!$B$25+Inputs!$B$29,IF(Skills!C15=2,90+Inputs!$B$26+Inputs!$B$29,IF(Skills!C15=3,120+Inputs!$B$27+Inputs!$B$29,MAX(0,(Inputs!$B$3-100)*3)+Inputs!$B$28+Inputs!$B$29)))</f>
        <v/>
      </c>
      <c r="E2682">
        <f>INDEX(FactorTable!$B$2:$Y$301, MATCH(ROUND(MIN(300,MAX(1,D2682)),0), FactorTable!$A$2:$A$301,0), Skills!M15+1)</f>
        <v/>
      </c>
      <c r="F2682">
        <f>IF(Skills!N15=TRUE,(Skills!L15/10)*(E2682/1000),Skills!L15/10)+Skills!O15</f>
        <v/>
      </c>
      <c r="G2682" t="inlineStr"/>
      <c r="H2682" t="inlineStr"/>
      <c r="I2682" t="inlineStr">
        <is>
          <t>1</t>
        </is>
      </c>
      <c r="J2682" t="inlineStr"/>
      <c r="K2682" t="inlineStr"/>
      <c r="L2682" t="inlineStr"/>
      <c r="M2682" t="inlineStr"/>
      <c r="N2682" t="inlineStr"/>
      <c r="O2682" t="inlineStr"/>
      <c r="P2682" t="inlineStr"/>
      <c r="Q2682" t="inlineStr"/>
      <c r="R2682" t="inlineStr"/>
      <c r="S2682" t="inlineStr"/>
    </row>
    <row r="2683">
      <c r="A2683">
        <f>Skills!A16</f>
        <v/>
      </c>
      <c r="B2683">
        <f>Skills!B16</f>
        <v/>
      </c>
      <c r="C2683">
        <f>Inputs!$B$3&gt;=120</f>
        <v/>
      </c>
      <c r="D2683">
        <f>IF(Skills!C16=1,60+Inputs!$B$25+Inputs!$B$29,IF(Skills!C16=2,90+Inputs!$B$26+Inputs!$B$29,IF(Skills!C16=3,120+Inputs!$B$27+Inputs!$B$29,MAX(0,(Inputs!$B$3-100)*3)+Inputs!$B$28+Inputs!$B$29)))</f>
        <v/>
      </c>
      <c r="E2683">
        <f>INDEX(FactorTable!$B$2:$Y$301, MATCH(ROUND(MIN(300,MAX(1,D2683)),0), FactorTable!$A$2:$A$301,0), Skills!M16+1)</f>
        <v/>
      </c>
      <c r="F2683">
        <f>IF(Skills!N16=TRUE,(Skills!L16/10)*(E2683/1000),Skills!L16/10)+Skills!O16</f>
        <v/>
      </c>
      <c r="G2683" t="inlineStr"/>
      <c r="H2683" t="inlineStr"/>
      <c r="I2683" t="inlineStr">
        <is>
          <t>1</t>
        </is>
      </c>
      <c r="J2683" t="inlineStr"/>
      <c r="K2683" t="inlineStr"/>
      <c r="L2683" t="inlineStr"/>
      <c r="M2683" t="inlineStr"/>
      <c r="N2683" t="inlineStr"/>
      <c r="O2683" t="inlineStr"/>
      <c r="P2683" t="inlineStr"/>
      <c r="Q2683" t="inlineStr"/>
      <c r="R2683" t="inlineStr"/>
      <c r="S2683" t="inlineStr"/>
    </row>
    <row r="2684">
      <c r="A2684">
        <f>Skills!A17</f>
        <v/>
      </c>
      <c r="B2684">
        <f>Skills!B17</f>
        <v/>
      </c>
      <c r="C2684">
        <f>Inputs!$B$3&gt;=66</f>
        <v/>
      </c>
      <c r="D2684">
        <f>IF(Skills!C17=1,60+Inputs!$B$25+Inputs!$B$29,IF(Skills!C17=2,90+Inputs!$B$26+Inputs!$B$29,IF(Skills!C17=3,120+Inputs!$B$27+Inputs!$B$29,MAX(0,(Inputs!$B$3-100)*3)+Inputs!$B$28+Inputs!$B$29)))</f>
        <v/>
      </c>
      <c r="E2684">
        <f>INDEX(FactorTable!$B$2:$Y$301, MATCH(ROUND(MIN(300,MAX(1,D2684)),0), FactorTable!$A$2:$A$301,0), Skills!M17+1)</f>
        <v/>
      </c>
      <c r="F2684">
        <f>IF(Skills!N17=TRUE,(Skills!L17/10)*(E2684/1000),Skills!L17/10)+Skills!O17</f>
        <v/>
      </c>
      <c r="G2684">
        <f>Skills!G17*IF(Skills!H17&gt;0,Skills!I17/Skills!H17,1)</f>
        <v/>
      </c>
      <c r="H2684">
        <f>1-(1-Skills!J17/100)^Skills!K17</f>
        <v/>
      </c>
      <c r="I2684" t="inlineStr">
        <is>
          <t>1</t>
        </is>
      </c>
      <c r="J2684" t="inlineStr"/>
      <c r="K2684" t="inlineStr"/>
      <c r="L2684" t="inlineStr"/>
      <c r="M2684" t="inlineStr"/>
      <c r="N2684" t="inlineStr"/>
      <c r="O2684">
        <f>(1-Summary!$B$11)*T2684+Summary!$B$11*V2684</f>
        <v/>
      </c>
      <c r="P2684">
        <f>IF(B2708=0,0,O2684/B2708)</f>
        <v/>
      </c>
      <c r="Q2684" t="n">
        <v>0</v>
      </c>
      <c r="R2684" t="n">
        <v>0</v>
      </c>
      <c r="S2684">
        <f>IFERROR(O2684/N2684,0)</f>
        <v/>
      </c>
      <c r="T2684" t="n">
        <v>0</v>
      </c>
      <c r="V2684" t="n">
        <v>0</v>
      </c>
    </row>
    <row r="2685">
      <c r="A2685">
        <f>Skills!A18</f>
        <v/>
      </c>
      <c r="B2685">
        <f>Skills!B18</f>
        <v/>
      </c>
      <c r="C2685">
        <f>Inputs!$B$3&gt;=115</f>
        <v/>
      </c>
      <c r="D2685">
        <f>IF(Skills!C18=1,60+Inputs!$B$25+Inputs!$B$29,IF(Skills!C18=2,90+Inputs!$B$26+Inputs!$B$29,IF(Skills!C18=3,120+Inputs!$B$27+Inputs!$B$29,MAX(0,(Inputs!$B$3-100)*3)+Inputs!$B$28+Inputs!$B$29)))</f>
        <v/>
      </c>
      <c r="E2685">
        <f>INDEX(FactorTable!$B$2:$Y$301, MATCH(ROUND(MIN(300,MAX(1,D2685)),0), FactorTable!$A$2:$A$301,0), Skills!M18+1)</f>
        <v/>
      </c>
      <c r="F2685">
        <f>IF(Skills!N18=TRUE,(Skills!L18/10)*(E2685/1000),Skills!L18/10)+Skills!O18</f>
        <v/>
      </c>
      <c r="G2685">
        <f>Skills!G18*IF(Skills!H18&gt;0,Skills!I18/Skills!H18,1)</f>
        <v/>
      </c>
      <c r="H2685">
        <f>1-(1-Skills!J18/100)^Skills!K18</f>
        <v/>
      </c>
      <c r="I2685" t="inlineStr">
        <is>
          <t>1</t>
        </is>
      </c>
      <c r="J2685" t="inlineStr"/>
      <c r="K2685" t="inlineStr"/>
      <c r="L2685" t="inlineStr"/>
      <c r="M2685" t="inlineStr"/>
      <c r="N2685" t="inlineStr"/>
      <c r="O2685">
        <f>(1-Summary!$B$11)*T2685+Summary!$B$11*V2685</f>
        <v/>
      </c>
      <c r="P2685">
        <f>IF(B2708=0,0,O2685/B2708)</f>
        <v/>
      </c>
      <c r="Q2685">
        <f>IFERROR(1/(IF(Inputs!$B$38="pvp",15,MAX(0.1,Skills!D18-IF(Skills!E18=TRUE,Inputs!$B$32,0)))*(1-IF(AND(ArtifactsInput!$M$27,Inputs!$B$4="Chapter Hunt"),CHOOSE(ArtifactsInput!$N$27+1,20,24,28,32,36,40),0)/100)),0)</f>
        <v/>
      </c>
      <c r="R2685">
        <f>IF(AND(Inputs!$B$38&lt;&gt;"pvp",Inputs!$B$43&gt;0),IF(Inputs!$B$43&lt;=0,0,(INT(Inputs!$B$43/(IF(Inputs!$B$38="pvp",15,MAX(0.1,Skills!D18-IF(Skills!E18=TRUE,Inputs!$B$32,0)))*(1-IF(AND(ArtifactsInput!$M$27,Inputs!$B$4="Chapter Hunt"),CHOOSE(ArtifactsInput!$N$27+1,20,24,28,32,36,40),0)/100)))+1)),0)</f>
        <v/>
      </c>
      <c r="S2685">
        <f>IFERROR(O2685/N2685,0)</f>
        <v/>
      </c>
      <c r="T2685" t="n">
        <v>0</v>
      </c>
      <c r="V2685" t="n">
        <v>0</v>
      </c>
    </row>
    <row r="2686">
      <c r="A2686">
        <f>Skills!A19</f>
        <v/>
      </c>
      <c r="B2686">
        <f>Skills!B19</f>
        <v/>
      </c>
      <c r="C2686">
        <f>Inputs!$B$3&gt;=15</f>
        <v/>
      </c>
      <c r="D2686">
        <f>IF(Skills!C19=1,60+Inputs!$B$25+Inputs!$B$29,IF(Skills!C19=2,90+Inputs!$B$26+Inputs!$B$29,IF(Skills!C19=3,120+Inputs!$B$27+Inputs!$B$29,MAX(0,(Inputs!$B$3-100)*3)+Inputs!$B$28+Inputs!$B$29)))</f>
        <v/>
      </c>
      <c r="E2686">
        <f>INDEX(FactorTable!$B$2:$Y$301, MATCH(ROUND(MIN(300,MAX(1,D2686)),0), FactorTable!$A$2:$A$301,0), Skills!M19+1)</f>
        <v/>
      </c>
      <c r="F2686">
        <f>IF(Skills!N19=TRUE,(Skills!L19/10)*(E2686/1000),Skills!L19/10)+Skills!O19</f>
        <v/>
      </c>
      <c r="G2686">
        <f>Skills!G19*IF(Skills!H19&gt;0,Skills!I19/Skills!H19,1)</f>
        <v/>
      </c>
      <c r="H2686">
        <f>1-(1-Skills!J19/100)^Skills!K19</f>
        <v/>
      </c>
      <c r="I2686" t="inlineStr">
        <is>
          <t>1</t>
        </is>
      </c>
      <c r="J2686" t="inlineStr"/>
      <c r="K2686" t="inlineStr"/>
      <c r="L2686" t="inlineStr"/>
      <c r="M2686" t="inlineStr"/>
      <c r="N2686" t="inlineStr"/>
      <c r="O2686">
        <f>(1-Summary!$B$11)*T2686+Summary!$B$11*V2686</f>
        <v/>
      </c>
      <c r="P2686">
        <f>IF(B2708=0,0,O2686/B2708)</f>
        <v/>
      </c>
      <c r="Q2686" t="n">
        <v>0</v>
      </c>
      <c r="R2686" t="n">
        <v>0</v>
      </c>
      <c r="S2686">
        <f>IFERROR(O2686/N2686,0)</f>
        <v/>
      </c>
      <c r="T2686" t="n">
        <v>0</v>
      </c>
      <c r="V2686" t="n">
        <v>0</v>
      </c>
    </row>
    <row r="2687">
      <c r="A2687">
        <f>Skills!A20</f>
        <v/>
      </c>
      <c r="B2687">
        <f>Skills!B20</f>
        <v/>
      </c>
      <c r="C2687">
        <f>Inputs!$B$3&gt;=10</f>
        <v/>
      </c>
      <c r="D2687">
        <f>IF(Skills!C20=1,60+Inputs!$B$25+Inputs!$B$29,IF(Skills!C20=2,90+Inputs!$B$26+Inputs!$B$29,IF(Skills!C20=3,120+Inputs!$B$27+Inputs!$B$29,MAX(0,(Inputs!$B$3-100)*3)+Inputs!$B$28+Inputs!$B$29)))</f>
        <v/>
      </c>
      <c r="E2687">
        <f>INDEX(FactorTable!$B$2:$Y$301, MATCH(ROUND(MIN(300,MAX(1,D2687)),0), FactorTable!$A$2:$A$301,0), Skills!M20+1)</f>
        <v/>
      </c>
      <c r="F2687">
        <f>IF(Skills!N20=TRUE,(Skills!L20/10)*(E2687/1000),Skills!L20/10)+Skills!O20</f>
        <v/>
      </c>
      <c r="G2687">
        <f>Skills!G20*IF(Skills!H20&gt;0,Skills!I20/Skills!H20,1)</f>
        <v/>
      </c>
      <c r="H2687">
        <f>1-(1-Skills!J20/100)^Skills!K20</f>
        <v/>
      </c>
      <c r="I2687" t="inlineStr">
        <is>
          <t>1</t>
        </is>
      </c>
      <c r="J2687" t="inlineStr"/>
      <c r="K2687" t="inlineStr"/>
      <c r="L2687" t="inlineStr"/>
      <c r="M2687" t="inlineStr"/>
      <c r="N2687" t="inlineStr"/>
      <c r="O2687">
        <f>(1-Summary!$B$11)*T2687+Summary!$B$11*V2687</f>
        <v/>
      </c>
      <c r="P2687">
        <f>IF(B2708=0,0,O2687/B2708)</f>
        <v/>
      </c>
      <c r="Q2687" t="n">
        <v>0</v>
      </c>
      <c r="R2687" t="n">
        <v>0</v>
      </c>
      <c r="S2687">
        <f>IFERROR(O2687/N2687,0)</f>
        <v/>
      </c>
      <c r="T2687" t="n">
        <v>0</v>
      </c>
      <c r="V2687" t="n">
        <v>0</v>
      </c>
    </row>
    <row r="2688">
      <c r="A2688">
        <f>Skills!A21</f>
        <v/>
      </c>
      <c r="B2688">
        <f>Skills!B21</f>
        <v/>
      </c>
      <c r="C2688">
        <f>Inputs!$B$3&gt;=33</f>
        <v/>
      </c>
      <c r="D2688">
        <f>IF(Skills!C21=1,60+Inputs!$B$25+Inputs!$B$29,IF(Skills!C21=2,90+Inputs!$B$26+Inputs!$B$29,IF(Skills!C21=3,120+Inputs!$B$27+Inputs!$B$29,MAX(0,(Inputs!$B$3-100)*3)+Inputs!$B$28+Inputs!$B$29)))</f>
        <v/>
      </c>
      <c r="E2688">
        <f>INDEX(FactorTable!$B$2:$Y$301, MATCH(ROUND(MIN(300,MAX(1,D2688)),0), FactorTable!$A$2:$A$301,0), Skills!M21+1)</f>
        <v/>
      </c>
      <c r="F2688">
        <f>IF(Skills!N21=TRUE,(Skills!L21/10)*(E2688/1000),Skills!L21/10)+Skills!O21</f>
        <v/>
      </c>
      <c r="G2688">
        <f>Skills!G21*IF(Skills!H21&gt;0,Skills!I21/Skills!H21,1)</f>
        <v/>
      </c>
      <c r="H2688">
        <f>1-(1-Skills!J21/100)^Skills!K21</f>
        <v/>
      </c>
      <c r="I2688" t="inlineStr">
        <is>
          <t>1</t>
        </is>
      </c>
      <c r="J2688" t="inlineStr"/>
      <c r="K2688" t="inlineStr"/>
      <c r="L2688" t="inlineStr"/>
      <c r="M2688" t="inlineStr"/>
      <c r="N2688" t="inlineStr"/>
      <c r="O2688">
        <f>(1-Summary!$B$11)*T2688+Summary!$B$11*V2688</f>
        <v/>
      </c>
      <c r="P2688">
        <f>IF(B2708=0,0,O2688/B2708)</f>
        <v/>
      </c>
      <c r="Q2688" t="n">
        <v>0</v>
      </c>
      <c r="R2688" t="n">
        <v>0</v>
      </c>
      <c r="S2688">
        <f>IFERROR(O2688/N2688,0)</f>
        <v/>
      </c>
      <c r="T2688" t="n">
        <v>0</v>
      </c>
      <c r="V2688" t="n">
        <v>0</v>
      </c>
    </row>
    <row r="2689">
      <c r="A2689">
        <f>Skills!A22</f>
        <v/>
      </c>
      <c r="B2689">
        <f>Skills!B22</f>
        <v/>
      </c>
      <c r="C2689">
        <f>Inputs!$B$3&gt;=43</f>
        <v/>
      </c>
      <c r="D2689">
        <f>IF(Skills!C22=1,60+Inputs!$B$25+Inputs!$B$29,IF(Skills!C22=2,90+Inputs!$B$26+Inputs!$B$29,IF(Skills!C22=3,120+Inputs!$B$27+Inputs!$B$29,MAX(0,(Inputs!$B$3-100)*3)+Inputs!$B$28+Inputs!$B$29)))</f>
        <v/>
      </c>
      <c r="E2689">
        <f>INDEX(FactorTable!$B$2:$Y$301, MATCH(ROUND(MIN(300,MAX(1,D2689)),0), FactorTable!$A$2:$A$301,0), Skills!M22+1)</f>
        <v/>
      </c>
      <c r="F2689">
        <f>IF(Skills!N22=TRUE,(Skills!L22/10)*(E2689/1000),Skills!L22/10)+Skills!O22</f>
        <v/>
      </c>
      <c r="G2689">
        <f>Skills!G22*IF(Skills!H22&gt;0,Skills!I22/Skills!H22,1)</f>
        <v/>
      </c>
      <c r="H2689">
        <f>1-(1-Skills!J22/100)^Skills!K22</f>
        <v/>
      </c>
      <c r="I2689" t="inlineStr">
        <is>
          <t>1</t>
        </is>
      </c>
      <c r="J2689" t="inlineStr"/>
      <c r="K2689" t="inlineStr"/>
      <c r="L2689" t="inlineStr"/>
      <c r="M2689" t="inlineStr"/>
      <c r="N2689" t="inlineStr"/>
      <c r="O2689">
        <f>(1-Summary!$B$11)*T2689+Summary!$B$11*V2689</f>
        <v/>
      </c>
      <c r="P2689">
        <f>IF(B2708=0,0,O2689/B2708)</f>
        <v/>
      </c>
      <c r="Q2689" t="n">
        <v>0</v>
      </c>
      <c r="R2689" t="n">
        <v>0</v>
      </c>
      <c r="S2689">
        <f>IFERROR(O2689/N2689,0)</f>
        <v/>
      </c>
      <c r="T2689" t="n">
        <v>0</v>
      </c>
      <c r="V2689" t="n">
        <v>0</v>
      </c>
    </row>
    <row r="2690">
      <c r="A2690">
        <f>Skills!A23</f>
        <v/>
      </c>
      <c r="B2690">
        <f>Skills!B23</f>
        <v/>
      </c>
      <c r="C2690">
        <f>Inputs!$B$3&gt;=38</f>
        <v/>
      </c>
      <c r="D2690">
        <f>IF(Skills!C23=1,60+Inputs!$B$25+Inputs!$B$29,IF(Skills!C23=2,90+Inputs!$B$26+Inputs!$B$29,IF(Skills!C23=3,120+Inputs!$B$27+Inputs!$B$29,MAX(0,(Inputs!$B$3-100)*3)+Inputs!$B$28+Inputs!$B$29)))</f>
        <v/>
      </c>
      <c r="E2690">
        <f>INDEX(FactorTable!$B$2:$Y$301, MATCH(ROUND(MIN(300,MAX(1,D2690)),0), FactorTable!$A$2:$A$301,0), Skills!M23+1)</f>
        <v/>
      </c>
      <c r="F2690">
        <f>IF(Skills!N23=TRUE,(Skills!L23/10)*(E2690/1000),Skills!L23/10)+Skills!O23</f>
        <v/>
      </c>
      <c r="G2690">
        <f>Skills!G23*IF(Skills!H23&gt;0,Skills!I23/Skills!H23,1)</f>
        <v/>
      </c>
      <c r="H2690">
        <f>1-(1-Skills!J23/100)^Skills!K23</f>
        <v/>
      </c>
      <c r="I2690" t="inlineStr">
        <is>
          <t>1</t>
        </is>
      </c>
      <c r="J2690" t="inlineStr"/>
      <c r="K2690" t="inlineStr"/>
      <c r="L2690" t="inlineStr"/>
      <c r="M2690" t="inlineStr"/>
      <c r="N2690" t="inlineStr"/>
      <c r="O2690">
        <f>(1-Summary!$B$11)*T2690+Summary!$B$11*V2690</f>
        <v/>
      </c>
      <c r="P2690">
        <f>IF(B2708=0,0,O2690/B2708)</f>
        <v/>
      </c>
      <c r="Q2690" t="n">
        <v>0</v>
      </c>
      <c r="R2690" t="n">
        <v>0</v>
      </c>
      <c r="S2690">
        <f>IFERROR(O2690/N2690,0)</f>
        <v/>
      </c>
      <c r="T2690" t="n">
        <v>0</v>
      </c>
      <c r="V2690" t="n">
        <v>0</v>
      </c>
    </row>
    <row r="2691">
      <c r="A2691">
        <f>Skills!A24</f>
        <v/>
      </c>
      <c r="B2691">
        <f>Skills!B24</f>
        <v/>
      </c>
      <c r="C2691">
        <f>Inputs!$B$3&gt;=40</f>
        <v/>
      </c>
      <c r="D2691">
        <f>IF(Skills!C24=1,60+Inputs!$B$25+Inputs!$B$29,IF(Skills!C24=2,90+Inputs!$B$26+Inputs!$B$29,IF(Skills!C24=3,120+Inputs!$B$27+Inputs!$B$29,MAX(0,(Inputs!$B$3-100)*3)+Inputs!$B$28+Inputs!$B$29)))</f>
        <v/>
      </c>
      <c r="E2691">
        <f>INDEX(FactorTable!$B$2:$Y$301, MATCH(ROUND(MIN(300,MAX(1,D2691)),0), FactorTable!$A$2:$A$301,0), Skills!M24+1)</f>
        <v/>
      </c>
      <c r="F2691">
        <f>IF(Skills!N24=TRUE,(Skills!L24/10)*(E2691/1000),Skills!L24/10)+Skills!O24</f>
        <v/>
      </c>
      <c r="G2691">
        <f>Skills!G24*IF(Skills!H24&gt;0,Skills!I24/Skills!H24,1)</f>
        <v/>
      </c>
      <c r="H2691">
        <f>1-(1-Skills!J24/100)^Skills!K24</f>
        <v/>
      </c>
      <c r="I2691" t="inlineStr">
        <is>
          <t>1</t>
        </is>
      </c>
      <c r="J2691" t="inlineStr"/>
      <c r="K2691" t="inlineStr"/>
      <c r="L2691" t="inlineStr"/>
      <c r="M2691" t="inlineStr"/>
      <c r="N2691" t="inlineStr"/>
      <c r="O2691">
        <f>(1-Summary!$B$11)*T2691+Summary!$B$11*V2691</f>
        <v/>
      </c>
      <c r="P2691">
        <f>IF(B2708=0,0,O2691/B2708)</f>
        <v/>
      </c>
      <c r="Q2691" t="n">
        <v>0</v>
      </c>
      <c r="R2691" t="n">
        <v>0</v>
      </c>
      <c r="S2691">
        <f>IFERROR(O2691/N2691,0)</f>
        <v/>
      </c>
      <c r="T2691" t="n">
        <v>0</v>
      </c>
      <c r="V2691" t="n">
        <v>0</v>
      </c>
    </row>
    <row r="2692">
      <c r="A2692">
        <f>Skills!A25</f>
        <v/>
      </c>
      <c r="B2692">
        <f>Skills!B25</f>
        <v/>
      </c>
      <c r="C2692">
        <f>Inputs!$B$3&gt;=72</f>
        <v/>
      </c>
      <c r="D2692">
        <f>IF(Skills!C25=1,60+Inputs!$B$25+Inputs!$B$29,IF(Skills!C25=2,90+Inputs!$B$26+Inputs!$B$29,IF(Skills!C25=3,120+Inputs!$B$27+Inputs!$B$29,MAX(0,(Inputs!$B$3-100)*3)+Inputs!$B$28+Inputs!$B$29)))</f>
        <v/>
      </c>
      <c r="E2692">
        <f>INDEX(FactorTable!$B$2:$Y$301, MATCH(ROUND(MIN(300,MAX(1,D2692)),0), FactorTable!$A$2:$A$301,0), Skills!M25+1)</f>
        <v/>
      </c>
      <c r="F2692">
        <f>IF(Skills!N25=TRUE,(Skills!L25/10)*(E2692/1000),Skills!L25/10)+Skills!O25</f>
        <v/>
      </c>
      <c r="G2692">
        <f>Skills!G25*IF(Skills!H25&gt;0,Skills!I25/Skills!H25,1)</f>
        <v/>
      </c>
      <c r="H2692">
        <f>1-(1-Skills!J25/100)^Skills!K25</f>
        <v/>
      </c>
      <c r="I2692" t="inlineStr">
        <is>
          <t>1</t>
        </is>
      </c>
      <c r="J2692" t="inlineStr"/>
      <c r="K2692" t="inlineStr"/>
      <c r="L2692" t="inlineStr"/>
      <c r="M2692" t="inlineStr"/>
      <c r="N2692" t="inlineStr"/>
      <c r="O2692">
        <f>(1-Summary!$B$11)*T2692+Summary!$B$11*V2692</f>
        <v/>
      </c>
      <c r="P2692">
        <f>IF(B2708=0,0,O2692/B2708)</f>
        <v/>
      </c>
      <c r="Q2692" t="n">
        <v>0</v>
      </c>
      <c r="R2692" t="n">
        <v>0</v>
      </c>
      <c r="S2692">
        <f>IFERROR(O2692/N2692,0)</f>
        <v/>
      </c>
      <c r="T2692" t="n">
        <v>0</v>
      </c>
      <c r="V2692" t="n">
        <v>0</v>
      </c>
    </row>
    <row r="2693">
      <c r="A2693">
        <f>Skills!A26</f>
        <v/>
      </c>
      <c r="B2693">
        <f>Skills!B26</f>
        <v/>
      </c>
      <c r="C2693">
        <f>Inputs!$B$3&gt;=75</f>
        <v/>
      </c>
      <c r="D2693">
        <f>IF(Skills!C26=1,60+Inputs!$B$25+Inputs!$B$29,IF(Skills!C26=2,90+Inputs!$B$26+Inputs!$B$29,IF(Skills!C26=3,120+Inputs!$B$27+Inputs!$B$29,MAX(0,(Inputs!$B$3-100)*3)+Inputs!$B$28+Inputs!$B$29)))</f>
        <v/>
      </c>
      <c r="E2693">
        <f>INDEX(FactorTable!$B$2:$Y$301, MATCH(ROUND(MIN(300,MAX(1,D2693)),0), FactorTable!$A$2:$A$301,0), Skills!M26+1)</f>
        <v/>
      </c>
      <c r="F2693">
        <f>IF(Skills!N26=TRUE,(Skills!L26/10)*(E2693/1000),Skills!L26/10)+Skills!O26</f>
        <v/>
      </c>
      <c r="G2693">
        <f>Skills!G26*IF(Skills!H26&gt;0,Skills!I26/Skills!H26,1)</f>
        <v/>
      </c>
      <c r="H2693">
        <f>1-(1-Skills!J26/100)^Skills!K26</f>
        <v/>
      </c>
      <c r="I2693" t="inlineStr">
        <is>
          <t>1</t>
        </is>
      </c>
      <c r="J2693" t="inlineStr"/>
      <c r="K2693" t="inlineStr"/>
      <c r="L2693" t="inlineStr"/>
      <c r="M2693" t="inlineStr"/>
      <c r="N2693" t="inlineStr"/>
      <c r="O2693">
        <f>(1-Summary!$B$11)*T2693+Summary!$B$11*V2693</f>
        <v/>
      </c>
      <c r="P2693">
        <f>IF(B2708=0,0,O2693/B2708)</f>
        <v/>
      </c>
      <c r="Q2693" t="n">
        <v>0</v>
      </c>
      <c r="R2693" t="n">
        <v>0</v>
      </c>
      <c r="S2693">
        <f>IFERROR(O2693/N2693,0)</f>
        <v/>
      </c>
      <c r="T2693" t="n">
        <v>0</v>
      </c>
      <c r="V2693" t="n">
        <v>0</v>
      </c>
    </row>
    <row r="2694">
      <c r="A2694">
        <f>Skills!A27</f>
        <v/>
      </c>
      <c r="B2694">
        <f>Skills!B27</f>
        <v/>
      </c>
      <c r="C2694">
        <f>Inputs!$B$3&gt;=117</f>
        <v/>
      </c>
      <c r="D2694">
        <f>IF(Skills!C27=1,60+Inputs!$B$25+Inputs!$B$29,IF(Skills!C27=2,90+Inputs!$B$26+Inputs!$B$29,IF(Skills!C27=3,120+Inputs!$B$27+Inputs!$B$29,MAX(0,(Inputs!$B$3-100)*3)+Inputs!$B$28+Inputs!$B$29)))</f>
        <v/>
      </c>
      <c r="E2694">
        <f>INDEX(FactorTable!$B$2:$Y$301, MATCH(ROUND(MIN(300,MAX(1,D2694)),0), FactorTable!$A$2:$A$301,0), Skills!M27+1)</f>
        <v/>
      </c>
      <c r="F2694">
        <f>IF(Skills!N27=TRUE,(Skills!L27/10)*(E2694/1000),Skills!L27/10)+Skills!O27</f>
        <v/>
      </c>
      <c r="G2694">
        <f>Skills!G27*IF(Skills!H27&gt;0,Skills!I27/Skills!H27,1)</f>
        <v/>
      </c>
      <c r="H2694">
        <f>1-(1-Skills!J27/100)^Skills!K27</f>
        <v/>
      </c>
      <c r="I2694" t="inlineStr">
        <is>
          <t>1</t>
        </is>
      </c>
      <c r="J2694" t="inlineStr"/>
      <c r="K2694" t="inlineStr"/>
      <c r="L2694" t="inlineStr"/>
      <c r="M2694" t="inlineStr"/>
      <c r="N2694" t="inlineStr"/>
      <c r="O2694">
        <f>(1-Summary!$B$11)*T2694+Summary!$B$11*V2694</f>
        <v/>
      </c>
      <c r="P2694">
        <f>IF(B2708=0,0,O2694/B2708)</f>
        <v/>
      </c>
      <c r="Q2694" t="n">
        <v>0</v>
      </c>
      <c r="R2694" t="n">
        <v>0</v>
      </c>
      <c r="S2694">
        <f>IFERROR(O2694/N2694,0)</f>
        <v/>
      </c>
      <c r="T2694" t="n">
        <v>0</v>
      </c>
      <c r="V2694" t="n">
        <v>0</v>
      </c>
    </row>
    <row r="2695">
      <c r="A2695">
        <f>Skills!A28</f>
        <v/>
      </c>
      <c r="B2695">
        <f>Skills!B28</f>
        <v/>
      </c>
      <c r="C2695">
        <f>TRUE</f>
        <v/>
      </c>
      <c r="D2695">
        <f>IF(Skills!C28=1,60+Inputs!$B$25+Inputs!$B$29,IF(Skills!C28=2,90+Inputs!$B$26+Inputs!$B$29,IF(Skills!C28=3,120+Inputs!$B$27+Inputs!$B$29,MAX(0,(Inputs!$B$3-100)*3)+Inputs!$B$28+Inputs!$B$29)))</f>
        <v/>
      </c>
      <c r="E2695">
        <f>INDEX(FactorTable!$B$2:$Y$301, MATCH(ROUND(MIN(300,MAX(1,D2695)),0), FactorTable!$A$2:$A$301,0), Skills!M28+1)</f>
        <v/>
      </c>
      <c r="F2695">
        <f>IF(Skills!N28=TRUE,(Skills!L28/10)*(E2695/1000),Skills!L28/10)+Skills!O28</f>
        <v/>
      </c>
      <c r="G2695">
        <f>Skills!G28*IF(Skills!H28&gt;0,Skills!I28/Skills!H28,1)</f>
        <v/>
      </c>
      <c r="H2695">
        <f>1-(1-Skills!J28/100)^Skills!K28</f>
        <v/>
      </c>
      <c r="I2695" t="inlineStr">
        <is>
          <t>1</t>
        </is>
      </c>
      <c r="J2695" t="inlineStr"/>
      <c r="K2695" t="inlineStr"/>
      <c r="L2695" t="inlineStr"/>
      <c r="M2695" t="inlineStr"/>
      <c r="N2695" t="inlineStr"/>
      <c r="O2695">
        <f>(1-Summary!$B$11)*T2695+Summary!$B$11*V2695</f>
        <v/>
      </c>
      <c r="P2695">
        <f>IF(B2708=0,0,O2695/B2708)</f>
        <v/>
      </c>
      <c r="Q2695">
        <f>IFERROR(1/(IF(Inputs!$B$38="pvp",15,MAX(0.1,Skills!D28-IF(Skills!E28=TRUE,Inputs!$B$32,0)))*(1-IF(AND(ArtifactsInput!$M$27,Inputs!$B$4="Chapter Hunt"),CHOOSE(ArtifactsInput!$N$27+1,20,24,28,32,36,40),0)/100)),0)</f>
        <v/>
      </c>
      <c r="R2695">
        <f>IF(AND(Inputs!$B$38&lt;&gt;"pvp",Inputs!$B$43&gt;0),IF(Inputs!$B$43&lt;=0,0,(INT(Inputs!$B$43/(IF(Inputs!$B$38="pvp",15,MAX(0.1,Skills!D28-IF(Skills!E28=TRUE,Inputs!$B$32,0)))*(1-IF(AND(ArtifactsInput!$M$27,Inputs!$B$4="Chapter Hunt"),CHOOSE(ArtifactsInput!$N$27+1,20,24,28,32,36,40),0)/100)))+1)),0)</f>
        <v/>
      </c>
      <c r="S2695">
        <f>IFERROR(O2695/N2695,0)</f>
        <v/>
      </c>
      <c r="T2695" t="n">
        <v>0</v>
      </c>
      <c r="V2695" t="n">
        <v>0</v>
      </c>
    </row>
    <row r="2697">
      <c r="A2697" t="inlineStr">
        <is>
          <t>Attack% Bucket Multiplier</t>
        </is>
      </c>
      <c r="B2697">
        <f>(1+(((C2684=TRUE)*F2684*5/7)+((C2691=TRUE)*(F2691-Calc!F24))+(IF(ArtifactsInput!$M$21,CHOOSE(ArtifactsInput!$N$21+1,25,30,35,40,45,50)*(IF(OR(Inputs!$B$4="Chapter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98">
      <c r="A2698" t="inlineStr">
        <is>
          <t>Global Crit Rate Bonus %</t>
        </is>
      </c>
      <c r="B2698" t="n">
        <v>0</v>
      </c>
    </row>
    <row r="2699">
      <c r="A2699" t="inlineStr">
        <is>
          <t>Attack Speed Buff Bonus % (Nimble Feet, duty-cycle averaged)</t>
        </is>
      </c>
      <c r="B2699">
        <f>((C2695=TRUE)*F2695*IF(AND(Inputs!$B$38&lt;&gt;"pvp",Inputs!$B$43&gt;0),(((R2695-1)*(Skills!T28*(1+Inputs!$B$34/100))+MIN((Skills!T28*(1+Inputs!$B$34/100)),MAX(0,Inputs!$B$43-((R2695-1)*Skills!D28))))/Inputs!$B$43),IF(Inputs!$B$38="pvp",MIN((Skills!T28*(1+Inputs!$B$34/100)),15)/15,(Skills!T28*(1+Inputs!$B$34/100))/Skills!D28)))</f>
        <v/>
      </c>
    </row>
    <row r="2700">
      <c r="A2700" t="inlineStr">
        <is>
          <t>Actions Per Second</t>
        </is>
      </c>
      <c r="B2700">
        <f>1+MIN(150,150*(1-(1-(Inputs!$B$11+((C2687=TRUE)*(F2687-Calc!F20))+((C2688=TRUE)*(F2688-Calc!F21)))/150)*(1-B2699/150)))/100</f>
        <v/>
      </c>
    </row>
    <row r="2701">
      <c r="A2701" t="inlineStr">
        <is>
          <t>Skill + Buff Cast Rate</t>
        </is>
      </c>
      <c r="B2701">
        <f>IF(AND(Inputs!$B$38&lt;&gt;"pvp",Inputs!$B$43&gt;0),SUMPRODUCT((Skills!E2:E28=TRUE)*(C2669:C2695=TRUE)*R2669:R2695*Skills!F2:F28)/Inputs!$B$43,SUMPRODUCT((Skills!E2:E28=TRUE)*(C2669:C2695=TRUE)*Q2669:Q2695*Skills!F2:F28))</f>
        <v/>
      </c>
    </row>
    <row r="2702">
      <c r="A2702" t="inlineStr">
        <is>
          <t>Eight-Legs Easton Casts Per Second</t>
        </is>
      </c>
      <c r="B2702">
        <f>MAX(0,B2700-B2701)</f>
        <v/>
      </c>
    </row>
    <row r="2703">
      <c r="A2703" t="inlineStr">
        <is>
          <t>Global Critical Damage Bonus % (unused)</t>
        </is>
      </c>
      <c r="B2703" t="n">
        <v>0</v>
      </c>
    </row>
    <row r="2704">
      <c r="A2704" t="inlineStr">
        <is>
          <t>Global Final Damage Bonus % (Jolly Roger + Ahoy Mateys - Final Damage proc)</t>
        </is>
      </c>
      <c r="B2704">
        <f>((C2685=TRUE)*F2685*IF(AND(Inputs!$B$38&lt;&gt;"pvp",Inputs!$B$43&gt;0),(((R2685-1)*(Skills!T18*(1+Inputs!$B$34/100))+MIN((Skills!T18*(1+Inputs!$B$34/100)),MAX(0,Inputs!$B$43-((R2685-1)*Skills!D18))))/Inputs!$B$43),IF(Inputs!$B$38="pvp",MIN((Skills!T18*(1+Inputs!$B$34/100)),15)/15,(Skills!T18*(1+Inputs!$B$34/100))/Skills!D18)))+IF(Inputs!$B$3&gt;=122,20*IF(Inputs!$B$38="pvp",MIN((20*(1+Inputs!$B$34/100)),15)/15,(20*(1+Inputs!$B$34/100))/Skills!D4),0)</f>
        <v/>
      </c>
    </row>
    <row r="2705">
      <c r="A2705" t="inlineStr">
        <is>
          <t>Buff-Casting Startup Delay (s, fixed-duration only)</t>
        </is>
      </c>
      <c r="B2705">
        <f>IF(AND(Inputs!$B$38&lt;&gt;"pvp",Inputs!$B$43&gt;0),SUMPRODUCT((Skills!T2:T28&gt;0)*(Skills!E2:E28=TRUE)*(C2669:C2695=TRUE))/B2700,0)</f>
        <v/>
      </c>
    </row>
    <row r="2706">
      <c r="A2706" t="inlineStr">
        <is>
          <t>Boss-Only Total DPS (this block's swept value)</t>
        </is>
      </c>
      <c r="B2706">
        <f>SUM(T2669:T2695)</f>
        <v/>
      </c>
    </row>
    <row r="2707">
      <c r="A2707" t="inlineStr">
        <is>
          <t>Normal-Only Total DPS (this block's swept value)</t>
        </is>
      </c>
      <c r="B2707">
        <f>SUM(V2669:V2695)</f>
        <v/>
      </c>
    </row>
    <row r="2708">
      <c r="A2708" s="6" t="inlineStr">
        <is>
          <t>TOTAL DPS</t>
        </is>
      </c>
      <c r="B2708" s="6">
        <f>SUM(O2669:O2695)</f>
        <v/>
      </c>
    </row>
    <row r="2711">
      <c r="A2711" s="6" t="inlineStr">
        <is>
          <t>Stat: Secret Map (Equip)</t>
        </is>
      </c>
    </row>
    <row r="2712">
      <c r="A2712" s="5" t="inlineStr">
        <is>
          <t>Key</t>
        </is>
      </c>
      <c r="B2712" s="5" t="inlineStr">
        <is>
          <t>Name</t>
        </is>
      </c>
      <c r="C2712" s="5" t="inlineStr">
        <is>
          <t>Unlocked</t>
        </is>
      </c>
      <c r="D2712" s="5" t="inlineStr">
        <is>
          <t>InputLevel</t>
        </is>
      </c>
      <c r="E2712" s="5" t="inlineStr">
        <is>
          <t>Factor</t>
        </is>
      </c>
      <c r="F2712" s="5" t="inlineStr">
        <is>
          <t>CoefficientPercent</t>
        </is>
      </c>
      <c r="G2712" s="5" t="inlineStr">
        <is>
          <t>EffectiveHits</t>
        </is>
      </c>
      <c r="H2712" s="5" t="inlineStr">
        <is>
          <t>ProcProbability</t>
        </is>
      </c>
      <c r="I2712" s="5" t="inlineStr">
        <is>
          <t>MapleHeroMultiplier</t>
        </is>
      </c>
      <c r="J2712" s="5" t="inlineStr">
        <is>
          <t>BaseDamage</t>
        </is>
      </c>
      <c r="K2712" s="5" t="inlineStr">
        <is>
          <t>BaseHitDamage</t>
        </is>
      </c>
      <c r="L2712" s="5" t="inlineStr">
        <is>
          <t>NonCritAvg</t>
        </is>
      </c>
      <c r="M2712" s="5" t="inlineStr">
        <is>
          <t>CritAvg</t>
        </is>
      </c>
      <c r="N2712" s="5" t="inlineStr">
        <is>
          <t>ExpectedDamage(perHit)</t>
        </is>
      </c>
      <c r="O2712" s="5" t="inlineStr">
        <is>
          <t>DPS</t>
        </is>
      </c>
      <c r="P2712" s="5" t="inlineStr">
        <is>
          <t>% of Total</t>
        </is>
      </c>
      <c r="Q2712" s="5" t="inlineStr">
        <is>
          <t>InvCooldown</t>
        </is>
      </c>
      <c r="R2712" s="5" t="inlineStr">
        <is>
          <t>CastsInFight</t>
        </is>
      </c>
      <c r="S2712" s="5" t="inlineStr">
        <is>
          <t>HitRate(perSec)</t>
        </is>
      </c>
      <c r="U2712" t="inlineStr">
        <is>
          <t>helpers</t>
        </is>
      </c>
    </row>
    <row r="2713">
      <c r="A2713">
        <f>Skills!A2</f>
        <v/>
      </c>
      <c r="B2713">
        <f>Skills!B2</f>
        <v/>
      </c>
      <c r="C2713">
        <f>Inputs!$B$3&gt;=100</f>
        <v/>
      </c>
      <c r="D2713" t="inlineStr"/>
      <c r="E2713" t="inlineStr"/>
      <c r="F2713">
        <f>U2715+Skills!O2</f>
        <v/>
      </c>
      <c r="G2713">
        <f>Skills!G2*IF(Skills!H2&gt;0,Skills!I2/Skills!H2,1)</f>
        <v/>
      </c>
      <c r="H2713">
        <f>1-(1-Skills!J2/100)^Skills!K2</f>
        <v/>
      </c>
      <c r="I2713" t="inlineStr">
        <is>
          <t>1</t>
        </is>
      </c>
      <c r="J2713">
        <f>((Inputs!$B$6*(1+Inputs!$B$7/100))+(((Inputs!$B$12*(1+Inputs!$B$13/100))-(Inputs!$B$12*(1+Inputs!$B$13/100)))+0.25*(Inputs!$B$14-Inputs!$B$14))*(1+Inputs!$B$7/100))*(F2713/100)</f>
        <v/>
      </c>
      <c r="K2713">
        <f>J2713*(1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2713)</f>
        <v/>
      </c>
      <c r="L2713">
        <f>K2713*(MIN(Inputs!$B$22+((C2733=TRUE)*(F2733-Calc!F22)),(Inputs!$B$23+0+(IF(ArtifactsInput!$M$15,CHOOSE(ArtifactsInput!$N$15+1,25,30,35,40,45,50)/100*(Inputs!$B$11-Inputs!$B$11),0))))/100+(Inputs!$B$23+0+(IF(ArtifactsInput!$M$15,CHOOSE(ArtifactsInput!$N$15+1,25,30,35,40,45,50)/100*(Inputs!$B$11-Inputs!$B$11),0)))/100)/2</f>
        <v/>
      </c>
      <c r="M2713">
        <f>L2713*(1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3">
        <f>L2713*(1-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2713*(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3">
        <f>(1-Summary!$B$11)*T2713+Summary!$B$11*V2713</f>
        <v/>
      </c>
      <c r="P2713">
        <f>IF(B2752=0,0,O2713/B2752)</f>
        <v/>
      </c>
      <c r="Q2713" t="n">
        <v>0</v>
      </c>
      <c r="R2713" t="n">
        <v>0</v>
      </c>
      <c r="S2713">
        <f>IFERROR(O2713/N2713,0)</f>
        <v/>
      </c>
      <c r="T2713">
        <f>IF(C2713,(Skills!G2*N2713*B2746)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2713*(1-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2713*(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2713*(1-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2713*(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3">
        <f>MAX(0,(Inputs!$B$3-100)*3)+Inputs!$B$28+Inputs!$B$29</f>
        <v/>
      </c>
      <c r="V2713">
        <f>IF(C2713,(Skills!G2*N2713*B2746)*IF(Inputs!$B$38="pvp",1,(1+(Inputs!$B$21+Skills!Q2+(IF(ArtifactsInput!$M$33,CHOOSE(ArtifactsInput!$N$33+1,30,36,42,48,54,60),0))+(IF(AND(ArtifactsInput!$M$35,Inputs!$B$4&lt;&gt;"Chapter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4">
      <c r="A2714">
        <f>Skills!A3</f>
        <v/>
      </c>
      <c r="B2714">
        <f>Skills!B3</f>
        <v/>
      </c>
      <c r="C2714">
        <f>Inputs!$B$3&gt;=35</f>
        <v/>
      </c>
      <c r="D2714">
        <f>IF(Skills!C3=1,60+Inputs!$B$25+Inputs!$B$29,IF(Skills!C3=2,90+Inputs!$B$26+Inputs!$B$29,IF(Skills!C3=3,120+Inputs!$B$27+Inputs!$B$29,MAX(0,(Inputs!$B$3-100)*3)+Inputs!$B$28+Inputs!$B$29)))</f>
        <v/>
      </c>
      <c r="E2714">
        <f>INDEX(FactorTable!$B$2:$Y$301, MATCH(ROUND(MIN(300,MAX(1,D2714)),0), FactorTable!$A$2:$A$301,0), Skills!M3+1)</f>
        <v/>
      </c>
      <c r="F2714">
        <f>IF(Skills!N3=TRUE,(Skills!L3/10)*(E2714/1000),Skills!L3/10)+Skills!O3</f>
        <v/>
      </c>
      <c r="G2714">
        <f>Skills!G3*IF(Skills!H3&gt;0,Skills!I3/Skills!H3,1)</f>
        <v/>
      </c>
      <c r="H2714">
        <f>1-(1-Skills!J3/100)^Skills!K3</f>
        <v/>
      </c>
      <c r="I2714" t="inlineStr">
        <is>
          <t>1</t>
        </is>
      </c>
      <c r="J2714">
        <f>((Inputs!$B$6*(1+Inputs!$B$7/100))+(((Inputs!$B$12*(1+Inputs!$B$13/100))-(Inputs!$B$12*(1+Inputs!$B$13/100)))+0.25*(Inputs!$B$14-Inputs!$B$14))*(1+Inputs!$B$7/100))*(F2714/100)</f>
        <v/>
      </c>
      <c r="K2714">
        <f>J2714*(1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2726=TRUE,F2726,0)/100)*(1+(IF(Skills!A3="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2714)</f>
        <v/>
      </c>
      <c r="L2714">
        <f>K2714*(MIN(Inputs!$B$22+((C2733=TRUE)*(F2733-Calc!F22)),(Inputs!$B$23+0+(IF(ArtifactsInput!$M$15,CHOOSE(ArtifactsInput!$N$15+1,25,30,35,40,45,50)/100*(Inputs!$B$11-Inputs!$B$11),0))))/100+(Inputs!$B$23+0+(IF(ArtifactsInput!$M$15,CHOOSE(ArtifactsInput!$N$15+1,25,30,35,40,45,50)/100*(Inputs!$B$11-Inputs!$B$11),0)))/100)/2</f>
        <v/>
      </c>
      <c r="M2714">
        <f>L2714*(1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4">
        <f>L2714*(1-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2714*(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4">
        <f>(1-Summary!$B$11)*T2714+Summary!$B$11*V2714</f>
        <v/>
      </c>
      <c r="P2714">
        <f>IF(B2752=0,0,O2714/B2752)</f>
        <v/>
      </c>
      <c r="Q2714">
        <f>IFERROR(1/(IF(Inputs!$B$38="pvp",15,MAX(0.1,Skills!D3-IF(Skills!E3=TRUE,Inputs!$B$32,0)))*(1-IF(AND(ArtifactsInput!$M$27,Inputs!$B$4="Chapter Hunt"),CHOOSE(ArtifactsInput!$N$27+1,20,24,28,32,36,40),0)/100)),0)</f>
        <v/>
      </c>
      <c r="R2714">
        <f>IF(AND(Inputs!$B$38&lt;&gt;"pvp",Inputs!$B$43&gt;0),IF(MAX(0,Inputs!$B$43-B2749)&lt;=0,0,(INT(MAX(0,Inputs!$B$43-B2749)/(IF(Inputs!$B$38="pvp",15,MAX(0.1,Skills!D3-IF(Skills!E3=TRUE,Inputs!$B$32,0)))*(1-IF(AND(ArtifactsInput!$M$27,Inputs!$B$4="Chapter Hunt"),CHOOSE(ArtifactsInput!$N$27+1,20,24,28,32,36,40),0)/100)))+1)),0)</f>
        <v/>
      </c>
      <c r="S2714">
        <f>IFERROR(O2714/N2714,0)</f>
        <v/>
      </c>
      <c r="T2714">
        <f>IF(C2714,(H2714*N2714*IF(AND(Inputs!$B$38&lt;&gt;"pvp",Inputs!$B$43&gt;0),((Skills!G3*((R2714-1)*IF(Skills!H3&gt;0,Skills!I3/Skills!H3,1)+IF(Skills!H3&gt;0,MIN(Skills!I3,MAX(0,MAX(0,Inputs!$B$43-B2749)-((R2714-1)*(IF(Inputs!$B$38="pvp",15,MAX(0.1,Skills!D3-IF(Skills!E3=TRUE,Inputs!$B$32,0)))*(1-IF(AND(ArtifactsInput!$M$27,Inputs!$B$4="Chapter Hunt"),CHOOSE(ArtifactsInput!$N$27+1,20,24,28,32,36,40),0)/100)))))/Skills!H3,1)))/Inputs!$B$43),G2714*Q2714)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2714*(1-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2714*(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2714*(1-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2714*(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4">
        <f>INDEX(FactorTable!$B$2:$Y$301, MATCH(ROUND(MIN(300,MAX(1,U2713)),0), FactorTable!$A$2:$A$301,0), 22)</f>
        <v/>
      </c>
      <c r="V2714">
        <f>IF(C2714,(H2714*N2714*IF(AND(Inputs!$B$38&lt;&gt;"pvp",Inputs!$B$43&gt;0),((Skills!G3*((R2714-1)*IF(Skills!H3&gt;0,Skills!I3/Skills!H3,1)+IF(Skills!H3&gt;0,MIN(Skills!I3,MAX(0,MAX(0,Inputs!$B$43-B2749)-((R2714-1)*(IF(Inputs!$B$38="pvp",15,MAX(0.1,Skills!D3-IF(Skills!E3=TRUE,Inputs!$B$32,0)))*(1-IF(AND(ArtifactsInput!$M$27,Inputs!$B$4="Chapter Hunt"),CHOOSE(ArtifactsInput!$N$27+1,20,24,28,32,36,40),0)/100)))))/Skills!H3,1)))/Inputs!$B$43),G2714*Q2714))*IF(Inputs!$B$38="pvp",1,(1+(Inputs!$B$21+Skills!Q3+(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5">
      <c r="A2715">
        <f>Skills!A4</f>
        <v/>
      </c>
      <c r="B2715">
        <f>Skills!B4</f>
        <v/>
      </c>
      <c r="C2715">
        <f>Inputs!$B$3&gt;=40</f>
        <v/>
      </c>
      <c r="D2715">
        <f>IF(Skills!C4=1,60+Inputs!$B$25+Inputs!$B$29,IF(Skills!C4=2,90+Inputs!$B$26+Inputs!$B$29,IF(Skills!C4=3,120+Inputs!$B$27+Inputs!$B$29,MAX(0,(Inputs!$B$3-100)*3)+Inputs!$B$28+Inputs!$B$29)))</f>
        <v/>
      </c>
      <c r="E2715">
        <f>INDEX(FactorTable!$B$2:$Y$301, MATCH(ROUND(MIN(300,MAX(1,D2715)),0), FactorTable!$A$2:$A$301,0), Skills!M4+1)</f>
        <v/>
      </c>
      <c r="F2715">
        <f>IF(Skills!N4=TRUE,(Skills!L4/10)*(E2715/1000),Skills!L4/10)+Skills!O4</f>
        <v/>
      </c>
      <c r="G2715">
        <f>Skills!G4*IF(Skills!H4&gt;0,Skills!I4/Skills!H4,1)</f>
        <v/>
      </c>
      <c r="H2715">
        <f>1-(1-Skills!J4/100)^Skills!K4</f>
        <v/>
      </c>
      <c r="I2715" t="inlineStr">
        <is>
          <t>1</t>
        </is>
      </c>
      <c r="J2715">
        <f>((Inputs!$B$6*(1+Inputs!$B$7/100))+(((Inputs!$B$12*(1+Inputs!$B$13/100))-(Inputs!$B$12*(1+Inputs!$B$13/100)))+0.25*(Inputs!$B$14-Inputs!$B$14))*(1+Inputs!$B$7/100))*(F2715/100)</f>
        <v/>
      </c>
      <c r="K2715">
        <f>J2715*(1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2727=TRUE,F2727,0)/100)*(1+(IF(Skills!A4="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2715)</f>
        <v/>
      </c>
      <c r="L2715">
        <f>K2715*(MIN(Inputs!$B$22+((C2733=TRUE)*(F2733-Calc!F22)),(Inputs!$B$23+0+(IF(ArtifactsInput!$M$15,CHOOSE(ArtifactsInput!$N$15+1,25,30,35,40,45,50)/100*(Inputs!$B$11-Inputs!$B$11),0))))/100+(Inputs!$B$23+0+(IF(ArtifactsInput!$M$15,CHOOSE(ArtifactsInput!$N$15+1,25,30,35,40,45,50)/100*(Inputs!$B$11-Inputs!$B$11),0)))/100)/2</f>
        <v/>
      </c>
      <c r="M2715">
        <f>L2715*(1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5">
        <f>L2715*(1-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2715*(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5">
        <f>(1-Summary!$B$11)*T2715+Summary!$B$11*V2715</f>
        <v/>
      </c>
      <c r="P2715">
        <f>IF(B2752=0,0,O2715/B2752)</f>
        <v/>
      </c>
      <c r="Q2715">
        <f>IFERROR(1/(IF(Inputs!$B$38="pvp",15,MAX(0.1,Skills!D4-IF(Skills!E4=TRUE,Inputs!$B$32,0)))*(1-IF(AND(ArtifactsInput!$M$27,Inputs!$B$4="Chapter Hunt"),CHOOSE(ArtifactsInput!$N$27+1,20,24,28,32,36,40),0)/100)),0)</f>
        <v/>
      </c>
      <c r="R2715">
        <f>IF(AND(Inputs!$B$38&lt;&gt;"pvp",Inputs!$B$43&gt;0),IF(MAX(0,Inputs!$B$43-B2749)&lt;=0,0,(INT(MAX(0,Inputs!$B$43-B2749)/(IF(Inputs!$B$38="pvp",15,MAX(0.1,Skills!D4-IF(Skills!E4=TRUE,Inputs!$B$32,0)))*(1-IF(AND(ArtifactsInput!$M$27,Inputs!$B$4="Chapter Hunt"),CHOOSE(ArtifactsInput!$N$27+1,20,24,28,32,36,40),0)/100)))+1)),0)</f>
        <v/>
      </c>
      <c r="S2715">
        <f>IFERROR(O2715/N2715,0)</f>
        <v/>
      </c>
      <c r="T2715">
        <f>IF(C2715,(H2715*N2715*IF(AND(Inputs!$B$38&lt;&gt;"pvp",Inputs!$B$43&gt;0),((Skills!G4*((R2715-1)*IF(Skills!H4&gt;0,Skills!I4/Skills!H4,1)+IF(Skills!H4&gt;0,MIN(Skills!I4,MAX(0,MAX(0,Inputs!$B$43-B2749)-((R2715-1)*(IF(Inputs!$B$38="pvp",15,MAX(0.1,Skills!D4-IF(Skills!E4=TRUE,Inputs!$B$32,0)))*(1-IF(AND(ArtifactsInput!$M$27,Inputs!$B$4="Chapter Hunt"),CHOOSE(ArtifactsInput!$N$27+1,20,24,28,32,36,40),0)/100)))))/Skills!H4,1)))/Inputs!$B$43),G2715*Q2715)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2715*(1-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2715*(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2715*(1-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2715*(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5">
        <f>290*U2714/1000</f>
        <v/>
      </c>
      <c r="V2715">
        <f>IF(C2715,(H2715*N2715*IF(AND(Inputs!$B$38&lt;&gt;"pvp",Inputs!$B$43&gt;0),((Skills!G4*((R2715-1)*IF(Skills!H4&gt;0,Skills!I4/Skills!H4,1)+IF(Skills!H4&gt;0,MIN(Skills!I4,MAX(0,MAX(0,Inputs!$B$43-B2749)-((R2715-1)*(IF(Inputs!$B$38="pvp",15,MAX(0.1,Skills!D4-IF(Skills!E4=TRUE,Inputs!$B$32,0)))*(1-IF(AND(ArtifactsInput!$M$27,Inputs!$B$4="Chapter Hunt"),CHOOSE(ArtifactsInput!$N$27+1,20,24,28,32,36,40),0)/100)))))/Skills!H4,1)))/Inputs!$B$43),G2715*Q2715))*IF(Inputs!$B$38="pvp",1,(1+(Inputs!$B$21+Skills!Q4+(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6">
      <c r="A2716">
        <f>Skills!A5</f>
        <v/>
      </c>
      <c r="B2716">
        <f>Skills!B5</f>
        <v/>
      </c>
      <c r="C2716">
        <f>Inputs!$B$3&gt;=45</f>
        <v/>
      </c>
      <c r="D2716">
        <f>IF(Skills!C5=1,60+Inputs!$B$25+Inputs!$B$29,IF(Skills!C5=2,90+Inputs!$B$26+Inputs!$B$29,IF(Skills!C5=3,120+Inputs!$B$27+Inputs!$B$29,MAX(0,(Inputs!$B$3-100)*3)+Inputs!$B$28+Inputs!$B$29)))</f>
        <v/>
      </c>
      <c r="E2716">
        <f>INDEX(FactorTable!$B$2:$Y$301, MATCH(ROUND(MIN(300,MAX(1,D2716)),0), FactorTable!$A$2:$A$301,0), Skills!M5+1)</f>
        <v/>
      </c>
      <c r="F2716">
        <f>IF(Skills!N5=TRUE,(Skills!L5/10)*(E2716/1000),Skills!L5/10)+Skills!O5</f>
        <v/>
      </c>
      <c r="G2716">
        <f>Skills!G5*IF(Skills!H5&gt;0,Skills!I5/Skills!H5,1)</f>
        <v/>
      </c>
      <c r="H2716">
        <f>1-(1-Skills!J5/100)^Skills!K5</f>
        <v/>
      </c>
      <c r="I2716" t="inlineStr">
        <is>
          <t>1</t>
        </is>
      </c>
      <c r="J2716">
        <f>((Inputs!$B$6*(1+Inputs!$B$7/100))+(((Inputs!$B$12*(1+Inputs!$B$13/100))-(Inputs!$B$12*(1+Inputs!$B$13/100)))+0.25*(Inputs!$B$14-Inputs!$B$14))*(1+Inputs!$B$7/100))*(F2716/100)</f>
        <v/>
      </c>
      <c r="K2716">
        <f>J2716*(1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2727=TRUE,F2727,0)/100)*(1+(IF(Skills!A5="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2716)</f>
        <v/>
      </c>
      <c r="L2716">
        <f>K2716*(MIN(Inputs!$B$22+((C2733=TRUE)*(F2733-Calc!F22)),(Inputs!$B$23+0+(IF(ArtifactsInput!$M$15,CHOOSE(ArtifactsInput!$N$15+1,25,30,35,40,45,50)/100*(Inputs!$B$11-Inputs!$B$11),0))))/100+(Inputs!$B$23+0+(IF(ArtifactsInput!$M$15,CHOOSE(ArtifactsInput!$N$15+1,25,30,35,40,45,50)/100*(Inputs!$B$11-Inputs!$B$11),0)))/100)/2</f>
        <v/>
      </c>
      <c r="M2716">
        <f>L2716*(1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6">
        <f>L2716*(1-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2716*(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6">
        <f>(1-Summary!$B$11)*T2716+Summary!$B$11*V2716</f>
        <v/>
      </c>
      <c r="P2716">
        <f>IF(B2752=0,0,O2716/B2752)</f>
        <v/>
      </c>
      <c r="Q2716">
        <f>IFERROR(1/(IF(Inputs!$B$38="pvp",15,MAX(0.1,Skills!D5-IF(Skills!E5=TRUE,Inputs!$B$32,0)))*(1-IF(AND(ArtifactsInput!$M$27,Inputs!$B$4="Chapter Hunt"),CHOOSE(ArtifactsInput!$N$27+1,20,24,28,32,36,40),0)/100)),0)</f>
        <v/>
      </c>
      <c r="R2716">
        <f>IF(AND(Inputs!$B$38&lt;&gt;"pvp",Inputs!$B$43&gt;0),IF(MAX(0,Inputs!$B$43-B2749)&lt;=0,0,(INT(MAX(0,Inputs!$B$43-B2749)/(IF(Inputs!$B$38="pvp",15,MAX(0.1,Skills!D5-IF(Skills!E5=TRUE,Inputs!$B$32,0)))*(1-IF(AND(ArtifactsInput!$M$27,Inputs!$B$4="Chapter Hunt"),CHOOSE(ArtifactsInput!$N$27+1,20,24,28,32,36,40),0)/100)))+1)),0)</f>
        <v/>
      </c>
      <c r="S2716">
        <f>IFERROR(O2716/N2716,0)</f>
        <v/>
      </c>
      <c r="T2716">
        <f>IF(C2716,(H2716*N2716*IF(AND(Inputs!$B$38&lt;&gt;"pvp",Inputs!$B$43&gt;0),((Skills!G5*((R2716-1)*IF(Skills!H5&gt;0,Skills!I5/Skills!H5,1)+IF(Skills!H5&gt;0,MIN(Skills!I5,MAX(0,MAX(0,Inputs!$B$43-B2749)-((R2716-1)*(IF(Inputs!$B$38="pvp",15,MAX(0.1,Skills!D5-IF(Skills!E5=TRUE,Inputs!$B$32,0)))*(1-IF(AND(ArtifactsInput!$M$27,Inputs!$B$4="Chapter Hunt"),CHOOSE(ArtifactsInput!$N$27+1,20,24,28,32,36,40),0)/100)))))/Skills!H5,1)))/Inputs!$B$43),G2716*Q2716)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2716*(1-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2716*(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2716*(1-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2716*(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6">
        <f>IF(C2716,(H2716*N2716*IF(AND(Inputs!$B$38&lt;&gt;"pvp",Inputs!$B$43&gt;0),((Skills!G5*((R2716-1)*IF(Skills!H5&gt;0,Skills!I5/Skills!H5,1)+IF(Skills!H5&gt;0,MIN(Skills!I5,MAX(0,MAX(0,Inputs!$B$43-B2749)-((R2716-1)*(IF(Inputs!$B$38="pvp",15,MAX(0.1,Skills!D5-IF(Skills!E5=TRUE,Inputs!$B$32,0)))*(1-IF(AND(ArtifactsInput!$M$27,Inputs!$B$4="Chapter Hunt"),CHOOSE(ArtifactsInput!$N$27+1,20,24,28,32,36,40),0)/100)))))/Skills!H5,1)))/Inputs!$B$43),G2716*Q2716))*IF(Inputs!$B$38="pvp",1,(1+(Inputs!$B$21+Skills!Q5+(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7">
      <c r="A2717">
        <f>Skills!A6</f>
        <v/>
      </c>
      <c r="B2717">
        <f>Skills!B6</f>
        <v/>
      </c>
      <c r="C2717">
        <f>Inputs!$B$3&gt;=63</f>
        <v/>
      </c>
      <c r="D2717">
        <f>IF(Skills!C6=1,60+Inputs!$B$25+Inputs!$B$29,IF(Skills!C6=2,90+Inputs!$B$26+Inputs!$B$29,IF(Skills!C6=3,120+Inputs!$B$27+Inputs!$B$29,MAX(0,(Inputs!$B$3-100)*3)+Inputs!$B$28+Inputs!$B$29)))</f>
        <v/>
      </c>
      <c r="E2717">
        <f>INDEX(FactorTable!$B$2:$Y$301, MATCH(ROUND(MIN(300,MAX(1,D2717)),0), FactorTable!$A$2:$A$301,0), Skills!M6+1)</f>
        <v/>
      </c>
      <c r="F2717">
        <f>IF(Skills!N6=TRUE,(Skills!L6/10)*(E2717/1000),Skills!L6/10)+Skills!O6</f>
        <v/>
      </c>
      <c r="G2717">
        <f>Skills!G6*IF(Skills!H6&gt;0,Skills!I6/Skills!H6,1)</f>
        <v/>
      </c>
      <c r="H2717">
        <f>1-(1-Skills!J6/100)^Skills!K6</f>
        <v/>
      </c>
      <c r="I2717" t="inlineStr">
        <is>
          <t>1</t>
        </is>
      </c>
      <c r="J2717">
        <f>((Inputs!$B$6*(1+Inputs!$B$7/100))+(((Inputs!$B$12*(1+Inputs!$B$13/100))-(Inputs!$B$12*(1+Inputs!$B$13/100)))+0.25*(Inputs!$B$14-Inputs!$B$14))*(1+Inputs!$B$7/100))*(F2717/100)</f>
        <v/>
      </c>
      <c r="K2717">
        <f>J2717*(1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2726=TRUE,F2726,0)/100)*(1+(IF(Skills!A6="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2717)</f>
        <v/>
      </c>
      <c r="L2717">
        <f>K2717*(MIN(Inputs!$B$22+((C2733=TRUE)*(F2733-Calc!F22)),(Inputs!$B$23+0+(IF(ArtifactsInput!$M$15,CHOOSE(ArtifactsInput!$N$15+1,25,30,35,40,45,50)/100*(Inputs!$B$11-Inputs!$B$11),0))))/100+(Inputs!$B$23+0+(IF(ArtifactsInput!$M$15,CHOOSE(ArtifactsInput!$N$15+1,25,30,35,40,45,50)/100*(Inputs!$B$11-Inputs!$B$11),0)))/100)/2</f>
        <v/>
      </c>
      <c r="M2717">
        <f>L2717*(1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7">
        <f>L2717*(1-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2717*(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7">
        <f>(1-Summary!$B$11)*T2717+Summary!$B$11*V2717</f>
        <v/>
      </c>
      <c r="P2717">
        <f>IF(B2752=0,0,O2717/B2752)</f>
        <v/>
      </c>
      <c r="Q2717">
        <f>IFERROR(1/(IF(Inputs!$B$38="pvp",15,MAX(0.1,Skills!D6-IF(Skills!E6=TRUE,Inputs!$B$32,0)))*(1-IF(AND(ArtifactsInput!$M$27,Inputs!$B$4="Chapter Hunt"),CHOOSE(ArtifactsInput!$N$27+1,20,24,28,32,36,40),0)/100)),0)</f>
        <v/>
      </c>
      <c r="R2717">
        <f>IF(AND(Inputs!$B$38&lt;&gt;"pvp",Inputs!$B$43&gt;0),IF(MAX(0,Inputs!$B$43-B2749)&lt;=0,0,(INT(MAX(0,Inputs!$B$43-B2749)/(IF(Inputs!$B$38="pvp",15,MAX(0.1,Skills!D6-IF(Skills!E6=TRUE,Inputs!$B$32,0)))*(1-IF(AND(ArtifactsInput!$M$27,Inputs!$B$4="Chapter Hunt"),CHOOSE(ArtifactsInput!$N$27+1,20,24,28,32,36,40),0)/100)))+1)),0)</f>
        <v/>
      </c>
      <c r="S2717">
        <f>IFERROR(O2717/N2717,0)</f>
        <v/>
      </c>
      <c r="T2717">
        <f>IF(C2717,(H2717*N2717*IF(AND(Inputs!$B$38&lt;&gt;"pvp",Inputs!$B$43&gt;0),((Skills!G6*((R2717-1)*IF(Skills!H6&gt;0,Skills!I6/Skills!H6,1)+IF(Skills!H6&gt;0,MIN(Skills!I6,MAX(0,MAX(0,Inputs!$B$43-B2749)-((R2717-1)*(IF(Inputs!$B$38="pvp",15,MAX(0.1,Skills!D6-IF(Skills!E6=TRUE,Inputs!$B$32,0)))*(1-IF(AND(ArtifactsInput!$M$27,Inputs!$B$4="Chapter Hunt"),CHOOSE(ArtifactsInput!$N$27+1,20,24,28,32,36,40),0)/100)))))/Skills!H6,1)))/Inputs!$B$43),G2717*Q2717)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2717*(1-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2717*(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2717*(1-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2717*(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7">
        <f>IF(C2717,(H2717*N2717*IF(AND(Inputs!$B$38&lt;&gt;"pvp",Inputs!$B$43&gt;0),((Skills!G6*((R2717-1)*IF(Skills!H6&gt;0,Skills!I6/Skills!H6,1)+IF(Skills!H6&gt;0,MIN(Skills!I6,MAX(0,MAX(0,Inputs!$B$43-B2749)-((R2717-1)*(IF(Inputs!$B$38="pvp",15,MAX(0.1,Skills!D6-IF(Skills!E6=TRUE,Inputs!$B$32,0)))*(1-IF(AND(ArtifactsInput!$M$27,Inputs!$B$4="Chapter Hunt"),CHOOSE(ArtifactsInput!$N$27+1,20,24,28,32,36,40),0)/100)))))/Skills!H6,1)))/Inputs!$B$43),G2717*Q2717))*IF(Inputs!$B$38="pvp",1,(1+(Inputs!$B$21+Skills!Q6+(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8">
      <c r="A2718">
        <f>Skills!A7</f>
        <v/>
      </c>
      <c r="B2718">
        <f>Skills!B7</f>
        <v/>
      </c>
      <c r="C2718">
        <f>Inputs!$B$3&gt;=66</f>
        <v/>
      </c>
      <c r="D2718">
        <f>IF(Skills!C7=1,60+Inputs!$B$25+Inputs!$B$29,IF(Skills!C7=2,90+Inputs!$B$26+Inputs!$B$29,IF(Skills!C7=3,120+Inputs!$B$27+Inputs!$B$29,MAX(0,(Inputs!$B$3-100)*3)+Inputs!$B$28+Inputs!$B$29)))</f>
        <v/>
      </c>
      <c r="E2718">
        <f>INDEX(FactorTable!$B$2:$Y$301, MATCH(ROUND(MIN(300,MAX(1,D2718)),0), FactorTable!$A$2:$A$301,0), Skills!M7+1)</f>
        <v/>
      </c>
      <c r="F2718">
        <f>IF(Skills!N7=TRUE,(Skills!L7/10)*(E2718/1000),Skills!L7/10)+Skills!O7</f>
        <v/>
      </c>
      <c r="G2718">
        <f>Skills!G7*IF(Skills!H7&gt;0,Skills!I7/Skills!H7,1)</f>
        <v/>
      </c>
      <c r="H2718">
        <f>1-(1-Skills!J7/100)^Skills!K7</f>
        <v/>
      </c>
      <c r="I2718" t="inlineStr">
        <is>
          <t>1</t>
        </is>
      </c>
      <c r="J2718">
        <f>((Inputs!$B$6*(1+Inputs!$B$7/100))+(((Inputs!$B$12*(1+Inputs!$B$13/100))-(Inputs!$B$12*(1+Inputs!$B$13/100)))+0.25*(Inputs!$B$14-Inputs!$B$14))*(1+Inputs!$B$7/100))*(F2718/100)</f>
        <v/>
      </c>
      <c r="K2718">
        <f>J2718*(1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2726=TRUE,F2726,0)/100)*(1+(IF(Skills!A7="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2718)</f>
        <v/>
      </c>
      <c r="L2718">
        <f>K2718*(MIN(Inputs!$B$22+((C2733=TRUE)*(F2733-Calc!F22)),(Inputs!$B$23+0+(IF(ArtifactsInput!$M$15,CHOOSE(ArtifactsInput!$N$15+1,25,30,35,40,45,50)/100*(Inputs!$B$11-Inputs!$B$11),0))))/100+(Inputs!$B$23+0+(IF(ArtifactsInput!$M$15,CHOOSE(ArtifactsInput!$N$15+1,25,30,35,40,45,50)/100*(Inputs!$B$11-Inputs!$B$11),0)))/100)/2</f>
        <v/>
      </c>
      <c r="M2718">
        <f>L2718*(1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8">
        <f>L2718*(1-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2718*(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8">
        <f>(1-Summary!$B$11)*T2718+Summary!$B$11*V2718</f>
        <v/>
      </c>
      <c r="P2718">
        <f>IF(B2752=0,0,O2718/B2752)</f>
        <v/>
      </c>
      <c r="Q2718">
        <f>IFERROR(1/(IF(Inputs!$B$38="pvp",15,MAX(0.1,Skills!D7-IF(Skills!E7=TRUE,Inputs!$B$32,0)))*(1-IF(AND(ArtifactsInput!$M$27,Inputs!$B$4="Chapter Hunt"),CHOOSE(ArtifactsInput!$N$27+1,20,24,28,32,36,40),0)/100)),0)</f>
        <v/>
      </c>
      <c r="R2718">
        <f>IF(AND(Inputs!$B$38&lt;&gt;"pvp",Inputs!$B$43&gt;0),IF(MAX(0,Inputs!$B$43-B2749)&lt;=0,0,(INT(MAX(0,Inputs!$B$43-B2749)/(IF(Inputs!$B$38="pvp",15,MAX(0.1,Skills!D7-IF(Skills!E7=TRUE,Inputs!$B$32,0)))*(1-IF(AND(ArtifactsInput!$M$27,Inputs!$B$4="Chapter Hunt"),CHOOSE(ArtifactsInput!$N$27+1,20,24,28,32,36,40),0)/100)))+1)),0)</f>
        <v/>
      </c>
      <c r="S2718">
        <f>IFERROR(O2718/N2718,0)</f>
        <v/>
      </c>
      <c r="T2718">
        <f>IF(C2718,(H2718*N2718*IF(AND(Inputs!$B$38&lt;&gt;"pvp",Inputs!$B$43&gt;0),((Skills!G7*((R2718-1)*IF(Skills!H7&gt;0,Skills!I7/Skills!H7,1)+IF(Skills!H7&gt;0,MIN(Skills!I7,MAX(0,MAX(0,Inputs!$B$43-B2749)-((R2718-1)*(IF(Inputs!$B$38="pvp",15,MAX(0.1,Skills!D7-IF(Skills!E7=TRUE,Inputs!$B$32,0)))*(1-IF(AND(ArtifactsInput!$M$27,Inputs!$B$4="Chapter Hunt"),CHOOSE(ArtifactsInput!$N$27+1,20,24,28,32,36,40),0)/100)))))/Skills!H7,1)))/Inputs!$B$43),G2718*Q2718)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2718*(1-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2718*(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2718*(1-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2718*(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8">
        <f>IF(C2718,(H2718*N2718*IF(AND(Inputs!$B$38&lt;&gt;"pvp",Inputs!$B$43&gt;0),((Skills!G7*((R2718-1)*IF(Skills!H7&gt;0,Skills!I7/Skills!H7,1)+IF(Skills!H7&gt;0,MIN(Skills!I7,MAX(0,MAX(0,Inputs!$B$43-B2749)-((R2718-1)*(IF(Inputs!$B$38="pvp",15,MAX(0.1,Skills!D7-IF(Skills!E7=TRUE,Inputs!$B$32,0)))*(1-IF(AND(ArtifactsInput!$M$27,Inputs!$B$4="Chapter Hunt"),CHOOSE(ArtifactsInput!$N$27+1,20,24,28,32,36,40),0)/100)))))/Skills!H7,1)))/Inputs!$B$43),G2718*Q2718))*IF(Inputs!$B$38="pvp",1,(1+(Inputs!$B$21+Skills!Q7+(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9">
      <c r="A2719">
        <f>Skills!A8</f>
        <v/>
      </c>
      <c r="B2719">
        <f>Skills!B8</f>
        <v/>
      </c>
      <c r="C2719">
        <f>Inputs!$B$3&gt;=100</f>
        <v/>
      </c>
      <c r="D2719">
        <f>IF(Skills!C8=1,60+Inputs!$B$25+Inputs!$B$29,IF(Skills!C8=2,90+Inputs!$B$26+Inputs!$B$29,IF(Skills!C8=3,120+Inputs!$B$27+Inputs!$B$29,MAX(0,(Inputs!$B$3-100)*3)+Inputs!$B$28+Inputs!$B$29)))</f>
        <v/>
      </c>
      <c r="E2719">
        <f>INDEX(FactorTable!$B$2:$Y$301, MATCH(ROUND(MIN(300,MAX(1,D2719)),0), FactorTable!$A$2:$A$301,0), Skills!M8+1)</f>
        <v/>
      </c>
      <c r="F2719">
        <f>IF(Skills!N8=TRUE,(Skills!L8/10)*(E2719/1000),Skills!L8/10)+Skills!O8</f>
        <v/>
      </c>
      <c r="G2719">
        <f>Skills!G8*IF(Skills!H8&gt;0,Skills!I8/Skills!H8,1)</f>
        <v/>
      </c>
      <c r="H2719">
        <f>1-(1-Skills!J8/100)^Skills!K8</f>
        <v/>
      </c>
      <c r="I2719" t="inlineStr">
        <is>
          <t>1</t>
        </is>
      </c>
      <c r="J2719">
        <f>((Inputs!$B$6*(1+Inputs!$B$7/100))+(((Inputs!$B$12*(1+Inputs!$B$13/100))-(Inputs!$B$12*(1+Inputs!$B$13/100)))+0.25*(Inputs!$B$14-Inputs!$B$14))*(1+Inputs!$B$7/100))*(F2719/100)</f>
        <v/>
      </c>
      <c r="K2719">
        <f>J2719*(1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2719)</f>
        <v/>
      </c>
      <c r="L2719">
        <f>K2719*(MIN(Inputs!$B$22+((C2733=TRUE)*(F2733-Calc!F22)),(Inputs!$B$23+0+(IF(ArtifactsInput!$M$15,CHOOSE(ArtifactsInput!$N$15+1,25,30,35,40,45,50)/100*(Inputs!$B$11-Inputs!$B$11),0))))/100+(Inputs!$B$23+0+(IF(ArtifactsInput!$M$15,CHOOSE(ArtifactsInput!$N$15+1,25,30,35,40,45,50)/100*(Inputs!$B$11-Inputs!$B$11),0)))/100)/2</f>
        <v/>
      </c>
      <c r="M2719">
        <f>L2719*(1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9">
        <f>L2719*(1-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2719*(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9">
        <f>(1-Summary!$B$11)*T2719+Summary!$B$11*V2719</f>
        <v/>
      </c>
      <c r="P2719">
        <f>IF(B2752=0,0,O2719/B2752)</f>
        <v/>
      </c>
      <c r="Q2719">
        <f>IFERROR(1/(IF(Inputs!$B$38="pvp",15,MAX(0.1,Skills!D8-IF(Skills!E8=TRUE,Inputs!$B$32,0)))*(1-IF(AND(ArtifactsInput!$M$27,Inputs!$B$4="Chapter Hunt"),CHOOSE(ArtifactsInput!$N$27+1,20,24,28,32,36,40),0)/100)),0)</f>
        <v/>
      </c>
      <c r="R2719">
        <f>IF(AND(Inputs!$B$38&lt;&gt;"pvp",Inputs!$B$43&gt;0),IF(MAX(0,Inputs!$B$43-B2749)&lt;=0,0,(INT(MAX(0,Inputs!$B$43-B2749)/(IF(Inputs!$B$38="pvp",15,MAX(0.1,Skills!D8-IF(Skills!E8=TRUE,Inputs!$B$32,0)))*(1-IF(AND(ArtifactsInput!$M$27,Inputs!$B$4="Chapter Hunt"),CHOOSE(ArtifactsInput!$N$27+1,20,24,28,32,36,40),0)/100)))+1)),0)</f>
        <v/>
      </c>
      <c r="S2719">
        <f>IFERROR(O2719/N2719,0)</f>
        <v/>
      </c>
      <c r="T2719">
        <f>IF(C2719,(H2719*N2719*IF(AND(Inputs!$B$38&lt;&gt;"pvp",Inputs!$B$43&gt;0),((Skills!G8*((R2719-1)*IF(Skills!H8&gt;0,Skills!I8/Skills!H8,1)+IF(Skills!H8&gt;0,MIN(Skills!I8,MAX(0,MAX(0,Inputs!$B$43-B2749)-((R2719-1)*(IF(Inputs!$B$38="pvp",15,MAX(0.1,Skills!D8-IF(Skills!E8=TRUE,Inputs!$B$32,0)))*(1-IF(AND(ArtifactsInput!$M$27,Inputs!$B$4="Chapter Hunt"),CHOOSE(ArtifactsInput!$N$27+1,20,24,28,32,36,40),0)/100)))))/Skills!H8,1)))/Inputs!$B$43),G2719*Q2719)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2719*(1-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2719*(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2719*(1-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2719*(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9">
        <f>IF(C2719,(H2719*N2719*IF(AND(Inputs!$B$38&lt;&gt;"pvp",Inputs!$B$43&gt;0),((Skills!G8*((R2719-1)*IF(Skills!H8&gt;0,Skills!I8/Skills!H8,1)+IF(Skills!H8&gt;0,MIN(Skills!I8,MAX(0,MAX(0,Inputs!$B$43-B2749)-((R2719-1)*(IF(Inputs!$B$38="pvp",15,MAX(0.1,Skills!D8-IF(Skills!E8=TRUE,Inputs!$B$32,0)))*(1-IF(AND(ArtifactsInput!$M$27,Inputs!$B$4="Chapter Hunt"),CHOOSE(ArtifactsInput!$N$27+1,20,24,28,32,36,40),0)/100)))))/Skills!H8,1)))/Inputs!$B$43),G2719*Q2719))*IF(Inputs!$B$38="pvp",1,(1+(Inputs!$B$21+Skills!Q8+(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0">
      <c r="A2720">
        <f>Skills!A9</f>
        <v/>
      </c>
      <c r="B2720">
        <f>Skills!B9</f>
        <v/>
      </c>
      <c r="C2720">
        <f>Inputs!$B$3&gt;=103</f>
        <v/>
      </c>
      <c r="D2720">
        <f>IF(Skills!C9=1,60+Inputs!$B$25+Inputs!$B$29,IF(Skills!C9=2,90+Inputs!$B$26+Inputs!$B$29,IF(Skills!C9=3,120+Inputs!$B$27+Inputs!$B$29,MAX(0,(Inputs!$B$3-100)*3)+Inputs!$B$28+Inputs!$B$29)))</f>
        <v/>
      </c>
      <c r="E2720">
        <f>INDEX(FactorTable!$B$2:$Y$301, MATCH(ROUND(MIN(300,MAX(1,D2720)),0), FactorTable!$A$2:$A$301,0), Skills!M9+1)</f>
        <v/>
      </c>
      <c r="F2720">
        <f>IF(Skills!N9=TRUE,(Skills!L9/10)*(E2720/1000),Skills!L9/10)+Skills!O9</f>
        <v/>
      </c>
      <c r="G2720">
        <f>Skills!G9*IF(Skills!H9&gt;0,Skills!I9/Skills!H9,1)</f>
        <v/>
      </c>
      <c r="H2720">
        <f>1-(1-Skills!J9/100)^Skills!K9</f>
        <v/>
      </c>
      <c r="I2720" t="inlineStr">
        <is>
          <t>1</t>
        </is>
      </c>
      <c r="J2720">
        <f>((Inputs!$B$6*(1+Inputs!$B$7/100))+(((Inputs!$B$12*(1+Inputs!$B$13/100))-(Inputs!$B$12*(1+Inputs!$B$13/100)))+0.25*(Inputs!$B$14-Inputs!$B$14))*(1+Inputs!$B$7/100))*(F2720/100)</f>
        <v/>
      </c>
      <c r="K2720">
        <f>J2720*(1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2720)</f>
        <v/>
      </c>
      <c r="L2720">
        <f>K2720*(MIN(Inputs!$B$22+((C2733=TRUE)*(F2733-Calc!F22)),(Inputs!$B$23+0+(IF(ArtifactsInput!$M$15,CHOOSE(ArtifactsInput!$N$15+1,25,30,35,40,45,50)/100*(Inputs!$B$11-Inputs!$B$11),0))))/100+(Inputs!$B$23+0+(IF(ArtifactsInput!$M$15,CHOOSE(ArtifactsInput!$N$15+1,25,30,35,40,45,50)/100*(Inputs!$B$11-Inputs!$B$11),0)))/100)/2</f>
        <v/>
      </c>
      <c r="M2720">
        <f>L2720*(1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0">
        <f>L2720*(1-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2720*(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0">
        <f>(1-Summary!$B$11)*T2720+Summary!$B$11*V2720</f>
        <v/>
      </c>
      <c r="P2720">
        <f>IF(B2752=0,0,O2720/B2752)</f>
        <v/>
      </c>
      <c r="Q2720">
        <f>IFERROR(1/(IF(Inputs!$B$38="pvp",15,MAX(0.1,Skills!D9-IF(Skills!E9=TRUE,Inputs!$B$32,0)))*(1-IF(AND(ArtifactsInput!$M$27,Inputs!$B$4="Chapter Hunt"),CHOOSE(ArtifactsInput!$N$27+1,20,24,28,32,36,40),0)/100)),0)</f>
        <v/>
      </c>
      <c r="R2720">
        <f>IF(AND(Inputs!$B$38&lt;&gt;"pvp",Inputs!$B$43&gt;0),IF(MAX(0,Inputs!$B$43-B2749)&lt;=0,0,(INT(MAX(0,Inputs!$B$43-B2749)/(IF(Inputs!$B$38="pvp",15,MAX(0.1,Skills!D9-IF(Skills!E9=TRUE,Inputs!$B$32,0)))*(1-IF(AND(ArtifactsInput!$M$27,Inputs!$B$4="Chapter Hunt"),CHOOSE(ArtifactsInput!$N$27+1,20,24,28,32,36,40),0)/100)))+1)),0)</f>
        <v/>
      </c>
      <c r="S2720">
        <f>IFERROR(O2720/N2720,0)</f>
        <v/>
      </c>
      <c r="T2720">
        <f>IF(C2720,(H2720*N2720*IF(AND(Inputs!$B$38&lt;&gt;"pvp",Inputs!$B$43&gt;0),((Skills!G9*((R2720-1)*IF(Skills!H9&gt;0,Skills!I9/Skills!H9,1)+IF(Skills!H9&gt;0,MIN(Skills!I9,MAX(0,MAX(0,Inputs!$B$43-B2749)-((R2720-1)*(IF(Inputs!$B$38="pvp",15,MAX(0.1,Skills!D9-IF(Skills!E9=TRUE,Inputs!$B$32,0)))*(1-IF(AND(ArtifactsInput!$M$27,Inputs!$B$4="Chapter Hunt"),CHOOSE(ArtifactsInput!$N$27+1,20,24,28,32,36,40),0)/100)))))/Skills!H9,1)))/Inputs!$B$43),G2720*Q2720)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2720*(1-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2720*(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2720*(1-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2720*(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0">
        <f>IF(C2720,(H2720*N2720*IF(AND(Inputs!$B$38&lt;&gt;"pvp",Inputs!$B$43&gt;0),((Skills!G9*((R2720-1)*IF(Skills!H9&gt;0,Skills!I9/Skills!H9,1)+IF(Skills!H9&gt;0,MIN(Skills!I9,MAX(0,MAX(0,Inputs!$B$43-B2749)-((R2720-1)*(IF(Inputs!$B$38="pvp",15,MAX(0.1,Skills!D9-IF(Skills!E9=TRUE,Inputs!$B$32,0)))*(1-IF(AND(ArtifactsInput!$M$27,Inputs!$B$4="Chapter Hunt"),CHOOSE(ArtifactsInput!$N$27+1,20,24,28,32,36,40),0)/100)))))/Skills!H9,1)))/Inputs!$B$43),G2720*Q2720))*IF(Inputs!$B$38="pvp",1,(1+(Inputs!$B$21+Skills!Q9+(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1">
      <c r="A2721">
        <f>Skills!A10</f>
        <v/>
      </c>
      <c r="B2721">
        <f>Skills!B10</f>
        <v/>
      </c>
      <c r="C2721">
        <f>Inputs!$B$3&gt;=113</f>
        <v/>
      </c>
      <c r="D2721">
        <f>IF(Skills!C10=1,60+Inputs!$B$25+Inputs!$B$29,IF(Skills!C10=2,90+Inputs!$B$26+Inputs!$B$29,IF(Skills!C10=3,120+Inputs!$B$27+Inputs!$B$29,MAX(0,(Inputs!$B$3-100)*3)+Inputs!$B$28+Inputs!$B$29)))</f>
        <v/>
      </c>
      <c r="E2721">
        <f>INDEX(FactorTable!$B$2:$Y$301, MATCH(ROUND(MIN(300,MAX(1,D2721)),0), FactorTable!$A$2:$A$301,0), Skills!M10+1)</f>
        <v/>
      </c>
      <c r="F2721">
        <f>IF(Skills!N10=TRUE,(Skills!L10/10)*(E2721/1000),Skills!L10/10)+Skills!O10</f>
        <v/>
      </c>
      <c r="G2721">
        <f>Skills!G10*IF(Skills!H10&gt;0,Skills!I10/Skills!H10,1)</f>
        <v/>
      </c>
      <c r="H2721">
        <f>1-(1-Skills!J10/100)^Skills!K10</f>
        <v/>
      </c>
      <c r="I2721" t="inlineStr">
        <is>
          <t>1</t>
        </is>
      </c>
      <c r="J2721">
        <f>((Inputs!$B$6*(1+Inputs!$B$7/100))+(((Inputs!$B$12*(1+Inputs!$B$13/100))-(Inputs!$B$12*(1+Inputs!$B$13/100)))+0.25*(Inputs!$B$14-Inputs!$B$14))*(1+Inputs!$B$7/100))*(F2721/100)</f>
        <v/>
      </c>
      <c r="K2721">
        <f>J2721*(1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2721)</f>
        <v/>
      </c>
      <c r="L2721">
        <f>K2721*(MIN(Inputs!$B$22+((C2733=TRUE)*(F2733-Calc!F22)),(Inputs!$B$23+0+(IF(ArtifactsInput!$M$15,CHOOSE(ArtifactsInput!$N$15+1,25,30,35,40,45,50)/100*(Inputs!$B$11-Inputs!$B$11),0))))/100+(Inputs!$B$23+0+(IF(ArtifactsInput!$M$15,CHOOSE(ArtifactsInput!$N$15+1,25,30,35,40,45,50)/100*(Inputs!$B$11-Inputs!$B$11),0)))/100)/2</f>
        <v/>
      </c>
      <c r="M2721">
        <f>L2721*(1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1">
        <f>L2721*(1-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1">
        <f>(1-Summary!$B$11)*T2721+Summary!$B$11*V2721</f>
        <v/>
      </c>
      <c r="P2721">
        <f>IF(B2752=0,0,O2721/B2752)</f>
        <v/>
      </c>
      <c r="Q2721">
        <f>IFERROR(1/(IF(Inputs!$B$38="pvp",15,MAX(0.1,Skills!D10-IF(Skills!E10=TRUE,Inputs!$B$32,0)))*(1-IF(AND(ArtifactsInput!$M$27,Inputs!$B$4="Chapter Hunt"),CHOOSE(ArtifactsInput!$N$27+1,20,24,28,32,36,40),0)/100)),0)</f>
        <v/>
      </c>
      <c r="R2721">
        <f>IF(AND(Inputs!$B$38&lt;&gt;"pvp",Inputs!$B$43&gt;0),IF(MAX(0,Inputs!$B$43-B2749)&lt;=0,0,(INT(MAX(0,Inputs!$B$43-B2749)/(IF(Inputs!$B$38="pvp",15,MAX(0.1,Skills!D10-IF(Skills!E10=TRUE,Inputs!$B$32,0)))*(1-IF(AND(ArtifactsInput!$M$27,Inputs!$B$4="Chapter Hunt"),CHOOSE(ArtifactsInput!$N$27+1,20,24,28,32,36,40),0)/100)))+1)),0)</f>
        <v/>
      </c>
      <c r="S2721">
        <f>IFERROR(O2721/N2721,0)</f>
        <v/>
      </c>
      <c r="T2721">
        <f>IF(C2721,(H2721*N2721*IF(AND(Inputs!$B$38&lt;&gt;"pvp",Inputs!$B$43&gt;0),((Skills!G10*((R2721-1)*IF(Skills!H10&gt;0,Skills!I10/Skills!H10,1)+IF(Skills!H10&gt;0,MIN(Skills!I10,MAX(0,MAX(0,Inputs!$B$43-B2749)-((R2721-1)*(IF(Inputs!$B$38="pvp",15,MAX(0.1,Skills!D10-IF(Skills!E10=TRUE,Inputs!$B$32,0)))*(1-IF(AND(ArtifactsInput!$M$27,Inputs!$B$4="Chapter Hunt"),CHOOSE(ArtifactsInput!$N$27+1,20,24,28,32,36,40),0)/100)))))/Skills!H10,1)))/Inputs!$B$43),G2721*Q2721)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2721*(1-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2721*(1-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1">
        <f>IF(C2721,(H2721*N2721*IF(AND(Inputs!$B$38&lt;&gt;"pvp",Inputs!$B$43&gt;0),((Skills!G10*((R2721-1)*IF(Skills!H10&gt;0,Skills!I10/Skills!H10,1)+IF(Skills!H10&gt;0,MIN(Skills!I10,MAX(0,MAX(0,Inputs!$B$43-B2749)-((R2721-1)*(IF(Inputs!$B$38="pvp",15,MAX(0.1,Skills!D10-IF(Skills!E10=TRUE,Inputs!$B$32,0)))*(1-IF(AND(ArtifactsInput!$M$27,Inputs!$B$4="Chapter Hunt"),CHOOSE(ArtifactsInput!$N$27+1,20,24,28,32,36,40),0)/100)))))/Skills!H10,1)))/Inputs!$B$43),G2721*Q2721))*IF(Inputs!$B$38="pvp",1,(1+(Inputs!$B$21+Skills!Q10+(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2">
      <c r="A2722">
        <f>Skills!A11</f>
        <v/>
      </c>
      <c r="B2722">
        <f>Skills!B11</f>
        <v/>
      </c>
      <c r="C2722">
        <f>Inputs!$B$3&gt;=107</f>
        <v/>
      </c>
      <c r="D2722">
        <f>IF(Skills!C11=1,60+Inputs!$B$25+Inputs!$B$29,IF(Skills!C11=2,90+Inputs!$B$26+Inputs!$B$29,IF(Skills!C11=3,120+Inputs!$B$27+Inputs!$B$29,MAX(0,(Inputs!$B$3-100)*3)+Inputs!$B$28+Inputs!$B$29)))</f>
        <v/>
      </c>
      <c r="E2722">
        <f>INDEX(FactorTable!$B$2:$Y$301, MATCH(ROUND(MIN(300,MAX(1,D2722)),0), FactorTable!$A$2:$A$301,0), Skills!M11+1)</f>
        <v/>
      </c>
      <c r="F2722">
        <f>IF(Skills!N11=TRUE,(Skills!L11/10)*(E2722/1000),Skills!L11/10)+Skills!O11</f>
        <v/>
      </c>
      <c r="G2722">
        <f>Skills!G11*IF(Skills!H11&gt;0,Skills!I11/Skills!H11,1)</f>
        <v/>
      </c>
      <c r="H2722">
        <f>1-(1-Skills!J11/100)^Skills!K11</f>
        <v/>
      </c>
      <c r="I2722" t="inlineStr">
        <is>
          <t>1</t>
        </is>
      </c>
      <c r="J2722">
        <f>((Inputs!$B$6*(1+Inputs!$B$7/100))+(((Inputs!$B$12*(1+Inputs!$B$13/100))-(Inputs!$B$12*(1+Inputs!$B$13/100)))+0.25*(Inputs!$B$14-Inputs!$B$14))*(1+Inputs!$B$7/100))*(F2722/100)</f>
        <v/>
      </c>
      <c r="K2722">
        <f>J2722*(1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2722)</f>
        <v/>
      </c>
      <c r="L2722">
        <f>K2722*(MIN(Inputs!$B$22+((C2733=TRUE)*(F2733-Calc!F22)),(Inputs!$B$23+0+(IF(ArtifactsInput!$M$15,CHOOSE(ArtifactsInput!$N$15+1,25,30,35,40,45,50)/100*(Inputs!$B$11-Inputs!$B$11),0))))/100+(Inputs!$B$23+0+(IF(ArtifactsInput!$M$15,CHOOSE(ArtifactsInput!$N$15+1,25,30,35,40,45,50)/100*(Inputs!$B$11-Inputs!$B$11),0)))/100)/2</f>
        <v/>
      </c>
      <c r="M2722">
        <f>L2722*(1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2">
        <f>L2722*(1-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2722*(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2">
        <f>(1-Summary!$B$11)*T2722+Summary!$B$11*V2722</f>
        <v/>
      </c>
      <c r="P2722">
        <f>IF(B2752=0,0,O2722/B2752)</f>
        <v/>
      </c>
      <c r="Q2722">
        <f>IFERROR(1/(IF(Inputs!$B$38="pvp",15,MAX(0.1,Skills!D11-IF(Skills!E11=TRUE,Inputs!$B$32,0)))*(1-IF(AND(ArtifactsInput!$M$27,Inputs!$B$4="Chapter Hunt"),CHOOSE(ArtifactsInput!$N$27+1,20,24,28,32,36,40),0)/100)),0)</f>
        <v/>
      </c>
      <c r="R2722">
        <f>IF(AND(Inputs!$B$38&lt;&gt;"pvp",Inputs!$B$43&gt;0),IF(MAX(0,Inputs!$B$43-B2749)&lt;=0,0,(INT(MAX(0,Inputs!$B$43-B2749)/(IF(Inputs!$B$38="pvp",15,MAX(0.1,Skills!D11-IF(Skills!E11=TRUE,Inputs!$B$32,0)))*(1-IF(AND(ArtifactsInput!$M$27,Inputs!$B$4="Chapter Hunt"),CHOOSE(ArtifactsInput!$N$27+1,20,24,28,32,36,40),0)/100)))+1)),0)</f>
        <v/>
      </c>
      <c r="S2722">
        <f>IFERROR(O2722/N2722,0)</f>
        <v/>
      </c>
      <c r="T2722">
        <f>IF(C2722,(H2722*N2722*IF(AND(Inputs!$B$38&lt;&gt;"pvp",Inputs!$B$43&gt;0),((Skills!G11*((R2722-1)*IF(Skills!H11&gt;0,Skills!I11/Skills!H11,1)+IF(Skills!H11&gt;0,MIN(Skills!I11,MAX(0,MAX(0,Inputs!$B$43-B2749)-((R2722-1)*(IF(Inputs!$B$38="pvp",15,MAX(0.1,Skills!D11-IF(Skills!E11=TRUE,Inputs!$B$32,0)))*(1-IF(AND(ArtifactsInput!$M$27,Inputs!$B$4="Chapter Hunt"),CHOOSE(ArtifactsInput!$N$27+1,20,24,28,32,36,40),0)/100)))))/Skills!H11,1)))/Inputs!$B$43),G2722*Q2722)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2722*(1-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2722*(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2722*(1-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2722*(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2">
        <f>IF(C2722,(H2722*N2722*IF(AND(Inputs!$B$38&lt;&gt;"pvp",Inputs!$B$43&gt;0),((Skills!G11*((R2722-1)*IF(Skills!H11&gt;0,Skills!I11/Skills!H11,1)+IF(Skills!H11&gt;0,MIN(Skills!I11,MAX(0,MAX(0,Inputs!$B$43-B2749)-((R2722-1)*(IF(Inputs!$B$38="pvp",15,MAX(0.1,Skills!D11-IF(Skills!E11=TRUE,Inputs!$B$32,0)))*(1-IF(AND(ArtifactsInput!$M$27,Inputs!$B$4="Chapter Hunt"),CHOOSE(ArtifactsInput!$N$27+1,20,24,28,32,36,40),0)/100)))))/Skills!H11,1)))/Inputs!$B$43),G2722*Q2722))*IF(Inputs!$B$38="pvp",1,(1+(Inputs!$B$21+Skills!Q11+(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3">
      <c r="A2723">
        <f>Skills!A12</f>
        <v/>
      </c>
      <c r="B2723">
        <f>Skills!B12</f>
        <v/>
      </c>
      <c r="C2723">
        <f>Inputs!$B$3&gt;=110</f>
        <v/>
      </c>
      <c r="D2723">
        <f>IF(Skills!C12=1,60+Inputs!$B$25+Inputs!$B$29,IF(Skills!C12=2,90+Inputs!$B$26+Inputs!$B$29,IF(Skills!C12=3,120+Inputs!$B$27+Inputs!$B$29,MAX(0,(Inputs!$B$3-100)*3)+Inputs!$B$28+Inputs!$B$29)))</f>
        <v/>
      </c>
      <c r="E2723">
        <f>INDEX(FactorTable!$B$2:$Y$301, MATCH(ROUND(MIN(300,MAX(1,D2723)),0), FactorTable!$A$2:$A$301,0), Skills!M12+1)</f>
        <v/>
      </c>
      <c r="F2723">
        <f>IF(Skills!N12=TRUE,(Skills!L12/10)*(E2723/1000),Skills!L12/10)+Skills!O12</f>
        <v/>
      </c>
      <c r="G2723">
        <f>Skills!G12*IF(Skills!H12&gt;0,Skills!I12/Skills!H12,1)</f>
        <v/>
      </c>
      <c r="H2723">
        <f>1-(1-Skills!J12/100)^Skills!K12</f>
        <v/>
      </c>
      <c r="I2723" t="inlineStr">
        <is>
          <t>1</t>
        </is>
      </c>
      <c r="J2723">
        <f>((Inputs!$B$6*(1+Inputs!$B$7/100))+(((Inputs!$B$12*(1+Inputs!$B$13/100))-(Inputs!$B$12*(1+Inputs!$B$13/100)))+0.25*(Inputs!$B$14-Inputs!$B$14))*(1+Inputs!$B$7/100))*(F2723/100)</f>
        <v/>
      </c>
      <c r="K2723">
        <f>J2723*(1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2723)</f>
        <v/>
      </c>
      <c r="L2723">
        <f>K2723*(MIN(Inputs!$B$22+((C2733=TRUE)*(F2733-Calc!F22)),(Inputs!$B$23+0+(IF(ArtifactsInput!$M$15,CHOOSE(ArtifactsInput!$N$15+1,25,30,35,40,45,50)/100*(Inputs!$B$11-Inputs!$B$11),0))))/100+(Inputs!$B$23+0+(IF(ArtifactsInput!$M$15,CHOOSE(ArtifactsInput!$N$15+1,25,30,35,40,45,50)/100*(Inputs!$B$11-Inputs!$B$11),0)))/100)/2</f>
        <v/>
      </c>
      <c r="M2723">
        <f>L2723*(1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3">
        <f>L2723*(1-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2723*(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3">
        <f>(1-Summary!$B$11)*T2723+Summary!$B$11*V2723</f>
        <v/>
      </c>
      <c r="P2723">
        <f>IF(B2752=0,0,O2723/B2752)</f>
        <v/>
      </c>
      <c r="Q2723">
        <f>IFERROR(1/(IF(Inputs!$B$38="pvp",15,MAX(0.1,Skills!D12-IF(Skills!E12=TRUE,Inputs!$B$32,0)))*(1-IF(AND(ArtifactsInput!$M$27,Inputs!$B$4="Chapter Hunt"),CHOOSE(ArtifactsInput!$N$27+1,20,24,28,32,36,40),0)/100)),0)</f>
        <v/>
      </c>
      <c r="R2723">
        <f>IF(AND(Inputs!$B$38&lt;&gt;"pvp",Inputs!$B$43&gt;0),IF(MAX(0,Inputs!$B$43-B2749)&lt;=0,0,(INT(MAX(0,Inputs!$B$43-B2749)/(IF(Inputs!$B$38="pvp",15,MAX(0.1,Skills!D12-IF(Skills!E12=TRUE,Inputs!$B$32,0)))*(1-IF(AND(ArtifactsInput!$M$27,Inputs!$B$4="Chapter Hunt"),CHOOSE(ArtifactsInput!$N$27+1,20,24,28,32,36,40),0)/100)))+1)),0)</f>
        <v/>
      </c>
      <c r="S2723">
        <f>IFERROR(O2723/N2723,0)</f>
        <v/>
      </c>
      <c r="T2723">
        <f>IF(C2723,(H2723*N2723*IF(AND(Inputs!$B$38&lt;&gt;"pvp",Inputs!$B$43&gt;0),((Skills!G12*((R2723-1)*IF(Skills!H12&gt;0,Skills!I12/Skills!H12,1)+IF(Skills!H12&gt;0,MIN(Skills!I12,MAX(0,MAX(0,Inputs!$B$43-B2749)-((R2723-1)*(IF(Inputs!$B$38="pvp",15,MAX(0.1,Skills!D12-IF(Skills!E12=TRUE,Inputs!$B$32,0)))*(1-IF(AND(ArtifactsInput!$M$27,Inputs!$B$4="Chapter Hunt"),CHOOSE(ArtifactsInput!$N$27+1,20,24,28,32,36,40),0)/100)))))/Skills!H12,1)))/Inputs!$B$43),G2723*Q2723)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2723*(1-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2723*(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2723*(1-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2723*(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3">
        <f>IF(C2723,(H2723*N2723*IF(AND(Inputs!$B$38&lt;&gt;"pvp",Inputs!$B$43&gt;0),((Skills!G12*((R2723-1)*IF(Skills!H12&gt;0,Skills!I12/Skills!H12,1)+IF(Skills!H12&gt;0,MIN(Skills!I12,MAX(0,MAX(0,Inputs!$B$43-B2749)-((R2723-1)*(IF(Inputs!$B$38="pvp",15,MAX(0.1,Skills!D12-IF(Skills!E12=TRUE,Inputs!$B$32,0)))*(1-IF(AND(ArtifactsInput!$M$27,Inputs!$B$4="Chapter Hunt"),CHOOSE(ArtifactsInput!$N$27+1,20,24,28,32,36,40),0)/100)))))/Skills!H12,1)))/Inputs!$B$43),G2723*Q2723))*IF(Inputs!$B$38="pvp",1,(1+(Inputs!$B$21+Skills!Q12+(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12,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4">
      <c r="A2724">
        <f>Skills!A13</f>
        <v/>
      </c>
      <c r="B2724">
        <f>Skills!B13</f>
        <v/>
      </c>
      <c r="C2724">
        <f>Inputs!$B$3&gt;=110</f>
        <v/>
      </c>
      <c r="D2724">
        <f>IF(Skills!C13=1,60+Inputs!$B$25+Inputs!$B$29,IF(Skills!C13=2,90+Inputs!$B$26+Inputs!$B$29,IF(Skills!C13=3,120+Inputs!$B$27+Inputs!$B$29,MAX(0,(Inputs!$B$3-100)*3)+Inputs!$B$28+Inputs!$B$29)))</f>
        <v/>
      </c>
      <c r="E2724">
        <f>INDEX(FactorTable!$B$2:$Y$301, MATCH(ROUND(MIN(300,MAX(1,D2724)),0), FactorTable!$A$2:$A$301,0), Skills!M13+1)</f>
        <v/>
      </c>
      <c r="F2724">
        <f>IF(Skills!N13=TRUE,(Skills!L13/10)*(E2724/1000),Skills!L13/10)+Skills!O13</f>
        <v/>
      </c>
      <c r="G2724">
        <f>Skills!G13*IF(Skills!H13&gt;0,Skills!I13/Skills!H13,1)</f>
        <v/>
      </c>
      <c r="H2724">
        <f>1-(1-Skills!J13/100)^Skills!K13</f>
        <v/>
      </c>
      <c r="I2724" t="inlineStr">
        <is>
          <t>1</t>
        </is>
      </c>
      <c r="J2724">
        <f>((Inputs!$B$6*(1+Inputs!$B$7/100))+(((Inputs!$B$12*(1+Inputs!$B$13/100))-(Inputs!$B$12*(1+Inputs!$B$13/100)))+0.25*(Inputs!$B$14-Inputs!$B$14))*(1+Inputs!$B$7/100))*(F2724/100)</f>
        <v/>
      </c>
      <c r="K2724">
        <f>J2724*(1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2724)</f>
        <v/>
      </c>
      <c r="L2724">
        <f>K2724*(MIN(Inputs!$B$22+((C2733=TRUE)*(F2733-Calc!F22)),(Inputs!$B$23+0+(IF(ArtifactsInput!$M$15,CHOOSE(ArtifactsInput!$N$15+1,25,30,35,40,45,50)/100*(Inputs!$B$11-Inputs!$B$11),0))))/100+(Inputs!$B$23+0+(IF(ArtifactsInput!$M$15,CHOOSE(ArtifactsInput!$N$15+1,25,30,35,40,45,50)/100*(Inputs!$B$11-Inputs!$B$11),0)))/100)/2</f>
        <v/>
      </c>
      <c r="M2724">
        <f>L2724*(1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4">
        <f>L2724*(1-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2724*(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4">
        <f>(1-Summary!$B$11)*T2724+Summary!$B$11*V2724</f>
        <v/>
      </c>
      <c r="P2724">
        <f>IF(B2752=0,0,O2724/B2752)</f>
        <v/>
      </c>
      <c r="Q2724">
        <f>IFERROR(1/(IF(Inputs!$B$38="pvp",15,MAX(0.1,Skills!D13-IF(Skills!E13=TRUE,Inputs!$B$32,0)))*(1-IF(AND(ArtifactsInput!$M$27,Inputs!$B$4="Chapter Hunt"),CHOOSE(ArtifactsInput!$N$27+1,20,24,28,32,36,40),0)/100)),0)</f>
        <v/>
      </c>
      <c r="R2724">
        <f>IF(AND(Inputs!$B$38&lt;&gt;"pvp",Inputs!$B$43&gt;0),IF(MAX(0,Inputs!$B$43-B2749)&lt;=0,0,(INT(MAX(0,Inputs!$B$43-B2749)/(IF(Inputs!$B$38="pvp",15,MAX(0.1,Skills!D13-IF(Skills!E13=TRUE,Inputs!$B$32,0)))*(1-IF(AND(ArtifactsInput!$M$27,Inputs!$B$4="Chapter Hunt"),CHOOSE(ArtifactsInput!$N$27+1,20,24,28,32,36,40),0)/100)))+1)),0)</f>
        <v/>
      </c>
      <c r="S2724">
        <f>IFERROR(O2724/N2724,0)</f>
        <v/>
      </c>
      <c r="T2724">
        <f>IF(C2724,(H2724*N2724*IF(AND(Inputs!$B$38&lt;&gt;"pvp",Inputs!$B$43&gt;0),((Skills!G13*((R2724-1)*IF(Skills!H13&gt;0,Skills!I13/Skills!H13,1)+IF(Skills!H13&gt;0,MIN(Skills!I13,MAX(0,MAX(0,Inputs!$B$43-B2749)-((R2724-1)*(IF(Inputs!$B$38="pvp",15,MAX(0.1,Skills!D13-IF(Skills!E13=TRUE,Inputs!$B$32,0)))*(1-IF(AND(ArtifactsInput!$M$27,Inputs!$B$4="Chapter Hunt"),CHOOSE(ArtifactsInput!$N$27+1,20,24,28,32,36,40),0)/100)))))/Skills!H13,1)))/Inputs!$B$43),G2724*Q2724)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2724*(1-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2724*(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2724*(1-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2724*(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4">
        <f>IF(C2724,(H2724*N2724*IF(AND(Inputs!$B$38&lt;&gt;"pvp",Inputs!$B$43&gt;0),((Skills!G13*((R2724-1)*IF(Skills!H13&gt;0,Skills!I13/Skills!H13,1)+IF(Skills!H13&gt;0,MIN(Skills!I13,MAX(0,MAX(0,Inputs!$B$43-B2749)-((R2724-1)*(IF(Inputs!$B$38="pvp",15,MAX(0.1,Skills!D13-IF(Skills!E13=TRUE,Inputs!$B$32,0)))*(1-IF(AND(ArtifactsInput!$M$27,Inputs!$B$4="Chapter Hunt"),CHOOSE(ArtifactsInput!$N$27+1,20,24,28,32,36,40),0)/100)))))/Skills!H13,1)))/Inputs!$B$43),G2724*Q2724))*IF(Inputs!$B$38="pvp",1,(1+(Inputs!$B$21+Skills!Q13+(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13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5">
      <c r="A2725">
        <f>Skills!A14</f>
        <v/>
      </c>
      <c r="B2725">
        <f>Skills!B14</f>
        <v/>
      </c>
      <c r="C2725">
        <f>Inputs!$B$3&gt;=125</f>
        <v/>
      </c>
      <c r="D2725">
        <f>IF(Skills!C14=1,60+Inputs!$B$25+Inputs!$B$29,IF(Skills!C14=2,90+Inputs!$B$26+Inputs!$B$29,IF(Skills!C14=3,120+Inputs!$B$27+Inputs!$B$29,MAX(0,(Inputs!$B$3-100)*3)+Inputs!$B$28+Inputs!$B$29)))</f>
        <v/>
      </c>
      <c r="E2725">
        <f>INDEX(FactorTable!$B$2:$Y$301, MATCH(ROUND(MIN(300,MAX(1,D2725)),0), FactorTable!$A$2:$A$301,0), Skills!M14+1)</f>
        <v/>
      </c>
      <c r="F2725">
        <f>IF(Skills!N14=TRUE,(Skills!L14/10)*(E2725/1000),Skills!L14/10)+Skills!O14</f>
        <v/>
      </c>
      <c r="G2725">
        <f>Skills!G14*IF(Skills!H14&gt;0,Skills!I14/Skills!H14,1)</f>
        <v/>
      </c>
      <c r="H2725">
        <f>1-(1-Skills!J14/100)^Skills!K14</f>
        <v/>
      </c>
      <c r="I2725" t="inlineStr">
        <is>
          <t>1</t>
        </is>
      </c>
      <c r="J2725">
        <f>((Inputs!$B$6*(1+Inputs!$B$7/100))+(((Inputs!$B$12*(1+Inputs!$B$13/100))-(Inputs!$B$12*(1+Inputs!$B$13/100)))+0.25*(Inputs!$B$14-Inputs!$B$14))*(1+Inputs!$B$7/100))*(F2725/100)</f>
        <v/>
      </c>
      <c r="K2725">
        <f>J2725*(1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2725)</f>
        <v/>
      </c>
      <c r="L2725">
        <f>K2725*(MIN(Inputs!$B$22+((C2733=TRUE)*(F2733-Calc!F22)),(Inputs!$B$23+0+(IF(ArtifactsInput!$M$15,CHOOSE(ArtifactsInput!$N$15+1,25,30,35,40,45,50)/100*(Inputs!$B$11-Inputs!$B$11),0))))/100+(Inputs!$B$23+0+(IF(ArtifactsInput!$M$15,CHOOSE(ArtifactsInput!$N$15+1,25,30,35,40,45,50)/100*(Inputs!$B$11-Inputs!$B$11),0)))/100)/2</f>
        <v/>
      </c>
      <c r="M2725">
        <f>L2725*(1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5">
        <f>L2725*(1-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2725*(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5">
        <f>(1-Summary!$B$11)*T2725+Summary!$B$11*V2725</f>
        <v/>
      </c>
      <c r="P2725">
        <f>IF(B2752=0,0,O2725/B2752)</f>
        <v/>
      </c>
      <c r="Q2725" t="n">
        <v>0</v>
      </c>
      <c r="R2725" t="n">
        <v>0</v>
      </c>
      <c r="S2725">
        <f>IFERROR(O2725/N2725,0)</f>
        <v/>
      </c>
      <c r="T2725">
        <f>IF(C2725,(H2725*N2725*(B2746+IF(AND(Inputs!$B$38&lt;&gt;"pvp",Inputs!$B$43&gt;0),((Skills!G8*((R2719-1)*IF(Skills!H8&gt;0,Skills!I8/Skills!H8,1)+IF(Skills!H8&gt;0,MIN(Skills!I8,MAX(0,MAX(0,Inputs!$B$43-B2749)-((R2719-1)*(IF(Inputs!$B$38="pvp",15,MAX(0.1,Skills!D8-IF(Skills!E8=TRUE,Inputs!$B$32,0)))*(1-IF(AND(ArtifactsInput!$M$27,Inputs!$B$4="Chapter Hunt"),CHOOSE(ArtifactsInput!$N$27+1,20,24,28,32,36,40),0)/100)))))/Skills!H8,1)))/Inputs!$B$43),G2719*Q2719)+IF(AND(Inputs!$B$38&lt;&gt;"pvp",Inputs!$B$43&gt;0),((Skills!G11*((R2722-1)*IF(Skills!H11&gt;0,Skills!I11/Skills!H11,1)+IF(Skills!H11&gt;0,MIN(Skills!I11,MAX(0,MAX(0,Inputs!$B$43-B2749)-((R2722-1)*(IF(Inputs!$B$38="pvp",15,MAX(0.1,Skills!D11-IF(Skills!E11=TRUE,Inputs!$B$32,0)))*(1-IF(AND(ArtifactsInput!$M$27,Inputs!$B$4="Chapter Hunt"),CHOOSE(ArtifactsInput!$N$27+1,20,24,28,32,36,40),0)/100)))))/Skills!H11,1)))/Inputs!$B$43),G2722*Q2722)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2725*(1-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2725*(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2725*(1-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2725*(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5">
        <f>IF(C2725,(H2725*N2725*(B2746+IF(AND(Inputs!$B$38&lt;&gt;"pvp",Inputs!$B$43&gt;0),((Skills!G8*((R2719-1)*IF(Skills!H8&gt;0,Skills!I8/Skills!H8,1)+IF(Skills!H8&gt;0,MIN(Skills!I8,MAX(0,MAX(0,Inputs!$B$43-B2749)-((R2719-1)*(IF(Inputs!$B$38="pvp",15,MAX(0.1,Skills!D8-IF(Skills!E8=TRUE,Inputs!$B$32,0)))*(1-IF(AND(ArtifactsInput!$M$27,Inputs!$B$4="Chapter Hunt"),CHOOSE(ArtifactsInput!$N$27+1,20,24,28,32,36,40),0)/100)))))/Skills!H8,1)))/Inputs!$B$43),G2719*Q2719)+IF(AND(Inputs!$B$38&lt;&gt;"pvp",Inputs!$B$43&gt;0),((Skills!G11*((R2722-1)*IF(Skills!H11&gt;0,Skills!I11/Skills!H11,1)+IF(Skills!H11&gt;0,MIN(Skills!I11,MAX(0,MAX(0,Inputs!$B$43-B2749)-((R2722-1)*(IF(Inputs!$B$38="pvp",15,MAX(0.1,Skills!D11-IF(Skills!E11=TRUE,Inputs!$B$32,0)))*(1-IF(AND(ArtifactsInput!$M$27,Inputs!$B$4="Chapter Hunt"),CHOOSE(ArtifactsInput!$N$27+1,20,24,28,32,36,40),0)/100)))))/Skills!H11,1)))/Inputs!$B$43),G2722*Q2722)))*IF(Inputs!$B$38="pvp",1,(1+(Inputs!$B$21+Skills!Q14+(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14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6">
      <c r="A2726">
        <f>Skills!A15</f>
        <v/>
      </c>
      <c r="B2726">
        <f>Skills!B15</f>
        <v/>
      </c>
      <c r="C2726">
        <f>Inputs!$B$3&gt;=100</f>
        <v/>
      </c>
      <c r="D2726">
        <f>IF(Skills!C15=1,60+Inputs!$B$25+Inputs!$B$29,IF(Skills!C15=2,90+Inputs!$B$26+Inputs!$B$29,IF(Skills!C15=3,120+Inputs!$B$27+Inputs!$B$29,MAX(0,(Inputs!$B$3-100)*3)+Inputs!$B$28+Inputs!$B$29)))</f>
        <v/>
      </c>
      <c r="E2726">
        <f>INDEX(FactorTable!$B$2:$Y$301, MATCH(ROUND(MIN(300,MAX(1,D2726)),0), FactorTable!$A$2:$A$301,0), Skills!M15+1)</f>
        <v/>
      </c>
      <c r="F2726">
        <f>IF(Skills!N15=TRUE,(Skills!L15/10)*(E2726/1000),Skills!L15/10)+Skills!O15</f>
        <v/>
      </c>
      <c r="G2726" t="inlineStr"/>
      <c r="H2726" t="inlineStr"/>
      <c r="I2726" t="inlineStr">
        <is>
          <t>1</t>
        </is>
      </c>
      <c r="J2726" t="inlineStr"/>
      <c r="K2726" t="inlineStr"/>
      <c r="L2726" t="inlineStr"/>
      <c r="M2726" t="inlineStr"/>
      <c r="N2726" t="inlineStr"/>
      <c r="O2726" t="inlineStr"/>
      <c r="P2726" t="inlineStr"/>
      <c r="Q2726" t="inlineStr"/>
      <c r="R2726" t="inlineStr"/>
      <c r="S2726" t="inlineStr"/>
    </row>
    <row r="2727">
      <c r="A2727">
        <f>Skills!A16</f>
        <v/>
      </c>
      <c r="B2727">
        <f>Skills!B16</f>
        <v/>
      </c>
      <c r="C2727">
        <f>Inputs!$B$3&gt;=120</f>
        <v/>
      </c>
      <c r="D2727">
        <f>IF(Skills!C16=1,60+Inputs!$B$25+Inputs!$B$29,IF(Skills!C16=2,90+Inputs!$B$26+Inputs!$B$29,IF(Skills!C16=3,120+Inputs!$B$27+Inputs!$B$29,MAX(0,(Inputs!$B$3-100)*3)+Inputs!$B$28+Inputs!$B$29)))</f>
        <v/>
      </c>
      <c r="E2727">
        <f>INDEX(FactorTable!$B$2:$Y$301, MATCH(ROUND(MIN(300,MAX(1,D2727)),0), FactorTable!$A$2:$A$301,0), Skills!M16+1)</f>
        <v/>
      </c>
      <c r="F2727">
        <f>IF(Skills!N16=TRUE,(Skills!L16/10)*(E2727/1000),Skills!L16/10)+Skills!O16</f>
        <v/>
      </c>
      <c r="G2727" t="inlineStr"/>
      <c r="H2727" t="inlineStr"/>
      <c r="I2727" t="inlineStr">
        <is>
          <t>1</t>
        </is>
      </c>
      <c r="J2727" t="inlineStr"/>
      <c r="K2727" t="inlineStr"/>
      <c r="L2727" t="inlineStr"/>
      <c r="M2727" t="inlineStr"/>
      <c r="N2727" t="inlineStr"/>
      <c r="O2727" t="inlineStr"/>
      <c r="P2727" t="inlineStr"/>
      <c r="Q2727" t="inlineStr"/>
      <c r="R2727" t="inlineStr"/>
      <c r="S2727" t="inlineStr"/>
    </row>
    <row r="2728">
      <c r="A2728">
        <f>Skills!A17</f>
        <v/>
      </c>
      <c r="B2728">
        <f>Skills!B17</f>
        <v/>
      </c>
      <c r="C2728">
        <f>Inputs!$B$3&gt;=66</f>
        <v/>
      </c>
      <c r="D2728">
        <f>IF(Skills!C17=1,60+Inputs!$B$25+Inputs!$B$29,IF(Skills!C17=2,90+Inputs!$B$26+Inputs!$B$29,IF(Skills!C17=3,120+Inputs!$B$27+Inputs!$B$29,MAX(0,(Inputs!$B$3-100)*3)+Inputs!$B$28+Inputs!$B$29)))</f>
        <v/>
      </c>
      <c r="E2728">
        <f>INDEX(FactorTable!$B$2:$Y$301, MATCH(ROUND(MIN(300,MAX(1,D2728)),0), FactorTable!$A$2:$A$301,0), Skills!M17+1)</f>
        <v/>
      </c>
      <c r="F2728">
        <f>IF(Skills!N17=TRUE,(Skills!L17/10)*(E2728/1000),Skills!L17/10)+Skills!O17</f>
        <v/>
      </c>
      <c r="G2728">
        <f>Skills!G17*IF(Skills!H17&gt;0,Skills!I17/Skills!H17,1)</f>
        <v/>
      </c>
      <c r="H2728">
        <f>1-(1-Skills!J17/100)^Skills!K17</f>
        <v/>
      </c>
      <c r="I2728" t="inlineStr">
        <is>
          <t>1</t>
        </is>
      </c>
      <c r="J2728" t="inlineStr"/>
      <c r="K2728" t="inlineStr"/>
      <c r="L2728" t="inlineStr"/>
      <c r="M2728" t="inlineStr"/>
      <c r="N2728" t="inlineStr"/>
      <c r="O2728">
        <f>(1-Summary!$B$11)*T2728+Summary!$B$11*V2728</f>
        <v/>
      </c>
      <c r="P2728">
        <f>IF(B2752=0,0,O2728/B2752)</f>
        <v/>
      </c>
      <c r="Q2728" t="n">
        <v>0</v>
      </c>
      <c r="R2728" t="n">
        <v>0</v>
      </c>
      <c r="S2728">
        <f>IFERROR(O2728/N2728,0)</f>
        <v/>
      </c>
      <c r="T2728" t="n">
        <v>0</v>
      </c>
      <c r="V2728" t="n">
        <v>0</v>
      </c>
    </row>
    <row r="2729">
      <c r="A2729">
        <f>Skills!A18</f>
        <v/>
      </c>
      <c r="B2729">
        <f>Skills!B18</f>
        <v/>
      </c>
      <c r="C2729">
        <f>Inputs!$B$3&gt;=115</f>
        <v/>
      </c>
      <c r="D2729">
        <f>IF(Skills!C18=1,60+Inputs!$B$25+Inputs!$B$29,IF(Skills!C18=2,90+Inputs!$B$26+Inputs!$B$29,IF(Skills!C18=3,120+Inputs!$B$27+Inputs!$B$29,MAX(0,(Inputs!$B$3-100)*3)+Inputs!$B$28+Inputs!$B$29)))</f>
        <v/>
      </c>
      <c r="E2729">
        <f>INDEX(FactorTable!$B$2:$Y$301, MATCH(ROUND(MIN(300,MAX(1,D2729)),0), FactorTable!$A$2:$A$301,0), Skills!M18+1)</f>
        <v/>
      </c>
      <c r="F2729">
        <f>IF(Skills!N18=TRUE,(Skills!L18/10)*(E2729/1000),Skills!L18/10)+Skills!O18</f>
        <v/>
      </c>
      <c r="G2729">
        <f>Skills!G18*IF(Skills!H18&gt;0,Skills!I18/Skills!H18,1)</f>
        <v/>
      </c>
      <c r="H2729">
        <f>1-(1-Skills!J18/100)^Skills!K18</f>
        <v/>
      </c>
      <c r="I2729" t="inlineStr">
        <is>
          <t>1</t>
        </is>
      </c>
      <c r="J2729" t="inlineStr"/>
      <c r="K2729" t="inlineStr"/>
      <c r="L2729" t="inlineStr"/>
      <c r="M2729" t="inlineStr"/>
      <c r="N2729" t="inlineStr"/>
      <c r="O2729">
        <f>(1-Summary!$B$11)*T2729+Summary!$B$11*V2729</f>
        <v/>
      </c>
      <c r="P2729">
        <f>IF(B2752=0,0,O2729/B2752)</f>
        <v/>
      </c>
      <c r="Q2729">
        <f>IFERROR(1/(IF(Inputs!$B$38="pvp",15,MAX(0.1,Skills!D18-IF(Skills!E18=TRUE,Inputs!$B$32,0)))*(1-IF(AND(ArtifactsInput!$M$27,Inputs!$B$4="Chapter Hunt"),CHOOSE(ArtifactsInput!$N$27+1,20,24,28,32,36,40),0)/100)),0)</f>
        <v/>
      </c>
      <c r="R2729">
        <f>IF(AND(Inputs!$B$38&lt;&gt;"pvp",Inputs!$B$43&gt;0),IF(Inputs!$B$43&lt;=0,0,(INT(Inputs!$B$43/(IF(Inputs!$B$38="pvp",15,MAX(0.1,Skills!D18-IF(Skills!E18=TRUE,Inputs!$B$32,0)))*(1-IF(AND(ArtifactsInput!$M$27,Inputs!$B$4="Chapter Hunt"),CHOOSE(ArtifactsInput!$N$27+1,20,24,28,32,36,40),0)/100)))+1)),0)</f>
        <v/>
      </c>
      <c r="S2729">
        <f>IFERROR(O2729/N2729,0)</f>
        <v/>
      </c>
      <c r="T2729" t="n">
        <v>0</v>
      </c>
      <c r="V2729" t="n">
        <v>0</v>
      </c>
    </row>
    <row r="2730">
      <c r="A2730">
        <f>Skills!A19</f>
        <v/>
      </c>
      <c r="B2730">
        <f>Skills!B19</f>
        <v/>
      </c>
      <c r="C2730">
        <f>Inputs!$B$3&gt;=15</f>
        <v/>
      </c>
      <c r="D2730">
        <f>IF(Skills!C19=1,60+Inputs!$B$25+Inputs!$B$29,IF(Skills!C19=2,90+Inputs!$B$26+Inputs!$B$29,IF(Skills!C19=3,120+Inputs!$B$27+Inputs!$B$29,MAX(0,(Inputs!$B$3-100)*3)+Inputs!$B$28+Inputs!$B$29)))</f>
        <v/>
      </c>
      <c r="E2730">
        <f>INDEX(FactorTable!$B$2:$Y$301, MATCH(ROUND(MIN(300,MAX(1,D2730)),0), FactorTable!$A$2:$A$301,0), Skills!M19+1)</f>
        <v/>
      </c>
      <c r="F2730">
        <f>IF(Skills!N19=TRUE,(Skills!L19/10)*(E2730/1000),Skills!L19/10)+Skills!O19</f>
        <v/>
      </c>
      <c r="G2730">
        <f>Skills!G19*IF(Skills!H19&gt;0,Skills!I19/Skills!H19,1)</f>
        <v/>
      </c>
      <c r="H2730">
        <f>1-(1-Skills!J19/100)^Skills!K19</f>
        <v/>
      </c>
      <c r="I2730" t="inlineStr">
        <is>
          <t>1</t>
        </is>
      </c>
      <c r="J2730" t="inlineStr"/>
      <c r="K2730" t="inlineStr"/>
      <c r="L2730" t="inlineStr"/>
      <c r="M2730" t="inlineStr"/>
      <c r="N2730" t="inlineStr"/>
      <c r="O2730">
        <f>(1-Summary!$B$11)*T2730+Summary!$B$11*V2730</f>
        <v/>
      </c>
      <c r="P2730">
        <f>IF(B2752=0,0,O2730/B2752)</f>
        <v/>
      </c>
      <c r="Q2730" t="n">
        <v>0</v>
      </c>
      <c r="R2730" t="n">
        <v>0</v>
      </c>
      <c r="S2730">
        <f>IFERROR(O2730/N2730,0)</f>
        <v/>
      </c>
      <c r="T2730" t="n">
        <v>0</v>
      </c>
      <c r="V2730" t="n">
        <v>0</v>
      </c>
    </row>
    <row r="2731">
      <c r="A2731">
        <f>Skills!A20</f>
        <v/>
      </c>
      <c r="B2731">
        <f>Skills!B20</f>
        <v/>
      </c>
      <c r="C2731">
        <f>Inputs!$B$3&gt;=10</f>
        <v/>
      </c>
      <c r="D2731">
        <f>IF(Skills!C20=1,60+Inputs!$B$25+Inputs!$B$29,IF(Skills!C20=2,90+Inputs!$B$26+Inputs!$B$29,IF(Skills!C20=3,120+Inputs!$B$27+Inputs!$B$29,MAX(0,(Inputs!$B$3-100)*3)+Inputs!$B$28+Inputs!$B$29)))</f>
        <v/>
      </c>
      <c r="E2731">
        <f>INDEX(FactorTable!$B$2:$Y$301, MATCH(ROUND(MIN(300,MAX(1,D2731)),0), FactorTable!$A$2:$A$301,0), Skills!M20+1)</f>
        <v/>
      </c>
      <c r="F2731">
        <f>IF(Skills!N20=TRUE,(Skills!L20/10)*(E2731/1000),Skills!L20/10)+Skills!O20</f>
        <v/>
      </c>
      <c r="G2731">
        <f>Skills!G20*IF(Skills!H20&gt;0,Skills!I20/Skills!H20,1)</f>
        <v/>
      </c>
      <c r="H2731">
        <f>1-(1-Skills!J20/100)^Skills!K20</f>
        <v/>
      </c>
      <c r="I2731" t="inlineStr">
        <is>
          <t>1</t>
        </is>
      </c>
      <c r="J2731" t="inlineStr"/>
      <c r="K2731" t="inlineStr"/>
      <c r="L2731" t="inlineStr"/>
      <c r="M2731" t="inlineStr"/>
      <c r="N2731" t="inlineStr"/>
      <c r="O2731">
        <f>(1-Summary!$B$11)*T2731+Summary!$B$11*V2731</f>
        <v/>
      </c>
      <c r="P2731">
        <f>IF(B2752=0,0,O2731/B2752)</f>
        <v/>
      </c>
      <c r="Q2731" t="n">
        <v>0</v>
      </c>
      <c r="R2731" t="n">
        <v>0</v>
      </c>
      <c r="S2731">
        <f>IFERROR(O2731/N2731,0)</f>
        <v/>
      </c>
      <c r="T2731" t="n">
        <v>0</v>
      </c>
      <c r="V2731" t="n">
        <v>0</v>
      </c>
    </row>
    <row r="2732">
      <c r="A2732">
        <f>Skills!A21</f>
        <v/>
      </c>
      <c r="B2732">
        <f>Skills!B21</f>
        <v/>
      </c>
      <c r="C2732">
        <f>Inputs!$B$3&gt;=33</f>
        <v/>
      </c>
      <c r="D2732">
        <f>IF(Skills!C21=1,60+Inputs!$B$25+Inputs!$B$29,IF(Skills!C21=2,90+Inputs!$B$26+Inputs!$B$29,IF(Skills!C21=3,120+Inputs!$B$27+Inputs!$B$29,MAX(0,(Inputs!$B$3-100)*3)+Inputs!$B$28+Inputs!$B$29)))</f>
        <v/>
      </c>
      <c r="E2732">
        <f>INDEX(FactorTable!$B$2:$Y$301, MATCH(ROUND(MIN(300,MAX(1,D2732)),0), FactorTable!$A$2:$A$301,0), Skills!M21+1)</f>
        <v/>
      </c>
      <c r="F2732">
        <f>IF(Skills!N21=TRUE,(Skills!L21/10)*(E2732/1000),Skills!L21/10)+Skills!O21</f>
        <v/>
      </c>
      <c r="G2732">
        <f>Skills!G21*IF(Skills!H21&gt;0,Skills!I21/Skills!H21,1)</f>
        <v/>
      </c>
      <c r="H2732">
        <f>1-(1-Skills!J21/100)^Skills!K21</f>
        <v/>
      </c>
      <c r="I2732" t="inlineStr">
        <is>
          <t>1</t>
        </is>
      </c>
      <c r="J2732" t="inlineStr"/>
      <c r="K2732" t="inlineStr"/>
      <c r="L2732" t="inlineStr"/>
      <c r="M2732" t="inlineStr"/>
      <c r="N2732" t="inlineStr"/>
      <c r="O2732">
        <f>(1-Summary!$B$11)*T2732+Summary!$B$11*V2732</f>
        <v/>
      </c>
      <c r="P2732">
        <f>IF(B2752=0,0,O2732/B2752)</f>
        <v/>
      </c>
      <c r="Q2732" t="n">
        <v>0</v>
      </c>
      <c r="R2732" t="n">
        <v>0</v>
      </c>
      <c r="S2732">
        <f>IFERROR(O2732/N2732,0)</f>
        <v/>
      </c>
      <c r="T2732" t="n">
        <v>0</v>
      </c>
      <c r="V2732" t="n">
        <v>0</v>
      </c>
    </row>
    <row r="2733">
      <c r="A2733">
        <f>Skills!A22</f>
        <v/>
      </c>
      <c r="B2733">
        <f>Skills!B22</f>
        <v/>
      </c>
      <c r="C2733">
        <f>Inputs!$B$3&gt;=43</f>
        <v/>
      </c>
      <c r="D2733">
        <f>IF(Skills!C22=1,60+Inputs!$B$25+Inputs!$B$29,IF(Skills!C22=2,90+Inputs!$B$26+Inputs!$B$29,IF(Skills!C22=3,120+Inputs!$B$27+Inputs!$B$29,MAX(0,(Inputs!$B$3-100)*3)+Inputs!$B$28+Inputs!$B$29)))</f>
        <v/>
      </c>
      <c r="E2733">
        <f>INDEX(FactorTable!$B$2:$Y$301, MATCH(ROUND(MIN(300,MAX(1,D2733)),0), FactorTable!$A$2:$A$301,0), Skills!M22+1)</f>
        <v/>
      </c>
      <c r="F2733">
        <f>IF(Skills!N22=TRUE,(Skills!L22/10)*(E2733/1000),Skills!L22/10)+Skills!O22</f>
        <v/>
      </c>
      <c r="G2733">
        <f>Skills!G22*IF(Skills!H22&gt;0,Skills!I22/Skills!H22,1)</f>
        <v/>
      </c>
      <c r="H2733">
        <f>1-(1-Skills!J22/100)^Skills!K22</f>
        <v/>
      </c>
      <c r="I2733" t="inlineStr">
        <is>
          <t>1</t>
        </is>
      </c>
      <c r="J2733" t="inlineStr"/>
      <c r="K2733" t="inlineStr"/>
      <c r="L2733" t="inlineStr"/>
      <c r="M2733" t="inlineStr"/>
      <c r="N2733" t="inlineStr"/>
      <c r="O2733">
        <f>(1-Summary!$B$11)*T2733+Summary!$B$11*V2733</f>
        <v/>
      </c>
      <c r="P2733">
        <f>IF(B2752=0,0,O2733/B2752)</f>
        <v/>
      </c>
      <c r="Q2733" t="n">
        <v>0</v>
      </c>
      <c r="R2733" t="n">
        <v>0</v>
      </c>
      <c r="S2733">
        <f>IFERROR(O2733/N2733,0)</f>
        <v/>
      </c>
      <c r="T2733" t="n">
        <v>0</v>
      </c>
      <c r="V2733" t="n">
        <v>0</v>
      </c>
    </row>
    <row r="2734">
      <c r="A2734">
        <f>Skills!A23</f>
        <v/>
      </c>
      <c r="B2734">
        <f>Skills!B23</f>
        <v/>
      </c>
      <c r="C2734">
        <f>Inputs!$B$3&gt;=38</f>
        <v/>
      </c>
      <c r="D2734">
        <f>IF(Skills!C23=1,60+Inputs!$B$25+Inputs!$B$29,IF(Skills!C23=2,90+Inputs!$B$26+Inputs!$B$29,IF(Skills!C23=3,120+Inputs!$B$27+Inputs!$B$29,MAX(0,(Inputs!$B$3-100)*3)+Inputs!$B$28+Inputs!$B$29)))</f>
        <v/>
      </c>
      <c r="E2734">
        <f>INDEX(FactorTable!$B$2:$Y$301, MATCH(ROUND(MIN(300,MAX(1,D2734)),0), FactorTable!$A$2:$A$301,0), Skills!M23+1)</f>
        <v/>
      </c>
      <c r="F2734">
        <f>IF(Skills!N23=TRUE,(Skills!L23/10)*(E2734/1000),Skills!L23/10)+Skills!O23</f>
        <v/>
      </c>
      <c r="G2734">
        <f>Skills!G23*IF(Skills!H23&gt;0,Skills!I23/Skills!H23,1)</f>
        <v/>
      </c>
      <c r="H2734">
        <f>1-(1-Skills!J23/100)^Skills!K23</f>
        <v/>
      </c>
      <c r="I2734" t="inlineStr">
        <is>
          <t>1</t>
        </is>
      </c>
      <c r="J2734" t="inlineStr"/>
      <c r="K2734" t="inlineStr"/>
      <c r="L2734" t="inlineStr"/>
      <c r="M2734" t="inlineStr"/>
      <c r="N2734" t="inlineStr"/>
      <c r="O2734">
        <f>(1-Summary!$B$11)*T2734+Summary!$B$11*V2734</f>
        <v/>
      </c>
      <c r="P2734">
        <f>IF(B2752=0,0,O2734/B2752)</f>
        <v/>
      </c>
      <c r="Q2734" t="n">
        <v>0</v>
      </c>
      <c r="R2734" t="n">
        <v>0</v>
      </c>
      <c r="S2734">
        <f>IFERROR(O2734/N2734,0)</f>
        <v/>
      </c>
      <c r="T2734" t="n">
        <v>0</v>
      </c>
      <c r="V2734" t="n">
        <v>0</v>
      </c>
    </row>
    <row r="2735">
      <c r="A2735">
        <f>Skills!A24</f>
        <v/>
      </c>
      <c r="B2735">
        <f>Skills!B24</f>
        <v/>
      </c>
      <c r="C2735">
        <f>Inputs!$B$3&gt;=40</f>
        <v/>
      </c>
      <c r="D2735">
        <f>IF(Skills!C24=1,60+Inputs!$B$25+Inputs!$B$29,IF(Skills!C24=2,90+Inputs!$B$26+Inputs!$B$29,IF(Skills!C24=3,120+Inputs!$B$27+Inputs!$B$29,MAX(0,(Inputs!$B$3-100)*3)+Inputs!$B$28+Inputs!$B$29)))</f>
        <v/>
      </c>
      <c r="E2735">
        <f>INDEX(FactorTable!$B$2:$Y$301, MATCH(ROUND(MIN(300,MAX(1,D2735)),0), FactorTable!$A$2:$A$301,0), Skills!M24+1)</f>
        <v/>
      </c>
      <c r="F2735">
        <f>IF(Skills!N24=TRUE,(Skills!L24/10)*(E2735/1000),Skills!L24/10)+Skills!O24</f>
        <v/>
      </c>
      <c r="G2735">
        <f>Skills!G24*IF(Skills!H24&gt;0,Skills!I24/Skills!H24,1)</f>
        <v/>
      </c>
      <c r="H2735">
        <f>1-(1-Skills!J24/100)^Skills!K24</f>
        <v/>
      </c>
      <c r="I2735" t="inlineStr">
        <is>
          <t>1</t>
        </is>
      </c>
      <c r="J2735" t="inlineStr"/>
      <c r="K2735" t="inlineStr"/>
      <c r="L2735" t="inlineStr"/>
      <c r="M2735" t="inlineStr"/>
      <c r="N2735" t="inlineStr"/>
      <c r="O2735">
        <f>(1-Summary!$B$11)*T2735+Summary!$B$11*V2735</f>
        <v/>
      </c>
      <c r="P2735">
        <f>IF(B2752=0,0,O2735/B2752)</f>
        <v/>
      </c>
      <c r="Q2735" t="n">
        <v>0</v>
      </c>
      <c r="R2735" t="n">
        <v>0</v>
      </c>
      <c r="S2735">
        <f>IFERROR(O2735/N2735,0)</f>
        <v/>
      </c>
      <c r="T2735" t="n">
        <v>0</v>
      </c>
      <c r="V2735" t="n">
        <v>0</v>
      </c>
    </row>
    <row r="2736">
      <c r="A2736">
        <f>Skills!A25</f>
        <v/>
      </c>
      <c r="B2736">
        <f>Skills!B25</f>
        <v/>
      </c>
      <c r="C2736">
        <f>Inputs!$B$3&gt;=72</f>
        <v/>
      </c>
      <c r="D2736">
        <f>IF(Skills!C25=1,60+Inputs!$B$25+Inputs!$B$29,IF(Skills!C25=2,90+Inputs!$B$26+Inputs!$B$29,IF(Skills!C25=3,120+Inputs!$B$27+Inputs!$B$29,MAX(0,(Inputs!$B$3-100)*3)+Inputs!$B$28+Inputs!$B$29)))</f>
        <v/>
      </c>
      <c r="E2736">
        <f>INDEX(FactorTable!$B$2:$Y$301, MATCH(ROUND(MIN(300,MAX(1,D2736)),0), FactorTable!$A$2:$A$301,0), Skills!M25+1)</f>
        <v/>
      </c>
      <c r="F2736">
        <f>IF(Skills!N25=TRUE,(Skills!L25/10)*(E2736/1000),Skills!L25/10)+Skills!O25</f>
        <v/>
      </c>
      <c r="G2736">
        <f>Skills!G25*IF(Skills!H25&gt;0,Skills!I25/Skills!H25,1)</f>
        <v/>
      </c>
      <c r="H2736">
        <f>1-(1-Skills!J25/100)^Skills!K25</f>
        <v/>
      </c>
      <c r="I2736" t="inlineStr">
        <is>
          <t>1</t>
        </is>
      </c>
      <c r="J2736" t="inlineStr"/>
      <c r="K2736" t="inlineStr"/>
      <c r="L2736" t="inlineStr"/>
      <c r="M2736" t="inlineStr"/>
      <c r="N2736" t="inlineStr"/>
      <c r="O2736">
        <f>(1-Summary!$B$11)*T2736+Summary!$B$11*V2736</f>
        <v/>
      </c>
      <c r="P2736">
        <f>IF(B2752=0,0,O2736/B2752)</f>
        <v/>
      </c>
      <c r="Q2736" t="n">
        <v>0</v>
      </c>
      <c r="R2736" t="n">
        <v>0</v>
      </c>
      <c r="S2736">
        <f>IFERROR(O2736/N2736,0)</f>
        <v/>
      </c>
      <c r="T2736" t="n">
        <v>0</v>
      </c>
      <c r="V2736" t="n">
        <v>0</v>
      </c>
    </row>
    <row r="2737">
      <c r="A2737">
        <f>Skills!A26</f>
        <v/>
      </c>
      <c r="B2737">
        <f>Skills!B26</f>
        <v/>
      </c>
      <c r="C2737">
        <f>Inputs!$B$3&gt;=75</f>
        <v/>
      </c>
      <c r="D2737">
        <f>IF(Skills!C26=1,60+Inputs!$B$25+Inputs!$B$29,IF(Skills!C26=2,90+Inputs!$B$26+Inputs!$B$29,IF(Skills!C26=3,120+Inputs!$B$27+Inputs!$B$29,MAX(0,(Inputs!$B$3-100)*3)+Inputs!$B$28+Inputs!$B$29)))</f>
        <v/>
      </c>
      <c r="E2737">
        <f>INDEX(FactorTable!$B$2:$Y$301, MATCH(ROUND(MIN(300,MAX(1,D2737)),0), FactorTable!$A$2:$A$301,0), Skills!M26+1)</f>
        <v/>
      </c>
      <c r="F2737">
        <f>IF(Skills!N26=TRUE,(Skills!L26/10)*(E2737/1000),Skills!L26/10)+Skills!O26</f>
        <v/>
      </c>
      <c r="G2737">
        <f>Skills!G26*IF(Skills!H26&gt;0,Skills!I26/Skills!H26,1)</f>
        <v/>
      </c>
      <c r="H2737">
        <f>1-(1-Skills!J26/100)^Skills!K26</f>
        <v/>
      </c>
      <c r="I2737" t="inlineStr">
        <is>
          <t>1</t>
        </is>
      </c>
      <c r="J2737" t="inlineStr"/>
      <c r="K2737" t="inlineStr"/>
      <c r="L2737" t="inlineStr"/>
      <c r="M2737" t="inlineStr"/>
      <c r="N2737" t="inlineStr"/>
      <c r="O2737">
        <f>(1-Summary!$B$11)*T2737+Summary!$B$11*V2737</f>
        <v/>
      </c>
      <c r="P2737">
        <f>IF(B2752=0,0,O2737/B2752)</f>
        <v/>
      </c>
      <c r="Q2737" t="n">
        <v>0</v>
      </c>
      <c r="R2737" t="n">
        <v>0</v>
      </c>
      <c r="S2737">
        <f>IFERROR(O2737/N2737,0)</f>
        <v/>
      </c>
      <c r="T2737" t="n">
        <v>0</v>
      </c>
      <c r="V2737" t="n">
        <v>0</v>
      </c>
    </row>
    <row r="2738">
      <c r="A2738">
        <f>Skills!A27</f>
        <v/>
      </c>
      <c r="B2738">
        <f>Skills!B27</f>
        <v/>
      </c>
      <c r="C2738">
        <f>Inputs!$B$3&gt;=117</f>
        <v/>
      </c>
      <c r="D2738">
        <f>IF(Skills!C27=1,60+Inputs!$B$25+Inputs!$B$29,IF(Skills!C27=2,90+Inputs!$B$26+Inputs!$B$29,IF(Skills!C27=3,120+Inputs!$B$27+Inputs!$B$29,MAX(0,(Inputs!$B$3-100)*3)+Inputs!$B$28+Inputs!$B$29)))</f>
        <v/>
      </c>
      <c r="E2738">
        <f>INDEX(FactorTable!$B$2:$Y$301, MATCH(ROUND(MIN(300,MAX(1,D2738)),0), FactorTable!$A$2:$A$301,0), Skills!M27+1)</f>
        <v/>
      </c>
      <c r="F2738">
        <f>IF(Skills!N27=TRUE,(Skills!L27/10)*(E2738/1000),Skills!L27/10)+Skills!O27</f>
        <v/>
      </c>
      <c r="G2738">
        <f>Skills!G27*IF(Skills!H27&gt;0,Skills!I27/Skills!H27,1)</f>
        <v/>
      </c>
      <c r="H2738">
        <f>1-(1-Skills!J27/100)^Skills!K27</f>
        <v/>
      </c>
      <c r="I2738" t="inlineStr">
        <is>
          <t>1</t>
        </is>
      </c>
      <c r="J2738" t="inlineStr"/>
      <c r="K2738" t="inlineStr"/>
      <c r="L2738" t="inlineStr"/>
      <c r="M2738" t="inlineStr"/>
      <c r="N2738" t="inlineStr"/>
      <c r="O2738">
        <f>(1-Summary!$B$11)*T2738+Summary!$B$11*V2738</f>
        <v/>
      </c>
      <c r="P2738">
        <f>IF(B2752=0,0,O2738/B2752)</f>
        <v/>
      </c>
      <c r="Q2738" t="n">
        <v>0</v>
      </c>
      <c r="R2738" t="n">
        <v>0</v>
      </c>
      <c r="S2738">
        <f>IFERROR(O2738/N2738,0)</f>
        <v/>
      </c>
      <c r="T2738" t="n">
        <v>0</v>
      </c>
      <c r="V2738" t="n">
        <v>0</v>
      </c>
    </row>
    <row r="2739">
      <c r="A2739">
        <f>Skills!A28</f>
        <v/>
      </c>
      <c r="B2739">
        <f>Skills!B28</f>
        <v/>
      </c>
      <c r="C2739">
        <f>TRUE</f>
        <v/>
      </c>
      <c r="D2739">
        <f>IF(Skills!C28=1,60+Inputs!$B$25+Inputs!$B$29,IF(Skills!C28=2,90+Inputs!$B$26+Inputs!$B$29,IF(Skills!C28=3,120+Inputs!$B$27+Inputs!$B$29,MAX(0,(Inputs!$B$3-100)*3)+Inputs!$B$28+Inputs!$B$29)))</f>
        <v/>
      </c>
      <c r="E2739">
        <f>INDEX(FactorTable!$B$2:$Y$301, MATCH(ROUND(MIN(300,MAX(1,D2739)),0), FactorTable!$A$2:$A$301,0), Skills!M28+1)</f>
        <v/>
      </c>
      <c r="F2739">
        <f>IF(Skills!N28=TRUE,(Skills!L28/10)*(E2739/1000),Skills!L28/10)+Skills!O28</f>
        <v/>
      </c>
      <c r="G2739">
        <f>Skills!G28*IF(Skills!H28&gt;0,Skills!I28/Skills!H28,1)</f>
        <v/>
      </c>
      <c r="H2739">
        <f>1-(1-Skills!J28/100)^Skills!K28</f>
        <v/>
      </c>
      <c r="I2739" t="inlineStr">
        <is>
          <t>1</t>
        </is>
      </c>
      <c r="J2739" t="inlineStr"/>
      <c r="K2739" t="inlineStr"/>
      <c r="L2739" t="inlineStr"/>
      <c r="M2739" t="inlineStr"/>
      <c r="N2739" t="inlineStr"/>
      <c r="O2739">
        <f>(1-Summary!$B$11)*T2739+Summary!$B$11*V2739</f>
        <v/>
      </c>
      <c r="P2739">
        <f>IF(B2752=0,0,O2739/B2752)</f>
        <v/>
      </c>
      <c r="Q2739">
        <f>IFERROR(1/(IF(Inputs!$B$38="pvp",15,MAX(0.1,Skills!D28-IF(Skills!E28=TRUE,Inputs!$B$32,0)))*(1-IF(AND(ArtifactsInput!$M$27,Inputs!$B$4="Chapter Hunt"),CHOOSE(ArtifactsInput!$N$27+1,20,24,28,32,36,40),0)/100)),0)</f>
        <v/>
      </c>
      <c r="R2739">
        <f>IF(AND(Inputs!$B$38&lt;&gt;"pvp",Inputs!$B$43&gt;0),IF(Inputs!$B$43&lt;=0,0,(INT(Inputs!$B$43/(IF(Inputs!$B$38="pvp",15,MAX(0.1,Skills!D28-IF(Skills!E28=TRUE,Inputs!$B$32,0)))*(1-IF(AND(ArtifactsInput!$M$27,Inputs!$B$4="Chapter Hunt"),CHOOSE(ArtifactsInput!$N$27+1,20,24,28,32,36,40),0)/100)))+1)),0)</f>
        <v/>
      </c>
      <c r="S2739">
        <f>IFERROR(O2739/N2739,0)</f>
        <v/>
      </c>
      <c r="T2739" t="n">
        <v>0</v>
      </c>
      <c r="V2739" t="n">
        <v>0</v>
      </c>
    </row>
    <row r="2741">
      <c r="A2741" t="inlineStr">
        <is>
          <t>Attack% Bucket Multiplier</t>
        </is>
      </c>
      <c r="B2741">
        <f>(1+(((C2728=TRUE)*F2728*5/7)+((C2735=TRUE)*(F2735-Calc!F24))+(IF(ArtifactsInput!$M$21,CHOOSE(ArtifactsInput!$N$21+1,25,30,35,40,45,50)*(IF(OR(Inputs!$B$4="Chapter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42">
      <c r="A2742" t="inlineStr">
        <is>
          <t>Global Crit Rate Bonus %</t>
        </is>
      </c>
      <c r="B2742" t="n">
        <v>0</v>
      </c>
    </row>
    <row r="2743">
      <c r="A2743" t="inlineStr">
        <is>
          <t>Attack Speed Buff Bonus % (Nimble Feet, duty-cycle averaged)</t>
        </is>
      </c>
      <c r="B2743">
        <f>((C2739=TRUE)*F2739*IF(AND(Inputs!$B$38&lt;&gt;"pvp",Inputs!$B$43&gt;0),(((R2739-1)*(Skills!T28*(1+Inputs!$B$34/100))+MIN((Skills!T28*(1+Inputs!$B$34/100)),MAX(0,Inputs!$B$43-((R2739-1)*Skills!D28))))/Inputs!$B$43),IF(Inputs!$B$38="pvp",MIN((Skills!T28*(1+Inputs!$B$34/100)),15)/15,(Skills!T28*(1+Inputs!$B$34/100))/Skills!D28)))</f>
        <v/>
      </c>
    </row>
    <row r="2744">
      <c r="A2744" t="inlineStr">
        <is>
          <t>Actions Per Second</t>
        </is>
      </c>
      <c r="B2744">
        <f>1+MIN(150,150*(1-(1-(Inputs!$B$11+((C2731=TRUE)*(F2731-Calc!F20))+((C2732=TRUE)*(F2732-Calc!F21)))/150)*(1-B2743/150)))/100</f>
        <v/>
      </c>
    </row>
    <row r="2745">
      <c r="A2745" t="inlineStr">
        <is>
          <t>Skill + Buff Cast Rate</t>
        </is>
      </c>
      <c r="B2745">
        <f>IF(AND(Inputs!$B$38&lt;&gt;"pvp",Inputs!$B$43&gt;0),SUMPRODUCT((Skills!E2:E28=TRUE)*(C2713:C2739=TRUE)*R2713:R2739*Skills!F2:F28)/Inputs!$B$43,SUMPRODUCT((Skills!E2:E28=TRUE)*(C2713:C2739=TRUE)*Q2713:Q2739*Skills!F2:F28))</f>
        <v/>
      </c>
    </row>
    <row r="2746">
      <c r="A2746" t="inlineStr">
        <is>
          <t>Eight-Legs Easton Casts Per Second</t>
        </is>
      </c>
      <c r="B2746">
        <f>MAX(0,B2744-B2745)</f>
        <v/>
      </c>
    </row>
    <row r="2747">
      <c r="A2747" t="inlineStr">
        <is>
          <t>Global Critical Damage Bonus % (unused)</t>
        </is>
      </c>
      <c r="B2747" t="n">
        <v>0</v>
      </c>
    </row>
    <row r="2748">
      <c r="A2748" t="inlineStr">
        <is>
          <t>Global Final Damage Bonus % (Jolly Roger + Ahoy Mateys - Final Damage proc)</t>
        </is>
      </c>
      <c r="B2748">
        <f>((C2729=TRUE)*F2729*IF(AND(Inputs!$B$38&lt;&gt;"pvp",Inputs!$B$43&gt;0),(((R2729-1)*(Skills!T18*(1+Inputs!$B$34/100))+MIN((Skills!T18*(1+Inputs!$B$34/100)),MAX(0,Inputs!$B$43-((R2729-1)*Skills!D18))))/Inputs!$B$43),IF(Inputs!$B$38="pvp",MIN((Skills!T18*(1+Inputs!$B$34/100)),15)/15,(Skills!T18*(1+Inputs!$B$34/100))/Skills!D18)))+IF(Inputs!$B$3&gt;=122,20*IF(Inputs!$B$38="pvp",MIN((20*(1+Inputs!$B$34/100)),15)/15,(20*(1+Inputs!$B$34/100))/Skills!D4),0)</f>
        <v/>
      </c>
    </row>
    <row r="2749">
      <c r="A2749" t="inlineStr">
        <is>
          <t>Buff-Casting Startup Delay (s, fixed-duration only)</t>
        </is>
      </c>
      <c r="B2749">
        <f>IF(AND(Inputs!$B$38&lt;&gt;"pvp",Inputs!$B$43&gt;0),SUMPRODUCT((Skills!T2:T28&gt;0)*(Skills!E2:E28=TRUE)*(C2713:C2739=TRUE))/B2744,0)</f>
        <v/>
      </c>
    </row>
    <row r="2750">
      <c r="A2750" t="inlineStr">
        <is>
          <t>Boss-Only Total DPS (this block's swept value)</t>
        </is>
      </c>
      <c r="B2750">
        <f>SUM(T2713:T2739)</f>
        <v/>
      </c>
    </row>
    <row r="2751">
      <c r="A2751" t="inlineStr">
        <is>
          <t>Normal-Only Total DPS (this block's swept value)</t>
        </is>
      </c>
      <c r="B2751">
        <f>SUM(V2713:V2739)</f>
        <v/>
      </c>
    </row>
    <row r="2752">
      <c r="A2752" s="6" t="inlineStr">
        <is>
          <t>TOTAL DPS</t>
        </is>
      </c>
      <c r="B2752" s="6">
        <f>SUM(O2713:O2739)</f>
        <v/>
      </c>
    </row>
    <row r="2755">
      <c r="A2755" s="6" t="inlineStr">
        <is>
          <t>Stat: Ring of Cycles (Equip)</t>
        </is>
      </c>
    </row>
    <row r="2756">
      <c r="A2756" s="5" t="inlineStr">
        <is>
          <t>Key</t>
        </is>
      </c>
      <c r="B2756" s="5" t="inlineStr">
        <is>
          <t>Name</t>
        </is>
      </c>
      <c r="C2756" s="5" t="inlineStr">
        <is>
          <t>Unlocked</t>
        </is>
      </c>
      <c r="D2756" s="5" t="inlineStr">
        <is>
          <t>InputLevel</t>
        </is>
      </c>
      <c r="E2756" s="5" t="inlineStr">
        <is>
          <t>Factor</t>
        </is>
      </c>
      <c r="F2756" s="5" t="inlineStr">
        <is>
          <t>CoefficientPercent</t>
        </is>
      </c>
      <c r="G2756" s="5" t="inlineStr">
        <is>
          <t>EffectiveHits</t>
        </is>
      </c>
      <c r="H2756" s="5" t="inlineStr">
        <is>
          <t>ProcProbability</t>
        </is>
      </c>
      <c r="I2756" s="5" t="inlineStr">
        <is>
          <t>MapleHeroMultiplier</t>
        </is>
      </c>
      <c r="J2756" s="5" t="inlineStr">
        <is>
          <t>BaseDamage</t>
        </is>
      </c>
      <c r="K2756" s="5" t="inlineStr">
        <is>
          <t>BaseHitDamage</t>
        </is>
      </c>
      <c r="L2756" s="5" t="inlineStr">
        <is>
          <t>NonCritAvg</t>
        </is>
      </c>
      <c r="M2756" s="5" t="inlineStr">
        <is>
          <t>CritAvg</t>
        </is>
      </c>
      <c r="N2756" s="5" t="inlineStr">
        <is>
          <t>ExpectedDamage(perHit)</t>
        </is>
      </c>
      <c r="O2756" s="5" t="inlineStr">
        <is>
          <t>DPS</t>
        </is>
      </c>
      <c r="P2756" s="5" t="inlineStr">
        <is>
          <t>% of Total</t>
        </is>
      </c>
      <c r="Q2756" s="5" t="inlineStr">
        <is>
          <t>InvCooldown</t>
        </is>
      </c>
      <c r="R2756" s="5" t="inlineStr">
        <is>
          <t>CastsInFight</t>
        </is>
      </c>
      <c r="S2756" s="5" t="inlineStr">
        <is>
          <t>HitRate(perSec)</t>
        </is>
      </c>
      <c r="U2756" t="inlineStr">
        <is>
          <t>helpers</t>
        </is>
      </c>
    </row>
    <row r="2757">
      <c r="A2757">
        <f>Skills!A2</f>
        <v/>
      </c>
      <c r="B2757">
        <f>Skills!B2</f>
        <v/>
      </c>
      <c r="C2757">
        <f>Inputs!$B$3&gt;=100</f>
        <v/>
      </c>
      <c r="D2757" t="inlineStr"/>
      <c r="E2757" t="inlineStr"/>
      <c r="F2757">
        <f>U2759+Skills!O2</f>
        <v/>
      </c>
      <c r="G2757">
        <f>Skills!G2*IF(Skills!H2&gt;0,Skills!I2/Skills!H2,1)</f>
        <v/>
      </c>
      <c r="H2757">
        <f>1-(1-Skills!J2/100)^Skills!K2</f>
        <v/>
      </c>
      <c r="I2757" t="inlineStr">
        <is>
          <t>1</t>
        </is>
      </c>
      <c r="J2757">
        <f>((Inputs!$B$6*(1+Inputs!$B$7/100))+(((Inputs!$B$12*(1+Inputs!$B$13/100))-(Inputs!$B$12*(1+Inputs!$B$13/100)))+0.25*(Inputs!$B$14-Inputs!$B$14))*(1+Inputs!$B$7/100))*(F2757/100)</f>
        <v/>
      </c>
      <c r="K2757">
        <f>J2757*(1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2757)</f>
        <v/>
      </c>
      <c r="L2757">
        <f>K2757*(MIN(Inputs!$B$22+((C2777=TRUE)*(F2777-Calc!F22)),(Inputs!$B$23+0+(IF(ArtifactsInput!$M$15,CHOOSE(ArtifactsInput!$N$15+1,25,30,35,40,45,50)/100*(Inputs!$B$11-Inputs!$B$11),0))))/100+(Inputs!$B$23+0+(IF(ArtifactsInput!$M$15,CHOOSE(ArtifactsInput!$N$15+1,25,30,35,40,45,50)/100*(Inputs!$B$11-Inputs!$B$11),0)))/100)/2</f>
        <v/>
      </c>
      <c r="M2757">
        <f>L2757*(1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7">
        <f>L2757*(1-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2757*(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7">
        <f>(1-Summary!$B$11)*T2757+Summary!$B$11*V2757</f>
        <v/>
      </c>
      <c r="P2757">
        <f>IF(B2796=0,0,O2757/B2796)</f>
        <v/>
      </c>
      <c r="Q2757" t="n">
        <v>0</v>
      </c>
      <c r="R2757" t="n">
        <v>0</v>
      </c>
      <c r="S2757">
        <f>IFERROR(O2757/N2757,0)</f>
        <v/>
      </c>
      <c r="T2757">
        <f>IF(C2757,(Skills!G2*N2757*B2790)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2757*(1-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2757*(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2757*(1-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2757*(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7">
        <f>MAX(0,(Inputs!$B$3-100)*3)+Inputs!$B$28+Inputs!$B$29</f>
        <v/>
      </c>
      <c r="V2757">
        <f>IF(C2757,(Skills!G2*N2757*B2790)*IF(Inputs!$B$38="pvp",1,(1+(Inputs!$B$21+Skills!Q2+(IF(ArtifactsInput!$M$33,CHOOSE(ArtifactsInput!$N$33+1,30,36,42,48,54,60),0))+(IF(AND(ArtifactsInput!$M$35,Inputs!$B$4&lt;&gt;"Chapter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8">
      <c r="A2758">
        <f>Skills!A3</f>
        <v/>
      </c>
      <c r="B2758">
        <f>Skills!B3</f>
        <v/>
      </c>
      <c r="C2758">
        <f>Inputs!$B$3&gt;=35</f>
        <v/>
      </c>
      <c r="D2758">
        <f>IF(Skills!C3=1,60+Inputs!$B$25+Inputs!$B$29,IF(Skills!C3=2,90+Inputs!$B$26+Inputs!$B$29,IF(Skills!C3=3,120+Inputs!$B$27+Inputs!$B$29,MAX(0,(Inputs!$B$3-100)*3)+Inputs!$B$28+Inputs!$B$29)))</f>
        <v/>
      </c>
      <c r="E2758">
        <f>INDEX(FactorTable!$B$2:$Y$301, MATCH(ROUND(MIN(300,MAX(1,D2758)),0), FactorTable!$A$2:$A$301,0), Skills!M3+1)</f>
        <v/>
      </c>
      <c r="F2758">
        <f>IF(Skills!N3=TRUE,(Skills!L3/10)*(E2758/1000),Skills!L3/10)+Skills!O3</f>
        <v/>
      </c>
      <c r="G2758">
        <f>Skills!G3*IF(Skills!H3&gt;0,Skills!I3/Skills!H3,1)</f>
        <v/>
      </c>
      <c r="H2758">
        <f>1-(1-Skills!J3/100)^Skills!K3</f>
        <v/>
      </c>
      <c r="I2758" t="inlineStr">
        <is>
          <t>1</t>
        </is>
      </c>
      <c r="J2758">
        <f>((Inputs!$B$6*(1+Inputs!$B$7/100))+(((Inputs!$B$12*(1+Inputs!$B$13/100))-(Inputs!$B$12*(1+Inputs!$B$13/100)))+0.25*(Inputs!$B$14-Inputs!$B$14))*(1+Inputs!$B$7/100))*(F2758/100)</f>
        <v/>
      </c>
      <c r="K2758">
        <f>J2758*(1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2770=TRUE,F2770,0)/100)*(1+(IF(Skills!A3="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2758)</f>
        <v/>
      </c>
      <c r="L2758">
        <f>K2758*(MIN(Inputs!$B$22+((C2777=TRUE)*(F2777-Calc!F22)),(Inputs!$B$23+0+(IF(ArtifactsInput!$M$15,CHOOSE(ArtifactsInput!$N$15+1,25,30,35,40,45,50)/100*(Inputs!$B$11-Inputs!$B$11),0))))/100+(Inputs!$B$23+0+(IF(ArtifactsInput!$M$15,CHOOSE(ArtifactsInput!$N$15+1,25,30,35,40,45,50)/100*(Inputs!$B$11-Inputs!$B$11),0)))/100)/2</f>
        <v/>
      </c>
      <c r="M2758">
        <f>L2758*(1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8">
        <f>L2758*(1-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2758*(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8">
        <f>(1-Summary!$B$11)*T2758+Summary!$B$11*V2758</f>
        <v/>
      </c>
      <c r="P2758">
        <f>IF(B2796=0,0,O2758/B2796)</f>
        <v/>
      </c>
      <c r="Q2758">
        <f>IFERROR(1/(IF(Inputs!$B$38="pvp",15,MAX(0.1,Skills!D3-IF(Skills!E3=TRUE,Inputs!$B$32,0)))*(1-IF(AND(ArtifactsInput!$M$27,Inputs!$B$4="Chapter Hunt"),CHOOSE(ArtifactsInput!$N$27+1,20,24,28,32,36,40),0)/100)),0)</f>
        <v/>
      </c>
      <c r="R2758">
        <f>IF(AND(Inputs!$B$38&lt;&gt;"pvp",Inputs!$B$43&gt;0),IF(MAX(0,Inputs!$B$43-B2793)&lt;=0,0,(INT(MAX(0,Inputs!$B$43-B2793)/(IF(Inputs!$B$38="pvp",15,MAX(0.1,Skills!D3-IF(Skills!E3=TRUE,Inputs!$B$32,0)))*(1-IF(AND(ArtifactsInput!$M$27,Inputs!$B$4="Chapter Hunt"),CHOOSE(ArtifactsInput!$N$27+1,20,24,28,32,36,40),0)/100)))+1)),0)</f>
        <v/>
      </c>
      <c r="S2758">
        <f>IFERROR(O2758/N2758,0)</f>
        <v/>
      </c>
      <c r="T2758">
        <f>IF(C2758,(H2758*N2758*IF(AND(Inputs!$B$38&lt;&gt;"pvp",Inputs!$B$43&gt;0),((Skills!G3*((R2758-1)*IF(Skills!H3&gt;0,Skills!I3/Skills!H3,1)+IF(Skills!H3&gt;0,MIN(Skills!I3,MAX(0,MAX(0,Inputs!$B$43-B2793)-((R2758-1)*(IF(Inputs!$B$38="pvp",15,MAX(0.1,Skills!D3-IF(Skills!E3=TRUE,Inputs!$B$32,0)))*(1-IF(AND(ArtifactsInput!$M$27,Inputs!$B$4="Chapter Hunt"),CHOOSE(ArtifactsInput!$N$27+1,20,24,28,32,36,40),0)/100)))))/Skills!H3,1)))/Inputs!$B$43),G2758*Q2758)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2758*(1-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2758*(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2758*(1-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2758*(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8">
        <f>INDEX(FactorTable!$B$2:$Y$301, MATCH(ROUND(MIN(300,MAX(1,U2757)),0), FactorTable!$A$2:$A$301,0), 22)</f>
        <v/>
      </c>
      <c r="V2758">
        <f>IF(C2758,(H2758*N2758*IF(AND(Inputs!$B$38&lt;&gt;"pvp",Inputs!$B$43&gt;0),((Skills!G3*((R2758-1)*IF(Skills!H3&gt;0,Skills!I3/Skills!H3,1)+IF(Skills!H3&gt;0,MIN(Skills!I3,MAX(0,MAX(0,Inputs!$B$43-B2793)-((R2758-1)*(IF(Inputs!$B$38="pvp",15,MAX(0.1,Skills!D3-IF(Skills!E3=TRUE,Inputs!$B$32,0)))*(1-IF(AND(ArtifactsInput!$M$27,Inputs!$B$4="Chapter Hunt"),CHOOSE(ArtifactsInput!$N$27+1,20,24,28,32,36,40),0)/100)))))/Skills!H3,1)))/Inputs!$B$43),G2758*Q2758))*IF(Inputs!$B$38="pvp",1,(1+(Inputs!$B$21+Skills!Q3+(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9">
      <c r="A2759">
        <f>Skills!A4</f>
        <v/>
      </c>
      <c r="B2759">
        <f>Skills!B4</f>
        <v/>
      </c>
      <c r="C2759">
        <f>Inputs!$B$3&gt;=40</f>
        <v/>
      </c>
      <c r="D2759">
        <f>IF(Skills!C4=1,60+Inputs!$B$25+Inputs!$B$29,IF(Skills!C4=2,90+Inputs!$B$26+Inputs!$B$29,IF(Skills!C4=3,120+Inputs!$B$27+Inputs!$B$29,MAX(0,(Inputs!$B$3-100)*3)+Inputs!$B$28+Inputs!$B$29)))</f>
        <v/>
      </c>
      <c r="E2759">
        <f>INDEX(FactorTable!$B$2:$Y$301, MATCH(ROUND(MIN(300,MAX(1,D2759)),0), FactorTable!$A$2:$A$301,0), Skills!M4+1)</f>
        <v/>
      </c>
      <c r="F2759">
        <f>IF(Skills!N4=TRUE,(Skills!L4/10)*(E2759/1000),Skills!L4/10)+Skills!O4</f>
        <v/>
      </c>
      <c r="G2759">
        <f>Skills!G4*IF(Skills!H4&gt;0,Skills!I4/Skills!H4,1)</f>
        <v/>
      </c>
      <c r="H2759">
        <f>1-(1-Skills!J4/100)^Skills!K4</f>
        <v/>
      </c>
      <c r="I2759" t="inlineStr">
        <is>
          <t>1</t>
        </is>
      </c>
      <c r="J2759">
        <f>((Inputs!$B$6*(1+Inputs!$B$7/100))+(((Inputs!$B$12*(1+Inputs!$B$13/100))-(Inputs!$B$12*(1+Inputs!$B$13/100)))+0.25*(Inputs!$B$14-Inputs!$B$14))*(1+Inputs!$B$7/100))*(F2759/100)</f>
        <v/>
      </c>
      <c r="K2759">
        <f>J2759*(1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2771=TRUE,F2771,0)/100)*(1+(IF(Skills!A4="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2759)</f>
        <v/>
      </c>
      <c r="L2759">
        <f>K2759*(MIN(Inputs!$B$22+((C2777=TRUE)*(F2777-Calc!F22)),(Inputs!$B$23+0+(IF(ArtifactsInput!$M$15,CHOOSE(ArtifactsInput!$N$15+1,25,30,35,40,45,50)/100*(Inputs!$B$11-Inputs!$B$11),0))))/100+(Inputs!$B$23+0+(IF(ArtifactsInput!$M$15,CHOOSE(ArtifactsInput!$N$15+1,25,30,35,40,45,50)/100*(Inputs!$B$11-Inputs!$B$11),0)))/100)/2</f>
        <v/>
      </c>
      <c r="M2759">
        <f>L2759*(1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9">
        <f>L2759*(1-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2759*(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9">
        <f>(1-Summary!$B$11)*T2759+Summary!$B$11*V2759</f>
        <v/>
      </c>
      <c r="P2759">
        <f>IF(B2796=0,0,O2759/B2796)</f>
        <v/>
      </c>
      <c r="Q2759">
        <f>IFERROR(1/(IF(Inputs!$B$38="pvp",15,MAX(0.1,Skills!D4-IF(Skills!E4=TRUE,Inputs!$B$32,0)))*(1-IF(AND(ArtifactsInput!$M$27,Inputs!$B$4="Chapter Hunt"),CHOOSE(ArtifactsInput!$N$27+1,20,24,28,32,36,40),0)/100)),0)</f>
        <v/>
      </c>
      <c r="R2759">
        <f>IF(AND(Inputs!$B$38&lt;&gt;"pvp",Inputs!$B$43&gt;0),IF(MAX(0,Inputs!$B$43-B2793)&lt;=0,0,(INT(MAX(0,Inputs!$B$43-B2793)/(IF(Inputs!$B$38="pvp",15,MAX(0.1,Skills!D4-IF(Skills!E4=TRUE,Inputs!$B$32,0)))*(1-IF(AND(ArtifactsInput!$M$27,Inputs!$B$4="Chapter Hunt"),CHOOSE(ArtifactsInput!$N$27+1,20,24,28,32,36,40),0)/100)))+1)),0)</f>
        <v/>
      </c>
      <c r="S2759">
        <f>IFERROR(O2759/N2759,0)</f>
        <v/>
      </c>
      <c r="T2759">
        <f>IF(C2759,(H2759*N2759*IF(AND(Inputs!$B$38&lt;&gt;"pvp",Inputs!$B$43&gt;0),((Skills!G4*((R2759-1)*IF(Skills!H4&gt;0,Skills!I4/Skills!H4,1)+IF(Skills!H4&gt;0,MIN(Skills!I4,MAX(0,MAX(0,Inputs!$B$43-B2793)-((R2759-1)*(IF(Inputs!$B$38="pvp",15,MAX(0.1,Skills!D4-IF(Skills!E4=TRUE,Inputs!$B$32,0)))*(1-IF(AND(ArtifactsInput!$M$27,Inputs!$B$4="Chapter Hunt"),CHOOSE(ArtifactsInput!$N$27+1,20,24,28,32,36,40),0)/100)))))/Skills!H4,1)))/Inputs!$B$43),G2759*Q2759)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2759*(1-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2759*(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2759*(1-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2759*(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9">
        <f>290*U2758/1000</f>
        <v/>
      </c>
      <c r="V2759">
        <f>IF(C2759,(H2759*N2759*IF(AND(Inputs!$B$38&lt;&gt;"pvp",Inputs!$B$43&gt;0),((Skills!G4*((R2759-1)*IF(Skills!H4&gt;0,Skills!I4/Skills!H4,1)+IF(Skills!H4&gt;0,MIN(Skills!I4,MAX(0,MAX(0,Inputs!$B$43-B2793)-((R2759-1)*(IF(Inputs!$B$38="pvp",15,MAX(0.1,Skills!D4-IF(Skills!E4=TRUE,Inputs!$B$32,0)))*(1-IF(AND(ArtifactsInput!$M$27,Inputs!$B$4="Chapter Hunt"),CHOOSE(ArtifactsInput!$N$27+1,20,24,28,32,36,40),0)/100)))))/Skills!H4,1)))/Inputs!$B$43),G2759*Q2759))*IF(Inputs!$B$38="pvp",1,(1+(Inputs!$B$21+Skills!Q4+(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0">
      <c r="A2760">
        <f>Skills!A5</f>
        <v/>
      </c>
      <c r="B2760">
        <f>Skills!B5</f>
        <v/>
      </c>
      <c r="C2760">
        <f>Inputs!$B$3&gt;=45</f>
        <v/>
      </c>
      <c r="D2760">
        <f>IF(Skills!C5=1,60+Inputs!$B$25+Inputs!$B$29,IF(Skills!C5=2,90+Inputs!$B$26+Inputs!$B$29,IF(Skills!C5=3,120+Inputs!$B$27+Inputs!$B$29,MAX(0,(Inputs!$B$3-100)*3)+Inputs!$B$28+Inputs!$B$29)))</f>
        <v/>
      </c>
      <c r="E2760">
        <f>INDEX(FactorTable!$B$2:$Y$301, MATCH(ROUND(MIN(300,MAX(1,D2760)),0), FactorTable!$A$2:$A$301,0), Skills!M5+1)</f>
        <v/>
      </c>
      <c r="F2760">
        <f>IF(Skills!N5=TRUE,(Skills!L5/10)*(E2760/1000),Skills!L5/10)+Skills!O5</f>
        <v/>
      </c>
      <c r="G2760">
        <f>Skills!G5*IF(Skills!H5&gt;0,Skills!I5/Skills!H5,1)</f>
        <v/>
      </c>
      <c r="H2760">
        <f>1-(1-Skills!J5/100)^Skills!K5</f>
        <v/>
      </c>
      <c r="I2760" t="inlineStr">
        <is>
          <t>1</t>
        </is>
      </c>
      <c r="J2760">
        <f>((Inputs!$B$6*(1+Inputs!$B$7/100))+(((Inputs!$B$12*(1+Inputs!$B$13/100))-(Inputs!$B$12*(1+Inputs!$B$13/100)))+0.25*(Inputs!$B$14-Inputs!$B$14))*(1+Inputs!$B$7/100))*(F2760/100)</f>
        <v/>
      </c>
      <c r="K2760">
        <f>J2760*(1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2771=TRUE,F2771,0)/100)*(1+(IF(Skills!A5="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2760)</f>
        <v/>
      </c>
      <c r="L2760">
        <f>K2760*(MIN(Inputs!$B$22+((C2777=TRUE)*(F2777-Calc!F22)),(Inputs!$B$23+0+(IF(ArtifactsInput!$M$15,CHOOSE(ArtifactsInput!$N$15+1,25,30,35,40,45,50)/100*(Inputs!$B$11-Inputs!$B$11),0))))/100+(Inputs!$B$23+0+(IF(ArtifactsInput!$M$15,CHOOSE(ArtifactsInput!$N$15+1,25,30,35,40,45,50)/100*(Inputs!$B$11-Inputs!$B$11),0)))/100)/2</f>
        <v/>
      </c>
      <c r="M2760">
        <f>L2760*(1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0">
        <f>L2760*(1-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2760*(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0">
        <f>(1-Summary!$B$11)*T2760+Summary!$B$11*V2760</f>
        <v/>
      </c>
      <c r="P2760">
        <f>IF(B2796=0,0,O2760/B2796)</f>
        <v/>
      </c>
      <c r="Q2760">
        <f>IFERROR(1/(IF(Inputs!$B$38="pvp",15,MAX(0.1,Skills!D5-IF(Skills!E5=TRUE,Inputs!$B$32,0)))*(1-IF(AND(ArtifactsInput!$M$27,Inputs!$B$4="Chapter Hunt"),CHOOSE(ArtifactsInput!$N$27+1,20,24,28,32,36,40),0)/100)),0)</f>
        <v/>
      </c>
      <c r="R2760">
        <f>IF(AND(Inputs!$B$38&lt;&gt;"pvp",Inputs!$B$43&gt;0),IF(MAX(0,Inputs!$B$43-B2793)&lt;=0,0,(INT(MAX(0,Inputs!$B$43-B2793)/(IF(Inputs!$B$38="pvp",15,MAX(0.1,Skills!D5-IF(Skills!E5=TRUE,Inputs!$B$32,0)))*(1-IF(AND(ArtifactsInput!$M$27,Inputs!$B$4="Chapter Hunt"),CHOOSE(ArtifactsInput!$N$27+1,20,24,28,32,36,40),0)/100)))+1)),0)</f>
        <v/>
      </c>
      <c r="S2760">
        <f>IFERROR(O2760/N2760,0)</f>
        <v/>
      </c>
      <c r="T2760">
        <f>IF(C2760,(H2760*N2760*IF(AND(Inputs!$B$38&lt;&gt;"pvp",Inputs!$B$43&gt;0),((Skills!G5*((R2760-1)*IF(Skills!H5&gt;0,Skills!I5/Skills!H5,1)+IF(Skills!H5&gt;0,MIN(Skills!I5,MAX(0,MAX(0,Inputs!$B$43-B2793)-((R2760-1)*(IF(Inputs!$B$38="pvp",15,MAX(0.1,Skills!D5-IF(Skills!E5=TRUE,Inputs!$B$32,0)))*(1-IF(AND(ArtifactsInput!$M$27,Inputs!$B$4="Chapter Hunt"),CHOOSE(ArtifactsInput!$N$27+1,20,24,28,32,36,40),0)/100)))))/Skills!H5,1)))/Inputs!$B$43),G2760*Q2760)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2760*(1-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2760*(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2760*(1-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2760*(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0">
        <f>IF(C2760,(H2760*N2760*IF(AND(Inputs!$B$38&lt;&gt;"pvp",Inputs!$B$43&gt;0),((Skills!G5*((R2760-1)*IF(Skills!H5&gt;0,Skills!I5/Skills!H5,1)+IF(Skills!H5&gt;0,MIN(Skills!I5,MAX(0,MAX(0,Inputs!$B$43-B2793)-((R2760-1)*(IF(Inputs!$B$38="pvp",15,MAX(0.1,Skills!D5-IF(Skills!E5=TRUE,Inputs!$B$32,0)))*(1-IF(AND(ArtifactsInput!$M$27,Inputs!$B$4="Chapter Hunt"),CHOOSE(ArtifactsInput!$N$27+1,20,24,28,32,36,40),0)/100)))))/Skills!H5,1)))/Inputs!$B$43),G2760*Q2760))*IF(Inputs!$B$38="pvp",1,(1+(Inputs!$B$21+Skills!Q5+(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1">
      <c r="A2761">
        <f>Skills!A6</f>
        <v/>
      </c>
      <c r="B2761">
        <f>Skills!B6</f>
        <v/>
      </c>
      <c r="C2761">
        <f>Inputs!$B$3&gt;=63</f>
        <v/>
      </c>
      <c r="D2761">
        <f>IF(Skills!C6=1,60+Inputs!$B$25+Inputs!$B$29,IF(Skills!C6=2,90+Inputs!$B$26+Inputs!$B$29,IF(Skills!C6=3,120+Inputs!$B$27+Inputs!$B$29,MAX(0,(Inputs!$B$3-100)*3)+Inputs!$B$28+Inputs!$B$29)))</f>
        <v/>
      </c>
      <c r="E2761">
        <f>INDEX(FactorTable!$B$2:$Y$301, MATCH(ROUND(MIN(300,MAX(1,D2761)),0), FactorTable!$A$2:$A$301,0), Skills!M6+1)</f>
        <v/>
      </c>
      <c r="F2761">
        <f>IF(Skills!N6=TRUE,(Skills!L6/10)*(E2761/1000),Skills!L6/10)+Skills!O6</f>
        <v/>
      </c>
      <c r="G2761">
        <f>Skills!G6*IF(Skills!H6&gt;0,Skills!I6/Skills!H6,1)</f>
        <v/>
      </c>
      <c r="H2761">
        <f>1-(1-Skills!J6/100)^Skills!K6</f>
        <v/>
      </c>
      <c r="I2761" t="inlineStr">
        <is>
          <t>1</t>
        </is>
      </c>
      <c r="J2761">
        <f>((Inputs!$B$6*(1+Inputs!$B$7/100))+(((Inputs!$B$12*(1+Inputs!$B$13/100))-(Inputs!$B$12*(1+Inputs!$B$13/100)))+0.25*(Inputs!$B$14-Inputs!$B$14))*(1+Inputs!$B$7/100))*(F2761/100)</f>
        <v/>
      </c>
      <c r="K2761">
        <f>J2761*(1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2770=TRUE,F2770,0)/100)*(1+(IF(Skills!A6="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2761)</f>
        <v/>
      </c>
      <c r="L2761">
        <f>K2761*(MIN(Inputs!$B$22+((C2777=TRUE)*(F2777-Calc!F22)),(Inputs!$B$23+0+(IF(ArtifactsInput!$M$15,CHOOSE(ArtifactsInput!$N$15+1,25,30,35,40,45,50)/100*(Inputs!$B$11-Inputs!$B$11),0))))/100+(Inputs!$B$23+0+(IF(ArtifactsInput!$M$15,CHOOSE(ArtifactsInput!$N$15+1,25,30,35,40,45,50)/100*(Inputs!$B$11-Inputs!$B$11),0)))/100)/2</f>
        <v/>
      </c>
      <c r="M2761">
        <f>L2761*(1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1">
        <f>L2761*(1-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1">
        <f>(1-Summary!$B$11)*T2761+Summary!$B$11*V2761</f>
        <v/>
      </c>
      <c r="P2761">
        <f>IF(B2796=0,0,O2761/B2796)</f>
        <v/>
      </c>
      <c r="Q2761">
        <f>IFERROR(1/(IF(Inputs!$B$38="pvp",15,MAX(0.1,Skills!D6-IF(Skills!E6=TRUE,Inputs!$B$32,0)))*(1-IF(AND(ArtifactsInput!$M$27,Inputs!$B$4="Chapter Hunt"),CHOOSE(ArtifactsInput!$N$27+1,20,24,28,32,36,40),0)/100)),0)</f>
        <v/>
      </c>
      <c r="R2761">
        <f>IF(AND(Inputs!$B$38&lt;&gt;"pvp",Inputs!$B$43&gt;0),IF(MAX(0,Inputs!$B$43-B2793)&lt;=0,0,(INT(MAX(0,Inputs!$B$43-B2793)/(IF(Inputs!$B$38="pvp",15,MAX(0.1,Skills!D6-IF(Skills!E6=TRUE,Inputs!$B$32,0)))*(1-IF(AND(ArtifactsInput!$M$27,Inputs!$B$4="Chapter Hunt"),CHOOSE(ArtifactsInput!$N$27+1,20,24,28,32,36,40),0)/100)))+1)),0)</f>
        <v/>
      </c>
      <c r="S2761">
        <f>IFERROR(O2761/N2761,0)</f>
        <v/>
      </c>
      <c r="T2761">
        <f>IF(C2761,(H2761*N2761*IF(AND(Inputs!$B$38&lt;&gt;"pvp",Inputs!$B$43&gt;0),((Skills!G6*((R2761-1)*IF(Skills!H6&gt;0,Skills!I6/Skills!H6,1)+IF(Skills!H6&gt;0,MIN(Skills!I6,MAX(0,MAX(0,Inputs!$B$43-B2793)-((R2761-1)*(IF(Inputs!$B$38="pvp",15,MAX(0.1,Skills!D6-IF(Skills!E6=TRUE,Inputs!$B$32,0)))*(1-IF(AND(ArtifactsInput!$M$27,Inputs!$B$4="Chapter Hunt"),CHOOSE(ArtifactsInput!$N$27+1,20,24,28,32,36,40),0)/100)))))/Skills!H6,1)))/Inputs!$B$43),G2761*Q2761)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2761*(1-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2761*(1-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1">
        <f>IF(C2761,(H2761*N2761*IF(AND(Inputs!$B$38&lt;&gt;"pvp",Inputs!$B$43&gt;0),((Skills!G6*((R2761-1)*IF(Skills!H6&gt;0,Skills!I6/Skills!H6,1)+IF(Skills!H6&gt;0,MIN(Skills!I6,MAX(0,MAX(0,Inputs!$B$43-B2793)-((R2761-1)*(IF(Inputs!$B$38="pvp",15,MAX(0.1,Skills!D6-IF(Skills!E6=TRUE,Inputs!$B$32,0)))*(1-IF(AND(ArtifactsInput!$M$27,Inputs!$B$4="Chapter Hunt"),CHOOSE(ArtifactsInput!$N$27+1,20,24,28,32,36,40),0)/100)))))/Skills!H6,1)))/Inputs!$B$43),G2761*Q2761))*IF(Inputs!$B$38="pvp",1,(1+(Inputs!$B$21+Skills!Q6+(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2">
      <c r="A2762">
        <f>Skills!A7</f>
        <v/>
      </c>
      <c r="B2762">
        <f>Skills!B7</f>
        <v/>
      </c>
      <c r="C2762">
        <f>Inputs!$B$3&gt;=66</f>
        <v/>
      </c>
      <c r="D2762">
        <f>IF(Skills!C7=1,60+Inputs!$B$25+Inputs!$B$29,IF(Skills!C7=2,90+Inputs!$B$26+Inputs!$B$29,IF(Skills!C7=3,120+Inputs!$B$27+Inputs!$B$29,MAX(0,(Inputs!$B$3-100)*3)+Inputs!$B$28+Inputs!$B$29)))</f>
        <v/>
      </c>
      <c r="E2762">
        <f>INDEX(FactorTable!$B$2:$Y$301, MATCH(ROUND(MIN(300,MAX(1,D2762)),0), FactorTable!$A$2:$A$301,0), Skills!M7+1)</f>
        <v/>
      </c>
      <c r="F2762">
        <f>IF(Skills!N7=TRUE,(Skills!L7/10)*(E2762/1000),Skills!L7/10)+Skills!O7</f>
        <v/>
      </c>
      <c r="G2762">
        <f>Skills!G7*IF(Skills!H7&gt;0,Skills!I7/Skills!H7,1)</f>
        <v/>
      </c>
      <c r="H2762">
        <f>1-(1-Skills!J7/100)^Skills!K7</f>
        <v/>
      </c>
      <c r="I2762" t="inlineStr">
        <is>
          <t>1</t>
        </is>
      </c>
      <c r="J2762">
        <f>((Inputs!$B$6*(1+Inputs!$B$7/100))+(((Inputs!$B$12*(1+Inputs!$B$13/100))-(Inputs!$B$12*(1+Inputs!$B$13/100)))+0.25*(Inputs!$B$14-Inputs!$B$14))*(1+Inputs!$B$7/100))*(F2762/100)</f>
        <v/>
      </c>
      <c r="K2762">
        <f>J2762*(1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2770=TRUE,F2770,0)/100)*(1+(IF(Skills!A7="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2762)</f>
        <v/>
      </c>
      <c r="L2762">
        <f>K2762*(MIN(Inputs!$B$22+((C2777=TRUE)*(F2777-Calc!F22)),(Inputs!$B$23+0+(IF(ArtifactsInput!$M$15,CHOOSE(ArtifactsInput!$N$15+1,25,30,35,40,45,50)/100*(Inputs!$B$11-Inputs!$B$11),0))))/100+(Inputs!$B$23+0+(IF(ArtifactsInput!$M$15,CHOOSE(ArtifactsInput!$N$15+1,25,30,35,40,45,50)/100*(Inputs!$B$11-Inputs!$B$11),0)))/100)/2</f>
        <v/>
      </c>
      <c r="M2762">
        <f>L2762*(1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2">
        <f>L2762*(1-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2762*(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2">
        <f>(1-Summary!$B$11)*T2762+Summary!$B$11*V2762</f>
        <v/>
      </c>
      <c r="P2762">
        <f>IF(B2796=0,0,O2762/B2796)</f>
        <v/>
      </c>
      <c r="Q2762">
        <f>IFERROR(1/(IF(Inputs!$B$38="pvp",15,MAX(0.1,Skills!D7-IF(Skills!E7=TRUE,Inputs!$B$32,0)))*(1-IF(AND(ArtifactsInput!$M$27,Inputs!$B$4="Chapter Hunt"),CHOOSE(ArtifactsInput!$N$27+1,20,24,28,32,36,40),0)/100)),0)</f>
        <v/>
      </c>
      <c r="R2762">
        <f>IF(AND(Inputs!$B$38&lt;&gt;"pvp",Inputs!$B$43&gt;0),IF(MAX(0,Inputs!$B$43-B2793)&lt;=0,0,(INT(MAX(0,Inputs!$B$43-B2793)/(IF(Inputs!$B$38="pvp",15,MAX(0.1,Skills!D7-IF(Skills!E7=TRUE,Inputs!$B$32,0)))*(1-IF(AND(ArtifactsInput!$M$27,Inputs!$B$4="Chapter Hunt"),CHOOSE(ArtifactsInput!$N$27+1,20,24,28,32,36,40),0)/100)))+1)),0)</f>
        <v/>
      </c>
      <c r="S2762">
        <f>IFERROR(O2762/N2762,0)</f>
        <v/>
      </c>
      <c r="T2762">
        <f>IF(C2762,(H2762*N2762*IF(AND(Inputs!$B$38&lt;&gt;"pvp",Inputs!$B$43&gt;0),((Skills!G7*((R2762-1)*IF(Skills!H7&gt;0,Skills!I7/Skills!H7,1)+IF(Skills!H7&gt;0,MIN(Skills!I7,MAX(0,MAX(0,Inputs!$B$43-B2793)-((R2762-1)*(IF(Inputs!$B$38="pvp",15,MAX(0.1,Skills!D7-IF(Skills!E7=TRUE,Inputs!$B$32,0)))*(1-IF(AND(ArtifactsInput!$M$27,Inputs!$B$4="Chapter Hunt"),CHOOSE(ArtifactsInput!$N$27+1,20,24,28,32,36,40),0)/100)))))/Skills!H7,1)))/Inputs!$B$43),G2762*Q2762)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2762*(1-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2762*(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2762*(1-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2762*(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2">
        <f>IF(C2762,(H2762*N2762*IF(AND(Inputs!$B$38&lt;&gt;"pvp",Inputs!$B$43&gt;0),((Skills!G7*((R2762-1)*IF(Skills!H7&gt;0,Skills!I7/Skills!H7,1)+IF(Skills!H7&gt;0,MIN(Skills!I7,MAX(0,MAX(0,Inputs!$B$43-B2793)-((R2762-1)*(IF(Inputs!$B$38="pvp",15,MAX(0.1,Skills!D7-IF(Skills!E7=TRUE,Inputs!$B$32,0)))*(1-IF(AND(ArtifactsInput!$M$27,Inputs!$B$4="Chapter Hunt"),CHOOSE(ArtifactsInput!$N$27+1,20,24,28,32,36,40),0)/100)))))/Skills!H7,1)))/Inputs!$B$43),G2762*Q2762))*IF(Inputs!$B$38="pvp",1,(1+(Inputs!$B$21+Skills!Q7+(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3">
      <c r="A2763">
        <f>Skills!A8</f>
        <v/>
      </c>
      <c r="B2763">
        <f>Skills!B8</f>
        <v/>
      </c>
      <c r="C2763">
        <f>Inputs!$B$3&gt;=100</f>
        <v/>
      </c>
      <c r="D2763">
        <f>IF(Skills!C8=1,60+Inputs!$B$25+Inputs!$B$29,IF(Skills!C8=2,90+Inputs!$B$26+Inputs!$B$29,IF(Skills!C8=3,120+Inputs!$B$27+Inputs!$B$29,MAX(0,(Inputs!$B$3-100)*3)+Inputs!$B$28+Inputs!$B$29)))</f>
        <v/>
      </c>
      <c r="E2763">
        <f>INDEX(FactorTable!$B$2:$Y$301, MATCH(ROUND(MIN(300,MAX(1,D2763)),0), FactorTable!$A$2:$A$301,0), Skills!M8+1)</f>
        <v/>
      </c>
      <c r="F2763">
        <f>IF(Skills!N8=TRUE,(Skills!L8/10)*(E2763/1000),Skills!L8/10)+Skills!O8</f>
        <v/>
      </c>
      <c r="G2763">
        <f>Skills!G8*IF(Skills!H8&gt;0,Skills!I8/Skills!H8,1)</f>
        <v/>
      </c>
      <c r="H2763">
        <f>1-(1-Skills!J8/100)^Skills!K8</f>
        <v/>
      </c>
      <c r="I2763" t="inlineStr">
        <is>
          <t>1</t>
        </is>
      </c>
      <c r="J2763">
        <f>((Inputs!$B$6*(1+Inputs!$B$7/100))+(((Inputs!$B$12*(1+Inputs!$B$13/100))-(Inputs!$B$12*(1+Inputs!$B$13/100)))+0.25*(Inputs!$B$14-Inputs!$B$14))*(1+Inputs!$B$7/100))*(F2763/100)</f>
        <v/>
      </c>
      <c r="K2763">
        <f>J2763*(1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2763)</f>
        <v/>
      </c>
      <c r="L2763">
        <f>K2763*(MIN(Inputs!$B$22+((C2777=TRUE)*(F2777-Calc!F22)),(Inputs!$B$23+0+(IF(ArtifactsInput!$M$15,CHOOSE(ArtifactsInput!$N$15+1,25,30,35,40,45,50)/100*(Inputs!$B$11-Inputs!$B$11),0))))/100+(Inputs!$B$23+0+(IF(ArtifactsInput!$M$15,CHOOSE(ArtifactsInput!$N$15+1,25,30,35,40,45,50)/100*(Inputs!$B$11-Inputs!$B$11),0)))/100)/2</f>
        <v/>
      </c>
      <c r="M2763">
        <f>L2763*(1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3">
        <f>L2763*(1-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2763*(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3">
        <f>(1-Summary!$B$11)*T2763+Summary!$B$11*V2763</f>
        <v/>
      </c>
      <c r="P2763">
        <f>IF(B2796=0,0,O2763/B2796)</f>
        <v/>
      </c>
      <c r="Q2763">
        <f>IFERROR(1/(IF(Inputs!$B$38="pvp",15,MAX(0.1,Skills!D8-IF(Skills!E8=TRUE,Inputs!$B$32,0)))*(1-IF(AND(ArtifactsInput!$M$27,Inputs!$B$4="Chapter Hunt"),CHOOSE(ArtifactsInput!$N$27+1,20,24,28,32,36,40),0)/100)),0)</f>
        <v/>
      </c>
      <c r="R2763">
        <f>IF(AND(Inputs!$B$38&lt;&gt;"pvp",Inputs!$B$43&gt;0),IF(MAX(0,Inputs!$B$43-B2793)&lt;=0,0,(INT(MAX(0,Inputs!$B$43-B2793)/(IF(Inputs!$B$38="pvp",15,MAX(0.1,Skills!D8-IF(Skills!E8=TRUE,Inputs!$B$32,0)))*(1-IF(AND(ArtifactsInput!$M$27,Inputs!$B$4="Chapter Hunt"),CHOOSE(ArtifactsInput!$N$27+1,20,24,28,32,36,40),0)/100)))+1)),0)</f>
        <v/>
      </c>
      <c r="S2763">
        <f>IFERROR(O2763/N2763,0)</f>
        <v/>
      </c>
      <c r="T2763">
        <f>IF(C2763,(H2763*N2763*IF(AND(Inputs!$B$38&lt;&gt;"pvp",Inputs!$B$43&gt;0),((Skills!G8*((R2763-1)*IF(Skills!H8&gt;0,Skills!I8/Skills!H8,1)+IF(Skills!H8&gt;0,MIN(Skills!I8,MAX(0,MAX(0,Inputs!$B$43-B2793)-((R2763-1)*(IF(Inputs!$B$38="pvp",15,MAX(0.1,Skills!D8-IF(Skills!E8=TRUE,Inputs!$B$32,0)))*(1-IF(AND(ArtifactsInput!$M$27,Inputs!$B$4="Chapter Hunt"),CHOOSE(ArtifactsInput!$N$27+1,20,24,28,32,36,40),0)/100)))))/Skills!H8,1)))/Inputs!$B$43),G2763*Q2763)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2763*(1-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2763*(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2763*(1-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2763*(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3">
        <f>IF(C2763,(H2763*N2763*IF(AND(Inputs!$B$38&lt;&gt;"pvp",Inputs!$B$43&gt;0),((Skills!G8*((R2763-1)*IF(Skills!H8&gt;0,Skills!I8/Skills!H8,1)+IF(Skills!H8&gt;0,MIN(Skills!I8,MAX(0,MAX(0,Inputs!$B$43-B2793)-((R2763-1)*(IF(Inputs!$B$38="pvp",15,MAX(0.1,Skills!D8-IF(Skills!E8=TRUE,Inputs!$B$32,0)))*(1-IF(AND(ArtifactsInput!$M$27,Inputs!$B$4="Chapter Hunt"),CHOOSE(ArtifactsInput!$N$27+1,20,24,28,32,36,40),0)/100)))))/Skills!H8,1)))/Inputs!$B$43),G2763*Q2763))*IF(Inputs!$B$38="pvp",1,(1+(Inputs!$B$21+Skills!Q8+(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4">
      <c r="A2764">
        <f>Skills!A9</f>
        <v/>
      </c>
      <c r="B2764">
        <f>Skills!B9</f>
        <v/>
      </c>
      <c r="C2764">
        <f>Inputs!$B$3&gt;=103</f>
        <v/>
      </c>
      <c r="D2764">
        <f>IF(Skills!C9=1,60+Inputs!$B$25+Inputs!$B$29,IF(Skills!C9=2,90+Inputs!$B$26+Inputs!$B$29,IF(Skills!C9=3,120+Inputs!$B$27+Inputs!$B$29,MAX(0,(Inputs!$B$3-100)*3)+Inputs!$B$28+Inputs!$B$29)))</f>
        <v/>
      </c>
      <c r="E2764">
        <f>INDEX(FactorTable!$B$2:$Y$301, MATCH(ROUND(MIN(300,MAX(1,D2764)),0), FactorTable!$A$2:$A$301,0), Skills!M9+1)</f>
        <v/>
      </c>
      <c r="F2764">
        <f>IF(Skills!N9=TRUE,(Skills!L9/10)*(E2764/1000),Skills!L9/10)+Skills!O9</f>
        <v/>
      </c>
      <c r="G2764">
        <f>Skills!G9*IF(Skills!H9&gt;0,Skills!I9/Skills!H9,1)</f>
        <v/>
      </c>
      <c r="H2764">
        <f>1-(1-Skills!J9/100)^Skills!K9</f>
        <v/>
      </c>
      <c r="I2764" t="inlineStr">
        <is>
          <t>1</t>
        </is>
      </c>
      <c r="J2764">
        <f>((Inputs!$B$6*(1+Inputs!$B$7/100))+(((Inputs!$B$12*(1+Inputs!$B$13/100))-(Inputs!$B$12*(1+Inputs!$B$13/100)))+0.25*(Inputs!$B$14-Inputs!$B$14))*(1+Inputs!$B$7/100))*(F2764/100)</f>
        <v/>
      </c>
      <c r="K2764">
        <f>J2764*(1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2764)</f>
        <v/>
      </c>
      <c r="L2764">
        <f>K2764*(MIN(Inputs!$B$22+((C2777=TRUE)*(F2777-Calc!F22)),(Inputs!$B$23+0+(IF(ArtifactsInput!$M$15,CHOOSE(ArtifactsInput!$N$15+1,25,30,35,40,45,50)/100*(Inputs!$B$11-Inputs!$B$11),0))))/100+(Inputs!$B$23+0+(IF(ArtifactsInput!$M$15,CHOOSE(ArtifactsInput!$N$15+1,25,30,35,40,45,50)/100*(Inputs!$B$11-Inputs!$B$11),0)))/100)/2</f>
        <v/>
      </c>
      <c r="M2764">
        <f>L2764*(1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4">
        <f>L2764*(1-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2764*(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4">
        <f>(1-Summary!$B$11)*T2764+Summary!$B$11*V2764</f>
        <v/>
      </c>
      <c r="P2764">
        <f>IF(B2796=0,0,O2764/B2796)</f>
        <v/>
      </c>
      <c r="Q2764">
        <f>IFERROR(1/(IF(Inputs!$B$38="pvp",15,MAX(0.1,Skills!D9-IF(Skills!E9=TRUE,Inputs!$B$32,0)))*(1-IF(AND(ArtifactsInput!$M$27,Inputs!$B$4="Chapter Hunt"),CHOOSE(ArtifactsInput!$N$27+1,20,24,28,32,36,40),0)/100)),0)</f>
        <v/>
      </c>
      <c r="R2764">
        <f>IF(AND(Inputs!$B$38&lt;&gt;"pvp",Inputs!$B$43&gt;0),IF(MAX(0,Inputs!$B$43-B2793)&lt;=0,0,(INT(MAX(0,Inputs!$B$43-B2793)/(IF(Inputs!$B$38="pvp",15,MAX(0.1,Skills!D9-IF(Skills!E9=TRUE,Inputs!$B$32,0)))*(1-IF(AND(ArtifactsInput!$M$27,Inputs!$B$4="Chapter Hunt"),CHOOSE(ArtifactsInput!$N$27+1,20,24,28,32,36,40),0)/100)))+1)),0)</f>
        <v/>
      </c>
      <c r="S2764">
        <f>IFERROR(O2764/N2764,0)</f>
        <v/>
      </c>
      <c r="T2764">
        <f>IF(C2764,(H2764*N2764*IF(AND(Inputs!$B$38&lt;&gt;"pvp",Inputs!$B$43&gt;0),((Skills!G9*((R2764-1)*IF(Skills!H9&gt;0,Skills!I9/Skills!H9,1)+IF(Skills!H9&gt;0,MIN(Skills!I9,MAX(0,MAX(0,Inputs!$B$43-B2793)-((R2764-1)*(IF(Inputs!$B$38="pvp",15,MAX(0.1,Skills!D9-IF(Skills!E9=TRUE,Inputs!$B$32,0)))*(1-IF(AND(ArtifactsInput!$M$27,Inputs!$B$4="Chapter Hunt"),CHOOSE(ArtifactsInput!$N$27+1,20,24,28,32,36,40),0)/100)))))/Skills!H9,1)))/Inputs!$B$43),G2764*Q2764)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2764*(1-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2764*(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2764*(1-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2764*(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4">
        <f>IF(C2764,(H2764*N2764*IF(AND(Inputs!$B$38&lt;&gt;"pvp",Inputs!$B$43&gt;0),((Skills!G9*((R2764-1)*IF(Skills!H9&gt;0,Skills!I9/Skills!H9,1)+IF(Skills!H9&gt;0,MIN(Skills!I9,MAX(0,MAX(0,Inputs!$B$43-B2793)-((R2764-1)*(IF(Inputs!$B$38="pvp",15,MAX(0.1,Skills!D9-IF(Skills!E9=TRUE,Inputs!$B$32,0)))*(1-IF(AND(ArtifactsInput!$M$27,Inputs!$B$4="Chapter Hunt"),CHOOSE(ArtifactsInput!$N$27+1,20,24,28,32,36,40),0)/100)))))/Skills!H9,1)))/Inputs!$B$43),G2764*Q2764))*IF(Inputs!$B$38="pvp",1,(1+(Inputs!$B$21+Skills!Q9+(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5">
      <c r="A2765">
        <f>Skills!A10</f>
        <v/>
      </c>
      <c r="B2765">
        <f>Skills!B10</f>
        <v/>
      </c>
      <c r="C2765">
        <f>Inputs!$B$3&gt;=113</f>
        <v/>
      </c>
      <c r="D2765">
        <f>IF(Skills!C10=1,60+Inputs!$B$25+Inputs!$B$29,IF(Skills!C10=2,90+Inputs!$B$26+Inputs!$B$29,IF(Skills!C10=3,120+Inputs!$B$27+Inputs!$B$29,MAX(0,(Inputs!$B$3-100)*3)+Inputs!$B$28+Inputs!$B$29)))</f>
        <v/>
      </c>
      <c r="E2765">
        <f>INDEX(FactorTable!$B$2:$Y$301, MATCH(ROUND(MIN(300,MAX(1,D2765)),0), FactorTable!$A$2:$A$301,0), Skills!M10+1)</f>
        <v/>
      </c>
      <c r="F2765">
        <f>IF(Skills!N10=TRUE,(Skills!L10/10)*(E2765/1000),Skills!L10/10)+Skills!O10</f>
        <v/>
      </c>
      <c r="G2765">
        <f>Skills!G10*IF(Skills!H10&gt;0,Skills!I10/Skills!H10,1)</f>
        <v/>
      </c>
      <c r="H2765">
        <f>1-(1-Skills!J10/100)^Skills!K10</f>
        <v/>
      </c>
      <c r="I2765" t="inlineStr">
        <is>
          <t>1</t>
        </is>
      </c>
      <c r="J2765">
        <f>((Inputs!$B$6*(1+Inputs!$B$7/100))+(((Inputs!$B$12*(1+Inputs!$B$13/100))-(Inputs!$B$12*(1+Inputs!$B$13/100)))+0.25*(Inputs!$B$14-Inputs!$B$14))*(1+Inputs!$B$7/100))*(F2765/100)</f>
        <v/>
      </c>
      <c r="K2765">
        <f>J2765*(1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2765)</f>
        <v/>
      </c>
      <c r="L2765">
        <f>K2765*(MIN(Inputs!$B$22+((C2777=TRUE)*(F2777-Calc!F22)),(Inputs!$B$23+0+(IF(ArtifactsInput!$M$15,CHOOSE(ArtifactsInput!$N$15+1,25,30,35,40,45,50)/100*(Inputs!$B$11-Inputs!$B$11),0))))/100+(Inputs!$B$23+0+(IF(ArtifactsInput!$M$15,CHOOSE(ArtifactsInput!$N$15+1,25,30,35,40,45,50)/100*(Inputs!$B$11-Inputs!$B$11),0)))/100)/2</f>
        <v/>
      </c>
      <c r="M2765">
        <f>L2765*(1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5">
        <f>L2765*(1-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2765*(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5">
        <f>(1-Summary!$B$11)*T2765+Summary!$B$11*V2765</f>
        <v/>
      </c>
      <c r="P2765">
        <f>IF(B2796=0,0,O2765/B2796)</f>
        <v/>
      </c>
      <c r="Q2765">
        <f>IFERROR(1/(IF(Inputs!$B$38="pvp",15,MAX(0.1,Skills!D10-IF(Skills!E10=TRUE,Inputs!$B$32,0)))*(1-IF(AND(ArtifactsInput!$M$27,Inputs!$B$4="Chapter Hunt"),CHOOSE(ArtifactsInput!$N$27+1,20,24,28,32,36,40),0)/100)),0)</f>
        <v/>
      </c>
      <c r="R2765">
        <f>IF(AND(Inputs!$B$38&lt;&gt;"pvp",Inputs!$B$43&gt;0),IF(MAX(0,Inputs!$B$43-B2793)&lt;=0,0,(INT(MAX(0,Inputs!$B$43-B2793)/(IF(Inputs!$B$38="pvp",15,MAX(0.1,Skills!D10-IF(Skills!E10=TRUE,Inputs!$B$32,0)))*(1-IF(AND(ArtifactsInput!$M$27,Inputs!$B$4="Chapter Hunt"),CHOOSE(ArtifactsInput!$N$27+1,20,24,28,32,36,40),0)/100)))+1)),0)</f>
        <v/>
      </c>
      <c r="S2765">
        <f>IFERROR(O2765/N2765,0)</f>
        <v/>
      </c>
      <c r="T2765">
        <f>IF(C2765,(H2765*N2765*IF(AND(Inputs!$B$38&lt;&gt;"pvp",Inputs!$B$43&gt;0),((Skills!G10*((R2765-1)*IF(Skills!H10&gt;0,Skills!I10/Skills!H10,1)+IF(Skills!H10&gt;0,MIN(Skills!I10,MAX(0,MAX(0,Inputs!$B$43-B2793)-((R2765-1)*(IF(Inputs!$B$38="pvp",15,MAX(0.1,Skills!D10-IF(Skills!E10=TRUE,Inputs!$B$32,0)))*(1-IF(AND(ArtifactsInput!$M$27,Inputs!$B$4="Chapter Hunt"),CHOOSE(ArtifactsInput!$N$27+1,20,24,28,32,36,40),0)/100)))))/Skills!H10,1)))/Inputs!$B$43),G2765*Q2765)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2765*(1-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2765*(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2765*(1-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2765*(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5">
        <f>IF(C2765,(H2765*N2765*IF(AND(Inputs!$B$38&lt;&gt;"pvp",Inputs!$B$43&gt;0),((Skills!G10*((R2765-1)*IF(Skills!H10&gt;0,Skills!I10/Skills!H10,1)+IF(Skills!H10&gt;0,MIN(Skills!I10,MAX(0,MAX(0,Inputs!$B$43-B2793)-((R2765-1)*(IF(Inputs!$B$38="pvp",15,MAX(0.1,Skills!D10-IF(Skills!E10=TRUE,Inputs!$B$32,0)))*(1-IF(AND(ArtifactsInput!$M$27,Inputs!$B$4="Chapter Hunt"),CHOOSE(ArtifactsInput!$N$27+1,20,24,28,32,36,40),0)/100)))))/Skills!H10,1)))/Inputs!$B$43),G2765*Q2765))*IF(Inputs!$B$38="pvp",1,(1+(Inputs!$B$21+Skills!Q10+(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6">
      <c r="A2766">
        <f>Skills!A11</f>
        <v/>
      </c>
      <c r="B2766">
        <f>Skills!B11</f>
        <v/>
      </c>
      <c r="C2766">
        <f>Inputs!$B$3&gt;=107</f>
        <v/>
      </c>
      <c r="D2766">
        <f>IF(Skills!C11=1,60+Inputs!$B$25+Inputs!$B$29,IF(Skills!C11=2,90+Inputs!$B$26+Inputs!$B$29,IF(Skills!C11=3,120+Inputs!$B$27+Inputs!$B$29,MAX(0,(Inputs!$B$3-100)*3)+Inputs!$B$28+Inputs!$B$29)))</f>
        <v/>
      </c>
      <c r="E2766">
        <f>INDEX(FactorTable!$B$2:$Y$301, MATCH(ROUND(MIN(300,MAX(1,D2766)),0), FactorTable!$A$2:$A$301,0), Skills!M11+1)</f>
        <v/>
      </c>
      <c r="F2766">
        <f>IF(Skills!N11=TRUE,(Skills!L11/10)*(E2766/1000),Skills!L11/10)+Skills!O11</f>
        <v/>
      </c>
      <c r="G2766">
        <f>Skills!G11*IF(Skills!H11&gt;0,Skills!I11/Skills!H11,1)</f>
        <v/>
      </c>
      <c r="H2766">
        <f>1-(1-Skills!J11/100)^Skills!K11</f>
        <v/>
      </c>
      <c r="I2766" t="inlineStr">
        <is>
          <t>1</t>
        </is>
      </c>
      <c r="J2766">
        <f>((Inputs!$B$6*(1+Inputs!$B$7/100))+(((Inputs!$B$12*(1+Inputs!$B$13/100))-(Inputs!$B$12*(1+Inputs!$B$13/100)))+0.25*(Inputs!$B$14-Inputs!$B$14))*(1+Inputs!$B$7/100))*(F2766/100)</f>
        <v/>
      </c>
      <c r="K2766">
        <f>J2766*(1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2766)</f>
        <v/>
      </c>
      <c r="L2766">
        <f>K2766*(MIN(Inputs!$B$22+((C2777=TRUE)*(F2777-Calc!F22)),(Inputs!$B$23+0+(IF(ArtifactsInput!$M$15,CHOOSE(ArtifactsInput!$N$15+1,25,30,35,40,45,50)/100*(Inputs!$B$11-Inputs!$B$11),0))))/100+(Inputs!$B$23+0+(IF(ArtifactsInput!$M$15,CHOOSE(ArtifactsInput!$N$15+1,25,30,35,40,45,50)/100*(Inputs!$B$11-Inputs!$B$11),0)))/100)/2</f>
        <v/>
      </c>
      <c r="M2766">
        <f>L2766*(1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6">
        <f>L2766*(1-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2766*(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6">
        <f>(1-Summary!$B$11)*T2766+Summary!$B$11*V2766</f>
        <v/>
      </c>
      <c r="P2766">
        <f>IF(B2796=0,0,O2766/B2796)</f>
        <v/>
      </c>
      <c r="Q2766">
        <f>IFERROR(1/(IF(Inputs!$B$38="pvp",15,MAX(0.1,Skills!D11-IF(Skills!E11=TRUE,Inputs!$B$32,0)))*(1-IF(AND(ArtifactsInput!$M$27,Inputs!$B$4="Chapter Hunt"),CHOOSE(ArtifactsInput!$N$27+1,20,24,28,32,36,40),0)/100)),0)</f>
        <v/>
      </c>
      <c r="R2766">
        <f>IF(AND(Inputs!$B$38&lt;&gt;"pvp",Inputs!$B$43&gt;0),IF(MAX(0,Inputs!$B$43-B2793)&lt;=0,0,(INT(MAX(0,Inputs!$B$43-B2793)/(IF(Inputs!$B$38="pvp",15,MAX(0.1,Skills!D11-IF(Skills!E11=TRUE,Inputs!$B$32,0)))*(1-IF(AND(ArtifactsInput!$M$27,Inputs!$B$4="Chapter Hunt"),CHOOSE(ArtifactsInput!$N$27+1,20,24,28,32,36,40),0)/100)))+1)),0)</f>
        <v/>
      </c>
      <c r="S2766">
        <f>IFERROR(O2766/N2766,0)</f>
        <v/>
      </c>
      <c r="T2766">
        <f>IF(C2766,(H2766*N2766*IF(AND(Inputs!$B$38&lt;&gt;"pvp",Inputs!$B$43&gt;0),((Skills!G11*((R2766-1)*IF(Skills!H11&gt;0,Skills!I11/Skills!H11,1)+IF(Skills!H11&gt;0,MIN(Skills!I11,MAX(0,MAX(0,Inputs!$B$43-B2793)-((R2766-1)*(IF(Inputs!$B$38="pvp",15,MAX(0.1,Skills!D11-IF(Skills!E11=TRUE,Inputs!$B$32,0)))*(1-IF(AND(ArtifactsInput!$M$27,Inputs!$B$4="Chapter Hunt"),CHOOSE(ArtifactsInput!$N$27+1,20,24,28,32,36,40),0)/100)))))/Skills!H11,1)))/Inputs!$B$43),G2766*Q2766)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2766*(1-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2766*(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2766*(1-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2766*(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6">
        <f>IF(C2766,(H2766*N2766*IF(AND(Inputs!$B$38&lt;&gt;"pvp",Inputs!$B$43&gt;0),((Skills!G11*((R2766-1)*IF(Skills!H11&gt;0,Skills!I11/Skills!H11,1)+IF(Skills!H11&gt;0,MIN(Skills!I11,MAX(0,MAX(0,Inputs!$B$43-B2793)-((R2766-1)*(IF(Inputs!$B$38="pvp",15,MAX(0.1,Skills!D11-IF(Skills!E11=TRUE,Inputs!$B$32,0)))*(1-IF(AND(ArtifactsInput!$M$27,Inputs!$B$4="Chapter Hunt"),CHOOSE(ArtifactsInput!$N$27+1,20,24,28,32,36,40),0)/100)))))/Skills!H11,1)))/Inputs!$B$43),G2766*Q2766))*IF(Inputs!$B$38="pvp",1,(1+(Inputs!$B$21+Skills!Q11+(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7">
      <c r="A2767">
        <f>Skills!A12</f>
        <v/>
      </c>
      <c r="B2767">
        <f>Skills!B12</f>
        <v/>
      </c>
      <c r="C2767">
        <f>Inputs!$B$3&gt;=110</f>
        <v/>
      </c>
      <c r="D2767">
        <f>IF(Skills!C12=1,60+Inputs!$B$25+Inputs!$B$29,IF(Skills!C12=2,90+Inputs!$B$26+Inputs!$B$29,IF(Skills!C12=3,120+Inputs!$B$27+Inputs!$B$29,MAX(0,(Inputs!$B$3-100)*3)+Inputs!$B$28+Inputs!$B$29)))</f>
        <v/>
      </c>
      <c r="E2767">
        <f>INDEX(FactorTable!$B$2:$Y$301, MATCH(ROUND(MIN(300,MAX(1,D2767)),0), FactorTable!$A$2:$A$301,0), Skills!M12+1)</f>
        <v/>
      </c>
      <c r="F2767">
        <f>IF(Skills!N12=TRUE,(Skills!L12/10)*(E2767/1000),Skills!L12/10)+Skills!O12</f>
        <v/>
      </c>
      <c r="G2767">
        <f>Skills!G12*IF(Skills!H12&gt;0,Skills!I12/Skills!H12,1)</f>
        <v/>
      </c>
      <c r="H2767">
        <f>1-(1-Skills!J12/100)^Skills!K12</f>
        <v/>
      </c>
      <c r="I2767" t="inlineStr">
        <is>
          <t>1</t>
        </is>
      </c>
      <c r="J2767">
        <f>((Inputs!$B$6*(1+Inputs!$B$7/100))+(((Inputs!$B$12*(1+Inputs!$B$13/100))-(Inputs!$B$12*(1+Inputs!$B$13/100)))+0.25*(Inputs!$B$14-Inputs!$B$14))*(1+Inputs!$B$7/100))*(F2767/100)</f>
        <v/>
      </c>
      <c r="K2767">
        <f>J2767*(1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2767)</f>
        <v/>
      </c>
      <c r="L2767">
        <f>K2767*(MIN(Inputs!$B$22+((C2777=TRUE)*(F2777-Calc!F22)),(Inputs!$B$23+0+(IF(ArtifactsInput!$M$15,CHOOSE(ArtifactsInput!$N$15+1,25,30,35,40,45,50)/100*(Inputs!$B$11-Inputs!$B$11),0))))/100+(Inputs!$B$23+0+(IF(ArtifactsInput!$M$15,CHOOSE(ArtifactsInput!$N$15+1,25,30,35,40,45,50)/100*(Inputs!$B$11-Inputs!$B$11),0)))/100)/2</f>
        <v/>
      </c>
      <c r="M2767">
        <f>L2767*(1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7">
        <f>L2767*(1-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2767*(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7">
        <f>(1-Summary!$B$11)*T2767+Summary!$B$11*V2767</f>
        <v/>
      </c>
      <c r="P2767">
        <f>IF(B2796=0,0,O2767/B2796)</f>
        <v/>
      </c>
      <c r="Q2767">
        <f>IFERROR(1/(IF(Inputs!$B$38="pvp",15,MAX(0.1,Skills!D12-IF(Skills!E12=TRUE,Inputs!$B$32,0)))*(1-IF(AND(ArtifactsInput!$M$27,Inputs!$B$4="Chapter Hunt"),CHOOSE(ArtifactsInput!$N$27+1,20,24,28,32,36,40),0)/100)),0)</f>
        <v/>
      </c>
      <c r="R2767">
        <f>IF(AND(Inputs!$B$38&lt;&gt;"pvp",Inputs!$B$43&gt;0),IF(MAX(0,Inputs!$B$43-B2793)&lt;=0,0,(INT(MAX(0,Inputs!$B$43-B2793)/(IF(Inputs!$B$38="pvp",15,MAX(0.1,Skills!D12-IF(Skills!E12=TRUE,Inputs!$B$32,0)))*(1-IF(AND(ArtifactsInput!$M$27,Inputs!$B$4="Chapter Hunt"),CHOOSE(ArtifactsInput!$N$27+1,20,24,28,32,36,40),0)/100)))+1)),0)</f>
        <v/>
      </c>
      <c r="S2767">
        <f>IFERROR(O2767/N2767,0)</f>
        <v/>
      </c>
      <c r="T2767">
        <f>IF(C2767,(H2767*N2767*IF(AND(Inputs!$B$38&lt;&gt;"pvp",Inputs!$B$43&gt;0),((Skills!G12*((R2767-1)*IF(Skills!H12&gt;0,Skills!I12/Skills!H12,1)+IF(Skills!H12&gt;0,MIN(Skills!I12,MAX(0,MAX(0,Inputs!$B$43-B2793)-((R2767-1)*(IF(Inputs!$B$38="pvp",15,MAX(0.1,Skills!D12-IF(Skills!E12=TRUE,Inputs!$B$32,0)))*(1-IF(AND(ArtifactsInput!$M$27,Inputs!$B$4="Chapter Hunt"),CHOOSE(ArtifactsInput!$N$27+1,20,24,28,32,36,40),0)/100)))))/Skills!H12,1)))/Inputs!$B$43),G2767*Q2767)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2767*(1-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2767*(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2767*(1-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2767*(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7">
        <f>IF(C2767,(H2767*N2767*IF(AND(Inputs!$B$38&lt;&gt;"pvp",Inputs!$B$43&gt;0),((Skills!G12*((R2767-1)*IF(Skills!H12&gt;0,Skills!I12/Skills!H12,1)+IF(Skills!H12&gt;0,MIN(Skills!I12,MAX(0,MAX(0,Inputs!$B$43-B2793)-((R2767-1)*(IF(Inputs!$B$38="pvp",15,MAX(0.1,Skills!D12-IF(Skills!E12=TRUE,Inputs!$B$32,0)))*(1-IF(AND(ArtifactsInput!$M$27,Inputs!$B$4="Chapter Hunt"),CHOOSE(ArtifactsInput!$N$27+1,20,24,28,32,36,40),0)/100)))))/Skills!H12,1)))/Inputs!$B$43),G2767*Q2767))*IF(Inputs!$B$38="pvp",1,(1+(Inputs!$B$21+Skills!Q12+(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8">
      <c r="A2768">
        <f>Skills!A13</f>
        <v/>
      </c>
      <c r="B2768">
        <f>Skills!B13</f>
        <v/>
      </c>
      <c r="C2768">
        <f>Inputs!$B$3&gt;=110</f>
        <v/>
      </c>
      <c r="D2768">
        <f>IF(Skills!C13=1,60+Inputs!$B$25+Inputs!$B$29,IF(Skills!C13=2,90+Inputs!$B$26+Inputs!$B$29,IF(Skills!C13=3,120+Inputs!$B$27+Inputs!$B$29,MAX(0,(Inputs!$B$3-100)*3)+Inputs!$B$28+Inputs!$B$29)))</f>
        <v/>
      </c>
      <c r="E2768">
        <f>INDEX(FactorTable!$B$2:$Y$301, MATCH(ROUND(MIN(300,MAX(1,D2768)),0), FactorTable!$A$2:$A$301,0), Skills!M13+1)</f>
        <v/>
      </c>
      <c r="F2768">
        <f>IF(Skills!N13=TRUE,(Skills!L13/10)*(E2768/1000),Skills!L13/10)+Skills!O13</f>
        <v/>
      </c>
      <c r="G2768">
        <f>Skills!G13*IF(Skills!H13&gt;0,Skills!I13/Skills!H13,1)</f>
        <v/>
      </c>
      <c r="H2768">
        <f>1-(1-Skills!J13/100)^Skills!K13</f>
        <v/>
      </c>
      <c r="I2768" t="inlineStr">
        <is>
          <t>1</t>
        </is>
      </c>
      <c r="J2768">
        <f>((Inputs!$B$6*(1+Inputs!$B$7/100))+(((Inputs!$B$12*(1+Inputs!$B$13/100))-(Inputs!$B$12*(1+Inputs!$B$13/100)))+0.25*(Inputs!$B$14-Inputs!$B$14))*(1+Inputs!$B$7/100))*(F2768/100)</f>
        <v/>
      </c>
      <c r="K2768">
        <f>J2768*(1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2768)</f>
        <v/>
      </c>
      <c r="L2768">
        <f>K2768*(MIN(Inputs!$B$22+((C2777=TRUE)*(F2777-Calc!F22)),(Inputs!$B$23+0+(IF(ArtifactsInput!$M$15,CHOOSE(ArtifactsInput!$N$15+1,25,30,35,40,45,50)/100*(Inputs!$B$11-Inputs!$B$11),0))))/100+(Inputs!$B$23+0+(IF(ArtifactsInput!$M$15,CHOOSE(ArtifactsInput!$N$15+1,25,30,35,40,45,50)/100*(Inputs!$B$11-Inputs!$B$11),0)))/100)/2</f>
        <v/>
      </c>
      <c r="M2768">
        <f>L2768*(1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8">
        <f>L2768*(1-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2768*(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8">
        <f>(1-Summary!$B$11)*T2768+Summary!$B$11*V2768</f>
        <v/>
      </c>
      <c r="P2768">
        <f>IF(B2796=0,0,O2768/B2796)</f>
        <v/>
      </c>
      <c r="Q2768">
        <f>IFERROR(1/(IF(Inputs!$B$38="pvp",15,MAX(0.1,Skills!D13-IF(Skills!E13=TRUE,Inputs!$B$32,0)))*(1-IF(AND(ArtifactsInput!$M$27,Inputs!$B$4="Chapter Hunt"),CHOOSE(ArtifactsInput!$N$27+1,20,24,28,32,36,40),0)/100)),0)</f>
        <v/>
      </c>
      <c r="R2768">
        <f>IF(AND(Inputs!$B$38&lt;&gt;"pvp",Inputs!$B$43&gt;0),IF(MAX(0,Inputs!$B$43-B2793)&lt;=0,0,(INT(MAX(0,Inputs!$B$43-B2793)/(IF(Inputs!$B$38="pvp",15,MAX(0.1,Skills!D13-IF(Skills!E13=TRUE,Inputs!$B$32,0)))*(1-IF(AND(ArtifactsInput!$M$27,Inputs!$B$4="Chapter Hunt"),CHOOSE(ArtifactsInput!$N$27+1,20,24,28,32,36,40),0)/100)))+1)),0)</f>
        <v/>
      </c>
      <c r="S2768">
        <f>IFERROR(O2768/N2768,0)</f>
        <v/>
      </c>
      <c r="T2768">
        <f>IF(C2768,(H2768*N2768*IF(AND(Inputs!$B$38&lt;&gt;"pvp",Inputs!$B$43&gt;0),((Skills!G13*((R2768-1)*IF(Skills!H13&gt;0,Skills!I13/Skills!H13,1)+IF(Skills!H13&gt;0,MIN(Skills!I13,MAX(0,MAX(0,Inputs!$B$43-B2793)-((R2768-1)*(IF(Inputs!$B$38="pvp",15,MAX(0.1,Skills!D13-IF(Skills!E13=TRUE,Inputs!$B$32,0)))*(1-IF(AND(ArtifactsInput!$M$27,Inputs!$B$4="Chapter Hunt"),CHOOSE(ArtifactsInput!$N$27+1,20,24,28,32,36,40),0)/100)))))/Skills!H13,1)))/Inputs!$B$43),G2768*Q2768)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2768*(1-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2768*(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2768*(1-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2768*(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8">
        <f>IF(C2768,(H2768*N2768*IF(AND(Inputs!$B$38&lt;&gt;"pvp",Inputs!$B$43&gt;0),((Skills!G13*((R2768-1)*IF(Skills!H13&gt;0,Skills!I13/Skills!H13,1)+IF(Skills!H13&gt;0,MIN(Skills!I13,MAX(0,MAX(0,Inputs!$B$43-B2793)-((R2768-1)*(IF(Inputs!$B$38="pvp",15,MAX(0.1,Skills!D13-IF(Skills!E13=TRUE,Inputs!$B$32,0)))*(1-IF(AND(ArtifactsInput!$M$27,Inputs!$B$4="Chapter Hunt"),CHOOSE(ArtifactsInput!$N$27+1,20,24,28,32,36,40),0)/100)))))/Skills!H13,1)))/Inputs!$B$43),G2768*Q2768))*IF(Inputs!$B$38="pvp",1,(1+(Inputs!$B$21+Skills!Q13+(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9">
      <c r="A2769">
        <f>Skills!A14</f>
        <v/>
      </c>
      <c r="B2769">
        <f>Skills!B14</f>
        <v/>
      </c>
      <c r="C2769">
        <f>Inputs!$B$3&gt;=125</f>
        <v/>
      </c>
      <c r="D2769">
        <f>IF(Skills!C14=1,60+Inputs!$B$25+Inputs!$B$29,IF(Skills!C14=2,90+Inputs!$B$26+Inputs!$B$29,IF(Skills!C14=3,120+Inputs!$B$27+Inputs!$B$29,MAX(0,(Inputs!$B$3-100)*3)+Inputs!$B$28+Inputs!$B$29)))</f>
        <v/>
      </c>
      <c r="E2769">
        <f>INDEX(FactorTable!$B$2:$Y$301, MATCH(ROUND(MIN(300,MAX(1,D2769)),0), FactorTable!$A$2:$A$301,0), Skills!M14+1)</f>
        <v/>
      </c>
      <c r="F2769">
        <f>IF(Skills!N14=TRUE,(Skills!L14/10)*(E2769/1000),Skills!L14/10)+Skills!O14</f>
        <v/>
      </c>
      <c r="G2769">
        <f>Skills!G14*IF(Skills!H14&gt;0,Skills!I14/Skills!H14,1)</f>
        <v/>
      </c>
      <c r="H2769">
        <f>1-(1-Skills!J14/100)^Skills!K14</f>
        <v/>
      </c>
      <c r="I2769" t="inlineStr">
        <is>
          <t>1</t>
        </is>
      </c>
      <c r="J2769">
        <f>((Inputs!$B$6*(1+Inputs!$B$7/100))+(((Inputs!$B$12*(1+Inputs!$B$13/100))-(Inputs!$B$12*(1+Inputs!$B$13/100)))+0.25*(Inputs!$B$14-Inputs!$B$14))*(1+Inputs!$B$7/100))*(F2769/100)</f>
        <v/>
      </c>
      <c r="K2769">
        <f>J2769*(1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2769)</f>
        <v/>
      </c>
      <c r="L2769">
        <f>K2769*(MIN(Inputs!$B$22+((C2777=TRUE)*(F2777-Calc!F22)),(Inputs!$B$23+0+(IF(ArtifactsInput!$M$15,CHOOSE(ArtifactsInput!$N$15+1,25,30,35,40,45,50)/100*(Inputs!$B$11-Inputs!$B$11),0))))/100+(Inputs!$B$23+0+(IF(ArtifactsInput!$M$15,CHOOSE(ArtifactsInput!$N$15+1,25,30,35,40,45,50)/100*(Inputs!$B$11-Inputs!$B$11),0)))/100)/2</f>
        <v/>
      </c>
      <c r="M2769">
        <f>L2769*(1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9">
        <f>L2769*(1-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2769*(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9">
        <f>(1-Summary!$B$11)*T2769+Summary!$B$11*V2769</f>
        <v/>
      </c>
      <c r="P2769">
        <f>IF(B2796=0,0,O2769/B2796)</f>
        <v/>
      </c>
      <c r="Q2769" t="n">
        <v>0</v>
      </c>
      <c r="R2769" t="n">
        <v>0</v>
      </c>
      <c r="S2769">
        <f>IFERROR(O2769/N2769,0)</f>
        <v/>
      </c>
      <c r="T2769">
        <f>IF(C2769,(H2769*N2769*(B2790+IF(AND(Inputs!$B$38&lt;&gt;"pvp",Inputs!$B$43&gt;0),((Skills!G8*((R2763-1)*IF(Skills!H8&gt;0,Skills!I8/Skills!H8,1)+IF(Skills!H8&gt;0,MIN(Skills!I8,MAX(0,MAX(0,Inputs!$B$43-B2793)-((R2763-1)*(IF(Inputs!$B$38="pvp",15,MAX(0.1,Skills!D8-IF(Skills!E8=TRUE,Inputs!$B$32,0)))*(1-IF(AND(ArtifactsInput!$M$27,Inputs!$B$4="Chapter Hunt"),CHOOSE(ArtifactsInput!$N$27+1,20,24,28,32,36,40),0)/100)))))/Skills!H8,1)))/Inputs!$B$43),G2763*Q2763)+IF(AND(Inputs!$B$38&lt;&gt;"pvp",Inputs!$B$43&gt;0),((Skills!G11*((R2766-1)*IF(Skills!H11&gt;0,Skills!I11/Skills!H11,1)+IF(Skills!H11&gt;0,MIN(Skills!I11,MAX(0,MAX(0,Inputs!$B$43-B2793)-((R2766-1)*(IF(Inputs!$B$38="pvp",15,MAX(0.1,Skills!D11-IF(Skills!E11=TRUE,Inputs!$B$32,0)))*(1-IF(AND(ArtifactsInput!$M$27,Inputs!$B$4="Chapter Hunt"),CHOOSE(ArtifactsInput!$N$27+1,20,24,28,32,36,40),0)/100)))))/Skills!H11,1)))/Inputs!$B$43),G2766*Q2766)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2769*(1-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2769*(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2769*(1-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2769*(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9">
        <f>IF(C2769,(H2769*N2769*(B2790+IF(AND(Inputs!$B$38&lt;&gt;"pvp",Inputs!$B$43&gt;0),((Skills!G8*((R2763-1)*IF(Skills!H8&gt;0,Skills!I8/Skills!H8,1)+IF(Skills!H8&gt;0,MIN(Skills!I8,MAX(0,MAX(0,Inputs!$B$43-B2793)-((R2763-1)*(IF(Inputs!$B$38="pvp",15,MAX(0.1,Skills!D8-IF(Skills!E8=TRUE,Inputs!$B$32,0)))*(1-IF(AND(ArtifactsInput!$M$27,Inputs!$B$4="Chapter Hunt"),CHOOSE(ArtifactsInput!$N$27+1,20,24,28,32,36,40),0)/100)))))/Skills!H8,1)))/Inputs!$B$43),G2763*Q2763)+IF(AND(Inputs!$B$38&lt;&gt;"pvp",Inputs!$B$43&gt;0),((Skills!G11*((R2766-1)*IF(Skills!H11&gt;0,Skills!I11/Skills!H11,1)+IF(Skills!H11&gt;0,MIN(Skills!I11,MAX(0,MAX(0,Inputs!$B$43-B2793)-((R2766-1)*(IF(Inputs!$B$38="pvp",15,MAX(0.1,Skills!D11-IF(Skills!E11=TRUE,Inputs!$B$32,0)))*(1-IF(AND(ArtifactsInput!$M$27,Inputs!$B$4="Chapter Hunt"),CHOOSE(ArtifactsInput!$N$27+1,20,24,28,32,36,40),0)/100)))))/Skills!H11,1)))/Inputs!$B$43),G2766*Q2766)))*IF(Inputs!$B$38="pvp",1,(1+(Inputs!$B$21+Skills!Q14+(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0">
      <c r="A2770">
        <f>Skills!A15</f>
        <v/>
      </c>
      <c r="B2770">
        <f>Skills!B15</f>
        <v/>
      </c>
      <c r="C2770">
        <f>Inputs!$B$3&gt;=100</f>
        <v/>
      </c>
      <c r="D2770">
        <f>IF(Skills!C15=1,60+Inputs!$B$25+Inputs!$B$29,IF(Skills!C15=2,90+Inputs!$B$26+Inputs!$B$29,IF(Skills!C15=3,120+Inputs!$B$27+Inputs!$B$29,MAX(0,(Inputs!$B$3-100)*3)+Inputs!$B$28+Inputs!$B$29)))</f>
        <v/>
      </c>
      <c r="E2770">
        <f>INDEX(FactorTable!$B$2:$Y$301, MATCH(ROUND(MIN(300,MAX(1,D2770)),0), FactorTable!$A$2:$A$301,0), Skills!M15+1)</f>
        <v/>
      </c>
      <c r="F2770">
        <f>IF(Skills!N15=TRUE,(Skills!L15/10)*(E2770/1000),Skills!L15/10)+Skills!O15</f>
        <v/>
      </c>
      <c r="G2770" t="inlineStr"/>
      <c r="H2770" t="inlineStr"/>
      <c r="I2770" t="inlineStr">
        <is>
          <t>1</t>
        </is>
      </c>
      <c r="J2770" t="inlineStr"/>
      <c r="K2770" t="inlineStr"/>
      <c r="L2770" t="inlineStr"/>
      <c r="M2770" t="inlineStr"/>
      <c r="N2770" t="inlineStr"/>
      <c r="O2770" t="inlineStr"/>
      <c r="P2770" t="inlineStr"/>
      <c r="Q2770" t="inlineStr"/>
      <c r="R2770" t="inlineStr"/>
      <c r="S2770" t="inlineStr"/>
    </row>
    <row r="2771">
      <c r="A2771">
        <f>Skills!A16</f>
        <v/>
      </c>
      <c r="B2771">
        <f>Skills!B16</f>
        <v/>
      </c>
      <c r="C2771">
        <f>Inputs!$B$3&gt;=120</f>
        <v/>
      </c>
      <c r="D2771">
        <f>IF(Skills!C16=1,60+Inputs!$B$25+Inputs!$B$29,IF(Skills!C16=2,90+Inputs!$B$26+Inputs!$B$29,IF(Skills!C16=3,120+Inputs!$B$27+Inputs!$B$29,MAX(0,(Inputs!$B$3-100)*3)+Inputs!$B$28+Inputs!$B$29)))</f>
        <v/>
      </c>
      <c r="E2771">
        <f>INDEX(FactorTable!$B$2:$Y$301, MATCH(ROUND(MIN(300,MAX(1,D2771)),0), FactorTable!$A$2:$A$301,0), Skills!M16+1)</f>
        <v/>
      </c>
      <c r="F2771">
        <f>IF(Skills!N16=TRUE,(Skills!L16/10)*(E2771/1000),Skills!L16/10)+Skills!O16</f>
        <v/>
      </c>
      <c r="G2771" t="inlineStr"/>
      <c r="H2771" t="inlineStr"/>
      <c r="I2771" t="inlineStr">
        <is>
          <t>1</t>
        </is>
      </c>
      <c r="J2771" t="inlineStr"/>
      <c r="K2771" t="inlineStr"/>
      <c r="L2771" t="inlineStr"/>
      <c r="M2771" t="inlineStr"/>
      <c r="N2771" t="inlineStr"/>
      <c r="O2771" t="inlineStr"/>
      <c r="P2771" t="inlineStr"/>
      <c r="Q2771" t="inlineStr"/>
      <c r="R2771" t="inlineStr"/>
      <c r="S2771" t="inlineStr"/>
    </row>
    <row r="2772">
      <c r="A2772">
        <f>Skills!A17</f>
        <v/>
      </c>
      <c r="B2772">
        <f>Skills!B17</f>
        <v/>
      </c>
      <c r="C2772">
        <f>Inputs!$B$3&gt;=66</f>
        <v/>
      </c>
      <c r="D2772">
        <f>IF(Skills!C17=1,60+Inputs!$B$25+Inputs!$B$29,IF(Skills!C17=2,90+Inputs!$B$26+Inputs!$B$29,IF(Skills!C17=3,120+Inputs!$B$27+Inputs!$B$29,MAX(0,(Inputs!$B$3-100)*3)+Inputs!$B$28+Inputs!$B$29)))</f>
        <v/>
      </c>
      <c r="E2772">
        <f>INDEX(FactorTable!$B$2:$Y$301, MATCH(ROUND(MIN(300,MAX(1,D2772)),0), FactorTable!$A$2:$A$301,0), Skills!M17+1)</f>
        <v/>
      </c>
      <c r="F2772">
        <f>IF(Skills!N17=TRUE,(Skills!L17/10)*(E2772/1000),Skills!L17/10)+Skills!O17</f>
        <v/>
      </c>
      <c r="G2772">
        <f>Skills!G17*IF(Skills!H17&gt;0,Skills!I17/Skills!H17,1)</f>
        <v/>
      </c>
      <c r="H2772">
        <f>1-(1-Skills!J17/100)^Skills!K17</f>
        <v/>
      </c>
      <c r="I2772" t="inlineStr">
        <is>
          <t>1</t>
        </is>
      </c>
      <c r="J2772" t="inlineStr"/>
      <c r="K2772" t="inlineStr"/>
      <c r="L2772" t="inlineStr"/>
      <c r="M2772" t="inlineStr"/>
      <c r="N2772" t="inlineStr"/>
      <c r="O2772">
        <f>(1-Summary!$B$11)*T2772+Summary!$B$11*V2772</f>
        <v/>
      </c>
      <c r="P2772">
        <f>IF(B2796=0,0,O2772/B2796)</f>
        <v/>
      </c>
      <c r="Q2772" t="n">
        <v>0</v>
      </c>
      <c r="R2772" t="n">
        <v>0</v>
      </c>
      <c r="S2772">
        <f>IFERROR(O2772/N2772,0)</f>
        <v/>
      </c>
      <c r="T2772" t="n">
        <v>0</v>
      </c>
      <c r="V2772" t="n">
        <v>0</v>
      </c>
    </row>
    <row r="2773">
      <c r="A2773">
        <f>Skills!A18</f>
        <v/>
      </c>
      <c r="B2773">
        <f>Skills!B18</f>
        <v/>
      </c>
      <c r="C2773">
        <f>Inputs!$B$3&gt;=115</f>
        <v/>
      </c>
      <c r="D2773">
        <f>IF(Skills!C18=1,60+Inputs!$B$25+Inputs!$B$29,IF(Skills!C18=2,90+Inputs!$B$26+Inputs!$B$29,IF(Skills!C18=3,120+Inputs!$B$27+Inputs!$B$29,MAX(0,(Inputs!$B$3-100)*3)+Inputs!$B$28+Inputs!$B$29)))</f>
        <v/>
      </c>
      <c r="E2773">
        <f>INDEX(FactorTable!$B$2:$Y$301, MATCH(ROUND(MIN(300,MAX(1,D2773)),0), FactorTable!$A$2:$A$301,0), Skills!M18+1)</f>
        <v/>
      </c>
      <c r="F2773">
        <f>IF(Skills!N18=TRUE,(Skills!L18/10)*(E2773/1000),Skills!L18/10)+Skills!O18</f>
        <v/>
      </c>
      <c r="G2773">
        <f>Skills!G18*IF(Skills!H18&gt;0,Skills!I18/Skills!H18,1)</f>
        <v/>
      </c>
      <c r="H2773">
        <f>1-(1-Skills!J18/100)^Skills!K18</f>
        <v/>
      </c>
      <c r="I2773" t="inlineStr">
        <is>
          <t>1</t>
        </is>
      </c>
      <c r="J2773" t="inlineStr"/>
      <c r="K2773" t="inlineStr"/>
      <c r="L2773" t="inlineStr"/>
      <c r="M2773" t="inlineStr"/>
      <c r="N2773" t="inlineStr"/>
      <c r="O2773">
        <f>(1-Summary!$B$11)*T2773+Summary!$B$11*V2773</f>
        <v/>
      </c>
      <c r="P2773">
        <f>IF(B2796=0,0,O2773/B2796)</f>
        <v/>
      </c>
      <c r="Q2773">
        <f>IFERROR(1/(IF(Inputs!$B$38="pvp",15,MAX(0.1,Skills!D18-IF(Skills!E18=TRUE,Inputs!$B$32,0)))*(1-IF(AND(ArtifactsInput!$M$27,Inputs!$B$4="Chapter Hunt"),CHOOSE(ArtifactsInput!$N$27+1,20,24,28,32,36,40),0)/100)),0)</f>
        <v/>
      </c>
      <c r="R2773">
        <f>IF(AND(Inputs!$B$38&lt;&gt;"pvp",Inputs!$B$43&gt;0),IF(Inputs!$B$43&lt;=0,0,(INT(Inputs!$B$43/(IF(Inputs!$B$38="pvp",15,MAX(0.1,Skills!D18-IF(Skills!E18=TRUE,Inputs!$B$32,0)))*(1-IF(AND(ArtifactsInput!$M$27,Inputs!$B$4="Chapter Hunt"),CHOOSE(ArtifactsInput!$N$27+1,20,24,28,32,36,40),0)/100)))+1)),0)</f>
        <v/>
      </c>
      <c r="S2773">
        <f>IFERROR(O2773/N2773,0)</f>
        <v/>
      </c>
      <c r="T2773" t="n">
        <v>0</v>
      </c>
      <c r="V2773" t="n">
        <v>0</v>
      </c>
    </row>
    <row r="2774">
      <c r="A2774">
        <f>Skills!A19</f>
        <v/>
      </c>
      <c r="B2774">
        <f>Skills!B19</f>
        <v/>
      </c>
      <c r="C2774">
        <f>Inputs!$B$3&gt;=15</f>
        <v/>
      </c>
      <c r="D2774">
        <f>IF(Skills!C19=1,60+Inputs!$B$25+Inputs!$B$29,IF(Skills!C19=2,90+Inputs!$B$26+Inputs!$B$29,IF(Skills!C19=3,120+Inputs!$B$27+Inputs!$B$29,MAX(0,(Inputs!$B$3-100)*3)+Inputs!$B$28+Inputs!$B$29)))</f>
        <v/>
      </c>
      <c r="E2774">
        <f>INDEX(FactorTable!$B$2:$Y$301, MATCH(ROUND(MIN(300,MAX(1,D2774)),0), FactorTable!$A$2:$A$301,0), Skills!M19+1)</f>
        <v/>
      </c>
      <c r="F2774">
        <f>IF(Skills!N19=TRUE,(Skills!L19/10)*(E2774/1000),Skills!L19/10)+Skills!O19</f>
        <v/>
      </c>
      <c r="G2774">
        <f>Skills!G19*IF(Skills!H19&gt;0,Skills!I19/Skills!H19,1)</f>
        <v/>
      </c>
      <c r="H2774">
        <f>1-(1-Skills!J19/100)^Skills!K19</f>
        <v/>
      </c>
      <c r="I2774" t="inlineStr">
        <is>
          <t>1</t>
        </is>
      </c>
      <c r="J2774" t="inlineStr"/>
      <c r="K2774" t="inlineStr"/>
      <c r="L2774" t="inlineStr"/>
      <c r="M2774" t="inlineStr"/>
      <c r="N2774" t="inlineStr"/>
      <c r="O2774">
        <f>(1-Summary!$B$11)*T2774+Summary!$B$11*V2774</f>
        <v/>
      </c>
      <c r="P2774">
        <f>IF(B2796=0,0,O2774/B2796)</f>
        <v/>
      </c>
      <c r="Q2774" t="n">
        <v>0</v>
      </c>
      <c r="R2774" t="n">
        <v>0</v>
      </c>
      <c r="S2774">
        <f>IFERROR(O2774/N2774,0)</f>
        <v/>
      </c>
      <c r="T2774" t="n">
        <v>0</v>
      </c>
      <c r="V2774" t="n">
        <v>0</v>
      </c>
    </row>
    <row r="2775">
      <c r="A2775">
        <f>Skills!A20</f>
        <v/>
      </c>
      <c r="B2775">
        <f>Skills!B20</f>
        <v/>
      </c>
      <c r="C2775">
        <f>Inputs!$B$3&gt;=10</f>
        <v/>
      </c>
      <c r="D2775">
        <f>IF(Skills!C20=1,60+Inputs!$B$25+Inputs!$B$29,IF(Skills!C20=2,90+Inputs!$B$26+Inputs!$B$29,IF(Skills!C20=3,120+Inputs!$B$27+Inputs!$B$29,MAX(0,(Inputs!$B$3-100)*3)+Inputs!$B$28+Inputs!$B$29)))</f>
        <v/>
      </c>
      <c r="E2775">
        <f>INDEX(FactorTable!$B$2:$Y$301, MATCH(ROUND(MIN(300,MAX(1,D2775)),0), FactorTable!$A$2:$A$301,0), Skills!M20+1)</f>
        <v/>
      </c>
      <c r="F2775">
        <f>IF(Skills!N20=TRUE,(Skills!L20/10)*(E2775/1000),Skills!L20/10)+Skills!O20</f>
        <v/>
      </c>
      <c r="G2775">
        <f>Skills!G20*IF(Skills!H20&gt;0,Skills!I20/Skills!H20,1)</f>
        <v/>
      </c>
      <c r="H2775">
        <f>1-(1-Skills!J20/100)^Skills!K20</f>
        <v/>
      </c>
      <c r="I2775" t="inlineStr">
        <is>
          <t>1</t>
        </is>
      </c>
      <c r="J2775" t="inlineStr"/>
      <c r="K2775" t="inlineStr"/>
      <c r="L2775" t="inlineStr"/>
      <c r="M2775" t="inlineStr"/>
      <c r="N2775" t="inlineStr"/>
      <c r="O2775">
        <f>(1-Summary!$B$11)*T2775+Summary!$B$11*V2775</f>
        <v/>
      </c>
      <c r="P2775">
        <f>IF(B2796=0,0,O2775/B2796)</f>
        <v/>
      </c>
      <c r="Q2775" t="n">
        <v>0</v>
      </c>
      <c r="R2775" t="n">
        <v>0</v>
      </c>
      <c r="S2775">
        <f>IFERROR(O2775/N2775,0)</f>
        <v/>
      </c>
      <c r="T2775" t="n">
        <v>0</v>
      </c>
      <c r="V2775" t="n">
        <v>0</v>
      </c>
    </row>
    <row r="2776">
      <c r="A2776">
        <f>Skills!A21</f>
        <v/>
      </c>
      <c r="B2776">
        <f>Skills!B21</f>
        <v/>
      </c>
      <c r="C2776">
        <f>Inputs!$B$3&gt;=33</f>
        <v/>
      </c>
      <c r="D2776">
        <f>IF(Skills!C21=1,60+Inputs!$B$25+Inputs!$B$29,IF(Skills!C21=2,90+Inputs!$B$26+Inputs!$B$29,IF(Skills!C21=3,120+Inputs!$B$27+Inputs!$B$29,MAX(0,(Inputs!$B$3-100)*3)+Inputs!$B$28+Inputs!$B$29)))</f>
        <v/>
      </c>
      <c r="E2776">
        <f>INDEX(FactorTable!$B$2:$Y$301, MATCH(ROUND(MIN(300,MAX(1,D2776)),0), FactorTable!$A$2:$A$301,0), Skills!M21+1)</f>
        <v/>
      </c>
      <c r="F2776">
        <f>IF(Skills!N21=TRUE,(Skills!L21/10)*(E2776/1000),Skills!L21/10)+Skills!O21</f>
        <v/>
      </c>
      <c r="G2776">
        <f>Skills!G21*IF(Skills!H21&gt;0,Skills!I21/Skills!H21,1)</f>
        <v/>
      </c>
      <c r="H2776">
        <f>1-(1-Skills!J21/100)^Skills!K21</f>
        <v/>
      </c>
      <c r="I2776" t="inlineStr">
        <is>
          <t>1</t>
        </is>
      </c>
      <c r="J2776" t="inlineStr"/>
      <c r="K2776" t="inlineStr"/>
      <c r="L2776" t="inlineStr"/>
      <c r="M2776" t="inlineStr"/>
      <c r="N2776" t="inlineStr"/>
      <c r="O2776">
        <f>(1-Summary!$B$11)*T2776+Summary!$B$11*V2776</f>
        <v/>
      </c>
      <c r="P2776">
        <f>IF(B2796=0,0,O2776/B2796)</f>
        <v/>
      </c>
      <c r="Q2776" t="n">
        <v>0</v>
      </c>
      <c r="R2776" t="n">
        <v>0</v>
      </c>
      <c r="S2776">
        <f>IFERROR(O2776/N2776,0)</f>
        <v/>
      </c>
      <c r="T2776" t="n">
        <v>0</v>
      </c>
      <c r="V2776" t="n">
        <v>0</v>
      </c>
    </row>
    <row r="2777">
      <c r="A2777">
        <f>Skills!A22</f>
        <v/>
      </c>
      <c r="B2777">
        <f>Skills!B22</f>
        <v/>
      </c>
      <c r="C2777">
        <f>Inputs!$B$3&gt;=43</f>
        <v/>
      </c>
      <c r="D2777">
        <f>IF(Skills!C22=1,60+Inputs!$B$25+Inputs!$B$29,IF(Skills!C22=2,90+Inputs!$B$26+Inputs!$B$29,IF(Skills!C22=3,120+Inputs!$B$27+Inputs!$B$29,MAX(0,(Inputs!$B$3-100)*3)+Inputs!$B$28+Inputs!$B$29)))</f>
        <v/>
      </c>
      <c r="E2777">
        <f>INDEX(FactorTable!$B$2:$Y$301, MATCH(ROUND(MIN(300,MAX(1,D2777)),0), FactorTable!$A$2:$A$301,0), Skills!M22+1)</f>
        <v/>
      </c>
      <c r="F2777">
        <f>IF(Skills!N22=TRUE,(Skills!L22/10)*(E2777/1000),Skills!L22/10)+Skills!O22</f>
        <v/>
      </c>
      <c r="G2777">
        <f>Skills!G22*IF(Skills!H22&gt;0,Skills!I22/Skills!H22,1)</f>
        <v/>
      </c>
      <c r="H2777">
        <f>1-(1-Skills!J22/100)^Skills!K22</f>
        <v/>
      </c>
      <c r="I2777" t="inlineStr">
        <is>
          <t>1</t>
        </is>
      </c>
      <c r="J2777" t="inlineStr"/>
      <c r="K2777" t="inlineStr"/>
      <c r="L2777" t="inlineStr"/>
      <c r="M2777" t="inlineStr"/>
      <c r="N2777" t="inlineStr"/>
      <c r="O2777">
        <f>(1-Summary!$B$11)*T2777+Summary!$B$11*V2777</f>
        <v/>
      </c>
      <c r="P2777">
        <f>IF(B2796=0,0,O2777/B2796)</f>
        <v/>
      </c>
      <c r="Q2777" t="n">
        <v>0</v>
      </c>
      <c r="R2777" t="n">
        <v>0</v>
      </c>
      <c r="S2777">
        <f>IFERROR(O2777/N2777,0)</f>
        <v/>
      </c>
      <c r="T2777" t="n">
        <v>0</v>
      </c>
      <c r="V2777" t="n">
        <v>0</v>
      </c>
    </row>
    <row r="2778">
      <c r="A2778">
        <f>Skills!A23</f>
        <v/>
      </c>
      <c r="B2778">
        <f>Skills!B23</f>
        <v/>
      </c>
      <c r="C2778">
        <f>Inputs!$B$3&gt;=38</f>
        <v/>
      </c>
      <c r="D2778">
        <f>IF(Skills!C23=1,60+Inputs!$B$25+Inputs!$B$29,IF(Skills!C23=2,90+Inputs!$B$26+Inputs!$B$29,IF(Skills!C23=3,120+Inputs!$B$27+Inputs!$B$29,MAX(0,(Inputs!$B$3-100)*3)+Inputs!$B$28+Inputs!$B$29)))</f>
        <v/>
      </c>
      <c r="E2778">
        <f>INDEX(FactorTable!$B$2:$Y$301, MATCH(ROUND(MIN(300,MAX(1,D2778)),0), FactorTable!$A$2:$A$301,0), Skills!M23+1)</f>
        <v/>
      </c>
      <c r="F2778">
        <f>IF(Skills!N23=TRUE,(Skills!L23/10)*(E2778/1000),Skills!L23/10)+Skills!O23</f>
        <v/>
      </c>
      <c r="G2778">
        <f>Skills!G23*IF(Skills!H23&gt;0,Skills!I23/Skills!H23,1)</f>
        <v/>
      </c>
      <c r="H2778">
        <f>1-(1-Skills!J23/100)^Skills!K23</f>
        <v/>
      </c>
      <c r="I2778" t="inlineStr">
        <is>
          <t>1</t>
        </is>
      </c>
      <c r="J2778" t="inlineStr"/>
      <c r="K2778" t="inlineStr"/>
      <c r="L2778" t="inlineStr"/>
      <c r="M2778" t="inlineStr"/>
      <c r="N2778" t="inlineStr"/>
      <c r="O2778">
        <f>(1-Summary!$B$11)*T2778+Summary!$B$11*V2778</f>
        <v/>
      </c>
      <c r="P2778">
        <f>IF(B2796=0,0,O2778/B2796)</f>
        <v/>
      </c>
      <c r="Q2778" t="n">
        <v>0</v>
      </c>
      <c r="R2778" t="n">
        <v>0</v>
      </c>
      <c r="S2778">
        <f>IFERROR(O2778/N2778,0)</f>
        <v/>
      </c>
      <c r="T2778" t="n">
        <v>0</v>
      </c>
      <c r="V2778" t="n">
        <v>0</v>
      </c>
    </row>
    <row r="2779">
      <c r="A2779">
        <f>Skills!A24</f>
        <v/>
      </c>
      <c r="B2779">
        <f>Skills!B24</f>
        <v/>
      </c>
      <c r="C2779">
        <f>Inputs!$B$3&gt;=40</f>
        <v/>
      </c>
      <c r="D2779">
        <f>IF(Skills!C24=1,60+Inputs!$B$25+Inputs!$B$29,IF(Skills!C24=2,90+Inputs!$B$26+Inputs!$B$29,IF(Skills!C24=3,120+Inputs!$B$27+Inputs!$B$29,MAX(0,(Inputs!$B$3-100)*3)+Inputs!$B$28+Inputs!$B$29)))</f>
        <v/>
      </c>
      <c r="E2779">
        <f>INDEX(FactorTable!$B$2:$Y$301, MATCH(ROUND(MIN(300,MAX(1,D2779)),0), FactorTable!$A$2:$A$301,0), Skills!M24+1)</f>
        <v/>
      </c>
      <c r="F2779">
        <f>IF(Skills!N24=TRUE,(Skills!L24/10)*(E2779/1000),Skills!L24/10)+Skills!O24</f>
        <v/>
      </c>
      <c r="G2779">
        <f>Skills!G24*IF(Skills!H24&gt;0,Skills!I24/Skills!H24,1)</f>
        <v/>
      </c>
      <c r="H2779">
        <f>1-(1-Skills!J24/100)^Skills!K24</f>
        <v/>
      </c>
      <c r="I2779" t="inlineStr">
        <is>
          <t>1</t>
        </is>
      </c>
      <c r="J2779" t="inlineStr"/>
      <c r="K2779" t="inlineStr"/>
      <c r="L2779" t="inlineStr"/>
      <c r="M2779" t="inlineStr"/>
      <c r="N2779" t="inlineStr"/>
      <c r="O2779">
        <f>(1-Summary!$B$11)*T2779+Summary!$B$11*V2779</f>
        <v/>
      </c>
      <c r="P2779">
        <f>IF(B2796=0,0,O2779/B2796)</f>
        <v/>
      </c>
      <c r="Q2779" t="n">
        <v>0</v>
      </c>
      <c r="R2779" t="n">
        <v>0</v>
      </c>
      <c r="S2779">
        <f>IFERROR(O2779/N2779,0)</f>
        <v/>
      </c>
      <c r="T2779" t="n">
        <v>0</v>
      </c>
      <c r="V2779" t="n">
        <v>0</v>
      </c>
    </row>
    <row r="2780">
      <c r="A2780">
        <f>Skills!A25</f>
        <v/>
      </c>
      <c r="B2780">
        <f>Skills!B25</f>
        <v/>
      </c>
      <c r="C2780">
        <f>Inputs!$B$3&gt;=72</f>
        <v/>
      </c>
      <c r="D2780">
        <f>IF(Skills!C25=1,60+Inputs!$B$25+Inputs!$B$29,IF(Skills!C25=2,90+Inputs!$B$26+Inputs!$B$29,IF(Skills!C25=3,120+Inputs!$B$27+Inputs!$B$29,MAX(0,(Inputs!$B$3-100)*3)+Inputs!$B$28+Inputs!$B$29)))</f>
        <v/>
      </c>
      <c r="E2780">
        <f>INDEX(FactorTable!$B$2:$Y$301, MATCH(ROUND(MIN(300,MAX(1,D2780)),0), FactorTable!$A$2:$A$301,0), Skills!M25+1)</f>
        <v/>
      </c>
      <c r="F2780">
        <f>IF(Skills!N25=TRUE,(Skills!L25/10)*(E2780/1000),Skills!L25/10)+Skills!O25</f>
        <v/>
      </c>
      <c r="G2780">
        <f>Skills!G25*IF(Skills!H25&gt;0,Skills!I25/Skills!H25,1)</f>
        <v/>
      </c>
      <c r="H2780">
        <f>1-(1-Skills!J25/100)^Skills!K25</f>
        <v/>
      </c>
      <c r="I2780" t="inlineStr">
        <is>
          <t>1</t>
        </is>
      </c>
      <c r="J2780" t="inlineStr"/>
      <c r="K2780" t="inlineStr"/>
      <c r="L2780" t="inlineStr"/>
      <c r="M2780" t="inlineStr"/>
      <c r="N2780" t="inlineStr"/>
      <c r="O2780">
        <f>(1-Summary!$B$11)*T2780+Summary!$B$11*V2780</f>
        <v/>
      </c>
      <c r="P2780">
        <f>IF(B2796=0,0,O2780/B2796)</f>
        <v/>
      </c>
      <c r="Q2780" t="n">
        <v>0</v>
      </c>
      <c r="R2780" t="n">
        <v>0</v>
      </c>
      <c r="S2780">
        <f>IFERROR(O2780/N2780,0)</f>
        <v/>
      </c>
      <c r="T2780" t="n">
        <v>0</v>
      </c>
      <c r="V2780" t="n">
        <v>0</v>
      </c>
    </row>
    <row r="2781">
      <c r="A2781">
        <f>Skills!A26</f>
        <v/>
      </c>
      <c r="B2781">
        <f>Skills!B26</f>
        <v/>
      </c>
      <c r="C2781">
        <f>Inputs!$B$3&gt;=75</f>
        <v/>
      </c>
      <c r="D2781">
        <f>IF(Skills!C26=1,60+Inputs!$B$25+Inputs!$B$29,IF(Skills!C26=2,90+Inputs!$B$26+Inputs!$B$29,IF(Skills!C26=3,120+Inputs!$B$27+Inputs!$B$29,MAX(0,(Inputs!$B$3-100)*3)+Inputs!$B$28+Inputs!$B$29)))</f>
        <v/>
      </c>
      <c r="E2781">
        <f>INDEX(FactorTable!$B$2:$Y$301, MATCH(ROUND(MIN(300,MAX(1,D2781)),0), FactorTable!$A$2:$A$301,0), Skills!M26+1)</f>
        <v/>
      </c>
      <c r="F2781">
        <f>IF(Skills!N26=TRUE,(Skills!L26/10)*(E2781/1000),Skills!L26/10)+Skills!O26</f>
        <v/>
      </c>
      <c r="G2781">
        <f>Skills!G26*IF(Skills!H26&gt;0,Skills!I26/Skills!H26,1)</f>
        <v/>
      </c>
      <c r="H2781">
        <f>1-(1-Skills!J26/100)^Skills!K26</f>
        <v/>
      </c>
      <c r="I2781" t="inlineStr">
        <is>
          <t>1</t>
        </is>
      </c>
      <c r="J2781" t="inlineStr"/>
      <c r="K2781" t="inlineStr"/>
      <c r="L2781" t="inlineStr"/>
      <c r="M2781" t="inlineStr"/>
      <c r="N2781" t="inlineStr"/>
      <c r="O2781">
        <f>(1-Summary!$B$11)*T2781+Summary!$B$11*V2781</f>
        <v/>
      </c>
      <c r="P2781">
        <f>IF(B2796=0,0,O2781/B2796)</f>
        <v/>
      </c>
      <c r="Q2781" t="n">
        <v>0</v>
      </c>
      <c r="R2781" t="n">
        <v>0</v>
      </c>
      <c r="S2781">
        <f>IFERROR(O2781/N2781,0)</f>
        <v/>
      </c>
      <c r="T2781" t="n">
        <v>0</v>
      </c>
      <c r="V2781" t="n">
        <v>0</v>
      </c>
    </row>
    <row r="2782">
      <c r="A2782">
        <f>Skills!A27</f>
        <v/>
      </c>
      <c r="B2782">
        <f>Skills!B27</f>
        <v/>
      </c>
      <c r="C2782">
        <f>Inputs!$B$3&gt;=117</f>
        <v/>
      </c>
      <c r="D2782">
        <f>IF(Skills!C27=1,60+Inputs!$B$25+Inputs!$B$29,IF(Skills!C27=2,90+Inputs!$B$26+Inputs!$B$29,IF(Skills!C27=3,120+Inputs!$B$27+Inputs!$B$29,MAX(0,(Inputs!$B$3-100)*3)+Inputs!$B$28+Inputs!$B$29)))</f>
        <v/>
      </c>
      <c r="E2782">
        <f>INDEX(FactorTable!$B$2:$Y$301, MATCH(ROUND(MIN(300,MAX(1,D2782)),0), FactorTable!$A$2:$A$301,0), Skills!M27+1)</f>
        <v/>
      </c>
      <c r="F2782">
        <f>IF(Skills!N27=TRUE,(Skills!L27/10)*(E2782/1000),Skills!L27/10)+Skills!O27</f>
        <v/>
      </c>
      <c r="G2782">
        <f>Skills!G27*IF(Skills!H27&gt;0,Skills!I27/Skills!H27,1)</f>
        <v/>
      </c>
      <c r="H2782">
        <f>1-(1-Skills!J27/100)^Skills!K27</f>
        <v/>
      </c>
      <c r="I2782" t="inlineStr">
        <is>
          <t>1</t>
        </is>
      </c>
      <c r="J2782" t="inlineStr"/>
      <c r="K2782" t="inlineStr"/>
      <c r="L2782" t="inlineStr"/>
      <c r="M2782" t="inlineStr"/>
      <c r="N2782" t="inlineStr"/>
      <c r="O2782">
        <f>(1-Summary!$B$11)*T2782+Summary!$B$11*V2782</f>
        <v/>
      </c>
      <c r="P2782">
        <f>IF(B2796=0,0,O2782/B2796)</f>
        <v/>
      </c>
      <c r="Q2782" t="n">
        <v>0</v>
      </c>
      <c r="R2782" t="n">
        <v>0</v>
      </c>
      <c r="S2782">
        <f>IFERROR(O2782/N2782,0)</f>
        <v/>
      </c>
      <c r="T2782" t="n">
        <v>0</v>
      </c>
      <c r="V2782" t="n">
        <v>0</v>
      </c>
    </row>
    <row r="2783">
      <c r="A2783">
        <f>Skills!A28</f>
        <v/>
      </c>
      <c r="B2783">
        <f>Skills!B28</f>
        <v/>
      </c>
      <c r="C2783">
        <f>TRUE</f>
        <v/>
      </c>
      <c r="D2783">
        <f>IF(Skills!C28=1,60+Inputs!$B$25+Inputs!$B$29,IF(Skills!C28=2,90+Inputs!$B$26+Inputs!$B$29,IF(Skills!C28=3,120+Inputs!$B$27+Inputs!$B$29,MAX(0,(Inputs!$B$3-100)*3)+Inputs!$B$28+Inputs!$B$29)))</f>
        <v/>
      </c>
      <c r="E2783">
        <f>INDEX(FactorTable!$B$2:$Y$301, MATCH(ROUND(MIN(300,MAX(1,D2783)),0), FactorTable!$A$2:$A$301,0), Skills!M28+1)</f>
        <v/>
      </c>
      <c r="F2783">
        <f>IF(Skills!N28=TRUE,(Skills!L28/10)*(E2783/1000),Skills!L28/10)+Skills!O28</f>
        <v/>
      </c>
      <c r="G2783">
        <f>Skills!G28*IF(Skills!H28&gt;0,Skills!I28/Skills!H28,1)</f>
        <v/>
      </c>
      <c r="H2783">
        <f>1-(1-Skills!J28/100)^Skills!K28</f>
        <v/>
      </c>
      <c r="I2783" t="inlineStr">
        <is>
          <t>1</t>
        </is>
      </c>
      <c r="J2783" t="inlineStr"/>
      <c r="K2783" t="inlineStr"/>
      <c r="L2783" t="inlineStr"/>
      <c r="M2783" t="inlineStr"/>
      <c r="N2783" t="inlineStr"/>
      <c r="O2783">
        <f>(1-Summary!$B$11)*T2783+Summary!$B$11*V2783</f>
        <v/>
      </c>
      <c r="P2783">
        <f>IF(B2796=0,0,O2783/B2796)</f>
        <v/>
      </c>
      <c r="Q2783">
        <f>IFERROR(1/(IF(Inputs!$B$38="pvp",15,MAX(0.1,Skills!D28-IF(Skills!E28=TRUE,Inputs!$B$32,0)))*(1-IF(AND(ArtifactsInput!$M$27,Inputs!$B$4="Chapter Hunt"),CHOOSE(ArtifactsInput!$N$27+1,20,24,28,32,36,40),0)/100)),0)</f>
        <v/>
      </c>
      <c r="R2783">
        <f>IF(AND(Inputs!$B$38&lt;&gt;"pvp",Inputs!$B$43&gt;0),IF(Inputs!$B$43&lt;=0,0,(INT(Inputs!$B$43/(IF(Inputs!$B$38="pvp",15,MAX(0.1,Skills!D28-IF(Skills!E28=TRUE,Inputs!$B$32,0)))*(1-IF(AND(ArtifactsInput!$M$27,Inputs!$B$4="Chapter Hunt"),CHOOSE(ArtifactsInput!$N$27+1,20,24,28,32,36,40),0)/100)))+1)),0)</f>
        <v/>
      </c>
      <c r="S2783">
        <f>IFERROR(O2783/N2783,0)</f>
        <v/>
      </c>
      <c r="T2783" t="n">
        <v>0</v>
      </c>
      <c r="V2783" t="n">
        <v>0</v>
      </c>
    </row>
    <row r="2785">
      <c r="A2785" t="inlineStr">
        <is>
          <t>Attack% Bucket Multiplier</t>
        </is>
      </c>
      <c r="B2785">
        <f>(1+(((C2772=TRUE)*F2772*5/7)+((C2779=TRUE)*(F2779-Calc!F24))+(IF(ArtifactsInput!$M$21,CHOOSE(ArtifactsInput!$N$21+1,25,30,35,40,45,50)*(IF(OR(Inputs!$B$4="Chapter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86">
      <c r="A2786" t="inlineStr">
        <is>
          <t>Global Crit Rate Bonus %</t>
        </is>
      </c>
      <c r="B2786" t="n">
        <v>0</v>
      </c>
    </row>
    <row r="2787">
      <c r="A2787" t="inlineStr">
        <is>
          <t>Attack Speed Buff Bonus % (Nimble Feet, duty-cycle averaged)</t>
        </is>
      </c>
      <c r="B2787">
        <f>((C2783=TRUE)*F2783*IF(AND(Inputs!$B$38&lt;&gt;"pvp",Inputs!$B$43&gt;0),(((R2783-1)*(Skills!T28*(1+Inputs!$B$34/100))+MIN((Skills!T28*(1+Inputs!$B$34/100)),MAX(0,Inputs!$B$43-((R2783-1)*Skills!D28))))/Inputs!$B$43),IF(Inputs!$B$38="pvp",MIN((Skills!T28*(1+Inputs!$B$34/100)),15)/15,(Skills!T28*(1+Inputs!$B$34/100))/Skills!D28)))</f>
        <v/>
      </c>
    </row>
    <row r="2788">
      <c r="A2788" t="inlineStr">
        <is>
          <t>Actions Per Second</t>
        </is>
      </c>
      <c r="B2788">
        <f>1+MIN(150,150*(1-(1-(Inputs!$B$11+((C2775=TRUE)*(F2775-Calc!F20))+((C2776=TRUE)*(F2776-Calc!F21)))/150)*(1-B2787/150)))/100</f>
        <v/>
      </c>
    </row>
    <row r="2789">
      <c r="A2789" t="inlineStr">
        <is>
          <t>Skill + Buff Cast Rate</t>
        </is>
      </c>
      <c r="B2789">
        <f>IF(AND(Inputs!$B$38&lt;&gt;"pvp",Inputs!$B$43&gt;0),SUMPRODUCT((Skills!E2:E28=TRUE)*(C2757:C2783=TRUE)*R2757:R2783*Skills!F2:F28)/Inputs!$B$43,SUMPRODUCT((Skills!E2:E28=TRUE)*(C2757:C2783=TRUE)*Q2757:Q2783*Skills!F2:F28))</f>
        <v/>
      </c>
    </row>
    <row r="2790">
      <c r="A2790" t="inlineStr">
        <is>
          <t>Eight-Legs Easton Casts Per Second</t>
        </is>
      </c>
      <c r="B2790">
        <f>MAX(0,B2788-B2789)</f>
        <v/>
      </c>
    </row>
    <row r="2791">
      <c r="A2791" t="inlineStr">
        <is>
          <t>Global Critical Damage Bonus % (unused)</t>
        </is>
      </c>
      <c r="B2791" t="n">
        <v>0</v>
      </c>
    </row>
    <row r="2792">
      <c r="A2792" t="inlineStr">
        <is>
          <t>Global Final Damage Bonus % (Jolly Roger + Ahoy Mateys - Final Damage proc)</t>
        </is>
      </c>
      <c r="B2792">
        <f>((C2773=TRUE)*F2773*IF(AND(Inputs!$B$38&lt;&gt;"pvp",Inputs!$B$43&gt;0),(((R2773-1)*(Skills!T18*(1+Inputs!$B$34/100))+MIN((Skills!T18*(1+Inputs!$B$34/100)),MAX(0,Inputs!$B$43-((R2773-1)*Skills!D18))))/Inputs!$B$43),IF(Inputs!$B$38="pvp",MIN((Skills!T18*(1+Inputs!$B$34/100)),15)/15,(Skills!T18*(1+Inputs!$B$34/100))/Skills!D18)))+IF(Inputs!$B$3&gt;=122,20*IF(Inputs!$B$38="pvp",MIN((20*(1+Inputs!$B$34/100)),15)/15,(20*(1+Inputs!$B$34/100))/Skills!D4),0)</f>
        <v/>
      </c>
    </row>
    <row r="2793">
      <c r="A2793" t="inlineStr">
        <is>
          <t>Buff-Casting Startup Delay (s, fixed-duration only)</t>
        </is>
      </c>
      <c r="B2793">
        <f>IF(AND(Inputs!$B$38&lt;&gt;"pvp",Inputs!$B$43&gt;0),SUMPRODUCT((Skills!T2:T28&gt;0)*(Skills!E2:E28=TRUE)*(C2757:C2783=TRUE))/B2788,0)</f>
        <v/>
      </c>
    </row>
    <row r="2794">
      <c r="A2794" t="inlineStr">
        <is>
          <t>Boss-Only Total DPS (this block's swept value)</t>
        </is>
      </c>
      <c r="B2794">
        <f>SUM(T2757:T2783)</f>
        <v/>
      </c>
    </row>
    <row r="2795">
      <c r="A2795" t="inlineStr">
        <is>
          <t>Normal-Only Total DPS (this block's swept value)</t>
        </is>
      </c>
      <c r="B2795">
        <f>SUM(V2757:V2783)</f>
        <v/>
      </c>
    </row>
    <row r="2796">
      <c r="A2796" s="6" t="inlineStr">
        <is>
          <t>TOTAL DPS</t>
        </is>
      </c>
      <c r="B2796" s="6">
        <f>SUM(O2757:O2783)</f>
        <v/>
      </c>
    </row>
    <row r="2799">
      <c r="A2799" s="9" t="inlineStr">
        <is>
          <t>Cooldown Reduction Milestone Sweep (absolute CDR seconds, fixed-duration content only)</t>
        </is>
      </c>
    </row>
    <row r="2800">
      <c r="A2800" s="5" t="inlineStr">
        <is>
          <t>CDR (s)</t>
        </is>
      </c>
      <c r="B2800" s="5" t="inlineStr">
        <is>
          <t>Total DPS</t>
        </is>
      </c>
      <c r="C2800" s="5" t="inlineStr">
        <is>
          <t>DPS Gain (vs prior step)</t>
        </is>
      </c>
      <c r="D2800" s="5" t="inlineStr">
        <is>
          <t>% Gain (vs current CDR)</t>
        </is>
      </c>
    </row>
    <row r="2801">
      <c r="A2801" t="n">
        <v>0.5</v>
      </c>
      <c r="B2801">
        <f>B2854</f>
        <v/>
      </c>
      <c r="C2801" t="n">
        <v>0</v>
      </c>
      <c r="D2801">
        <f>IF(Summary!$B$3=0,0,(B2801-Summary!$B$3)/Summary!$B$3*100)</f>
        <v/>
      </c>
    </row>
    <row r="2802">
      <c r="A2802" t="n">
        <v>1</v>
      </c>
      <c r="B2802">
        <f>B2898</f>
        <v/>
      </c>
      <c r="C2802">
        <f>B2802-B2801</f>
        <v/>
      </c>
      <c r="D2802">
        <f>IF(Summary!$B$3=0,0,(B2802-Summary!$B$3)/Summary!$B$3*100)</f>
        <v/>
      </c>
    </row>
    <row r="2803">
      <c r="A2803" t="n">
        <v>1.5</v>
      </c>
      <c r="B2803">
        <f>B2942</f>
        <v/>
      </c>
      <c r="C2803">
        <f>B2803-B2802</f>
        <v/>
      </c>
      <c r="D2803">
        <f>IF(Summary!$B$3=0,0,(B2803-Summary!$B$3)/Summary!$B$3*100)</f>
        <v/>
      </c>
    </row>
    <row r="2804">
      <c r="A2804" t="n">
        <v>2</v>
      </c>
      <c r="B2804">
        <f>B2986</f>
        <v/>
      </c>
      <c r="C2804">
        <f>B2804-B2803</f>
        <v/>
      </c>
      <c r="D2804">
        <f>IF(Summary!$B$3=0,0,(B2804-Summary!$B$3)/Summary!$B$3*100)</f>
        <v/>
      </c>
    </row>
    <row r="2805">
      <c r="A2805" t="n">
        <v>2.5</v>
      </c>
      <c r="B2805">
        <f>B3030</f>
        <v/>
      </c>
      <c r="C2805">
        <f>B2805-B2804</f>
        <v/>
      </c>
      <c r="D2805">
        <f>IF(Summary!$B$3=0,0,(B2805-Summary!$B$3)/Summary!$B$3*100)</f>
        <v/>
      </c>
    </row>
    <row r="2806">
      <c r="A2806" t="n">
        <v>3</v>
      </c>
      <c r="B2806">
        <f>B3074</f>
        <v/>
      </c>
      <c r="C2806">
        <f>B2806-B2805</f>
        <v/>
      </c>
      <c r="D2806">
        <f>IF(Summary!$B$3=0,0,(B2806-Summary!$B$3)/Summary!$B$3*100)</f>
        <v/>
      </c>
    </row>
    <row r="2807">
      <c r="A2807" t="n">
        <v>3.5</v>
      </c>
      <c r="B2807">
        <f>B3118</f>
        <v/>
      </c>
      <c r="C2807">
        <f>B2807-B2806</f>
        <v/>
      </c>
      <c r="D2807">
        <f>IF(Summary!$B$3=0,0,(B2807-Summary!$B$3)/Summary!$B$3*100)</f>
        <v/>
      </c>
    </row>
    <row r="2808">
      <c r="A2808" t="n">
        <v>4</v>
      </c>
      <c r="B2808">
        <f>B3162</f>
        <v/>
      </c>
      <c r="C2808">
        <f>B2808-B2807</f>
        <v/>
      </c>
      <c r="D2808">
        <f>IF(Summary!$B$3=0,0,(B2808-Summary!$B$3)/Summary!$B$3*100)</f>
        <v/>
      </c>
    </row>
    <row r="2809">
      <c r="A2809" t="n">
        <v>4.5</v>
      </c>
      <c r="B2809">
        <f>B3206</f>
        <v/>
      </c>
      <c r="C2809">
        <f>B2809-B2808</f>
        <v/>
      </c>
      <c r="D2809">
        <f>IF(Summary!$B$3=0,0,(B2809-Summary!$B$3)/Summary!$B$3*100)</f>
        <v/>
      </c>
    </row>
    <row r="2810">
      <c r="A2810" t="n">
        <v>5</v>
      </c>
      <c r="B2810">
        <f>B3250</f>
        <v/>
      </c>
      <c r="C2810">
        <f>B2810-B2809</f>
        <v/>
      </c>
      <c r="D2810">
        <f>IF(Summary!$B$3=0,0,(B2810-Summary!$B$3)/Summary!$B$3*100)</f>
        <v/>
      </c>
    </row>
    <row r="2813">
      <c r="A2813" s="6" t="inlineStr">
        <is>
          <t>Stat: CDR = 0.5s</t>
        </is>
      </c>
    </row>
    <row r="2814">
      <c r="A2814" s="5" t="inlineStr">
        <is>
          <t>Key</t>
        </is>
      </c>
      <c r="B2814" s="5" t="inlineStr">
        <is>
          <t>Name</t>
        </is>
      </c>
      <c r="C2814" s="5" t="inlineStr">
        <is>
          <t>Unlocked</t>
        </is>
      </c>
      <c r="D2814" s="5" t="inlineStr">
        <is>
          <t>InputLevel</t>
        </is>
      </c>
      <c r="E2814" s="5" t="inlineStr">
        <is>
          <t>Factor</t>
        </is>
      </c>
      <c r="F2814" s="5" t="inlineStr">
        <is>
          <t>CoefficientPercent</t>
        </is>
      </c>
      <c r="G2814" s="5" t="inlineStr">
        <is>
          <t>EffectiveHits</t>
        </is>
      </c>
      <c r="H2814" s="5" t="inlineStr">
        <is>
          <t>ProcProbability</t>
        </is>
      </c>
      <c r="I2814" s="5" t="inlineStr">
        <is>
          <t>MapleHeroMultiplier</t>
        </is>
      </c>
      <c r="J2814" s="5" t="inlineStr">
        <is>
          <t>BaseDamage</t>
        </is>
      </c>
      <c r="K2814" s="5" t="inlineStr">
        <is>
          <t>BaseHitDamage</t>
        </is>
      </c>
      <c r="L2814" s="5" t="inlineStr">
        <is>
          <t>NonCritAvg</t>
        </is>
      </c>
      <c r="M2814" s="5" t="inlineStr">
        <is>
          <t>CritAvg</t>
        </is>
      </c>
      <c r="N2814" s="5" t="inlineStr">
        <is>
          <t>ExpectedDamage(perHit)</t>
        </is>
      </c>
      <c r="O2814" s="5" t="inlineStr">
        <is>
          <t>DPS</t>
        </is>
      </c>
      <c r="P2814" s="5" t="inlineStr">
        <is>
          <t>% of Total</t>
        </is>
      </c>
      <c r="Q2814" s="5" t="inlineStr">
        <is>
          <t>InvCooldown</t>
        </is>
      </c>
      <c r="R2814" s="5" t="inlineStr">
        <is>
          <t>CastsInFight</t>
        </is>
      </c>
      <c r="S2814" s="5" t="inlineStr">
        <is>
          <t>HitRate(perSec)</t>
        </is>
      </c>
      <c r="U2814" t="inlineStr">
        <is>
          <t>helpers</t>
        </is>
      </c>
    </row>
    <row r="2815">
      <c r="A2815">
        <f>Skills!A2</f>
        <v/>
      </c>
      <c r="B2815">
        <f>Skills!B2</f>
        <v/>
      </c>
      <c r="C2815">
        <f>Inputs!$B$3&gt;=100</f>
        <v/>
      </c>
      <c r="D2815" t="inlineStr"/>
      <c r="E2815" t="inlineStr"/>
      <c r="F2815">
        <f>U2817+Skills!O2</f>
        <v/>
      </c>
      <c r="G2815">
        <f>Skills!G2*IF(Skills!H2&gt;0,Skills!I2/Skills!H2,1)</f>
        <v/>
      </c>
      <c r="H2815">
        <f>1-(1-Skills!J2/100)^Skills!K2</f>
        <v/>
      </c>
      <c r="I2815" t="inlineStr">
        <is>
          <t>1</t>
        </is>
      </c>
      <c r="J2815">
        <f>((Inputs!$B$6*(1+Inputs!$B$7/100))+(((Inputs!$B$12*(1+Inputs!$B$13/100))-(Inputs!$B$12*(1+Inputs!$B$13/100)))+0.25*(Inputs!$B$14-Inputs!$B$14))*(1+Inputs!$B$7/100))*(F2815/100)</f>
        <v/>
      </c>
      <c r="K2815">
        <f>J2815*(1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2815)</f>
        <v/>
      </c>
      <c r="L2815">
        <f>K2815*(MIN(Inputs!$B$22+((C2835=TRUE)*(F2835-Calc!F22)),(Inputs!$B$23+0+(IF(ArtifactsInput!$M$15,CHOOSE(ArtifactsInput!$N$15+1,25,30,35,40,45,50)/100*(Inputs!$B$11-Inputs!$B$11),0))))/100+(Inputs!$B$23+0+(IF(ArtifactsInput!$M$15,CHOOSE(ArtifactsInput!$N$15+1,25,30,35,40,45,50)/100*(Inputs!$B$11-Inputs!$B$11),0)))/100)/2</f>
        <v/>
      </c>
      <c r="M2815">
        <f>L2815*(1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5">
        <f>L2815*(1-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2815*(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5">
        <f>(1-Summary!$B$11)*T2815+Summary!$B$11*V2815</f>
        <v/>
      </c>
      <c r="P2815">
        <f>IF(B2854=0,0,O2815/B2854)</f>
        <v/>
      </c>
      <c r="Q2815" t="n">
        <v>0</v>
      </c>
      <c r="R2815" t="n">
        <v>0</v>
      </c>
      <c r="S2815">
        <f>IFERROR(O2815/N2815,0)</f>
        <v/>
      </c>
      <c r="T2815">
        <f>IF(C2815,(Skills!G2*N2815*B2848)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2815*(1-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2815*(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2815*(1-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2815*(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5">
        <f>MAX(0,(Inputs!$B$3-100)*3)+Inputs!$B$28+Inputs!$B$29</f>
        <v/>
      </c>
      <c r="V2815">
        <f>IF(C2815,(Skills!G2*N2815*B2848)*IF(Inputs!$B$38="pvp",1,(1+(Inputs!$B$21+Skills!Q2+(IF(ArtifactsInput!$M$33,CHOOSE(ArtifactsInput!$N$33+1,30,36,42,48,54,60),0))+(IF(AND(ArtifactsInput!$M$35,Inputs!$B$4&lt;&gt;"Chapter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6">
      <c r="A2816">
        <f>Skills!A3</f>
        <v/>
      </c>
      <c r="B2816">
        <f>Skills!B3</f>
        <v/>
      </c>
      <c r="C2816">
        <f>Inputs!$B$3&gt;=35</f>
        <v/>
      </c>
      <c r="D2816">
        <f>IF(Skills!C3=1,60+Inputs!$B$25+Inputs!$B$29,IF(Skills!C3=2,90+Inputs!$B$26+Inputs!$B$29,IF(Skills!C3=3,120+Inputs!$B$27+Inputs!$B$29,MAX(0,(Inputs!$B$3-100)*3)+Inputs!$B$28+Inputs!$B$29)))</f>
        <v/>
      </c>
      <c r="E2816">
        <f>INDEX(FactorTable!$B$2:$Y$301, MATCH(ROUND(MIN(300,MAX(1,D2816)),0), FactorTable!$A$2:$A$301,0), Skills!M3+1)</f>
        <v/>
      </c>
      <c r="F2816">
        <f>IF(Skills!N3=TRUE,(Skills!L3/10)*(E2816/1000),Skills!L3/10)+Skills!O3</f>
        <v/>
      </c>
      <c r="G2816">
        <f>Skills!G3*IF(Skills!H3&gt;0,Skills!I3/Skills!H3,1)</f>
        <v/>
      </c>
      <c r="H2816">
        <f>1-(1-Skills!J3/100)^Skills!K3</f>
        <v/>
      </c>
      <c r="I2816" t="inlineStr">
        <is>
          <t>1</t>
        </is>
      </c>
      <c r="J2816">
        <f>((Inputs!$B$6*(1+Inputs!$B$7/100))+(((Inputs!$B$12*(1+Inputs!$B$13/100))-(Inputs!$B$12*(1+Inputs!$B$13/100)))+0.25*(Inputs!$B$14-Inputs!$B$14))*(1+Inputs!$B$7/100))*(F2816/100)</f>
        <v/>
      </c>
      <c r="K2816">
        <f>J2816*(1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2828=TRUE,F2828,0)/100)*(1+(IF(Skills!A3="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2816)</f>
        <v/>
      </c>
      <c r="L2816">
        <f>K2816*(MIN(Inputs!$B$22+((C2835=TRUE)*(F2835-Calc!F22)),(Inputs!$B$23+0+(IF(ArtifactsInput!$M$15,CHOOSE(ArtifactsInput!$N$15+1,25,30,35,40,45,50)/100*(Inputs!$B$11-Inputs!$B$11),0))))/100+(Inputs!$B$23+0+(IF(ArtifactsInput!$M$15,CHOOSE(ArtifactsInput!$N$15+1,25,30,35,40,45,50)/100*(Inputs!$B$11-Inputs!$B$11),0)))/100)/2</f>
        <v/>
      </c>
      <c r="M2816">
        <f>L2816*(1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6">
        <f>L2816*(1-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2816*(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6">
        <f>(1-Summary!$B$11)*T2816+Summary!$B$11*V2816</f>
        <v/>
      </c>
      <c r="P2816">
        <f>IF(B2854=0,0,O2816/B2854)</f>
        <v/>
      </c>
      <c r="Q2816">
        <f>IFERROR(1/(IF(Inputs!$B$38="pvp",15,MAX(0.1,Skills!D3-IF(Skills!E3=TRUE,0.5,0)))*(1-IF(AND(ArtifactsInput!$M$27,Inputs!$B$4="Chapter Hunt"),CHOOSE(ArtifactsInput!$N$27+1,20,24,28,32,36,40),0)/100)),0)</f>
        <v/>
      </c>
      <c r="R2816">
        <f>IF(AND(Inputs!$B$38&lt;&gt;"pvp",Inputs!$B$43&gt;0),IF(MAX(0,Inputs!$B$43-B2851)&lt;=0,0,(INT(MAX(0,Inputs!$B$43-B2851)/(IF(Inputs!$B$38="pvp",15,MAX(0.1,Skills!D3-IF(Skills!E3=TRUE,0.5,0)))*(1-IF(AND(ArtifactsInput!$M$27,Inputs!$B$4="Chapter Hunt"),CHOOSE(ArtifactsInput!$N$27+1,20,24,28,32,36,40),0)/100)))+1)),0)</f>
        <v/>
      </c>
      <c r="S2816">
        <f>IFERROR(O2816/N2816,0)</f>
        <v/>
      </c>
      <c r="T2816">
        <f>IF(C2816,(H2816*N2816*IF(AND(Inputs!$B$38&lt;&gt;"pvp",Inputs!$B$43&gt;0),((Skills!G3*((R2816-1)*IF(Skills!H3&gt;0,Skills!I3/Skills!H3,1)+IF(Skills!H3&gt;0,MIN(Skills!I3,MAX(0,MAX(0,Inputs!$B$43-B2851)-((R2816-1)*(IF(Inputs!$B$38="pvp",15,MAX(0.1,Skills!D3-IF(Skills!E3=TRUE,0.5,0)))*(1-IF(AND(ArtifactsInput!$M$27,Inputs!$B$4="Chapter Hunt"),CHOOSE(ArtifactsInput!$N$27+1,20,24,28,32,36,40),0)/100)))))/Skills!H3,1)))/Inputs!$B$43),G2816*Q2816)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2816*(1-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2816*(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2816*(1-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2816*(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6">
        <f>INDEX(FactorTable!$B$2:$Y$301, MATCH(ROUND(MIN(300,MAX(1,U2815)),0), FactorTable!$A$2:$A$301,0), 22)</f>
        <v/>
      </c>
      <c r="V2816">
        <f>IF(C2816,(H2816*N2816*IF(AND(Inputs!$B$38&lt;&gt;"pvp",Inputs!$B$43&gt;0),((Skills!G3*((R2816-1)*IF(Skills!H3&gt;0,Skills!I3/Skills!H3,1)+IF(Skills!H3&gt;0,MIN(Skills!I3,MAX(0,MAX(0,Inputs!$B$43-B2851)-((R2816-1)*(IF(Inputs!$B$38="pvp",15,MAX(0.1,Skills!D3-IF(Skills!E3=TRUE,0.5,0)))*(1-IF(AND(ArtifactsInput!$M$27,Inputs!$B$4="Chapter Hunt"),CHOOSE(ArtifactsInput!$N$27+1,20,24,28,32,36,40),0)/100)))))/Skills!H3,1)))/Inputs!$B$43),G2816*Q2816))*IF(Inputs!$B$38="pvp",1,(1+(Inputs!$B$21+Skills!Q3+(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7">
      <c r="A2817">
        <f>Skills!A4</f>
        <v/>
      </c>
      <c r="B2817">
        <f>Skills!B4</f>
        <v/>
      </c>
      <c r="C2817">
        <f>Inputs!$B$3&gt;=40</f>
        <v/>
      </c>
      <c r="D2817">
        <f>IF(Skills!C4=1,60+Inputs!$B$25+Inputs!$B$29,IF(Skills!C4=2,90+Inputs!$B$26+Inputs!$B$29,IF(Skills!C4=3,120+Inputs!$B$27+Inputs!$B$29,MAX(0,(Inputs!$B$3-100)*3)+Inputs!$B$28+Inputs!$B$29)))</f>
        <v/>
      </c>
      <c r="E2817">
        <f>INDEX(FactorTable!$B$2:$Y$301, MATCH(ROUND(MIN(300,MAX(1,D2817)),0), FactorTable!$A$2:$A$301,0), Skills!M4+1)</f>
        <v/>
      </c>
      <c r="F2817">
        <f>IF(Skills!N4=TRUE,(Skills!L4/10)*(E2817/1000),Skills!L4/10)+Skills!O4</f>
        <v/>
      </c>
      <c r="G2817">
        <f>Skills!G4*IF(Skills!H4&gt;0,Skills!I4/Skills!H4,1)</f>
        <v/>
      </c>
      <c r="H2817">
        <f>1-(1-Skills!J4/100)^Skills!K4</f>
        <v/>
      </c>
      <c r="I2817" t="inlineStr">
        <is>
          <t>1</t>
        </is>
      </c>
      <c r="J2817">
        <f>((Inputs!$B$6*(1+Inputs!$B$7/100))+(((Inputs!$B$12*(1+Inputs!$B$13/100))-(Inputs!$B$12*(1+Inputs!$B$13/100)))+0.25*(Inputs!$B$14-Inputs!$B$14))*(1+Inputs!$B$7/100))*(F2817/100)</f>
        <v/>
      </c>
      <c r="K2817">
        <f>J2817*(1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2829=TRUE,F2829,0)/100)*(1+(IF(Skills!A4="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2817)</f>
        <v/>
      </c>
      <c r="L2817">
        <f>K2817*(MIN(Inputs!$B$22+((C2835=TRUE)*(F2835-Calc!F22)),(Inputs!$B$23+0+(IF(ArtifactsInput!$M$15,CHOOSE(ArtifactsInput!$N$15+1,25,30,35,40,45,50)/100*(Inputs!$B$11-Inputs!$B$11),0))))/100+(Inputs!$B$23+0+(IF(ArtifactsInput!$M$15,CHOOSE(ArtifactsInput!$N$15+1,25,30,35,40,45,50)/100*(Inputs!$B$11-Inputs!$B$11),0)))/100)/2</f>
        <v/>
      </c>
      <c r="M2817">
        <f>L2817*(1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7">
        <f>L2817*(1-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2817*(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7">
        <f>(1-Summary!$B$11)*T2817+Summary!$B$11*V2817</f>
        <v/>
      </c>
      <c r="P2817">
        <f>IF(B2854=0,0,O2817/B2854)</f>
        <v/>
      </c>
      <c r="Q2817">
        <f>IFERROR(1/(IF(Inputs!$B$38="pvp",15,MAX(0.1,Skills!D4-IF(Skills!E4=TRUE,0.5,0)))*(1-IF(AND(ArtifactsInput!$M$27,Inputs!$B$4="Chapter Hunt"),CHOOSE(ArtifactsInput!$N$27+1,20,24,28,32,36,40),0)/100)),0)</f>
        <v/>
      </c>
      <c r="R2817">
        <f>IF(AND(Inputs!$B$38&lt;&gt;"pvp",Inputs!$B$43&gt;0),IF(MAX(0,Inputs!$B$43-B2851)&lt;=0,0,(INT(MAX(0,Inputs!$B$43-B2851)/(IF(Inputs!$B$38="pvp",15,MAX(0.1,Skills!D4-IF(Skills!E4=TRUE,0.5,0)))*(1-IF(AND(ArtifactsInput!$M$27,Inputs!$B$4="Chapter Hunt"),CHOOSE(ArtifactsInput!$N$27+1,20,24,28,32,36,40),0)/100)))+1)),0)</f>
        <v/>
      </c>
      <c r="S2817">
        <f>IFERROR(O2817/N2817,0)</f>
        <v/>
      </c>
      <c r="T2817">
        <f>IF(C2817,(H2817*N2817*IF(AND(Inputs!$B$38&lt;&gt;"pvp",Inputs!$B$43&gt;0),((Skills!G4*((R2817-1)*IF(Skills!H4&gt;0,Skills!I4/Skills!H4,1)+IF(Skills!H4&gt;0,MIN(Skills!I4,MAX(0,MAX(0,Inputs!$B$43-B2851)-((R2817-1)*(IF(Inputs!$B$38="pvp",15,MAX(0.1,Skills!D4-IF(Skills!E4=TRUE,0.5,0)))*(1-IF(AND(ArtifactsInput!$M$27,Inputs!$B$4="Chapter Hunt"),CHOOSE(ArtifactsInput!$N$27+1,20,24,28,32,36,40),0)/100)))))/Skills!H4,1)))/Inputs!$B$43),G2817*Q2817)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2817*(1-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2817*(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2817*(1-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2817*(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7">
        <f>290*U2816/1000</f>
        <v/>
      </c>
      <c r="V2817">
        <f>IF(C2817,(H2817*N2817*IF(AND(Inputs!$B$38&lt;&gt;"pvp",Inputs!$B$43&gt;0),((Skills!G4*((R2817-1)*IF(Skills!H4&gt;0,Skills!I4/Skills!H4,1)+IF(Skills!H4&gt;0,MIN(Skills!I4,MAX(0,MAX(0,Inputs!$B$43-B2851)-((R2817-1)*(IF(Inputs!$B$38="pvp",15,MAX(0.1,Skills!D4-IF(Skills!E4=TRUE,0.5,0)))*(1-IF(AND(ArtifactsInput!$M$27,Inputs!$B$4="Chapter Hunt"),CHOOSE(ArtifactsInput!$N$27+1,20,24,28,32,36,40),0)/100)))))/Skills!H4,1)))/Inputs!$B$43),G2817*Q2817))*IF(Inputs!$B$38="pvp",1,(1+(Inputs!$B$21+Skills!Q4+(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8">
      <c r="A2818">
        <f>Skills!A5</f>
        <v/>
      </c>
      <c r="B2818">
        <f>Skills!B5</f>
        <v/>
      </c>
      <c r="C2818">
        <f>Inputs!$B$3&gt;=45</f>
        <v/>
      </c>
      <c r="D2818">
        <f>IF(Skills!C5=1,60+Inputs!$B$25+Inputs!$B$29,IF(Skills!C5=2,90+Inputs!$B$26+Inputs!$B$29,IF(Skills!C5=3,120+Inputs!$B$27+Inputs!$B$29,MAX(0,(Inputs!$B$3-100)*3)+Inputs!$B$28+Inputs!$B$29)))</f>
        <v/>
      </c>
      <c r="E2818">
        <f>INDEX(FactorTable!$B$2:$Y$301, MATCH(ROUND(MIN(300,MAX(1,D2818)),0), FactorTable!$A$2:$A$301,0), Skills!M5+1)</f>
        <v/>
      </c>
      <c r="F2818">
        <f>IF(Skills!N5=TRUE,(Skills!L5/10)*(E2818/1000),Skills!L5/10)+Skills!O5</f>
        <v/>
      </c>
      <c r="G2818">
        <f>Skills!G5*IF(Skills!H5&gt;0,Skills!I5/Skills!H5,1)</f>
        <v/>
      </c>
      <c r="H2818">
        <f>1-(1-Skills!J5/100)^Skills!K5</f>
        <v/>
      </c>
      <c r="I2818" t="inlineStr">
        <is>
          <t>1</t>
        </is>
      </c>
      <c r="J2818">
        <f>((Inputs!$B$6*(1+Inputs!$B$7/100))+(((Inputs!$B$12*(1+Inputs!$B$13/100))-(Inputs!$B$12*(1+Inputs!$B$13/100)))+0.25*(Inputs!$B$14-Inputs!$B$14))*(1+Inputs!$B$7/100))*(F2818/100)</f>
        <v/>
      </c>
      <c r="K2818">
        <f>J2818*(1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2829=TRUE,F2829,0)/100)*(1+(IF(Skills!A5="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2818)</f>
        <v/>
      </c>
      <c r="L2818">
        <f>K2818*(MIN(Inputs!$B$22+((C2835=TRUE)*(F2835-Calc!F22)),(Inputs!$B$23+0+(IF(ArtifactsInput!$M$15,CHOOSE(ArtifactsInput!$N$15+1,25,30,35,40,45,50)/100*(Inputs!$B$11-Inputs!$B$11),0))))/100+(Inputs!$B$23+0+(IF(ArtifactsInput!$M$15,CHOOSE(ArtifactsInput!$N$15+1,25,30,35,40,45,50)/100*(Inputs!$B$11-Inputs!$B$11),0)))/100)/2</f>
        <v/>
      </c>
      <c r="M2818">
        <f>L2818*(1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8">
        <f>L2818*(1-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2818*(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8">
        <f>(1-Summary!$B$11)*T2818+Summary!$B$11*V2818</f>
        <v/>
      </c>
      <c r="P2818">
        <f>IF(B2854=0,0,O2818/B2854)</f>
        <v/>
      </c>
      <c r="Q2818">
        <f>IFERROR(1/(IF(Inputs!$B$38="pvp",15,MAX(0.1,Skills!D5-IF(Skills!E5=TRUE,0.5,0)))*(1-IF(AND(ArtifactsInput!$M$27,Inputs!$B$4="Chapter Hunt"),CHOOSE(ArtifactsInput!$N$27+1,20,24,28,32,36,40),0)/100)),0)</f>
        <v/>
      </c>
      <c r="R2818">
        <f>IF(AND(Inputs!$B$38&lt;&gt;"pvp",Inputs!$B$43&gt;0),IF(MAX(0,Inputs!$B$43-B2851)&lt;=0,0,(INT(MAX(0,Inputs!$B$43-B2851)/(IF(Inputs!$B$38="pvp",15,MAX(0.1,Skills!D5-IF(Skills!E5=TRUE,0.5,0)))*(1-IF(AND(ArtifactsInput!$M$27,Inputs!$B$4="Chapter Hunt"),CHOOSE(ArtifactsInput!$N$27+1,20,24,28,32,36,40),0)/100)))+1)),0)</f>
        <v/>
      </c>
      <c r="S2818">
        <f>IFERROR(O2818/N2818,0)</f>
        <v/>
      </c>
      <c r="T2818">
        <f>IF(C2818,(H2818*N2818*IF(AND(Inputs!$B$38&lt;&gt;"pvp",Inputs!$B$43&gt;0),((Skills!G5*((R2818-1)*IF(Skills!H5&gt;0,Skills!I5/Skills!H5,1)+IF(Skills!H5&gt;0,MIN(Skills!I5,MAX(0,MAX(0,Inputs!$B$43-B2851)-((R2818-1)*(IF(Inputs!$B$38="pvp",15,MAX(0.1,Skills!D5-IF(Skills!E5=TRUE,0.5,0)))*(1-IF(AND(ArtifactsInput!$M$27,Inputs!$B$4="Chapter Hunt"),CHOOSE(ArtifactsInput!$N$27+1,20,24,28,32,36,40),0)/100)))))/Skills!H5,1)))/Inputs!$B$43),G2818*Q2818)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2818*(1-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2818*(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2818*(1-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2818*(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8">
        <f>IF(C2818,(H2818*N2818*IF(AND(Inputs!$B$38&lt;&gt;"pvp",Inputs!$B$43&gt;0),((Skills!G5*((R2818-1)*IF(Skills!H5&gt;0,Skills!I5/Skills!H5,1)+IF(Skills!H5&gt;0,MIN(Skills!I5,MAX(0,MAX(0,Inputs!$B$43-B2851)-((R2818-1)*(IF(Inputs!$B$38="pvp",15,MAX(0.1,Skills!D5-IF(Skills!E5=TRUE,0.5,0)))*(1-IF(AND(ArtifactsInput!$M$27,Inputs!$B$4="Chapter Hunt"),CHOOSE(ArtifactsInput!$N$27+1,20,24,28,32,36,40),0)/100)))))/Skills!H5,1)))/Inputs!$B$43),G2818*Q2818))*IF(Inputs!$B$38="pvp",1,(1+(Inputs!$B$21+Skills!Q5+(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9">
      <c r="A2819">
        <f>Skills!A6</f>
        <v/>
      </c>
      <c r="B2819">
        <f>Skills!B6</f>
        <v/>
      </c>
      <c r="C2819">
        <f>Inputs!$B$3&gt;=63</f>
        <v/>
      </c>
      <c r="D2819">
        <f>IF(Skills!C6=1,60+Inputs!$B$25+Inputs!$B$29,IF(Skills!C6=2,90+Inputs!$B$26+Inputs!$B$29,IF(Skills!C6=3,120+Inputs!$B$27+Inputs!$B$29,MAX(0,(Inputs!$B$3-100)*3)+Inputs!$B$28+Inputs!$B$29)))</f>
        <v/>
      </c>
      <c r="E2819">
        <f>INDEX(FactorTable!$B$2:$Y$301, MATCH(ROUND(MIN(300,MAX(1,D2819)),0), FactorTable!$A$2:$A$301,0), Skills!M6+1)</f>
        <v/>
      </c>
      <c r="F2819">
        <f>IF(Skills!N6=TRUE,(Skills!L6/10)*(E2819/1000),Skills!L6/10)+Skills!O6</f>
        <v/>
      </c>
      <c r="G2819">
        <f>Skills!G6*IF(Skills!H6&gt;0,Skills!I6/Skills!H6,1)</f>
        <v/>
      </c>
      <c r="H2819">
        <f>1-(1-Skills!J6/100)^Skills!K6</f>
        <v/>
      </c>
      <c r="I2819" t="inlineStr">
        <is>
          <t>1</t>
        </is>
      </c>
      <c r="J2819">
        <f>((Inputs!$B$6*(1+Inputs!$B$7/100))+(((Inputs!$B$12*(1+Inputs!$B$13/100))-(Inputs!$B$12*(1+Inputs!$B$13/100)))+0.25*(Inputs!$B$14-Inputs!$B$14))*(1+Inputs!$B$7/100))*(F2819/100)</f>
        <v/>
      </c>
      <c r="K2819">
        <f>J2819*(1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2828=TRUE,F2828,0)/100)*(1+(IF(Skills!A6="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2819)</f>
        <v/>
      </c>
      <c r="L2819">
        <f>K2819*(MIN(Inputs!$B$22+((C2835=TRUE)*(F2835-Calc!F22)),(Inputs!$B$23+0+(IF(ArtifactsInput!$M$15,CHOOSE(ArtifactsInput!$N$15+1,25,30,35,40,45,50)/100*(Inputs!$B$11-Inputs!$B$11),0))))/100+(Inputs!$B$23+0+(IF(ArtifactsInput!$M$15,CHOOSE(ArtifactsInput!$N$15+1,25,30,35,40,45,50)/100*(Inputs!$B$11-Inputs!$B$11),0)))/100)/2</f>
        <v/>
      </c>
      <c r="M2819">
        <f>L2819*(1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9">
        <f>L2819*(1-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2819*(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9">
        <f>(1-Summary!$B$11)*T2819+Summary!$B$11*V2819</f>
        <v/>
      </c>
      <c r="P2819">
        <f>IF(B2854=0,0,O2819/B2854)</f>
        <v/>
      </c>
      <c r="Q2819">
        <f>IFERROR(1/(IF(Inputs!$B$38="pvp",15,MAX(0.1,Skills!D6-IF(Skills!E6=TRUE,0.5,0)))*(1-IF(AND(ArtifactsInput!$M$27,Inputs!$B$4="Chapter Hunt"),CHOOSE(ArtifactsInput!$N$27+1,20,24,28,32,36,40),0)/100)),0)</f>
        <v/>
      </c>
      <c r="R2819">
        <f>IF(AND(Inputs!$B$38&lt;&gt;"pvp",Inputs!$B$43&gt;0),IF(MAX(0,Inputs!$B$43-B2851)&lt;=0,0,(INT(MAX(0,Inputs!$B$43-B2851)/(IF(Inputs!$B$38="pvp",15,MAX(0.1,Skills!D6-IF(Skills!E6=TRUE,0.5,0)))*(1-IF(AND(ArtifactsInput!$M$27,Inputs!$B$4="Chapter Hunt"),CHOOSE(ArtifactsInput!$N$27+1,20,24,28,32,36,40),0)/100)))+1)),0)</f>
        <v/>
      </c>
      <c r="S2819">
        <f>IFERROR(O2819/N2819,0)</f>
        <v/>
      </c>
      <c r="T2819">
        <f>IF(C2819,(H2819*N2819*IF(AND(Inputs!$B$38&lt;&gt;"pvp",Inputs!$B$43&gt;0),((Skills!G6*((R2819-1)*IF(Skills!H6&gt;0,Skills!I6/Skills!H6,1)+IF(Skills!H6&gt;0,MIN(Skills!I6,MAX(0,MAX(0,Inputs!$B$43-B2851)-((R2819-1)*(IF(Inputs!$B$38="pvp",15,MAX(0.1,Skills!D6-IF(Skills!E6=TRUE,0.5,0)))*(1-IF(AND(ArtifactsInput!$M$27,Inputs!$B$4="Chapter Hunt"),CHOOSE(ArtifactsInput!$N$27+1,20,24,28,32,36,40),0)/100)))))/Skills!H6,1)))/Inputs!$B$43),G2819*Q2819)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2819*(1-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2819*(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2819*(1-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2819*(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9">
        <f>IF(C2819,(H2819*N2819*IF(AND(Inputs!$B$38&lt;&gt;"pvp",Inputs!$B$43&gt;0),((Skills!G6*((R2819-1)*IF(Skills!H6&gt;0,Skills!I6/Skills!H6,1)+IF(Skills!H6&gt;0,MIN(Skills!I6,MAX(0,MAX(0,Inputs!$B$43-B2851)-((R2819-1)*(IF(Inputs!$B$38="pvp",15,MAX(0.1,Skills!D6-IF(Skills!E6=TRUE,0.5,0)))*(1-IF(AND(ArtifactsInput!$M$27,Inputs!$B$4="Chapter Hunt"),CHOOSE(ArtifactsInput!$N$27+1,20,24,28,32,36,40),0)/100)))))/Skills!H6,1)))/Inputs!$B$43),G2819*Q2819))*IF(Inputs!$B$38="pvp",1,(1+(Inputs!$B$21+Skills!Q6+(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0">
      <c r="A2820">
        <f>Skills!A7</f>
        <v/>
      </c>
      <c r="B2820">
        <f>Skills!B7</f>
        <v/>
      </c>
      <c r="C2820">
        <f>Inputs!$B$3&gt;=66</f>
        <v/>
      </c>
      <c r="D2820">
        <f>IF(Skills!C7=1,60+Inputs!$B$25+Inputs!$B$29,IF(Skills!C7=2,90+Inputs!$B$26+Inputs!$B$29,IF(Skills!C7=3,120+Inputs!$B$27+Inputs!$B$29,MAX(0,(Inputs!$B$3-100)*3)+Inputs!$B$28+Inputs!$B$29)))</f>
        <v/>
      </c>
      <c r="E2820">
        <f>INDEX(FactorTable!$B$2:$Y$301, MATCH(ROUND(MIN(300,MAX(1,D2820)),0), FactorTable!$A$2:$A$301,0), Skills!M7+1)</f>
        <v/>
      </c>
      <c r="F2820">
        <f>IF(Skills!N7=TRUE,(Skills!L7/10)*(E2820/1000),Skills!L7/10)+Skills!O7</f>
        <v/>
      </c>
      <c r="G2820">
        <f>Skills!G7*IF(Skills!H7&gt;0,Skills!I7/Skills!H7,1)</f>
        <v/>
      </c>
      <c r="H2820">
        <f>1-(1-Skills!J7/100)^Skills!K7</f>
        <v/>
      </c>
      <c r="I2820" t="inlineStr">
        <is>
          <t>1</t>
        </is>
      </c>
      <c r="J2820">
        <f>((Inputs!$B$6*(1+Inputs!$B$7/100))+(((Inputs!$B$12*(1+Inputs!$B$13/100))-(Inputs!$B$12*(1+Inputs!$B$13/100)))+0.25*(Inputs!$B$14-Inputs!$B$14))*(1+Inputs!$B$7/100))*(F2820/100)</f>
        <v/>
      </c>
      <c r="K2820">
        <f>J2820*(1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2828=TRUE,F2828,0)/100)*(1+(IF(Skills!A7="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2820)</f>
        <v/>
      </c>
      <c r="L2820">
        <f>K2820*(MIN(Inputs!$B$22+((C2835=TRUE)*(F2835-Calc!F22)),(Inputs!$B$23+0+(IF(ArtifactsInput!$M$15,CHOOSE(ArtifactsInput!$N$15+1,25,30,35,40,45,50)/100*(Inputs!$B$11-Inputs!$B$11),0))))/100+(Inputs!$B$23+0+(IF(ArtifactsInput!$M$15,CHOOSE(ArtifactsInput!$N$15+1,25,30,35,40,45,50)/100*(Inputs!$B$11-Inputs!$B$11),0)))/100)/2</f>
        <v/>
      </c>
      <c r="M2820">
        <f>L2820*(1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0">
        <f>L2820*(1-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2820*(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0">
        <f>(1-Summary!$B$11)*T2820+Summary!$B$11*V2820</f>
        <v/>
      </c>
      <c r="P2820">
        <f>IF(B2854=0,0,O2820/B2854)</f>
        <v/>
      </c>
      <c r="Q2820">
        <f>IFERROR(1/(IF(Inputs!$B$38="pvp",15,MAX(0.1,Skills!D7-IF(Skills!E7=TRUE,0.5,0)))*(1-IF(AND(ArtifactsInput!$M$27,Inputs!$B$4="Chapter Hunt"),CHOOSE(ArtifactsInput!$N$27+1,20,24,28,32,36,40),0)/100)),0)</f>
        <v/>
      </c>
      <c r="R2820">
        <f>IF(AND(Inputs!$B$38&lt;&gt;"pvp",Inputs!$B$43&gt;0),IF(MAX(0,Inputs!$B$43-B2851)&lt;=0,0,(INT(MAX(0,Inputs!$B$43-B2851)/(IF(Inputs!$B$38="pvp",15,MAX(0.1,Skills!D7-IF(Skills!E7=TRUE,0.5,0)))*(1-IF(AND(ArtifactsInput!$M$27,Inputs!$B$4="Chapter Hunt"),CHOOSE(ArtifactsInput!$N$27+1,20,24,28,32,36,40),0)/100)))+1)),0)</f>
        <v/>
      </c>
      <c r="S2820">
        <f>IFERROR(O2820/N2820,0)</f>
        <v/>
      </c>
      <c r="T2820">
        <f>IF(C2820,(H2820*N2820*IF(AND(Inputs!$B$38&lt;&gt;"pvp",Inputs!$B$43&gt;0),((Skills!G7*((R2820-1)*IF(Skills!H7&gt;0,Skills!I7/Skills!H7,1)+IF(Skills!H7&gt;0,MIN(Skills!I7,MAX(0,MAX(0,Inputs!$B$43-B2851)-((R2820-1)*(IF(Inputs!$B$38="pvp",15,MAX(0.1,Skills!D7-IF(Skills!E7=TRUE,0.5,0)))*(1-IF(AND(ArtifactsInput!$M$27,Inputs!$B$4="Chapter Hunt"),CHOOSE(ArtifactsInput!$N$27+1,20,24,28,32,36,40),0)/100)))))/Skills!H7,1)))/Inputs!$B$43),G2820*Q2820)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2820*(1-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2820*(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2820*(1-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2820*(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0">
        <f>IF(C2820,(H2820*N2820*IF(AND(Inputs!$B$38&lt;&gt;"pvp",Inputs!$B$43&gt;0),((Skills!G7*((R2820-1)*IF(Skills!H7&gt;0,Skills!I7/Skills!H7,1)+IF(Skills!H7&gt;0,MIN(Skills!I7,MAX(0,MAX(0,Inputs!$B$43-B2851)-((R2820-1)*(IF(Inputs!$B$38="pvp",15,MAX(0.1,Skills!D7-IF(Skills!E7=TRUE,0.5,0)))*(1-IF(AND(ArtifactsInput!$M$27,Inputs!$B$4="Chapter Hunt"),CHOOSE(ArtifactsInput!$N$27+1,20,24,28,32,36,40),0)/100)))))/Skills!H7,1)))/Inputs!$B$43),G2820*Q2820))*IF(Inputs!$B$38="pvp",1,(1+(Inputs!$B$21+Skills!Q7+(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1">
      <c r="A2821">
        <f>Skills!A8</f>
        <v/>
      </c>
      <c r="B2821">
        <f>Skills!B8</f>
        <v/>
      </c>
      <c r="C2821">
        <f>Inputs!$B$3&gt;=100</f>
        <v/>
      </c>
      <c r="D2821">
        <f>IF(Skills!C8=1,60+Inputs!$B$25+Inputs!$B$29,IF(Skills!C8=2,90+Inputs!$B$26+Inputs!$B$29,IF(Skills!C8=3,120+Inputs!$B$27+Inputs!$B$29,MAX(0,(Inputs!$B$3-100)*3)+Inputs!$B$28+Inputs!$B$29)))</f>
        <v/>
      </c>
      <c r="E2821">
        <f>INDEX(FactorTable!$B$2:$Y$301, MATCH(ROUND(MIN(300,MAX(1,D2821)),0), FactorTable!$A$2:$A$301,0), Skills!M8+1)</f>
        <v/>
      </c>
      <c r="F2821">
        <f>IF(Skills!N8=TRUE,(Skills!L8/10)*(E2821/1000),Skills!L8/10)+Skills!O8</f>
        <v/>
      </c>
      <c r="G2821">
        <f>Skills!G8*IF(Skills!H8&gt;0,Skills!I8/Skills!H8,1)</f>
        <v/>
      </c>
      <c r="H2821">
        <f>1-(1-Skills!J8/100)^Skills!K8</f>
        <v/>
      </c>
      <c r="I2821" t="inlineStr">
        <is>
          <t>1</t>
        </is>
      </c>
      <c r="J2821">
        <f>((Inputs!$B$6*(1+Inputs!$B$7/100))+(((Inputs!$B$12*(1+Inputs!$B$13/100))-(Inputs!$B$12*(1+Inputs!$B$13/100)))+0.25*(Inputs!$B$14-Inputs!$B$14))*(1+Inputs!$B$7/100))*(F2821/100)</f>
        <v/>
      </c>
      <c r="K2821">
        <f>J2821*(1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2821)</f>
        <v/>
      </c>
      <c r="L2821">
        <f>K2821*(MIN(Inputs!$B$22+((C2835=TRUE)*(F2835-Calc!F22)),(Inputs!$B$23+0+(IF(ArtifactsInput!$M$15,CHOOSE(ArtifactsInput!$N$15+1,25,30,35,40,45,50)/100*(Inputs!$B$11-Inputs!$B$11),0))))/100+(Inputs!$B$23+0+(IF(ArtifactsInput!$M$15,CHOOSE(ArtifactsInput!$N$15+1,25,30,35,40,45,50)/100*(Inputs!$B$11-Inputs!$B$11),0)))/100)/2</f>
        <v/>
      </c>
      <c r="M2821">
        <f>L2821*(1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1">
        <f>L2821*(1-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1">
        <f>(1-Summary!$B$11)*T2821+Summary!$B$11*V2821</f>
        <v/>
      </c>
      <c r="P2821">
        <f>IF(B2854=0,0,O2821/B2854)</f>
        <v/>
      </c>
      <c r="Q2821">
        <f>IFERROR(1/(IF(Inputs!$B$38="pvp",15,MAX(0.1,Skills!D8-IF(Skills!E8=TRUE,0.5,0)))*(1-IF(AND(ArtifactsInput!$M$27,Inputs!$B$4="Chapter Hunt"),CHOOSE(ArtifactsInput!$N$27+1,20,24,28,32,36,40),0)/100)),0)</f>
        <v/>
      </c>
      <c r="R2821">
        <f>IF(AND(Inputs!$B$38&lt;&gt;"pvp",Inputs!$B$43&gt;0),IF(MAX(0,Inputs!$B$43-B2851)&lt;=0,0,(INT(MAX(0,Inputs!$B$43-B2851)/(IF(Inputs!$B$38="pvp",15,MAX(0.1,Skills!D8-IF(Skills!E8=TRUE,0.5,0)))*(1-IF(AND(ArtifactsInput!$M$27,Inputs!$B$4="Chapter Hunt"),CHOOSE(ArtifactsInput!$N$27+1,20,24,28,32,36,40),0)/100)))+1)),0)</f>
        <v/>
      </c>
      <c r="S2821">
        <f>IFERROR(O2821/N2821,0)</f>
        <v/>
      </c>
      <c r="T2821">
        <f>IF(C2821,(H2821*N2821*IF(AND(Inputs!$B$38&lt;&gt;"pvp",Inputs!$B$43&gt;0),((Skills!G8*((R2821-1)*IF(Skills!H8&gt;0,Skills!I8/Skills!H8,1)+IF(Skills!H8&gt;0,MIN(Skills!I8,MAX(0,MAX(0,Inputs!$B$43-B2851)-((R2821-1)*(IF(Inputs!$B$38="pvp",15,MAX(0.1,Skills!D8-IF(Skills!E8=TRUE,0.5,0)))*(1-IF(AND(ArtifactsInput!$M$27,Inputs!$B$4="Chapter Hunt"),CHOOSE(ArtifactsInput!$N$27+1,20,24,28,32,36,40),0)/100)))))/Skills!H8,1)))/Inputs!$B$43),G2821*Q2821)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2821*(1-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1">
        <f>IF(C2821,(H2821*N2821*IF(AND(Inputs!$B$38&lt;&gt;"pvp",Inputs!$B$43&gt;0),((Skills!G8*((R2821-1)*IF(Skills!H8&gt;0,Skills!I8/Skills!H8,1)+IF(Skills!H8&gt;0,MIN(Skills!I8,MAX(0,MAX(0,Inputs!$B$43-B2851)-((R2821-1)*(IF(Inputs!$B$38="pvp",15,MAX(0.1,Skills!D8-IF(Skills!E8=TRUE,0.5,0)))*(1-IF(AND(ArtifactsInput!$M$27,Inputs!$B$4="Chapter Hunt"),CHOOSE(ArtifactsInput!$N$27+1,20,24,28,32,36,40),0)/100)))))/Skills!H8,1)))/Inputs!$B$43),G2821*Q2821))*IF(Inputs!$B$38="pvp",1,(1+(Inputs!$B$21+Skills!Q8+(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2">
      <c r="A2822">
        <f>Skills!A9</f>
        <v/>
      </c>
      <c r="B2822">
        <f>Skills!B9</f>
        <v/>
      </c>
      <c r="C2822">
        <f>Inputs!$B$3&gt;=103</f>
        <v/>
      </c>
      <c r="D2822">
        <f>IF(Skills!C9=1,60+Inputs!$B$25+Inputs!$B$29,IF(Skills!C9=2,90+Inputs!$B$26+Inputs!$B$29,IF(Skills!C9=3,120+Inputs!$B$27+Inputs!$B$29,MAX(0,(Inputs!$B$3-100)*3)+Inputs!$B$28+Inputs!$B$29)))</f>
        <v/>
      </c>
      <c r="E2822">
        <f>INDEX(FactorTable!$B$2:$Y$301, MATCH(ROUND(MIN(300,MAX(1,D2822)),0), FactorTable!$A$2:$A$301,0), Skills!M9+1)</f>
        <v/>
      </c>
      <c r="F2822">
        <f>IF(Skills!N9=TRUE,(Skills!L9/10)*(E2822/1000),Skills!L9/10)+Skills!O9</f>
        <v/>
      </c>
      <c r="G2822">
        <f>Skills!G9*IF(Skills!H9&gt;0,Skills!I9/Skills!H9,1)</f>
        <v/>
      </c>
      <c r="H2822">
        <f>1-(1-Skills!J9/100)^Skills!K9</f>
        <v/>
      </c>
      <c r="I2822" t="inlineStr">
        <is>
          <t>1</t>
        </is>
      </c>
      <c r="J2822">
        <f>((Inputs!$B$6*(1+Inputs!$B$7/100))+(((Inputs!$B$12*(1+Inputs!$B$13/100))-(Inputs!$B$12*(1+Inputs!$B$13/100)))+0.25*(Inputs!$B$14-Inputs!$B$14))*(1+Inputs!$B$7/100))*(F2822/100)</f>
        <v/>
      </c>
      <c r="K2822">
        <f>J2822*(1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2822)</f>
        <v/>
      </c>
      <c r="L2822">
        <f>K2822*(MIN(Inputs!$B$22+((C2835=TRUE)*(F2835-Calc!F22)),(Inputs!$B$23+0+(IF(ArtifactsInput!$M$15,CHOOSE(ArtifactsInput!$N$15+1,25,30,35,40,45,50)/100*(Inputs!$B$11-Inputs!$B$11),0))))/100+(Inputs!$B$23+0+(IF(ArtifactsInput!$M$15,CHOOSE(ArtifactsInput!$N$15+1,25,30,35,40,45,50)/100*(Inputs!$B$11-Inputs!$B$11),0)))/100)/2</f>
        <v/>
      </c>
      <c r="M2822">
        <f>L2822*(1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2">
        <f>L2822*(1-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2822*(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2">
        <f>(1-Summary!$B$11)*T2822+Summary!$B$11*V2822</f>
        <v/>
      </c>
      <c r="P2822">
        <f>IF(B2854=0,0,O2822/B2854)</f>
        <v/>
      </c>
      <c r="Q2822">
        <f>IFERROR(1/(IF(Inputs!$B$38="pvp",15,MAX(0.1,Skills!D9-IF(Skills!E9=TRUE,0.5,0)))*(1-IF(AND(ArtifactsInput!$M$27,Inputs!$B$4="Chapter Hunt"),CHOOSE(ArtifactsInput!$N$27+1,20,24,28,32,36,40),0)/100)),0)</f>
        <v/>
      </c>
      <c r="R2822">
        <f>IF(AND(Inputs!$B$38&lt;&gt;"pvp",Inputs!$B$43&gt;0),IF(MAX(0,Inputs!$B$43-B2851)&lt;=0,0,(INT(MAX(0,Inputs!$B$43-B2851)/(IF(Inputs!$B$38="pvp",15,MAX(0.1,Skills!D9-IF(Skills!E9=TRUE,0.5,0)))*(1-IF(AND(ArtifactsInput!$M$27,Inputs!$B$4="Chapter Hunt"),CHOOSE(ArtifactsInput!$N$27+1,20,24,28,32,36,40),0)/100)))+1)),0)</f>
        <v/>
      </c>
      <c r="S2822">
        <f>IFERROR(O2822/N2822,0)</f>
        <v/>
      </c>
      <c r="T2822">
        <f>IF(C2822,(H2822*N2822*IF(AND(Inputs!$B$38&lt;&gt;"pvp",Inputs!$B$43&gt;0),((Skills!G9*((R2822-1)*IF(Skills!H9&gt;0,Skills!I9/Skills!H9,1)+IF(Skills!H9&gt;0,MIN(Skills!I9,MAX(0,MAX(0,Inputs!$B$43-B2851)-((R2822-1)*(IF(Inputs!$B$38="pvp",15,MAX(0.1,Skills!D9-IF(Skills!E9=TRUE,0.5,0)))*(1-IF(AND(ArtifactsInput!$M$27,Inputs!$B$4="Chapter Hunt"),CHOOSE(ArtifactsInput!$N$27+1,20,24,28,32,36,40),0)/100)))))/Skills!H9,1)))/Inputs!$B$43),G2822*Q2822)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2822*(1-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2822*(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2822*(1-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2822*(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2">
        <f>IF(C2822,(H2822*N2822*IF(AND(Inputs!$B$38&lt;&gt;"pvp",Inputs!$B$43&gt;0),((Skills!G9*((R2822-1)*IF(Skills!H9&gt;0,Skills!I9/Skills!H9,1)+IF(Skills!H9&gt;0,MIN(Skills!I9,MAX(0,MAX(0,Inputs!$B$43-B2851)-((R2822-1)*(IF(Inputs!$B$38="pvp",15,MAX(0.1,Skills!D9-IF(Skills!E9=TRUE,0.5,0)))*(1-IF(AND(ArtifactsInput!$M$27,Inputs!$B$4="Chapter Hunt"),CHOOSE(ArtifactsInput!$N$27+1,20,24,28,32,36,40),0)/100)))))/Skills!H9,1)))/Inputs!$B$43),G2822*Q2822))*IF(Inputs!$B$38="pvp",1,(1+(Inputs!$B$21+Skills!Q9+(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3">
      <c r="A2823">
        <f>Skills!A10</f>
        <v/>
      </c>
      <c r="B2823">
        <f>Skills!B10</f>
        <v/>
      </c>
      <c r="C2823">
        <f>Inputs!$B$3&gt;=113</f>
        <v/>
      </c>
      <c r="D2823">
        <f>IF(Skills!C10=1,60+Inputs!$B$25+Inputs!$B$29,IF(Skills!C10=2,90+Inputs!$B$26+Inputs!$B$29,IF(Skills!C10=3,120+Inputs!$B$27+Inputs!$B$29,MAX(0,(Inputs!$B$3-100)*3)+Inputs!$B$28+Inputs!$B$29)))</f>
        <v/>
      </c>
      <c r="E2823">
        <f>INDEX(FactorTable!$B$2:$Y$301, MATCH(ROUND(MIN(300,MAX(1,D2823)),0), FactorTable!$A$2:$A$301,0), Skills!M10+1)</f>
        <v/>
      </c>
      <c r="F2823">
        <f>IF(Skills!N10=TRUE,(Skills!L10/10)*(E2823/1000),Skills!L10/10)+Skills!O10</f>
        <v/>
      </c>
      <c r="G2823">
        <f>Skills!G10*IF(Skills!H10&gt;0,Skills!I10/Skills!H10,1)</f>
        <v/>
      </c>
      <c r="H2823">
        <f>1-(1-Skills!J10/100)^Skills!K10</f>
        <v/>
      </c>
      <c r="I2823" t="inlineStr">
        <is>
          <t>1</t>
        </is>
      </c>
      <c r="J2823">
        <f>((Inputs!$B$6*(1+Inputs!$B$7/100))+(((Inputs!$B$12*(1+Inputs!$B$13/100))-(Inputs!$B$12*(1+Inputs!$B$13/100)))+0.25*(Inputs!$B$14-Inputs!$B$14))*(1+Inputs!$B$7/100))*(F2823/100)</f>
        <v/>
      </c>
      <c r="K2823">
        <f>J2823*(1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2823)</f>
        <v/>
      </c>
      <c r="L2823">
        <f>K2823*(MIN(Inputs!$B$22+((C2835=TRUE)*(F2835-Calc!F22)),(Inputs!$B$23+0+(IF(ArtifactsInput!$M$15,CHOOSE(ArtifactsInput!$N$15+1,25,30,35,40,45,50)/100*(Inputs!$B$11-Inputs!$B$11),0))))/100+(Inputs!$B$23+0+(IF(ArtifactsInput!$M$15,CHOOSE(ArtifactsInput!$N$15+1,25,30,35,40,45,50)/100*(Inputs!$B$11-Inputs!$B$11),0)))/100)/2</f>
        <v/>
      </c>
      <c r="M2823">
        <f>L2823*(1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3">
        <f>L2823*(1-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2823*(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3">
        <f>(1-Summary!$B$11)*T2823+Summary!$B$11*V2823</f>
        <v/>
      </c>
      <c r="P2823">
        <f>IF(B2854=0,0,O2823/B2854)</f>
        <v/>
      </c>
      <c r="Q2823">
        <f>IFERROR(1/(IF(Inputs!$B$38="pvp",15,MAX(0.1,Skills!D10-IF(Skills!E10=TRUE,0.5,0)))*(1-IF(AND(ArtifactsInput!$M$27,Inputs!$B$4="Chapter Hunt"),CHOOSE(ArtifactsInput!$N$27+1,20,24,28,32,36,40),0)/100)),0)</f>
        <v/>
      </c>
      <c r="R2823">
        <f>IF(AND(Inputs!$B$38&lt;&gt;"pvp",Inputs!$B$43&gt;0),IF(MAX(0,Inputs!$B$43-B2851)&lt;=0,0,(INT(MAX(0,Inputs!$B$43-B2851)/(IF(Inputs!$B$38="pvp",15,MAX(0.1,Skills!D10-IF(Skills!E10=TRUE,0.5,0)))*(1-IF(AND(ArtifactsInput!$M$27,Inputs!$B$4="Chapter Hunt"),CHOOSE(ArtifactsInput!$N$27+1,20,24,28,32,36,40),0)/100)))+1)),0)</f>
        <v/>
      </c>
      <c r="S2823">
        <f>IFERROR(O2823/N2823,0)</f>
        <v/>
      </c>
      <c r="T2823">
        <f>IF(C2823,(H2823*N2823*IF(AND(Inputs!$B$38&lt;&gt;"pvp",Inputs!$B$43&gt;0),((Skills!G10*((R2823-1)*IF(Skills!H10&gt;0,Skills!I10/Skills!H10,1)+IF(Skills!H10&gt;0,MIN(Skills!I10,MAX(0,MAX(0,Inputs!$B$43-B2851)-((R2823-1)*(IF(Inputs!$B$38="pvp",15,MAX(0.1,Skills!D10-IF(Skills!E10=TRUE,0.5,0)))*(1-IF(AND(ArtifactsInput!$M$27,Inputs!$B$4="Chapter Hunt"),CHOOSE(ArtifactsInput!$N$27+1,20,24,28,32,36,40),0)/100)))))/Skills!H10,1)))/Inputs!$B$43),G2823*Q2823)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2823*(1-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2823*(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2823*(1-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2823*(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3">
        <f>IF(C2823,(H2823*N2823*IF(AND(Inputs!$B$38&lt;&gt;"pvp",Inputs!$B$43&gt;0),((Skills!G10*((R2823-1)*IF(Skills!H10&gt;0,Skills!I10/Skills!H10,1)+IF(Skills!H10&gt;0,MIN(Skills!I10,MAX(0,MAX(0,Inputs!$B$43-B2851)-((R2823-1)*(IF(Inputs!$B$38="pvp",15,MAX(0.1,Skills!D10-IF(Skills!E10=TRUE,0.5,0)))*(1-IF(AND(ArtifactsInput!$M$27,Inputs!$B$4="Chapter Hunt"),CHOOSE(ArtifactsInput!$N$27+1,20,24,28,32,36,40),0)/100)))))/Skills!H10,1)))/Inputs!$B$43),G2823*Q2823))*IF(Inputs!$B$38="pvp",1,(1+(Inputs!$B$21+Skills!Q10+(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4">
      <c r="A2824">
        <f>Skills!A11</f>
        <v/>
      </c>
      <c r="B2824">
        <f>Skills!B11</f>
        <v/>
      </c>
      <c r="C2824">
        <f>Inputs!$B$3&gt;=107</f>
        <v/>
      </c>
      <c r="D2824">
        <f>IF(Skills!C11=1,60+Inputs!$B$25+Inputs!$B$29,IF(Skills!C11=2,90+Inputs!$B$26+Inputs!$B$29,IF(Skills!C11=3,120+Inputs!$B$27+Inputs!$B$29,MAX(0,(Inputs!$B$3-100)*3)+Inputs!$B$28+Inputs!$B$29)))</f>
        <v/>
      </c>
      <c r="E2824">
        <f>INDEX(FactorTable!$B$2:$Y$301, MATCH(ROUND(MIN(300,MAX(1,D2824)),0), FactorTable!$A$2:$A$301,0), Skills!M11+1)</f>
        <v/>
      </c>
      <c r="F2824">
        <f>IF(Skills!N11=TRUE,(Skills!L11/10)*(E2824/1000),Skills!L11/10)+Skills!O11</f>
        <v/>
      </c>
      <c r="G2824">
        <f>Skills!G11*IF(Skills!H11&gt;0,Skills!I11/Skills!H11,1)</f>
        <v/>
      </c>
      <c r="H2824">
        <f>1-(1-Skills!J11/100)^Skills!K11</f>
        <v/>
      </c>
      <c r="I2824" t="inlineStr">
        <is>
          <t>1</t>
        </is>
      </c>
      <c r="J2824">
        <f>((Inputs!$B$6*(1+Inputs!$B$7/100))+(((Inputs!$B$12*(1+Inputs!$B$13/100))-(Inputs!$B$12*(1+Inputs!$B$13/100)))+0.25*(Inputs!$B$14-Inputs!$B$14))*(1+Inputs!$B$7/100))*(F2824/100)</f>
        <v/>
      </c>
      <c r="K2824">
        <f>J2824*(1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2824)</f>
        <v/>
      </c>
      <c r="L2824">
        <f>K2824*(MIN(Inputs!$B$22+((C2835=TRUE)*(F2835-Calc!F22)),(Inputs!$B$23+0+(IF(ArtifactsInput!$M$15,CHOOSE(ArtifactsInput!$N$15+1,25,30,35,40,45,50)/100*(Inputs!$B$11-Inputs!$B$11),0))))/100+(Inputs!$B$23+0+(IF(ArtifactsInput!$M$15,CHOOSE(ArtifactsInput!$N$15+1,25,30,35,40,45,50)/100*(Inputs!$B$11-Inputs!$B$11),0)))/100)/2</f>
        <v/>
      </c>
      <c r="M2824">
        <f>L2824*(1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4">
        <f>L2824*(1-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2824*(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4">
        <f>(1-Summary!$B$11)*T2824+Summary!$B$11*V2824</f>
        <v/>
      </c>
      <c r="P2824">
        <f>IF(B2854=0,0,O2824/B2854)</f>
        <v/>
      </c>
      <c r="Q2824">
        <f>IFERROR(1/(IF(Inputs!$B$38="pvp",15,MAX(0.1,Skills!D11-IF(Skills!E11=TRUE,0.5,0)))*(1-IF(AND(ArtifactsInput!$M$27,Inputs!$B$4="Chapter Hunt"),CHOOSE(ArtifactsInput!$N$27+1,20,24,28,32,36,40),0)/100)),0)</f>
        <v/>
      </c>
      <c r="R2824">
        <f>IF(AND(Inputs!$B$38&lt;&gt;"pvp",Inputs!$B$43&gt;0),IF(MAX(0,Inputs!$B$43-B2851)&lt;=0,0,(INT(MAX(0,Inputs!$B$43-B2851)/(IF(Inputs!$B$38="pvp",15,MAX(0.1,Skills!D11-IF(Skills!E11=TRUE,0.5,0)))*(1-IF(AND(ArtifactsInput!$M$27,Inputs!$B$4="Chapter Hunt"),CHOOSE(ArtifactsInput!$N$27+1,20,24,28,32,36,40),0)/100)))+1)),0)</f>
        <v/>
      </c>
      <c r="S2824">
        <f>IFERROR(O2824/N2824,0)</f>
        <v/>
      </c>
      <c r="T2824">
        <f>IF(C2824,(H2824*N2824*IF(AND(Inputs!$B$38&lt;&gt;"pvp",Inputs!$B$43&gt;0),((Skills!G11*((R2824-1)*IF(Skills!H11&gt;0,Skills!I11/Skills!H11,1)+IF(Skills!H11&gt;0,MIN(Skills!I11,MAX(0,MAX(0,Inputs!$B$43-B2851)-((R2824-1)*(IF(Inputs!$B$38="pvp",15,MAX(0.1,Skills!D11-IF(Skills!E11=TRUE,0.5,0)))*(1-IF(AND(ArtifactsInput!$M$27,Inputs!$B$4="Chapter Hunt"),CHOOSE(ArtifactsInput!$N$27+1,20,24,28,32,36,40),0)/100)))))/Skills!H11,1)))/Inputs!$B$43),G2824*Q2824)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2824*(1-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2824*(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2824*(1-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2824*(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4">
        <f>IF(C2824,(H2824*N2824*IF(AND(Inputs!$B$38&lt;&gt;"pvp",Inputs!$B$43&gt;0),((Skills!G11*((R2824-1)*IF(Skills!H11&gt;0,Skills!I11/Skills!H11,1)+IF(Skills!H11&gt;0,MIN(Skills!I11,MAX(0,MAX(0,Inputs!$B$43-B2851)-((R2824-1)*(IF(Inputs!$B$38="pvp",15,MAX(0.1,Skills!D11-IF(Skills!E11=TRUE,0.5,0)))*(1-IF(AND(ArtifactsInput!$M$27,Inputs!$B$4="Chapter Hunt"),CHOOSE(ArtifactsInput!$N$27+1,20,24,28,32,36,40),0)/100)))))/Skills!H11,1)))/Inputs!$B$43),G2824*Q2824))*IF(Inputs!$B$38="pvp",1,(1+(Inputs!$B$21+Skills!Q11+(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5">
      <c r="A2825">
        <f>Skills!A12</f>
        <v/>
      </c>
      <c r="B2825">
        <f>Skills!B12</f>
        <v/>
      </c>
      <c r="C2825">
        <f>Inputs!$B$3&gt;=110</f>
        <v/>
      </c>
      <c r="D2825">
        <f>IF(Skills!C12=1,60+Inputs!$B$25+Inputs!$B$29,IF(Skills!C12=2,90+Inputs!$B$26+Inputs!$B$29,IF(Skills!C12=3,120+Inputs!$B$27+Inputs!$B$29,MAX(0,(Inputs!$B$3-100)*3)+Inputs!$B$28+Inputs!$B$29)))</f>
        <v/>
      </c>
      <c r="E2825">
        <f>INDEX(FactorTable!$B$2:$Y$301, MATCH(ROUND(MIN(300,MAX(1,D2825)),0), FactorTable!$A$2:$A$301,0), Skills!M12+1)</f>
        <v/>
      </c>
      <c r="F2825">
        <f>IF(Skills!N12=TRUE,(Skills!L12/10)*(E2825/1000),Skills!L12/10)+Skills!O12</f>
        <v/>
      </c>
      <c r="G2825">
        <f>Skills!G12*IF(Skills!H12&gt;0,Skills!I12/Skills!H12,1)</f>
        <v/>
      </c>
      <c r="H2825">
        <f>1-(1-Skills!J12/100)^Skills!K12</f>
        <v/>
      </c>
      <c r="I2825" t="inlineStr">
        <is>
          <t>1</t>
        </is>
      </c>
      <c r="J2825">
        <f>((Inputs!$B$6*(1+Inputs!$B$7/100))+(((Inputs!$B$12*(1+Inputs!$B$13/100))-(Inputs!$B$12*(1+Inputs!$B$13/100)))+0.25*(Inputs!$B$14-Inputs!$B$14))*(1+Inputs!$B$7/100))*(F2825/100)</f>
        <v/>
      </c>
      <c r="K2825">
        <f>J2825*(1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2825)</f>
        <v/>
      </c>
      <c r="L2825">
        <f>K2825*(MIN(Inputs!$B$22+((C2835=TRUE)*(F2835-Calc!F22)),(Inputs!$B$23+0+(IF(ArtifactsInput!$M$15,CHOOSE(ArtifactsInput!$N$15+1,25,30,35,40,45,50)/100*(Inputs!$B$11-Inputs!$B$11),0))))/100+(Inputs!$B$23+0+(IF(ArtifactsInput!$M$15,CHOOSE(ArtifactsInput!$N$15+1,25,30,35,40,45,50)/100*(Inputs!$B$11-Inputs!$B$11),0)))/100)/2</f>
        <v/>
      </c>
      <c r="M2825">
        <f>L2825*(1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5">
        <f>L2825*(1-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2825*(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5">
        <f>(1-Summary!$B$11)*T2825+Summary!$B$11*V2825</f>
        <v/>
      </c>
      <c r="P2825">
        <f>IF(B2854=0,0,O2825/B2854)</f>
        <v/>
      </c>
      <c r="Q2825">
        <f>IFERROR(1/(IF(Inputs!$B$38="pvp",15,MAX(0.1,Skills!D12-IF(Skills!E12=TRUE,0.5,0)))*(1-IF(AND(ArtifactsInput!$M$27,Inputs!$B$4="Chapter Hunt"),CHOOSE(ArtifactsInput!$N$27+1,20,24,28,32,36,40),0)/100)),0)</f>
        <v/>
      </c>
      <c r="R2825">
        <f>IF(AND(Inputs!$B$38&lt;&gt;"pvp",Inputs!$B$43&gt;0),IF(MAX(0,Inputs!$B$43-B2851)&lt;=0,0,(INT(MAX(0,Inputs!$B$43-B2851)/(IF(Inputs!$B$38="pvp",15,MAX(0.1,Skills!D12-IF(Skills!E12=TRUE,0.5,0)))*(1-IF(AND(ArtifactsInput!$M$27,Inputs!$B$4="Chapter Hunt"),CHOOSE(ArtifactsInput!$N$27+1,20,24,28,32,36,40),0)/100)))+1)),0)</f>
        <v/>
      </c>
      <c r="S2825">
        <f>IFERROR(O2825/N2825,0)</f>
        <v/>
      </c>
      <c r="T2825">
        <f>IF(C2825,(H2825*N2825*IF(AND(Inputs!$B$38&lt;&gt;"pvp",Inputs!$B$43&gt;0),((Skills!G12*((R2825-1)*IF(Skills!H12&gt;0,Skills!I12/Skills!H12,1)+IF(Skills!H12&gt;0,MIN(Skills!I12,MAX(0,MAX(0,Inputs!$B$43-B2851)-((R2825-1)*(IF(Inputs!$B$38="pvp",15,MAX(0.1,Skills!D12-IF(Skills!E12=TRUE,0.5,0)))*(1-IF(AND(ArtifactsInput!$M$27,Inputs!$B$4="Chapter Hunt"),CHOOSE(ArtifactsInput!$N$27+1,20,24,28,32,36,40),0)/100)))))/Skills!H12,1)))/Inputs!$B$43),G2825*Q2825)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2825*(1-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2825*(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2825*(1-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2825*(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5">
        <f>IF(C2825,(H2825*N2825*IF(AND(Inputs!$B$38&lt;&gt;"pvp",Inputs!$B$43&gt;0),((Skills!G12*((R2825-1)*IF(Skills!H12&gt;0,Skills!I12/Skills!H12,1)+IF(Skills!H12&gt;0,MIN(Skills!I12,MAX(0,MAX(0,Inputs!$B$43-B2851)-((R2825-1)*(IF(Inputs!$B$38="pvp",15,MAX(0.1,Skills!D12-IF(Skills!E12=TRUE,0.5,0)))*(1-IF(AND(ArtifactsInput!$M$27,Inputs!$B$4="Chapter Hunt"),CHOOSE(ArtifactsInput!$N$27+1,20,24,28,32,36,40),0)/100)))))/Skills!H12,1)))/Inputs!$B$43),G2825*Q2825))*IF(Inputs!$B$38="pvp",1,(1+(Inputs!$B$21+Skills!Q12+(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6">
      <c r="A2826">
        <f>Skills!A13</f>
        <v/>
      </c>
      <c r="B2826">
        <f>Skills!B13</f>
        <v/>
      </c>
      <c r="C2826">
        <f>Inputs!$B$3&gt;=110</f>
        <v/>
      </c>
      <c r="D2826">
        <f>IF(Skills!C13=1,60+Inputs!$B$25+Inputs!$B$29,IF(Skills!C13=2,90+Inputs!$B$26+Inputs!$B$29,IF(Skills!C13=3,120+Inputs!$B$27+Inputs!$B$29,MAX(0,(Inputs!$B$3-100)*3)+Inputs!$B$28+Inputs!$B$29)))</f>
        <v/>
      </c>
      <c r="E2826">
        <f>INDEX(FactorTable!$B$2:$Y$301, MATCH(ROUND(MIN(300,MAX(1,D2826)),0), FactorTable!$A$2:$A$301,0), Skills!M13+1)</f>
        <v/>
      </c>
      <c r="F2826">
        <f>IF(Skills!N13=TRUE,(Skills!L13/10)*(E2826/1000),Skills!L13/10)+Skills!O13</f>
        <v/>
      </c>
      <c r="G2826">
        <f>Skills!G13*IF(Skills!H13&gt;0,Skills!I13/Skills!H13,1)</f>
        <v/>
      </c>
      <c r="H2826">
        <f>1-(1-Skills!J13/100)^Skills!K13</f>
        <v/>
      </c>
      <c r="I2826" t="inlineStr">
        <is>
          <t>1</t>
        </is>
      </c>
      <c r="J2826">
        <f>((Inputs!$B$6*(1+Inputs!$B$7/100))+(((Inputs!$B$12*(1+Inputs!$B$13/100))-(Inputs!$B$12*(1+Inputs!$B$13/100)))+0.25*(Inputs!$B$14-Inputs!$B$14))*(1+Inputs!$B$7/100))*(F2826/100)</f>
        <v/>
      </c>
      <c r="K2826">
        <f>J2826*(1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2826)</f>
        <v/>
      </c>
      <c r="L2826">
        <f>K2826*(MIN(Inputs!$B$22+((C2835=TRUE)*(F2835-Calc!F22)),(Inputs!$B$23+0+(IF(ArtifactsInput!$M$15,CHOOSE(ArtifactsInput!$N$15+1,25,30,35,40,45,50)/100*(Inputs!$B$11-Inputs!$B$11),0))))/100+(Inputs!$B$23+0+(IF(ArtifactsInput!$M$15,CHOOSE(ArtifactsInput!$N$15+1,25,30,35,40,45,50)/100*(Inputs!$B$11-Inputs!$B$11),0)))/100)/2</f>
        <v/>
      </c>
      <c r="M2826">
        <f>L2826*(1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6">
        <f>L2826*(1-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2826*(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6">
        <f>(1-Summary!$B$11)*T2826+Summary!$B$11*V2826</f>
        <v/>
      </c>
      <c r="P2826">
        <f>IF(B2854=0,0,O2826/B2854)</f>
        <v/>
      </c>
      <c r="Q2826">
        <f>IFERROR(1/(IF(Inputs!$B$38="pvp",15,MAX(0.1,Skills!D13-IF(Skills!E13=TRUE,0.5,0)))*(1-IF(AND(ArtifactsInput!$M$27,Inputs!$B$4="Chapter Hunt"),CHOOSE(ArtifactsInput!$N$27+1,20,24,28,32,36,40),0)/100)),0)</f>
        <v/>
      </c>
      <c r="R2826">
        <f>IF(AND(Inputs!$B$38&lt;&gt;"pvp",Inputs!$B$43&gt;0),IF(MAX(0,Inputs!$B$43-B2851)&lt;=0,0,(INT(MAX(0,Inputs!$B$43-B2851)/(IF(Inputs!$B$38="pvp",15,MAX(0.1,Skills!D13-IF(Skills!E13=TRUE,0.5,0)))*(1-IF(AND(ArtifactsInput!$M$27,Inputs!$B$4="Chapter Hunt"),CHOOSE(ArtifactsInput!$N$27+1,20,24,28,32,36,40),0)/100)))+1)),0)</f>
        <v/>
      </c>
      <c r="S2826">
        <f>IFERROR(O2826/N2826,0)</f>
        <v/>
      </c>
      <c r="T2826">
        <f>IF(C2826,(H2826*N2826*IF(AND(Inputs!$B$38&lt;&gt;"pvp",Inputs!$B$43&gt;0),((Skills!G13*((R2826-1)*IF(Skills!H13&gt;0,Skills!I13/Skills!H13,1)+IF(Skills!H13&gt;0,MIN(Skills!I13,MAX(0,MAX(0,Inputs!$B$43-B2851)-((R2826-1)*(IF(Inputs!$B$38="pvp",15,MAX(0.1,Skills!D13-IF(Skills!E13=TRUE,0.5,0)))*(1-IF(AND(ArtifactsInput!$M$27,Inputs!$B$4="Chapter Hunt"),CHOOSE(ArtifactsInput!$N$27+1,20,24,28,32,36,40),0)/100)))))/Skills!H13,1)))/Inputs!$B$43),G2826*Q2826)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2826*(1-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2826*(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2826*(1-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2826*(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6">
        <f>IF(C2826,(H2826*N2826*IF(AND(Inputs!$B$38&lt;&gt;"pvp",Inputs!$B$43&gt;0),((Skills!G13*((R2826-1)*IF(Skills!H13&gt;0,Skills!I13/Skills!H13,1)+IF(Skills!H13&gt;0,MIN(Skills!I13,MAX(0,MAX(0,Inputs!$B$43-B2851)-((R2826-1)*(IF(Inputs!$B$38="pvp",15,MAX(0.1,Skills!D13-IF(Skills!E13=TRUE,0.5,0)))*(1-IF(AND(ArtifactsInput!$M$27,Inputs!$B$4="Chapter Hunt"),CHOOSE(ArtifactsInput!$N$27+1,20,24,28,32,36,40),0)/100)))))/Skills!H13,1)))/Inputs!$B$43),G2826*Q2826))*IF(Inputs!$B$38="pvp",1,(1+(Inputs!$B$21+Skills!Q13+(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7">
      <c r="A2827">
        <f>Skills!A14</f>
        <v/>
      </c>
      <c r="B2827">
        <f>Skills!B14</f>
        <v/>
      </c>
      <c r="C2827">
        <f>Inputs!$B$3&gt;=125</f>
        <v/>
      </c>
      <c r="D2827">
        <f>IF(Skills!C14=1,60+Inputs!$B$25+Inputs!$B$29,IF(Skills!C14=2,90+Inputs!$B$26+Inputs!$B$29,IF(Skills!C14=3,120+Inputs!$B$27+Inputs!$B$29,MAX(0,(Inputs!$B$3-100)*3)+Inputs!$B$28+Inputs!$B$29)))</f>
        <v/>
      </c>
      <c r="E2827">
        <f>INDEX(FactorTable!$B$2:$Y$301, MATCH(ROUND(MIN(300,MAX(1,D2827)),0), FactorTable!$A$2:$A$301,0), Skills!M14+1)</f>
        <v/>
      </c>
      <c r="F2827">
        <f>IF(Skills!N14=TRUE,(Skills!L14/10)*(E2827/1000),Skills!L14/10)+Skills!O14</f>
        <v/>
      </c>
      <c r="G2827">
        <f>Skills!G14*IF(Skills!H14&gt;0,Skills!I14/Skills!H14,1)</f>
        <v/>
      </c>
      <c r="H2827">
        <f>1-(1-Skills!J14/100)^Skills!K14</f>
        <v/>
      </c>
      <c r="I2827" t="inlineStr">
        <is>
          <t>1</t>
        </is>
      </c>
      <c r="J2827">
        <f>((Inputs!$B$6*(1+Inputs!$B$7/100))+(((Inputs!$B$12*(1+Inputs!$B$13/100))-(Inputs!$B$12*(1+Inputs!$B$13/100)))+0.25*(Inputs!$B$14-Inputs!$B$14))*(1+Inputs!$B$7/100))*(F2827/100)</f>
        <v/>
      </c>
      <c r="K2827">
        <f>J2827*(1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2827)</f>
        <v/>
      </c>
      <c r="L2827">
        <f>K2827*(MIN(Inputs!$B$22+((C2835=TRUE)*(F2835-Calc!F22)),(Inputs!$B$23+0+(IF(ArtifactsInput!$M$15,CHOOSE(ArtifactsInput!$N$15+1,25,30,35,40,45,50)/100*(Inputs!$B$11-Inputs!$B$11),0))))/100+(Inputs!$B$23+0+(IF(ArtifactsInput!$M$15,CHOOSE(ArtifactsInput!$N$15+1,25,30,35,40,45,50)/100*(Inputs!$B$11-Inputs!$B$11),0)))/100)/2</f>
        <v/>
      </c>
      <c r="M2827">
        <f>L2827*(1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7">
        <f>L2827*(1-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2827*(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7">
        <f>(1-Summary!$B$11)*T2827+Summary!$B$11*V2827</f>
        <v/>
      </c>
      <c r="P2827">
        <f>IF(B2854=0,0,O2827/B2854)</f>
        <v/>
      </c>
      <c r="Q2827" t="n">
        <v>0</v>
      </c>
      <c r="R2827" t="n">
        <v>0</v>
      </c>
      <c r="S2827">
        <f>IFERROR(O2827/N2827,0)</f>
        <v/>
      </c>
      <c r="T2827">
        <f>IF(C2827,(H2827*N2827*(B2848+IF(AND(Inputs!$B$38&lt;&gt;"pvp",Inputs!$B$43&gt;0),((Skills!G8*((R2821-1)*IF(Skills!H8&gt;0,Skills!I8/Skills!H8,1)+IF(Skills!H8&gt;0,MIN(Skills!I8,MAX(0,MAX(0,Inputs!$B$43-B2851)-((R2821-1)*(IF(Inputs!$B$38="pvp",15,MAX(0.1,Skills!D8-IF(Skills!E8=TRUE,0.5,0)))*(1-IF(AND(ArtifactsInput!$M$27,Inputs!$B$4="Chapter Hunt"),CHOOSE(ArtifactsInput!$N$27+1,20,24,28,32,36,40),0)/100)))))/Skills!H8,1)))/Inputs!$B$43),G2821*Q2821)+IF(AND(Inputs!$B$38&lt;&gt;"pvp",Inputs!$B$43&gt;0),((Skills!G11*((R2824-1)*IF(Skills!H11&gt;0,Skills!I11/Skills!H11,1)+IF(Skills!H11&gt;0,MIN(Skills!I11,MAX(0,MAX(0,Inputs!$B$43-B2851)-((R2824-1)*(IF(Inputs!$B$38="pvp",15,MAX(0.1,Skills!D11-IF(Skills!E11=TRUE,0.5,0)))*(1-IF(AND(ArtifactsInput!$M$27,Inputs!$B$4="Chapter Hunt"),CHOOSE(ArtifactsInput!$N$27+1,20,24,28,32,36,40),0)/100)))))/Skills!H11,1)))/Inputs!$B$43),G2824*Q2824)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2827*(1-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2827*(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2827*(1-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2827*(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7">
        <f>IF(C2827,(H2827*N2827*(B2848+IF(AND(Inputs!$B$38&lt;&gt;"pvp",Inputs!$B$43&gt;0),((Skills!G8*((R2821-1)*IF(Skills!H8&gt;0,Skills!I8/Skills!H8,1)+IF(Skills!H8&gt;0,MIN(Skills!I8,MAX(0,MAX(0,Inputs!$B$43-B2851)-((R2821-1)*(IF(Inputs!$B$38="pvp",15,MAX(0.1,Skills!D8-IF(Skills!E8=TRUE,0.5,0)))*(1-IF(AND(ArtifactsInput!$M$27,Inputs!$B$4="Chapter Hunt"),CHOOSE(ArtifactsInput!$N$27+1,20,24,28,32,36,40),0)/100)))))/Skills!H8,1)))/Inputs!$B$43),G2821*Q2821)+IF(AND(Inputs!$B$38&lt;&gt;"pvp",Inputs!$B$43&gt;0),((Skills!G11*((R2824-1)*IF(Skills!H11&gt;0,Skills!I11/Skills!H11,1)+IF(Skills!H11&gt;0,MIN(Skills!I11,MAX(0,MAX(0,Inputs!$B$43-B2851)-((R2824-1)*(IF(Inputs!$B$38="pvp",15,MAX(0.1,Skills!D11-IF(Skills!E11=TRUE,0.5,0)))*(1-IF(AND(ArtifactsInput!$M$27,Inputs!$B$4="Chapter Hunt"),CHOOSE(ArtifactsInput!$N$27+1,20,24,28,32,36,40),0)/100)))))/Skills!H11,1)))/Inputs!$B$43),G2824*Q2824)))*IF(Inputs!$B$38="pvp",1,(1+(Inputs!$B$21+Skills!Q14+(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8">
      <c r="A2828">
        <f>Skills!A15</f>
        <v/>
      </c>
      <c r="B2828">
        <f>Skills!B15</f>
        <v/>
      </c>
      <c r="C2828">
        <f>Inputs!$B$3&gt;=100</f>
        <v/>
      </c>
      <c r="D2828">
        <f>IF(Skills!C15=1,60+Inputs!$B$25+Inputs!$B$29,IF(Skills!C15=2,90+Inputs!$B$26+Inputs!$B$29,IF(Skills!C15=3,120+Inputs!$B$27+Inputs!$B$29,MAX(0,(Inputs!$B$3-100)*3)+Inputs!$B$28+Inputs!$B$29)))</f>
        <v/>
      </c>
      <c r="E2828">
        <f>INDEX(FactorTable!$B$2:$Y$301, MATCH(ROUND(MIN(300,MAX(1,D2828)),0), FactorTable!$A$2:$A$301,0), Skills!M15+1)</f>
        <v/>
      </c>
      <c r="F2828">
        <f>IF(Skills!N15=TRUE,(Skills!L15/10)*(E2828/1000),Skills!L15/10)+Skills!O15</f>
        <v/>
      </c>
      <c r="G2828" t="inlineStr"/>
      <c r="H2828" t="inlineStr"/>
      <c r="I2828" t="inlineStr">
        <is>
          <t>1</t>
        </is>
      </c>
      <c r="J2828" t="inlineStr"/>
      <c r="K2828" t="inlineStr"/>
      <c r="L2828" t="inlineStr"/>
      <c r="M2828" t="inlineStr"/>
      <c r="N2828" t="inlineStr"/>
      <c r="O2828" t="inlineStr"/>
      <c r="P2828" t="inlineStr"/>
      <c r="Q2828" t="inlineStr"/>
      <c r="R2828" t="inlineStr"/>
      <c r="S2828" t="inlineStr"/>
    </row>
    <row r="2829">
      <c r="A2829">
        <f>Skills!A16</f>
        <v/>
      </c>
      <c r="B2829">
        <f>Skills!B16</f>
        <v/>
      </c>
      <c r="C2829">
        <f>Inputs!$B$3&gt;=120</f>
        <v/>
      </c>
      <c r="D2829">
        <f>IF(Skills!C16=1,60+Inputs!$B$25+Inputs!$B$29,IF(Skills!C16=2,90+Inputs!$B$26+Inputs!$B$29,IF(Skills!C16=3,120+Inputs!$B$27+Inputs!$B$29,MAX(0,(Inputs!$B$3-100)*3)+Inputs!$B$28+Inputs!$B$29)))</f>
        <v/>
      </c>
      <c r="E2829">
        <f>INDEX(FactorTable!$B$2:$Y$301, MATCH(ROUND(MIN(300,MAX(1,D2829)),0), FactorTable!$A$2:$A$301,0), Skills!M16+1)</f>
        <v/>
      </c>
      <c r="F2829">
        <f>IF(Skills!N16=TRUE,(Skills!L16/10)*(E2829/1000),Skills!L16/10)+Skills!O16</f>
        <v/>
      </c>
      <c r="G2829" t="inlineStr"/>
      <c r="H2829" t="inlineStr"/>
      <c r="I2829" t="inlineStr">
        <is>
          <t>1</t>
        </is>
      </c>
      <c r="J2829" t="inlineStr"/>
      <c r="K2829" t="inlineStr"/>
      <c r="L2829" t="inlineStr"/>
      <c r="M2829" t="inlineStr"/>
      <c r="N2829" t="inlineStr"/>
      <c r="O2829" t="inlineStr"/>
      <c r="P2829" t="inlineStr"/>
      <c r="Q2829" t="inlineStr"/>
      <c r="R2829" t="inlineStr"/>
      <c r="S2829" t="inlineStr"/>
    </row>
    <row r="2830">
      <c r="A2830">
        <f>Skills!A17</f>
        <v/>
      </c>
      <c r="B2830">
        <f>Skills!B17</f>
        <v/>
      </c>
      <c r="C2830">
        <f>Inputs!$B$3&gt;=66</f>
        <v/>
      </c>
      <c r="D2830">
        <f>IF(Skills!C17=1,60+Inputs!$B$25+Inputs!$B$29,IF(Skills!C17=2,90+Inputs!$B$26+Inputs!$B$29,IF(Skills!C17=3,120+Inputs!$B$27+Inputs!$B$29,MAX(0,(Inputs!$B$3-100)*3)+Inputs!$B$28+Inputs!$B$29)))</f>
        <v/>
      </c>
      <c r="E2830">
        <f>INDEX(FactorTable!$B$2:$Y$301, MATCH(ROUND(MIN(300,MAX(1,D2830)),0), FactorTable!$A$2:$A$301,0), Skills!M17+1)</f>
        <v/>
      </c>
      <c r="F2830">
        <f>IF(Skills!N17=TRUE,(Skills!L17/10)*(E2830/1000),Skills!L17/10)+Skills!O17</f>
        <v/>
      </c>
      <c r="G2830">
        <f>Skills!G17*IF(Skills!H17&gt;0,Skills!I17/Skills!H17,1)</f>
        <v/>
      </c>
      <c r="H2830">
        <f>1-(1-Skills!J17/100)^Skills!K17</f>
        <v/>
      </c>
      <c r="I2830" t="inlineStr">
        <is>
          <t>1</t>
        </is>
      </c>
      <c r="J2830" t="inlineStr"/>
      <c r="K2830" t="inlineStr"/>
      <c r="L2830" t="inlineStr"/>
      <c r="M2830" t="inlineStr"/>
      <c r="N2830" t="inlineStr"/>
      <c r="O2830">
        <f>(1-Summary!$B$11)*T2830+Summary!$B$11*V2830</f>
        <v/>
      </c>
      <c r="P2830">
        <f>IF(B2854=0,0,O2830/B2854)</f>
        <v/>
      </c>
      <c r="Q2830" t="n">
        <v>0</v>
      </c>
      <c r="R2830" t="n">
        <v>0</v>
      </c>
      <c r="S2830">
        <f>IFERROR(O2830/N2830,0)</f>
        <v/>
      </c>
      <c r="T2830" t="n">
        <v>0</v>
      </c>
      <c r="V2830" t="n">
        <v>0</v>
      </c>
    </row>
    <row r="2831">
      <c r="A2831">
        <f>Skills!A18</f>
        <v/>
      </c>
      <c r="B2831">
        <f>Skills!B18</f>
        <v/>
      </c>
      <c r="C2831">
        <f>Inputs!$B$3&gt;=115</f>
        <v/>
      </c>
      <c r="D2831">
        <f>IF(Skills!C18=1,60+Inputs!$B$25+Inputs!$B$29,IF(Skills!C18=2,90+Inputs!$B$26+Inputs!$B$29,IF(Skills!C18=3,120+Inputs!$B$27+Inputs!$B$29,MAX(0,(Inputs!$B$3-100)*3)+Inputs!$B$28+Inputs!$B$29)))</f>
        <v/>
      </c>
      <c r="E2831">
        <f>INDEX(FactorTable!$B$2:$Y$301, MATCH(ROUND(MIN(300,MAX(1,D2831)),0), FactorTable!$A$2:$A$301,0), Skills!M18+1)</f>
        <v/>
      </c>
      <c r="F2831">
        <f>IF(Skills!N18=TRUE,(Skills!L18/10)*(E2831/1000),Skills!L18/10)+Skills!O18</f>
        <v/>
      </c>
      <c r="G2831">
        <f>Skills!G18*IF(Skills!H18&gt;0,Skills!I18/Skills!H18,1)</f>
        <v/>
      </c>
      <c r="H2831">
        <f>1-(1-Skills!J18/100)^Skills!K18</f>
        <v/>
      </c>
      <c r="I2831" t="inlineStr">
        <is>
          <t>1</t>
        </is>
      </c>
      <c r="J2831" t="inlineStr"/>
      <c r="K2831" t="inlineStr"/>
      <c r="L2831" t="inlineStr"/>
      <c r="M2831" t="inlineStr"/>
      <c r="N2831" t="inlineStr"/>
      <c r="O2831">
        <f>(1-Summary!$B$11)*T2831+Summary!$B$11*V2831</f>
        <v/>
      </c>
      <c r="P2831">
        <f>IF(B2854=0,0,O2831/B2854)</f>
        <v/>
      </c>
      <c r="Q2831">
        <f>IFERROR(1/(IF(Inputs!$B$38="pvp",15,MAX(0.1,Skills!D18-IF(Skills!E18=TRUE,0.5,0)))*(1-IF(AND(ArtifactsInput!$M$27,Inputs!$B$4="Chapter Hunt"),CHOOSE(ArtifactsInput!$N$27+1,20,24,28,32,36,40),0)/100)),0)</f>
        <v/>
      </c>
      <c r="R2831">
        <f>IF(AND(Inputs!$B$38&lt;&gt;"pvp",Inputs!$B$43&gt;0),IF(Inputs!$B$43&lt;=0,0,(INT(Inputs!$B$43/(IF(Inputs!$B$38="pvp",15,MAX(0.1,Skills!D18-IF(Skills!E18=TRUE,0.5,0)))*(1-IF(AND(ArtifactsInput!$M$27,Inputs!$B$4="Chapter Hunt"),CHOOSE(ArtifactsInput!$N$27+1,20,24,28,32,36,40),0)/100)))+1)),0)</f>
        <v/>
      </c>
      <c r="S2831">
        <f>IFERROR(O2831/N2831,0)</f>
        <v/>
      </c>
      <c r="T2831" t="n">
        <v>0</v>
      </c>
      <c r="V2831" t="n">
        <v>0</v>
      </c>
    </row>
    <row r="2832">
      <c r="A2832">
        <f>Skills!A19</f>
        <v/>
      </c>
      <c r="B2832">
        <f>Skills!B19</f>
        <v/>
      </c>
      <c r="C2832">
        <f>Inputs!$B$3&gt;=15</f>
        <v/>
      </c>
      <c r="D2832">
        <f>IF(Skills!C19=1,60+Inputs!$B$25+Inputs!$B$29,IF(Skills!C19=2,90+Inputs!$B$26+Inputs!$B$29,IF(Skills!C19=3,120+Inputs!$B$27+Inputs!$B$29,MAX(0,(Inputs!$B$3-100)*3)+Inputs!$B$28+Inputs!$B$29)))</f>
        <v/>
      </c>
      <c r="E2832">
        <f>INDEX(FactorTable!$B$2:$Y$301, MATCH(ROUND(MIN(300,MAX(1,D2832)),0), FactorTable!$A$2:$A$301,0), Skills!M19+1)</f>
        <v/>
      </c>
      <c r="F2832">
        <f>IF(Skills!N19=TRUE,(Skills!L19/10)*(E2832/1000),Skills!L19/10)+Skills!O19</f>
        <v/>
      </c>
      <c r="G2832">
        <f>Skills!G19*IF(Skills!H19&gt;0,Skills!I19/Skills!H19,1)</f>
        <v/>
      </c>
      <c r="H2832">
        <f>1-(1-Skills!J19/100)^Skills!K19</f>
        <v/>
      </c>
      <c r="I2832" t="inlineStr">
        <is>
          <t>1</t>
        </is>
      </c>
      <c r="J2832" t="inlineStr"/>
      <c r="K2832" t="inlineStr"/>
      <c r="L2832" t="inlineStr"/>
      <c r="M2832" t="inlineStr"/>
      <c r="N2832" t="inlineStr"/>
      <c r="O2832">
        <f>(1-Summary!$B$11)*T2832+Summary!$B$11*V2832</f>
        <v/>
      </c>
      <c r="P2832">
        <f>IF(B2854=0,0,O2832/B2854)</f>
        <v/>
      </c>
      <c r="Q2832" t="n">
        <v>0</v>
      </c>
      <c r="R2832" t="n">
        <v>0</v>
      </c>
      <c r="S2832">
        <f>IFERROR(O2832/N2832,0)</f>
        <v/>
      </c>
      <c r="T2832" t="n">
        <v>0</v>
      </c>
      <c r="V2832" t="n">
        <v>0</v>
      </c>
    </row>
    <row r="2833">
      <c r="A2833">
        <f>Skills!A20</f>
        <v/>
      </c>
      <c r="B2833">
        <f>Skills!B20</f>
        <v/>
      </c>
      <c r="C2833">
        <f>Inputs!$B$3&gt;=10</f>
        <v/>
      </c>
      <c r="D2833">
        <f>IF(Skills!C20=1,60+Inputs!$B$25+Inputs!$B$29,IF(Skills!C20=2,90+Inputs!$B$26+Inputs!$B$29,IF(Skills!C20=3,120+Inputs!$B$27+Inputs!$B$29,MAX(0,(Inputs!$B$3-100)*3)+Inputs!$B$28+Inputs!$B$29)))</f>
        <v/>
      </c>
      <c r="E2833">
        <f>INDEX(FactorTable!$B$2:$Y$301, MATCH(ROUND(MIN(300,MAX(1,D2833)),0), FactorTable!$A$2:$A$301,0), Skills!M20+1)</f>
        <v/>
      </c>
      <c r="F2833">
        <f>IF(Skills!N20=TRUE,(Skills!L20/10)*(E2833/1000),Skills!L20/10)+Skills!O20</f>
        <v/>
      </c>
      <c r="G2833">
        <f>Skills!G20*IF(Skills!H20&gt;0,Skills!I20/Skills!H20,1)</f>
        <v/>
      </c>
      <c r="H2833">
        <f>1-(1-Skills!J20/100)^Skills!K20</f>
        <v/>
      </c>
      <c r="I2833" t="inlineStr">
        <is>
          <t>1</t>
        </is>
      </c>
      <c r="J2833" t="inlineStr"/>
      <c r="K2833" t="inlineStr"/>
      <c r="L2833" t="inlineStr"/>
      <c r="M2833" t="inlineStr"/>
      <c r="N2833" t="inlineStr"/>
      <c r="O2833">
        <f>(1-Summary!$B$11)*T2833+Summary!$B$11*V2833</f>
        <v/>
      </c>
      <c r="P2833">
        <f>IF(B2854=0,0,O2833/B2854)</f>
        <v/>
      </c>
      <c r="Q2833" t="n">
        <v>0</v>
      </c>
      <c r="R2833" t="n">
        <v>0</v>
      </c>
      <c r="S2833">
        <f>IFERROR(O2833/N2833,0)</f>
        <v/>
      </c>
      <c r="T2833" t="n">
        <v>0</v>
      </c>
      <c r="V2833" t="n">
        <v>0</v>
      </c>
    </row>
    <row r="2834">
      <c r="A2834">
        <f>Skills!A21</f>
        <v/>
      </c>
      <c r="B2834">
        <f>Skills!B21</f>
        <v/>
      </c>
      <c r="C2834">
        <f>Inputs!$B$3&gt;=33</f>
        <v/>
      </c>
      <c r="D2834">
        <f>IF(Skills!C21=1,60+Inputs!$B$25+Inputs!$B$29,IF(Skills!C21=2,90+Inputs!$B$26+Inputs!$B$29,IF(Skills!C21=3,120+Inputs!$B$27+Inputs!$B$29,MAX(0,(Inputs!$B$3-100)*3)+Inputs!$B$28+Inputs!$B$29)))</f>
        <v/>
      </c>
      <c r="E2834">
        <f>INDEX(FactorTable!$B$2:$Y$301, MATCH(ROUND(MIN(300,MAX(1,D2834)),0), FactorTable!$A$2:$A$301,0), Skills!M21+1)</f>
        <v/>
      </c>
      <c r="F2834">
        <f>IF(Skills!N21=TRUE,(Skills!L21/10)*(E2834/1000),Skills!L21/10)+Skills!O21</f>
        <v/>
      </c>
      <c r="G2834">
        <f>Skills!G21*IF(Skills!H21&gt;0,Skills!I21/Skills!H21,1)</f>
        <v/>
      </c>
      <c r="H2834">
        <f>1-(1-Skills!J21/100)^Skills!K21</f>
        <v/>
      </c>
      <c r="I2834" t="inlineStr">
        <is>
          <t>1</t>
        </is>
      </c>
      <c r="J2834" t="inlineStr"/>
      <c r="K2834" t="inlineStr"/>
      <c r="L2834" t="inlineStr"/>
      <c r="M2834" t="inlineStr"/>
      <c r="N2834" t="inlineStr"/>
      <c r="O2834">
        <f>(1-Summary!$B$11)*T2834+Summary!$B$11*V2834</f>
        <v/>
      </c>
      <c r="P2834">
        <f>IF(B2854=0,0,O2834/B2854)</f>
        <v/>
      </c>
      <c r="Q2834" t="n">
        <v>0</v>
      </c>
      <c r="R2834" t="n">
        <v>0</v>
      </c>
      <c r="S2834">
        <f>IFERROR(O2834/N2834,0)</f>
        <v/>
      </c>
      <c r="T2834" t="n">
        <v>0</v>
      </c>
      <c r="V2834" t="n">
        <v>0</v>
      </c>
    </row>
    <row r="2835">
      <c r="A2835">
        <f>Skills!A22</f>
        <v/>
      </c>
      <c r="B2835">
        <f>Skills!B22</f>
        <v/>
      </c>
      <c r="C2835">
        <f>Inputs!$B$3&gt;=43</f>
        <v/>
      </c>
      <c r="D2835">
        <f>IF(Skills!C22=1,60+Inputs!$B$25+Inputs!$B$29,IF(Skills!C22=2,90+Inputs!$B$26+Inputs!$B$29,IF(Skills!C22=3,120+Inputs!$B$27+Inputs!$B$29,MAX(0,(Inputs!$B$3-100)*3)+Inputs!$B$28+Inputs!$B$29)))</f>
        <v/>
      </c>
      <c r="E2835">
        <f>INDEX(FactorTable!$B$2:$Y$301, MATCH(ROUND(MIN(300,MAX(1,D2835)),0), FactorTable!$A$2:$A$301,0), Skills!M22+1)</f>
        <v/>
      </c>
      <c r="F2835">
        <f>IF(Skills!N22=TRUE,(Skills!L22/10)*(E2835/1000),Skills!L22/10)+Skills!O22</f>
        <v/>
      </c>
      <c r="G2835">
        <f>Skills!G22*IF(Skills!H22&gt;0,Skills!I22/Skills!H22,1)</f>
        <v/>
      </c>
      <c r="H2835">
        <f>1-(1-Skills!J22/100)^Skills!K22</f>
        <v/>
      </c>
      <c r="I2835" t="inlineStr">
        <is>
          <t>1</t>
        </is>
      </c>
      <c r="J2835" t="inlineStr"/>
      <c r="K2835" t="inlineStr"/>
      <c r="L2835" t="inlineStr"/>
      <c r="M2835" t="inlineStr"/>
      <c r="N2835" t="inlineStr"/>
      <c r="O2835">
        <f>(1-Summary!$B$11)*T2835+Summary!$B$11*V2835</f>
        <v/>
      </c>
      <c r="P2835">
        <f>IF(B2854=0,0,O2835/B2854)</f>
        <v/>
      </c>
      <c r="Q2835" t="n">
        <v>0</v>
      </c>
      <c r="R2835" t="n">
        <v>0</v>
      </c>
      <c r="S2835">
        <f>IFERROR(O2835/N2835,0)</f>
        <v/>
      </c>
      <c r="T2835" t="n">
        <v>0</v>
      </c>
      <c r="V2835" t="n">
        <v>0</v>
      </c>
    </row>
    <row r="2836">
      <c r="A2836">
        <f>Skills!A23</f>
        <v/>
      </c>
      <c r="B2836">
        <f>Skills!B23</f>
        <v/>
      </c>
      <c r="C2836">
        <f>Inputs!$B$3&gt;=38</f>
        <v/>
      </c>
      <c r="D2836">
        <f>IF(Skills!C23=1,60+Inputs!$B$25+Inputs!$B$29,IF(Skills!C23=2,90+Inputs!$B$26+Inputs!$B$29,IF(Skills!C23=3,120+Inputs!$B$27+Inputs!$B$29,MAX(0,(Inputs!$B$3-100)*3)+Inputs!$B$28+Inputs!$B$29)))</f>
        <v/>
      </c>
      <c r="E2836">
        <f>INDEX(FactorTable!$B$2:$Y$301, MATCH(ROUND(MIN(300,MAX(1,D2836)),0), FactorTable!$A$2:$A$301,0), Skills!M23+1)</f>
        <v/>
      </c>
      <c r="F2836">
        <f>IF(Skills!N23=TRUE,(Skills!L23/10)*(E2836/1000),Skills!L23/10)+Skills!O23</f>
        <v/>
      </c>
      <c r="G2836">
        <f>Skills!G23*IF(Skills!H23&gt;0,Skills!I23/Skills!H23,1)</f>
        <v/>
      </c>
      <c r="H2836">
        <f>1-(1-Skills!J23/100)^Skills!K23</f>
        <v/>
      </c>
      <c r="I2836" t="inlineStr">
        <is>
          <t>1</t>
        </is>
      </c>
      <c r="J2836" t="inlineStr"/>
      <c r="K2836" t="inlineStr"/>
      <c r="L2836" t="inlineStr"/>
      <c r="M2836" t="inlineStr"/>
      <c r="N2836" t="inlineStr"/>
      <c r="O2836">
        <f>(1-Summary!$B$11)*T2836+Summary!$B$11*V2836</f>
        <v/>
      </c>
      <c r="P2836">
        <f>IF(B2854=0,0,O2836/B2854)</f>
        <v/>
      </c>
      <c r="Q2836" t="n">
        <v>0</v>
      </c>
      <c r="R2836" t="n">
        <v>0</v>
      </c>
      <c r="S2836">
        <f>IFERROR(O2836/N2836,0)</f>
        <v/>
      </c>
      <c r="T2836" t="n">
        <v>0</v>
      </c>
      <c r="V2836" t="n">
        <v>0</v>
      </c>
    </row>
    <row r="2837">
      <c r="A2837">
        <f>Skills!A24</f>
        <v/>
      </c>
      <c r="B2837">
        <f>Skills!B24</f>
        <v/>
      </c>
      <c r="C2837">
        <f>Inputs!$B$3&gt;=40</f>
        <v/>
      </c>
      <c r="D2837">
        <f>IF(Skills!C24=1,60+Inputs!$B$25+Inputs!$B$29,IF(Skills!C24=2,90+Inputs!$B$26+Inputs!$B$29,IF(Skills!C24=3,120+Inputs!$B$27+Inputs!$B$29,MAX(0,(Inputs!$B$3-100)*3)+Inputs!$B$28+Inputs!$B$29)))</f>
        <v/>
      </c>
      <c r="E2837">
        <f>INDEX(FactorTable!$B$2:$Y$301, MATCH(ROUND(MIN(300,MAX(1,D2837)),0), FactorTable!$A$2:$A$301,0), Skills!M24+1)</f>
        <v/>
      </c>
      <c r="F2837">
        <f>IF(Skills!N24=TRUE,(Skills!L24/10)*(E2837/1000),Skills!L24/10)+Skills!O24</f>
        <v/>
      </c>
      <c r="G2837">
        <f>Skills!G24*IF(Skills!H24&gt;0,Skills!I24/Skills!H24,1)</f>
        <v/>
      </c>
      <c r="H2837">
        <f>1-(1-Skills!J24/100)^Skills!K24</f>
        <v/>
      </c>
      <c r="I2837" t="inlineStr">
        <is>
          <t>1</t>
        </is>
      </c>
      <c r="J2837" t="inlineStr"/>
      <c r="K2837" t="inlineStr"/>
      <c r="L2837" t="inlineStr"/>
      <c r="M2837" t="inlineStr"/>
      <c r="N2837" t="inlineStr"/>
      <c r="O2837">
        <f>(1-Summary!$B$11)*T2837+Summary!$B$11*V2837</f>
        <v/>
      </c>
      <c r="P2837">
        <f>IF(B2854=0,0,O2837/B2854)</f>
        <v/>
      </c>
      <c r="Q2837" t="n">
        <v>0</v>
      </c>
      <c r="R2837" t="n">
        <v>0</v>
      </c>
      <c r="S2837">
        <f>IFERROR(O2837/N2837,0)</f>
        <v/>
      </c>
      <c r="T2837" t="n">
        <v>0</v>
      </c>
      <c r="V2837" t="n">
        <v>0</v>
      </c>
    </row>
    <row r="2838">
      <c r="A2838">
        <f>Skills!A25</f>
        <v/>
      </c>
      <c r="B2838">
        <f>Skills!B25</f>
        <v/>
      </c>
      <c r="C2838">
        <f>Inputs!$B$3&gt;=72</f>
        <v/>
      </c>
      <c r="D2838">
        <f>IF(Skills!C25=1,60+Inputs!$B$25+Inputs!$B$29,IF(Skills!C25=2,90+Inputs!$B$26+Inputs!$B$29,IF(Skills!C25=3,120+Inputs!$B$27+Inputs!$B$29,MAX(0,(Inputs!$B$3-100)*3)+Inputs!$B$28+Inputs!$B$29)))</f>
        <v/>
      </c>
      <c r="E2838">
        <f>INDEX(FactorTable!$B$2:$Y$301, MATCH(ROUND(MIN(300,MAX(1,D2838)),0), FactorTable!$A$2:$A$301,0), Skills!M25+1)</f>
        <v/>
      </c>
      <c r="F2838">
        <f>IF(Skills!N25=TRUE,(Skills!L25/10)*(E2838/1000),Skills!L25/10)+Skills!O25</f>
        <v/>
      </c>
      <c r="G2838">
        <f>Skills!G25*IF(Skills!H25&gt;0,Skills!I25/Skills!H25,1)</f>
        <v/>
      </c>
      <c r="H2838">
        <f>1-(1-Skills!J25/100)^Skills!K25</f>
        <v/>
      </c>
      <c r="I2838" t="inlineStr">
        <is>
          <t>1</t>
        </is>
      </c>
      <c r="J2838" t="inlineStr"/>
      <c r="K2838" t="inlineStr"/>
      <c r="L2838" t="inlineStr"/>
      <c r="M2838" t="inlineStr"/>
      <c r="N2838" t="inlineStr"/>
      <c r="O2838">
        <f>(1-Summary!$B$11)*T2838+Summary!$B$11*V2838</f>
        <v/>
      </c>
      <c r="P2838">
        <f>IF(B2854=0,0,O2838/B2854)</f>
        <v/>
      </c>
      <c r="Q2838" t="n">
        <v>0</v>
      </c>
      <c r="R2838" t="n">
        <v>0</v>
      </c>
      <c r="S2838">
        <f>IFERROR(O2838/N2838,0)</f>
        <v/>
      </c>
      <c r="T2838" t="n">
        <v>0</v>
      </c>
      <c r="V2838" t="n">
        <v>0</v>
      </c>
    </row>
    <row r="2839">
      <c r="A2839">
        <f>Skills!A26</f>
        <v/>
      </c>
      <c r="B2839">
        <f>Skills!B26</f>
        <v/>
      </c>
      <c r="C2839">
        <f>Inputs!$B$3&gt;=75</f>
        <v/>
      </c>
      <c r="D2839">
        <f>IF(Skills!C26=1,60+Inputs!$B$25+Inputs!$B$29,IF(Skills!C26=2,90+Inputs!$B$26+Inputs!$B$29,IF(Skills!C26=3,120+Inputs!$B$27+Inputs!$B$29,MAX(0,(Inputs!$B$3-100)*3)+Inputs!$B$28+Inputs!$B$29)))</f>
        <v/>
      </c>
      <c r="E2839">
        <f>INDEX(FactorTable!$B$2:$Y$301, MATCH(ROUND(MIN(300,MAX(1,D2839)),0), FactorTable!$A$2:$A$301,0), Skills!M26+1)</f>
        <v/>
      </c>
      <c r="F2839">
        <f>IF(Skills!N26=TRUE,(Skills!L26/10)*(E2839/1000),Skills!L26/10)+Skills!O26</f>
        <v/>
      </c>
      <c r="G2839">
        <f>Skills!G26*IF(Skills!H26&gt;0,Skills!I26/Skills!H26,1)</f>
        <v/>
      </c>
      <c r="H2839">
        <f>1-(1-Skills!J26/100)^Skills!K26</f>
        <v/>
      </c>
      <c r="I2839" t="inlineStr">
        <is>
          <t>1</t>
        </is>
      </c>
      <c r="J2839" t="inlineStr"/>
      <c r="K2839" t="inlineStr"/>
      <c r="L2839" t="inlineStr"/>
      <c r="M2839" t="inlineStr"/>
      <c r="N2839" t="inlineStr"/>
      <c r="O2839">
        <f>(1-Summary!$B$11)*T2839+Summary!$B$11*V2839</f>
        <v/>
      </c>
      <c r="P2839">
        <f>IF(B2854=0,0,O2839/B2854)</f>
        <v/>
      </c>
      <c r="Q2839" t="n">
        <v>0</v>
      </c>
      <c r="R2839" t="n">
        <v>0</v>
      </c>
      <c r="S2839">
        <f>IFERROR(O2839/N2839,0)</f>
        <v/>
      </c>
      <c r="T2839" t="n">
        <v>0</v>
      </c>
      <c r="V2839" t="n">
        <v>0</v>
      </c>
    </row>
    <row r="2840">
      <c r="A2840">
        <f>Skills!A27</f>
        <v/>
      </c>
      <c r="B2840">
        <f>Skills!B27</f>
        <v/>
      </c>
      <c r="C2840">
        <f>Inputs!$B$3&gt;=117</f>
        <v/>
      </c>
      <c r="D2840">
        <f>IF(Skills!C27=1,60+Inputs!$B$25+Inputs!$B$29,IF(Skills!C27=2,90+Inputs!$B$26+Inputs!$B$29,IF(Skills!C27=3,120+Inputs!$B$27+Inputs!$B$29,MAX(0,(Inputs!$B$3-100)*3)+Inputs!$B$28+Inputs!$B$29)))</f>
        <v/>
      </c>
      <c r="E2840">
        <f>INDEX(FactorTable!$B$2:$Y$301, MATCH(ROUND(MIN(300,MAX(1,D2840)),0), FactorTable!$A$2:$A$301,0), Skills!M27+1)</f>
        <v/>
      </c>
      <c r="F2840">
        <f>IF(Skills!N27=TRUE,(Skills!L27/10)*(E2840/1000),Skills!L27/10)+Skills!O27</f>
        <v/>
      </c>
      <c r="G2840">
        <f>Skills!G27*IF(Skills!H27&gt;0,Skills!I27/Skills!H27,1)</f>
        <v/>
      </c>
      <c r="H2840">
        <f>1-(1-Skills!J27/100)^Skills!K27</f>
        <v/>
      </c>
      <c r="I2840" t="inlineStr">
        <is>
          <t>1</t>
        </is>
      </c>
      <c r="J2840" t="inlineStr"/>
      <c r="K2840" t="inlineStr"/>
      <c r="L2840" t="inlineStr"/>
      <c r="M2840" t="inlineStr"/>
      <c r="N2840" t="inlineStr"/>
      <c r="O2840">
        <f>(1-Summary!$B$11)*T2840+Summary!$B$11*V2840</f>
        <v/>
      </c>
      <c r="P2840">
        <f>IF(B2854=0,0,O2840/B2854)</f>
        <v/>
      </c>
      <c r="Q2840" t="n">
        <v>0</v>
      </c>
      <c r="R2840" t="n">
        <v>0</v>
      </c>
      <c r="S2840">
        <f>IFERROR(O2840/N2840,0)</f>
        <v/>
      </c>
      <c r="T2840" t="n">
        <v>0</v>
      </c>
      <c r="V2840" t="n">
        <v>0</v>
      </c>
    </row>
    <row r="2841">
      <c r="A2841">
        <f>Skills!A28</f>
        <v/>
      </c>
      <c r="B2841">
        <f>Skills!B28</f>
        <v/>
      </c>
      <c r="C2841">
        <f>TRUE</f>
        <v/>
      </c>
      <c r="D2841">
        <f>IF(Skills!C28=1,60+Inputs!$B$25+Inputs!$B$29,IF(Skills!C28=2,90+Inputs!$B$26+Inputs!$B$29,IF(Skills!C28=3,120+Inputs!$B$27+Inputs!$B$29,MAX(0,(Inputs!$B$3-100)*3)+Inputs!$B$28+Inputs!$B$29)))</f>
        <v/>
      </c>
      <c r="E2841">
        <f>INDEX(FactorTable!$B$2:$Y$301, MATCH(ROUND(MIN(300,MAX(1,D2841)),0), FactorTable!$A$2:$A$301,0), Skills!M28+1)</f>
        <v/>
      </c>
      <c r="F2841">
        <f>IF(Skills!N28=TRUE,(Skills!L28/10)*(E2841/1000),Skills!L28/10)+Skills!O28</f>
        <v/>
      </c>
      <c r="G2841">
        <f>Skills!G28*IF(Skills!H28&gt;0,Skills!I28/Skills!H28,1)</f>
        <v/>
      </c>
      <c r="H2841">
        <f>1-(1-Skills!J28/100)^Skills!K28</f>
        <v/>
      </c>
      <c r="I2841" t="inlineStr">
        <is>
          <t>1</t>
        </is>
      </c>
      <c r="J2841" t="inlineStr"/>
      <c r="K2841" t="inlineStr"/>
      <c r="L2841" t="inlineStr"/>
      <c r="M2841" t="inlineStr"/>
      <c r="N2841" t="inlineStr"/>
      <c r="O2841">
        <f>(1-Summary!$B$11)*T2841+Summary!$B$11*V2841</f>
        <v/>
      </c>
      <c r="P2841">
        <f>IF(B2854=0,0,O2841/B2854)</f>
        <v/>
      </c>
      <c r="Q2841">
        <f>IFERROR(1/(IF(Inputs!$B$38="pvp",15,MAX(0.1,Skills!D28-IF(Skills!E28=TRUE,0.5,0)))*(1-IF(AND(ArtifactsInput!$M$27,Inputs!$B$4="Chapter Hunt"),CHOOSE(ArtifactsInput!$N$27+1,20,24,28,32,36,40),0)/100)),0)</f>
        <v/>
      </c>
      <c r="R2841">
        <f>IF(AND(Inputs!$B$38&lt;&gt;"pvp",Inputs!$B$43&gt;0),IF(Inputs!$B$43&lt;=0,0,(INT(Inputs!$B$43/(IF(Inputs!$B$38="pvp",15,MAX(0.1,Skills!D28-IF(Skills!E28=TRUE,0.5,0)))*(1-IF(AND(ArtifactsInput!$M$27,Inputs!$B$4="Chapter Hunt"),CHOOSE(ArtifactsInput!$N$27+1,20,24,28,32,36,40),0)/100)))+1)),0)</f>
        <v/>
      </c>
      <c r="S2841">
        <f>IFERROR(O2841/N2841,0)</f>
        <v/>
      </c>
      <c r="T2841" t="n">
        <v>0</v>
      </c>
      <c r="V2841" t="n">
        <v>0</v>
      </c>
    </row>
    <row r="2843">
      <c r="A2843" t="inlineStr">
        <is>
          <t>Attack% Bucket Multiplier</t>
        </is>
      </c>
      <c r="B2843">
        <f>(1+(((C2830=TRUE)*F2830*5/7)+((C2837=TRUE)*(F2837-Calc!F24))+(IF(ArtifactsInput!$M$21,CHOOSE(ArtifactsInput!$N$21+1,25,30,35,40,45,50)*(IF(OR(Inputs!$B$4="Chapter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44">
      <c r="A2844" t="inlineStr">
        <is>
          <t>Global Crit Rate Bonus %</t>
        </is>
      </c>
      <c r="B2844" t="n">
        <v>0</v>
      </c>
    </row>
    <row r="2845">
      <c r="A2845" t="inlineStr">
        <is>
          <t>Attack Speed Buff Bonus % (Nimble Feet, duty-cycle averaged)</t>
        </is>
      </c>
      <c r="B2845">
        <f>((C2841=TRUE)*F2841*IF(AND(Inputs!$B$38&lt;&gt;"pvp",Inputs!$B$43&gt;0),(((R2841-1)*(Skills!T28*(1+Inputs!$B$34/100))+MIN((Skills!T28*(1+Inputs!$B$34/100)),MAX(0,Inputs!$B$43-((R2841-1)*Skills!D28))))/Inputs!$B$43),IF(Inputs!$B$38="pvp",MIN((Skills!T28*(1+Inputs!$B$34/100)),15)/15,(Skills!T28*(1+Inputs!$B$34/100))/Skills!D28)))</f>
        <v/>
      </c>
    </row>
    <row r="2846">
      <c r="A2846" t="inlineStr">
        <is>
          <t>Actions Per Second</t>
        </is>
      </c>
      <c r="B2846">
        <f>1+MIN(150,150*(1-(1-(Inputs!$B$11+((C2833=TRUE)*(F2833-Calc!F20))+((C2834=TRUE)*(F2834-Calc!F21)))/150)*(1-B2845/150)))/100</f>
        <v/>
      </c>
    </row>
    <row r="2847">
      <c r="A2847" t="inlineStr">
        <is>
          <t>Skill + Buff Cast Rate</t>
        </is>
      </c>
      <c r="B2847">
        <f>IF(AND(Inputs!$B$38&lt;&gt;"pvp",Inputs!$B$43&gt;0),SUMPRODUCT((Skills!E2:E28=TRUE)*(C2815:C2841=TRUE)*R2815:R2841*Skills!F2:F28)/Inputs!$B$43,SUMPRODUCT((Skills!E2:E28=TRUE)*(C2815:C2841=TRUE)*Q2815:Q2841*Skills!F2:F28))</f>
        <v/>
      </c>
    </row>
    <row r="2848">
      <c r="A2848" t="inlineStr">
        <is>
          <t>Eight-Legs Easton Casts Per Second</t>
        </is>
      </c>
      <c r="B2848">
        <f>MAX(0,B2846-B2847)</f>
        <v/>
      </c>
    </row>
    <row r="2849">
      <c r="A2849" t="inlineStr">
        <is>
          <t>Global Critical Damage Bonus % (unused)</t>
        </is>
      </c>
      <c r="B2849" t="n">
        <v>0</v>
      </c>
    </row>
    <row r="2850">
      <c r="A2850" t="inlineStr">
        <is>
          <t>Global Final Damage Bonus % (Jolly Roger + Ahoy Mateys - Final Damage proc)</t>
        </is>
      </c>
      <c r="B2850">
        <f>((C2831=TRUE)*F2831*IF(AND(Inputs!$B$38&lt;&gt;"pvp",Inputs!$B$43&gt;0),(((R2831-1)*(Skills!T18*(1+Inputs!$B$34/100))+MIN((Skills!T18*(1+Inputs!$B$34/100)),MAX(0,Inputs!$B$43-((R2831-1)*Skills!D18))))/Inputs!$B$43),IF(Inputs!$B$38="pvp",MIN((Skills!T18*(1+Inputs!$B$34/100)),15)/15,(Skills!T18*(1+Inputs!$B$34/100))/Skills!D18)))+IF(Inputs!$B$3&gt;=122,20*IF(Inputs!$B$38="pvp",MIN((20*(1+Inputs!$B$34/100)),15)/15,(20*(1+Inputs!$B$34/100))/Skills!D4),0)</f>
        <v/>
      </c>
    </row>
    <row r="2851">
      <c r="A2851" t="inlineStr">
        <is>
          <t>Buff-Casting Startup Delay (s, fixed-duration only)</t>
        </is>
      </c>
      <c r="B2851">
        <f>IF(AND(Inputs!$B$38&lt;&gt;"pvp",Inputs!$B$43&gt;0),SUMPRODUCT((Skills!T2:T28&gt;0)*(Skills!E2:E28=TRUE)*(C2815:C2841=TRUE))/B2846,0)</f>
        <v/>
      </c>
    </row>
    <row r="2852">
      <c r="A2852" t="inlineStr">
        <is>
          <t>Boss-Only Total DPS (this block's swept value)</t>
        </is>
      </c>
      <c r="B2852">
        <f>SUM(T2815:T2841)</f>
        <v/>
      </c>
    </row>
    <row r="2853">
      <c r="A2853" t="inlineStr">
        <is>
          <t>Normal-Only Total DPS (this block's swept value)</t>
        </is>
      </c>
      <c r="B2853">
        <f>SUM(V2815:V2841)</f>
        <v/>
      </c>
    </row>
    <row r="2854">
      <c r="A2854" s="6" t="inlineStr">
        <is>
          <t>TOTAL DPS</t>
        </is>
      </c>
      <c r="B2854" s="6">
        <f>SUM(O2815:O2841)</f>
        <v/>
      </c>
    </row>
    <row r="2857">
      <c r="A2857" s="6" t="inlineStr">
        <is>
          <t>Stat: CDR = 1.0s</t>
        </is>
      </c>
    </row>
    <row r="2858">
      <c r="A2858" s="5" t="inlineStr">
        <is>
          <t>Key</t>
        </is>
      </c>
      <c r="B2858" s="5" t="inlineStr">
        <is>
          <t>Name</t>
        </is>
      </c>
      <c r="C2858" s="5" t="inlineStr">
        <is>
          <t>Unlocked</t>
        </is>
      </c>
      <c r="D2858" s="5" t="inlineStr">
        <is>
          <t>InputLevel</t>
        </is>
      </c>
      <c r="E2858" s="5" t="inlineStr">
        <is>
          <t>Factor</t>
        </is>
      </c>
      <c r="F2858" s="5" t="inlineStr">
        <is>
          <t>CoefficientPercent</t>
        </is>
      </c>
      <c r="G2858" s="5" t="inlineStr">
        <is>
          <t>EffectiveHits</t>
        </is>
      </c>
      <c r="H2858" s="5" t="inlineStr">
        <is>
          <t>ProcProbability</t>
        </is>
      </c>
      <c r="I2858" s="5" t="inlineStr">
        <is>
          <t>MapleHeroMultiplier</t>
        </is>
      </c>
      <c r="J2858" s="5" t="inlineStr">
        <is>
          <t>BaseDamage</t>
        </is>
      </c>
      <c r="K2858" s="5" t="inlineStr">
        <is>
          <t>BaseHitDamage</t>
        </is>
      </c>
      <c r="L2858" s="5" t="inlineStr">
        <is>
          <t>NonCritAvg</t>
        </is>
      </c>
      <c r="M2858" s="5" t="inlineStr">
        <is>
          <t>CritAvg</t>
        </is>
      </c>
      <c r="N2858" s="5" t="inlineStr">
        <is>
          <t>ExpectedDamage(perHit)</t>
        </is>
      </c>
      <c r="O2858" s="5" t="inlineStr">
        <is>
          <t>DPS</t>
        </is>
      </c>
      <c r="P2858" s="5" t="inlineStr">
        <is>
          <t>% of Total</t>
        </is>
      </c>
      <c r="Q2858" s="5" t="inlineStr">
        <is>
          <t>InvCooldown</t>
        </is>
      </c>
      <c r="R2858" s="5" t="inlineStr">
        <is>
          <t>CastsInFight</t>
        </is>
      </c>
      <c r="S2858" s="5" t="inlineStr">
        <is>
          <t>HitRate(perSec)</t>
        </is>
      </c>
      <c r="U2858" t="inlineStr">
        <is>
          <t>helpers</t>
        </is>
      </c>
    </row>
    <row r="2859">
      <c r="A2859">
        <f>Skills!A2</f>
        <v/>
      </c>
      <c r="B2859">
        <f>Skills!B2</f>
        <v/>
      </c>
      <c r="C2859">
        <f>Inputs!$B$3&gt;=100</f>
        <v/>
      </c>
      <c r="D2859" t="inlineStr"/>
      <c r="E2859" t="inlineStr"/>
      <c r="F2859">
        <f>U2861+Skills!O2</f>
        <v/>
      </c>
      <c r="G2859">
        <f>Skills!G2*IF(Skills!H2&gt;0,Skills!I2/Skills!H2,1)</f>
        <v/>
      </c>
      <c r="H2859">
        <f>1-(1-Skills!J2/100)^Skills!K2</f>
        <v/>
      </c>
      <c r="I2859" t="inlineStr">
        <is>
          <t>1</t>
        </is>
      </c>
      <c r="J2859">
        <f>((Inputs!$B$6*(1+Inputs!$B$7/100))+(((Inputs!$B$12*(1+Inputs!$B$13/100))-(Inputs!$B$12*(1+Inputs!$B$13/100)))+0.25*(Inputs!$B$14-Inputs!$B$14))*(1+Inputs!$B$7/100))*(F2859/100)</f>
        <v/>
      </c>
      <c r="K2859">
        <f>J2859*(1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2859)</f>
        <v/>
      </c>
      <c r="L2859">
        <f>K2859*(MIN(Inputs!$B$22+((C2879=TRUE)*(F2879-Calc!F22)),(Inputs!$B$23+0+(IF(ArtifactsInput!$M$15,CHOOSE(ArtifactsInput!$N$15+1,25,30,35,40,45,50)/100*(Inputs!$B$11-Inputs!$B$11),0))))/100+(Inputs!$B$23+0+(IF(ArtifactsInput!$M$15,CHOOSE(ArtifactsInput!$N$15+1,25,30,35,40,45,50)/100*(Inputs!$B$11-Inputs!$B$11),0)))/100)/2</f>
        <v/>
      </c>
      <c r="M2859">
        <f>L2859*(1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9">
        <f>L2859*(1-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2859*(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9">
        <f>(1-Summary!$B$11)*T2859+Summary!$B$11*V2859</f>
        <v/>
      </c>
      <c r="P2859">
        <f>IF(B2898=0,0,O2859/B2898)</f>
        <v/>
      </c>
      <c r="Q2859" t="n">
        <v>0</v>
      </c>
      <c r="R2859" t="n">
        <v>0</v>
      </c>
      <c r="S2859">
        <f>IFERROR(O2859/N2859,0)</f>
        <v/>
      </c>
      <c r="T2859">
        <f>IF(C2859,(Skills!G2*N2859*B2892)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2859*(1-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2859*(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2859*(1-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2859*(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9">
        <f>MAX(0,(Inputs!$B$3-100)*3)+Inputs!$B$28+Inputs!$B$29</f>
        <v/>
      </c>
      <c r="V2859">
        <f>IF(C2859,(Skills!G2*N2859*B2892)*IF(Inputs!$B$38="pvp",1,(1+(Inputs!$B$21+Skills!Q2+(IF(ArtifactsInput!$M$33,CHOOSE(ArtifactsInput!$N$33+1,30,36,42,48,54,60),0))+(IF(AND(ArtifactsInput!$M$35,Inputs!$B$4&lt;&gt;"Chapter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0">
      <c r="A2860">
        <f>Skills!A3</f>
        <v/>
      </c>
      <c r="B2860">
        <f>Skills!B3</f>
        <v/>
      </c>
      <c r="C2860">
        <f>Inputs!$B$3&gt;=35</f>
        <v/>
      </c>
      <c r="D2860">
        <f>IF(Skills!C3=1,60+Inputs!$B$25+Inputs!$B$29,IF(Skills!C3=2,90+Inputs!$B$26+Inputs!$B$29,IF(Skills!C3=3,120+Inputs!$B$27+Inputs!$B$29,MAX(0,(Inputs!$B$3-100)*3)+Inputs!$B$28+Inputs!$B$29)))</f>
        <v/>
      </c>
      <c r="E2860">
        <f>INDEX(FactorTable!$B$2:$Y$301, MATCH(ROUND(MIN(300,MAX(1,D2860)),0), FactorTable!$A$2:$A$301,0), Skills!M3+1)</f>
        <v/>
      </c>
      <c r="F2860">
        <f>IF(Skills!N3=TRUE,(Skills!L3/10)*(E2860/1000),Skills!L3/10)+Skills!O3</f>
        <v/>
      </c>
      <c r="G2860">
        <f>Skills!G3*IF(Skills!H3&gt;0,Skills!I3/Skills!H3,1)</f>
        <v/>
      </c>
      <c r="H2860">
        <f>1-(1-Skills!J3/100)^Skills!K3</f>
        <v/>
      </c>
      <c r="I2860" t="inlineStr">
        <is>
          <t>1</t>
        </is>
      </c>
      <c r="J2860">
        <f>((Inputs!$B$6*(1+Inputs!$B$7/100))+(((Inputs!$B$12*(1+Inputs!$B$13/100))-(Inputs!$B$12*(1+Inputs!$B$13/100)))+0.25*(Inputs!$B$14-Inputs!$B$14))*(1+Inputs!$B$7/100))*(F2860/100)</f>
        <v/>
      </c>
      <c r="K2860">
        <f>J2860*(1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2872=TRUE,F2872,0)/100)*(1+(IF(Skills!A3="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2860)</f>
        <v/>
      </c>
      <c r="L2860">
        <f>K2860*(MIN(Inputs!$B$22+((C2879=TRUE)*(F2879-Calc!F22)),(Inputs!$B$23+0+(IF(ArtifactsInput!$M$15,CHOOSE(ArtifactsInput!$N$15+1,25,30,35,40,45,50)/100*(Inputs!$B$11-Inputs!$B$11),0))))/100+(Inputs!$B$23+0+(IF(ArtifactsInput!$M$15,CHOOSE(ArtifactsInput!$N$15+1,25,30,35,40,45,50)/100*(Inputs!$B$11-Inputs!$B$11),0)))/100)/2</f>
        <v/>
      </c>
      <c r="M2860">
        <f>L2860*(1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0">
        <f>L2860*(1-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2860*(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0">
        <f>(1-Summary!$B$11)*T2860+Summary!$B$11*V2860</f>
        <v/>
      </c>
      <c r="P2860">
        <f>IF(B2898=0,0,O2860/B2898)</f>
        <v/>
      </c>
      <c r="Q2860">
        <f>IFERROR(1/(IF(Inputs!$B$38="pvp",15,MAX(0.1,Skills!D3-IF(Skills!E3=TRUE,1.0,0)))*(1-IF(AND(ArtifactsInput!$M$27,Inputs!$B$4="Chapter Hunt"),CHOOSE(ArtifactsInput!$N$27+1,20,24,28,32,36,40),0)/100)),0)</f>
        <v/>
      </c>
      <c r="R2860">
        <f>IF(AND(Inputs!$B$38&lt;&gt;"pvp",Inputs!$B$43&gt;0),IF(MAX(0,Inputs!$B$43-B2895)&lt;=0,0,(INT(MAX(0,Inputs!$B$43-B2895)/(IF(Inputs!$B$38="pvp",15,MAX(0.1,Skills!D3-IF(Skills!E3=TRUE,1.0,0)))*(1-IF(AND(ArtifactsInput!$M$27,Inputs!$B$4="Chapter Hunt"),CHOOSE(ArtifactsInput!$N$27+1,20,24,28,32,36,40),0)/100)))+1)),0)</f>
        <v/>
      </c>
      <c r="S2860">
        <f>IFERROR(O2860/N2860,0)</f>
        <v/>
      </c>
      <c r="T2860">
        <f>IF(C2860,(H2860*N2860*IF(AND(Inputs!$B$38&lt;&gt;"pvp",Inputs!$B$43&gt;0),((Skills!G3*((R2860-1)*IF(Skills!H3&gt;0,Skills!I3/Skills!H3,1)+IF(Skills!H3&gt;0,MIN(Skills!I3,MAX(0,MAX(0,Inputs!$B$43-B2895)-((R2860-1)*(IF(Inputs!$B$38="pvp",15,MAX(0.1,Skills!D3-IF(Skills!E3=TRUE,1.0,0)))*(1-IF(AND(ArtifactsInput!$M$27,Inputs!$B$4="Chapter Hunt"),CHOOSE(ArtifactsInput!$N$27+1,20,24,28,32,36,40),0)/100)))))/Skills!H3,1)))/Inputs!$B$43),G2860*Q2860)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2860*(1-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2860*(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2860*(1-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2860*(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0">
        <f>INDEX(FactorTable!$B$2:$Y$301, MATCH(ROUND(MIN(300,MAX(1,U2859)),0), FactorTable!$A$2:$A$301,0), 22)</f>
        <v/>
      </c>
      <c r="V2860">
        <f>IF(C2860,(H2860*N2860*IF(AND(Inputs!$B$38&lt;&gt;"pvp",Inputs!$B$43&gt;0),((Skills!G3*((R2860-1)*IF(Skills!H3&gt;0,Skills!I3/Skills!H3,1)+IF(Skills!H3&gt;0,MIN(Skills!I3,MAX(0,MAX(0,Inputs!$B$43-B2895)-((R2860-1)*(IF(Inputs!$B$38="pvp",15,MAX(0.1,Skills!D3-IF(Skills!E3=TRUE,1.0,0)))*(1-IF(AND(ArtifactsInput!$M$27,Inputs!$B$4="Chapter Hunt"),CHOOSE(ArtifactsInput!$N$27+1,20,24,28,32,36,40),0)/100)))))/Skills!H3,1)))/Inputs!$B$43),G2860*Q2860))*IF(Inputs!$B$38="pvp",1,(1+(Inputs!$B$21+Skills!Q3+(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1">
      <c r="A2861">
        <f>Skills!A4</f>
        <v/>
      </c>
      <c r="B2861">
        <f>Skills!B4</f>
        <v/>
      </c>
      <c r="C2861">
        <f>Inputs!$B$3&gt;=40</f>
        <v/>
      </c>
      <c r="D2861">
        <f>IF(Skills!C4=1,60+Inputs!$B$25+Inputs!$B$29,IF(Skills!C4=2,90+Inputs!$B$26+Inputs!$B$29,IF(Skills!C4=3,120+Inputs!$B$27+Inputs!$B$29,MAX(0,(Inputs!$B$3-100)*3)+Inputs!$B$28+Inputs!$B$29)))</f>
        <v/>
      </c>
      <c r="E2861">
        <f>INDEX(FactorTable!$B$2:$Y$301, MATCH(ROUND(MIN(300,MAX(1,D2861)),0), FactorTable!$A$2:$A$301,0), Skills!M4+1)</f>
        <v/>
      </c>
      <c r="F2861">
        <f>IF(Skills!N4=TRUE,(Skills!L4/10)*(E2861/1000),Skills!L4/10)+Skills!O4</f>
        <v/>
      </c>
      <c r="G2861">
        <f>Skills!G4*IF(Skills!H4&gt;0,Skills!I4/Skills!H4,1)</f>
        <v/>
      </c>
      <c r="H2861">
        <f>1-(1-Skills!J4/100)^Skills!K4</f>
        <v/>
      </c>
      <c r="I2861" t="inlineStr">
        <is>
          <t>1</t>
        </is>
      </c>
      <c r="J2861">
        <f>((Inputs!$B$6*(1+Inputs!$B$7/100))+(((Inputs!$B$12*(1+Inputs!$B$13/100))-(Inputs!$B$12*(1+Inputs!$B$13/100)))+0.25*(Inputs!$B$14-Inputs!$B$14))*(1+Inputs!$B$7/100))*(F2861/100)</f>
        <v/>
      </c>
      <c r="K2861">
        <f>J2861*(1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2873=TRUE,F2873,0)/100)*(1+(IF(Skills!A4="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2861)</f>
        <v/>
      </c>
      <c r="L2861">
        <f>K2861*(MIN(Inputs!$B$22+((C2879=TRUE)*(F2879-Calc!F22)),(Inputs!$B$23+0+(IF(ArtifactsInput!$M$15,CHOOSE(ArtifactsInput!$N$15+1,25,30,35,40,45,50)/100*(Inputs!$B$11-Inputs!$B$11),0))))/100+(Inputs!$B$23+0+(IF(ArtifactsInput!$M$15,CHOOSE(ArtifactsInput!$N$15+1,25,30,35,40,45,50)/100*(Inputs!$B$11-Inputs!$B$11),0)))/100)/2</f>
        <v/>
      </c>
      <c r="M2861">
        <f>L2861*(1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1">
        <f>L2861*(1-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1">
        <f>(1-Summary!$B$11)*T2861+Summary!$B$11*V2861</f>
        <v/>
      </c>
      <c r="P2861">
        <f>IF(B2898=0,0,O2861/B2898)</f>
        <v/>
      </c>
      <c r="Q2861">
        <f>IFERROR(1/(IF(Inputs!$B$38="pvp",15,MAX(0.1,Skills!D4-IF(Skills!E4=TRUE,1.0,0)))*(1-IF(AND(ArtifactsInput!$M$27,Inputs!$B$4="Chapter Hunt"),CHOOSE(ArtifactsInput!$N$27+1,20,24,28,32,36,40),0)/100)),0)</f>
        <v/>
      </c>
      <c r="R2861">
        <f>IF(AND(Inputs!$B$38&lt;&gt;"pvp",Inputs!$B$43&gt;0),IF(MAX(0,Inputs!$B$43-B2895)&lt;=0,0,(INT(MAX(0,Inputs!$B$43-B2895)/(IF(Inputs!$B$38="pvp",15,MAX(0.1,Skills!D4-IF(Skills!E4=TRUE,1.0,0)))*(1-IF(AND(ArtifactsInput!$M$27,Inputs!$B$4="Chapter Hunt"),CHOOSE(ArtifactsInput!$N$27+1,20,24,28,32,36,40),0)/100)))+1)),0)</f>
        <v/>
      </c>
      <c r="S2861">
        <f>IFERROR(O2861/N2861,0)</f>
        <v/>
      </c>
      <c r="T2861">
        <f>IF(C2861,(H2861*N2861*IF(AND(Inputs!$B$38&lt;&gt;"pvp",Inputs!$B$43&gt;0),((Skills!G4*((R2861-1)*IF(Skills!H4&gt;0,Skills!I4/Skills!H4,1)+IF(Skills!H4&gt;0,MIN(Skills!I4,MAX(0,MAX(0,Inputs!$B$43-B2895)-((R2861-1)*(IF(Inputs!$B$38="pvp",15,MAX(0.1,Skills!D4-IF(Skills!E4=TRUE,1.0,0)))*(1-IF(AND(ArtifactsInput!$M$27,Inputs!$B$4="Chapter Hunt"),CHOOSE(ArtifactsInput!$N$27+1,20,24,28,32,36,40),0)/100)))))/Skills!H4,1)))/Inputs!$B$43),G2861*Q2861)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2861*(1-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2861*(1-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1">
        <f>290*U2860/1000</f>
        <v/>
      </c>
      <c r="V2861">
        <f>IF(C2861,(H2861*N2861*IF(AND(Inputs!$B$38&lt;&gt;"pvp",Inputs!$B$43&gt;0),((Skills!G4*((R2861-1)*IF(Skills!H4&gt;0,Skills!I4/Skills!H4,1)+IF(Skills!H4&gt;0,MIN(Skills!I4,MAX(0,MAX(0,Inputs!$B$43-B2895)-((R2861-1)*(IF(Inputs!$B$38="pvp",15,MAX(0.1,Skills!D4-IF(Skills!E4=TRUE,1.0,0)))*(1-IF(AND(ArtifactsInput!$M$27,Inputs!$B$4="Chapter Hunt"),CHOOSE(ArtifactsInput!$N$27+1,20,24,28,32,36,40),0)/100)))))/Skills!H4,1)))/Inputs!$B$43),G2861*Q2861))*IF(Inputs!$B$38="pvp",1,(1+(Inputs!$B$21+Skills!Q4+(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2">
      <c r="A2862">
        <f>Skills!A5</f>
        <v/>
      </c>
      <c r="B2862">
        <f>Skills!B5</f>
        <v/>
      </c>
      <c r="C2862">
        <f>Inputs!$B$3&gt;=45</f>
        <v/>
      </c>
      <c r="D2862">
        <f>IF(Skills!C5=1,60+Inputs!$B$25+Inputs!$B$29,IF(Skills!C5=2,90+Inputs!$B$26+Inputs!$B$29,IF(Skills!C5=3,120+Inputs!$B$27+Inputs!$B$29,MAX(0,(Inputs!$B$3-100)*3)+Inputs!$B$28+Inputs!$B$29)))</f>
        <v/>
      </c>
      <c r="E2862">
        <f>INDEX(FactorTable!$B$2:$Y$301, MATCH(ROUND(MIN(300,MAX(1,D2862)),0), FactorTable!$A$2:$A$301,0), Skills!M5+1)</f>
        <v/>
      </c>
      <c r="F2862">
        <f>IF(Skills!N5=TRUE,(Skills!L5/10)*(E2862/1000),Skills!L5/10)+Skills!O5</f>
        <v/>
      </c>
      <c r="G2862">
        <f>Skills!G5*IF(Skills!H5&gt;0,Skills!I5/Skills!H5,1)</f>
        <v/>
      </c>
      <c r="H2862">
        <f>1-(1-Skills!J5/100)^Skills!K5</f>
        <v/>
      </c>
      <c r="I2862" t="inlineStr">
        <is>
          <t>1</t>
        </is>
      </c>
      <c r="J2862">
        <f>((Inputs!$B$6*(1+Inputs!$B$7/100))+(((Inputs!$B$12*(1+Inputs!$B$13/100))-(Inputs!$B$12*(1+Inputs!$B$13/100)))+0.25*(Inputs!$B$14-Inputs!$B$14))*(1+Inputs!$B$7/100))*(F2862/100)</f>
        <v/>
      </c>
      <c r="K2862">
        <f>J2862*(1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2873=TRUE,F2873,0)/100)*(1+(IF(Skills!A5="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2862)</f>
        <v/>
      </c>
      <c r="L2862">
        <f>K2862*(MIN(Inputs!$B$22+((C2879=TRUE)*(F2879-Calc!F22)),(Inputs!$B$23+0+(IF(ArtifactsInput!$M$15,CHOOSE(ArtifactsInput!$N$15+1,25,30,35,40,45,50)/100*(Inputs!$B$11-Inputs!$B$11),0))))/100+(Inputs!$B$23+0+(IF(ArtifactsInput!$M$15,CHOOSE(ArtifactsInput!$N$15+1,25,30,35,40,45,50)/100*(Inputs!$B$11-Inputs!$B$11),0)))/100)/2</f>
        <v/>
      </c>
      <c r="M2862">
        <f>L2862*(1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2">
        <f>L2862*(1-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2862*(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2">
        <f>(1-Summary!$B$11)*T2862+Summary!$B$11*V2862</f>
        <v/>
      </c>
      <c r="P2862">
        <f>IF(B2898=0,0,O2862/B2898)</f>
        <v/>
      </c>
      <c r="Q2862">
        <f>IFERROR(1/(IF(Inputs!$B$38="pvp",15,MAX(0.1,Skills!D5-IF(Skills!E5=TRUE,1.0,0)))*(1-IF(AND(ArtifactsInput!$M$27,Inputs!$B$4="Chapter Hunt"),CHOOSE(ArtifactsInput!$N$27+1,20,24,28,32,36,40),0)/100)),0)</f>
        <v/>
      </c>
      <c r="R2862">
        <f>IF(AND(Inputs!$B$38&lt;&gt;"pvp",Inputs!$B$43&gt;0),IF(MAX(0,Inputs!$B$43-B2895)&lt;=0,0,(INT(MAX(0,Inputs!$B$43-B2895)/(IF(Inputs!$B$38="pvp",15,MAX(0.1,Skills!D5-IF(Skills!E5=TRUE,1.0,0)))*(1-IF(AND(ArtifactsInput!$M$27,Inputs!$B$4="Chapter Hunt"),CHOOSE(ArtifactsInput!$N$27+1,20,24,28,32,36,40),0)/100)))+1)),0)</f>
        <v/>
      </c>
      <c r="S2862">
        <f>IFERROR(O2862/N2862,0)</f>
        <v/>
      </c>
      <c r="T2862">
        <f>IF(C2862,(H2862*N2862*IF(AND(Inputs!$B$38&lt;&gt;"pvp",Inputs!$B$43&gt;0),((Skills!G5*((R2862-1)*IF(Skills!H5&gt;0,Skills!I5/Skills!H5,1)+IF(Skills!H5&gt;0,MIN(Skills!I5,MAX(0,MAX(0,Inputs!$B$43-B2895)-((R2862-1)*(IF(Inputs!$B$38="pvp",15,MAX(0.1,Skills!D5-IF(Skills!E5=TRUE,1.0,0)))*(1-IF(AND(ArtifactsInput!$M$27,Inputs!$B$4="Chapter Hunt"),CHOOSE(ArtifactsInput!$N$27+1,20,24,28,32,36,40),0)/100)))))/Skills!H5,1)))/Inputs!$B$43),G2862*Q2862)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2862*(1-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2862*(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2862*(1-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2862*(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2">
        <f>IF(C2862,(H2862*N2862*IF(AND(Inputs!$B$38&lt;&gt;"pvp",Inputs!$B$43&gt;0),((Skills!G5*((R2862-1)*IF(Skills!H5&gt;0,Skills!I5/Skills!H5,1)+IF(Skills!H5&gt;0,MIN(Skills!I5,MAX(0,MAX(0,Inputs!$B$43-B2895)-((R2862-1)*(IF(Inputs!$B$38="pvp",15,MAX(0.1,Skills!D5-IF(Skills!E5=TRUE,1.0,0)))*(1-IF(AND(ArtifactsInput!$M$27,Inputs!$B$4="Chapter Hunt"),CHOOSE(ArtifactsInput!$N$27+1,20,24,28,32,36,40),0)/100)))))/Skills!H5,1)))/Inputs!$B$43),G2862*Q2862))*IF(Inputs!$B$38="pvp",1,(1+(Inputs!$B$21+Skills!Q5+(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3">
      <c r="A2863">
        <f>Skills!A6</f>
        <v/>
      </c>
      <c r="B2863">
        <f>Skills!B6</f>
        <v/>
      </c>
      <c r="C2863">
        <f>Inputs!$B$3&gt;=63</f>
        <v/>
      </c>
      <c r="D2863">
        <f>IF(Skills!C6=1,60+Inputs!$B$25+Inputs!$B$29,IF(Skills!C6=2,90+Inputs!$B$26+Inputs!$B$29,IF(Skills!C6=3,120+Inputs!$B$27+Inputs!$B$29,MAX(0,(Inputs!$B$3-100)*3)+Inputs!$B$28+Inputs!$B$29)))</f>
        <v/>
      </c>
      <c r="E2863">
        <f>INDEX(FactorTable!$B$2:$Y$301, MATCH(ROUND(MIN(300,MAX(1,D2863)),0), FactorTable!$A$2:$A$301,0), Skills!M6+1)</f>
        <v/>
      </c>
      <c r="F2863">
        <f>IF(Skills!N6=TRUE,(Skills!L6/10)*(E2863/1000),Skills!L6/10)+Skills!O6</f>
        <v/>
      </c>
      <c r="G2863">
        <f>Skills!G6*IF(Skills!H6&gt;0,Skills!I6/Skills!H6,1)</f>
        <v/>
      </c>
      <c r="H2863">
        <f>1-(1-Skills!J6/100)^Skills!K6</f>
        <v/>
      </c>
      <c r="I2863" t="inlineStr">
        <is>
          <t>1</t>
        </is>
      </c>
      <c r="J2863">
        <f>((Inputs!$B$6*(1+Inputs!$B$7/100))+(((Inputs!$B$12*(1+Inputs!$B$13/100))-(Inputs!$B$12*(1+Inputs!$B$13/100)))+0.25*(Inputs!$B$14-Inputs!$B$14))*(1+Inputs!$B$7/100))*(F2863/100)</f>
        <v/>
      </c>
      <c r="K2863">
        <f>J2863*(1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2872=TRUE,F2872,0)/100)*(1+(IF(Skills!A6="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2863)</f>
        <v/>
      </c>
      <c r="L2863">
        <f>K2863*(MIN(Inputs!$B$22+((C2879=TRUE)*(F2879-Calc!F22)),(Inputs!$B$23+0+(IF(ArtifactsInput!$M$15,CHOOSE(ArtifactsInput!$N$15+1,25,30,35,40,45,50)/100*(Inputs!$B$11-Inputs!$B$11),0))))/100+(Inputs!$B$23+0+(IF(ArtifactsInput!$M$15,CHOOSE(ArtifactsInput!$N$15+1,25,30,35,40,45,50)/100*(Inputs!$B$11-Inputs!$B$11),0)))/100)/2</f>
        <v/>
      </c>
      <c r="M2863">
        <f>L2863*(1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3">
        <f>L2863*(1-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2863*(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3">
        <f>(1-Summary!$B$11)*T2863+Summary!$B$11*V2863</f>
        <v/>
      </c>
      <c r="P2863">
        <f>IF(B2898=0,0,O2863/B2898)</f>
        <v/>
      </c>
      <c r="Q2863">
        <f>IFERROR(1/(IF(Inputs!$B$38="pvp",15,MAX(0.1,Skills!D6-IF(Skills!E6=TRUE,1.0,0)))*(1-IF(AND(ArtifactsInput!$M$27,Inputs!$B$4="Chapter Hunt"),CHOOSE(ArtifactsInput!$N$27+1,20,24,28,32,36,40),0)/100)),0)</f>
        <v/>
      </c>
      <c r="R2863">
        <f>IF(AND(Inputs!$B$38&lt;&gt;"pvp",Inputs!$B$43&gt;0),IF(MAX(0,Inputs!$B$43-B2895)&lt;=0,0,(INT(MAX(0,Inputs!$B$43-B2895)/(IF(Inputs!$B$38="pvp",15,MAX(0.1,Skills!D6-IF(Skills!E6=TRUE,1.0,0)))*(1-IF(AND(ArtifactsInput!$M$27,Inputs!$B$4="Chapter Hunt"),CHOOSE(ArtifactsInput!$N$27+1,20,24,28,32,36,40),0)/100)))+1)),0)</f>
        <v/>
      </c>
      <c r="S2863">
        <f>IFERROR(O2863/N2863,0)</f>
        <v/>
      </c>
      <c r="T2863">
        <f>IF(C2863,(H2863*N2863*IF(AND(Inputs!$B$38&lt;&gt;"pvp",Inputs!$B$43&gt;0),((Skills!G6*((R2863-1)*IF(Skills!H6&gt;0,Skills!I6/Skills!H6,1)+IF(Skills!H6&gt;0,MIN(Skills!I6,MAX(0,MAX(0,Inputs!$B$43-B2895)-((R2863-1)*(IF(Inputs!$B$38="pvp",15,MAX(0.1,Skills!D6-IF(Skills!E6=TRUE,1.0,0)))*(1-IF(AND(ArtifactsInput!$M$27,Inputs!$B$4="Chapter Hunt"),CHOOSE(ArtifactsInput!$N$27+1,20,24,28,32,36,40),0)/100)))))/Skills!H6,1)))/Inputs!$B$43),G2863*Q2863)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2863*(1-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2863*(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2863*(1-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2863*(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3">
        <f>IF(C2863,(H2863*N2863*IF(AND(Inputs!$B$38&lt;&gt;"pvp",Inputs!$B$43&gt;0),((Skills!G6*((R2863-1)*IF(Skills!H6&gt;0,Skills!I6/Skills!H6,1)+IF(Skills!H6&gt;0,MIN(Skills!I6,MAX(0,MAX(0,Inputs!$B$43-B2895)-((R2863-1)*(IF(Inputs!$B$38="pvp",15,MAX(0.1,Skills!D6-IF(Skills!E6=TRUE,1.0,0)))*(1-IF(AND(ArtifactsInput!$M$27,Inputs!$B$4="Chapter Hunt"),CHOOSE(ArtifactsInput!$N$27+1,20,24,28,32,36,40),0)/100)))))/Skills!H6,1)))/Inputs!$B$43),G2863*Q2863))*IF(Inputs!$B$38="pvp",1,(1+(Inputs!$B$21+Skills!Q6+(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4">
      <c r="A2864">
        <f>Skills!A7</f>
        <v/>
      </c>
      <c r="B2864">
        <f>Skills!B7</f>
        <v/>
      </c>
      <c r="C2864">
        <f>Inputs!$B$3&gt;=66</f>
        <v/>
      </c>
      <c r="D2864">
        <f>IF(Skills!C7=1,60+Inputs!$B$25+Inputs!$B$29,IF(Skills!C7=2,90+Inputs!$B$26+Inputs!$B$29,IF(Skills!C7=3,120+Inputs!$B$27+Inputs!$B$29,MAX(0,(Inputs!$B$3-100)*3)+Inputs!$B$28+Inputs!$B$29)))</f>
        <v/>
      </c>
      <c r="E2864">
        <f>INDEX(FactorTable!$B$2:$Y$301, MATCH(ROUND(MIN(300,MAX(1,D2864)),0), FactorTable!$A$2:$A$301,0), Skills!M7+1)</f>
        <v/>
      </c>
      <c r="F2864">
        <f>IF(Skills!N7=TRUE,(Skills!L7/10)*(E2864/1000),Skills!L7/10)+Skills!O7</f>
        <v/>
      </c>
      <c r="G2864">
        <f>Skills!G7*IF(Skills!H7&gt;0,Skills!I7/Skills!H7,1)</f>
        <v/>
      </c>
      <c r="H2864">
        <f>1-(1-Skills!J7/100)^Skills!K7</f>
        <v/>
      </c>
      <c r="I2864" t="inlineStr">
        <is>
          <t>1</t>
        </is>
      </c>
      <c r="J2864">
        <f>((Inputs!$B$6*(1+Inputs!$B$7/100))+(((Inputs!$B$12*(1+Inputs!$B$13/100))-(Inputs!$B$12*(1+Inputs!$B$13/100)))+0.25*(Inputs!$B$14-Inputs!$B$14))*(1+Inputs!$B$7/100))*(F2864/100)</f>
        <v/>
      </c>
      <c r="K2864">
        <f>J2864*(1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2872=TRUE,F2872,0)/100)*(1+(IF(Skills!A7="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2864)</f>
        <v/>
      </c>
      <c r="L2864">
        <f>K2864*(MIN(Inputs!$B$22+((C2879=TRUE)*(F2879-Calc!F22)),(Inputs!$B$23+0+(IF(ArtifactsInput!$M$15,CHOOSE(ArtifactsInput!$N$15+1,25,30,35,40,45,50)/100*(Inputs!$B$11-Inputs!$B$11),0))))/100+(Inputs!$B$23+0+(IF(ArtifactsInput!$M$15,CHOOSE(ArtifactsInput!$N$15+1,25,30,35,40,45,50)/100*(Inputs!$B$11-Inputs!$B$11),0)))/100)/2</f>
        <v/>
      </c>
      <c r="M2864">
        <f>L2864*(1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4">
        <f>L2864*(1-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2864*(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4">
        <f>(1-Summary!$B$11)*T2864+Summary!$B$11*V2864</f>
        <v/>
      </c>
      <c r="P2864">
        <f>IF(B2898=0,0,O2864/B2898)</f>
        <v/>
      </c>
      <c r="Q2864">
        <f>IFERROR(1/(IF(Inputs!$B$38="pvp",15,MAX(0.1,Skills!D7-IF(Skills!E7=TRUE,1.0,0)))*(1-IF(AND(ArtifactsInput!$M$27,Inputs!$B$4="Chapter Hunt"),CHOOSE(ArtifactsInput!$N$27+1,20,24,28,32,36,40),0)/100)),0)</f>
        <v/>
      </c>
      <c r="R2864">
        <f>IF(AND(Inputs!$B$38&lt;&gt;"pvp",Inputs!$B$43&gt;0),IF(MAX(0,Inputs!$B$43-B2895)&lt;=0,0,(INT(MAX(0,Inputs!$B$43-B2895)/(IF(Inputs!$B$38="pvp",15,MAX(0.1,Skills!D7-IF(Skills!E7=TRUE,1.0,0)))*(1-IF(AND(ArtifactsInput!$M$27,Inputs!$B$4="Chapter Hunt"),CHOOSE(ArtifactsInput!$N$27+1,20,24,28,32,36,40),0)/100)))+1)),0)</f>
        <v/>
      </c>
      <c r="S2864">
        <f>IFERROR(O2864/N2864,0)</f>
        <v/>
      </c>
      <c r="T2864">
        <f>IF(C2864,(H2864*N2864*IF(AND(Inputs!$B$38&lt;&gt;"pvp",Inputs!$B$43&gt;0),((Skills!G7*((R2864-1)*IF(Skills!H7&gt;0,Skills!I7/Skills!H7,1)+IF(Skills!H7&gt;0,MIN(Skills!I7,MAX(0,MAX(0,Inputs!$B$43-B2895)-((R2864-1)*(IF(Inputs!$B$38="pvp",15,MAX(0.1,Skills!D7-IF(Skills!E7=TRUE,1.0,0)))*(1-IF(AND(ArtifactsInput!$M$27,Inputs!$B$4="Chapter Hunt"),CHOOSE(ArtifactsInput!$N$27+1,20,24,28,32,36,40),0)/100)))))/Skills!H7,1)))/Inputs!$B$43),G2864*Q2864)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2864*(1-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2864*(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2864*(1-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2864*(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4">
        <f>IF(C2864,(H2864*N2864*IF(AND(Inputs!$B$38&lt;&gt;"pvp",Inputs!$B$43&gt;0),((Skills!G7*((R2864-1)*IF(Skills!H7&gt;0,Skills!I7/Skills!H7,1)+IF(Skills!H7&gt;0,MIN(Skills!I7,MAX(0,MAX(0,Inputs!$B$43-B2895)-((R2864-1)*(IF(Inputs!$B$38="pvp",15,MAX(0.1,Skills!D7-IF(Skills!E7=TRUE,1.0,0)))*(1-IF(AND(ArtifactsInput!$M$27,Inputs!$B$4="Chapter Hunt"),CHOOSE(ArtifactsInput!$N$27+1,20,24,28,32,36,40),0)/100)))))/Skills!H7,1)))/Inputs!$B$43),G2864*Q2864))*IF(Inputs!$B$38="pvp",1,(1+(Inputs!$B$21+Skills!Q7+(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5">
      <c r="A2865">
        <f>Skills!A8</f>
        <v/>
      </c>
      <c r="B2865">
        <f>Skills!B8</f>
        <v/>
      </c>
      <c r="C2865">
        <f>Inputs!$B$3&gt;=100</f>
        <v/>
      </c>
      <c r="D2865">
        <f>IF(Skills!C8=1,60+Inputs!$B$25+Inputs!$B$29,IF(Skills!C8=2,90+Inputs!$B$26+Inputs!$B$29,IF(Skills!C8=3,120+Inputs!$B$27+Inputs!$B$29,MAX(0,(Inputs!$B$3-100)*3)+Inputs!$B$28+Inputs!$B$29)))</f>
        <v/>
      </c>
      <c r="E2865">
        <f>INDEX(FactorTable!$B$2:$Y$301, MATCH(ROUND(MIN(300,MAX(1,D2865)),0), FactorTable!$A$2:$A$301,0), Skills!M8+1)</f>
        <v/>
      </c>
      <c r="F2865">
        <f>IF(Skills!N8=TRUE,(Skills!L8/10)*(E2865/1000),Skills!L8/10)+Skills!O8</f>
        <v/>
      </c>
      <c r="G2865">
        <f>Skills!G8*IF(Skills!H8&gt;0,Skills!I8/Skills!H8,1)</f>
        <v/>
      </c>
      <c r="H2865">
        <f>1-(1-Skills!J8/100)^Skills!K8</f>
        <v/>
      </c>
      <c r="I2865" t="inlineStr">
        <is>
          <t>1</t>
        </is>
      </c>
      <c r="J2865">
        <f>((Inputs!$B$6*(1+Inputs!$B$7/100))+(((Inputs!$B$12*(1+Inputs!$B$13/100))-(Inputs!$B$12*(1+Inputs!$B$13/100)))+0.25*(Inputs!$B$14-Inputs!$B$14))*(1+Inputs!$B$7/100))*(F2865/100)</f>
        <v/>
      </c>
      <c r="K2865">
        <f>J2865*(1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2865)</f>
        <v/>
      </c>
      <c r="L2865">
        <f>K2865*(MIN(Inputs!$B$22+((C2879=TRUE)*(F2879-Calc!F22)),(Inputs!$B$23+0+(IF(ArtifactsInput!$M$15,CHOOSE(ArtifactsInput!$N$15+1,25,30,35,40,45,50)/100*(Inputs!$B$11-Inputs!$B$11),0))))/100+(Inputs!$B$23+0+(IF(ArtifactsInput!$M$15,CHOOSE(ArtifactsInput!$N$15+1,25,30,35,40,45,50)/100*(Inputs!$B$11-Inputs!$B$11),0)))/100)/2</f>
        <v/>
      </c>
      <c r="M2865">
        <f>L2865*(1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5">
        <f>L2865*(1-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2865*(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5">
        <f>(1-Summary!$B$11)*T2865+Summary!$B$11*V2865</f>
        <v/>
      </c>
      <c r="P2865">
        <f>IF(B2898=0,0,O2865/B2898)</f>
        <v/>
      </c>
      <c r="Q2865">
        <f>IFERROR(1/(IF(Inputs!$B$38="pvp",15,MAX(0.1,Skills!D8-IF(Skills!E8=TRUE,1.0,0)))*(1-IF(AND(ArtifactsInput!$M$27,Inputs!$B$4="Chapter Hunt"),CHOOSE(ArtifactsInput!$N$27+1,20,24,28,32,36,40),0)/100)),0)</f>
        <v/>
      </c>
      <c r="R2865">
        <f>IF(AND(Inputs!$B$38&lt;&gt;"pvp",Inputs!$B$43&gt;0),IF(MAX(0,Inputs!$B$43-B2895)&lt;=0,0,(INT(MAX(0,Inputs!$B$43-B2895)/(IF(Inputs!$B$38="pvp",15,MAX(0.1,Skills!D8-IF(Skills!E8=TRUE,1.0,0)))*(1-IF(AND(ArtifactsInput!$M$27,Inputs!$B$4="Chapter Hunt"),CHOOSE(ArtifactsInput!$N$27+1,20,24,28,32,36,40),0)/100)))+1)),0)</f>
        <v/>
      </c>
      <c r="S2865">
        <f>IFERROR(O2865/N2865,0)</f>
        <v/>
      </c>
      <c r="T2865">
        <f>IF(C2865,(H2865*N2865*IF(AND(Inputs!$B$38&lt;&gt;"pvp",Inputs!$B$43&gt;0),((Skills!G8*((R2865-1)*IF(Skills!H8&gt;0,Skills!I8/Skills!H8,1)+IF(Skills!H8&gt;0,MIN(Skills!I8,MAX(0,MAX(0,Inputs!$B$43-B2895)-((R2865-1)*(IF(Inputs!$B$38="pvp",15,MAX(0.1,Skills!D8-IF(Skills!E8=TRUE,1.0,0)))*(1-IF(AND(ArtifactsInput!$M$27,Inputs!$B$4="Chapter Hunt"),CHOOSE(ArtifactsInput!$N$27+1,20,24,28,32,36,40),0)/100)))))/Skills!H8,1)))/Inputs!$B$43),G2865*Q2865)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2865*(1-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2865*(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2865*(1-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2865*(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5">
        <f>IF(C2865,(H2865*N2865*IF(AND(Inputs!$B$38&lt;&gt;"pvp",Inputs!$B$43&gt;0),((Skills!G8*((R2865-1)*IF(Skills!H8&gt;0,Skills!I8/Skills!H8,1)+IF(Skills!H8&gt;0,MIN(Skills!I8,MAX(0,MAX(0,Inputs!$B$43-B2895)-((R2865-1)*(IF(Inputs!$B$38="pvp",15,MAX(0.1,Skills!D8-IF(Skills!E8=TRUE,1.0,0)))*(1-IF(AND(ArtifactsInput!$M$27,Inputs!$B$4="Chapter Hunt"),CHOOSE(ArtifactsInput!$N$27+1,20,24,28,32,36,40),0)/100)))))/Skills!H8,1)))/Inputs!$B$43),G2865*Q2865))*IF(Inputs!$B$38="pvp",1,(1+(Inputs!$B$21+Skills!Q8+(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6">
      <c r="A2866">
        <f>Skills!A9</f>
        <v/>
      </c>
      <c r="B2866">
        <f>Skills!B9</f>
        <v/>
      </c>
      <c r="C2866">
        <f>Inputs!$B$3&gt;=103</f>
        <v/>
      </c>
      <c r="D2866">
        <f>IF(Skills!C9=1,60+Inputs!$B$25+Inputs!$B$29,IF(Skills!C9=2,90+Inputs!$B$26+Inputs!$B$29,IF(Skills!C9=3,120+Inputs!$B$27+Inputs!$B$29,MAX(0,(Inputs!$B$3-100)*3)+Inputs!$B$28+Inputs!$B$29)))</f>
        <v/>
      </c>
      <c r="E2866">
        <f>INDEX(FactorTable!$B$2:$Y$301, MATCH(ROUND(MIN(300,MAX(1,D2866)),0), FactorTable!$A$2:$A$301,0), Skills!M9+1)</f>
        <v/>
      </c>
      <c r="F2866">
        <f>IF(Skills!N9=TRUE,(Skills!L9/10)*(E2866/1000),Skills!L9/10)+Skills!O9</f>
        <v/>
      </c>
      <c r="G2866">
        <f>Skills!G9*IF(Skills!H9&gt;0,Skills!I9/Skills!H9,1)</f>
        <v/>
      </c>
      <c r="H2866">
        <f>1-(1-Skills!J9/100)^Skills!K9</f>
        <v/>
      </c>
      <c r="I2866" t="inlineStr">
        <is>
          <t>1</t>
        </is>
      </c>
      <c r="J2866">
        <f>((Inputs!$B$6*(1+Inputs!$B$7/100))+(((Inputs!$B$12*(1+Inputs!$B$13/100))-(Inputs!$B$12*(1+Inputs!$B$13/100)))+0.25*(Inputs!$B$14-Inputs!$B$14))*(1+Inputs!$B$7/100))*(F2866/100)</f>
        <v/>
      </c>
      <c r="K2866">
        <f>J2866*(1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2866)</f>
        <v/>
      </c>
      <c r="L2866">
        <f>K2866*(MIN(Inputs!$B$22+((C2879=TRUE)*(F2879-Calc!F22)),(Inputs!$B$23+0+(IF(ArtifactsInput!$M$15,CHOOSE(ArtifactsInput!$N$15+1,25,30,35,40,45,50)/100*(Inputs!$B$11-Inputs!$B$11),0))))/100+(Inputs!$B$23+0+(IF(ArtifactsInput!$M$15,CHOOSE(ArtifactsInput!$N$15+1,25,30,35,40,45,50)/100*(Inputs!$B$11-Inputs!$B$11),0)))/100)/2</f>
        <v/>
      </c>
      <c r="M2866">
        <f>L2866*(1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6">
        <f>L2866*(1-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2866*(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6">
        <f>(1-Summary!$B$11)*T2866+Summary!$B$11*V2866</f>
        <v/>
      </c>
      <c r="P2866">
        <f>IF(B2898=0,0,O2866/B2898)</f>
        <v/>
      </c>
      <c r="Q2866">
        <f>IFERROR(1/(IF(Inputs!$B$38="pvp",15,MAX(0.1,Skills!D9-IF(Skills!E9=TRUE,1.0,0)))*(1-IF(AND(ArtifactsInput!$M$27,Inputs!$B$4="Chapter Hunt"),CHOOSE(ArtifactsInput!$N$27+1,20,24,28,32,36,40),0)/100)),0)</f>
        <v/>
      </c>
      <c r="R2866">
        <f>IF(AND(Inputs!$B$38&lt;&gt;"pvp",Inputs!$B$43&gt;0),IF(MAX(0,Inputs!$B$43-B2895)&lt;=0,0,(INT(MAX(0,Inputs!$B$43-B2895)/(IF(Inputs!$B$38="pvp",15,MAX(0.1,Skills!D9-IF(Skills!E9=TRUE,1.0,0)))*(1-IF(AND(ArtifactsInput!$M$27,Inputs!$B$4="Chapter Hunt"),CHOOSE(ArtifactsInput!$N$27+1,20,24,28,32,36,40),0)/100)))+1)),0)</f>
        <v/>
      </c>
      <c r="S2866">
        <f>IFERROR(O2866/N2866,0)</f>
        <v/>
      </c>
      <c r="T2866">
        <f>IF(C2866,(H2866*N2866*IF(AND(Inputs!$B$38&lt;&gt;"pvp",Inputs!$B$43&gt;0),((Skills!G9*((R2866-1)*IF(Skills!H9&gt;0,Skills!I9/Skills!H9,1)+IF(Skills!H9&gt;0,MIN(Skills!I9,MAX(0,MAX(0,Inputs!$B$43-B2895)-((R2866-1)*(IF(Inputs!$B$38="pvp",15,MAX(0.1,Skills!D9-IF(Skills!E9=TRUE,1.0,0)))*(1-IF(AND(ArtifactsInput!$M$27,Inputs!$B$4="Chapter Hunt"),CHOOSE(ArtifactsInput!$N$27+1,20,24,28,32,36,40),0)/100)))))/Skills!H9,1)))/Inputs!$B$43),G2866*Q2866)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2866*(1-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2866*(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2866*(1-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2866*(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6">
        <f>IF(C2866,(H2866*N2866*IF(AND(Inputs!$B$38&lt;&gt;"pvp",Inputs!$B$43&gt;0),((Skills!G9*((R2866-1)*IF(Skills!H9&gt;0,Skills!I9/Skills!H9,1)+IF(Skills!H9&gt;0,MIN(Skills!I9,MAX(0,MAX(0,Inputs!$B$43-B2895)-((R2866-1)*(IF(Inputs!$B$38="pvp",15,MAX(0.1,Skills!D9-IF(Skills!E9=TRUE,1.0,0)))*(1-IF(AND(ArtifactsInput!$M$27,Inputs!$B$4="Chapter Hunt"),CHOOSE(ArtifactsInput!$N$27+1,20,24,28,32,36,40),0)/100)))))/Skills!H9,1)))/Inputs!$B$43),G2866*Q2866))*IF(Inputs!$B$38="pvp",1,(1+(Inputs!$B$21+Skills!Q9+(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7">
      <c r="A2867">
        <f>Skills!A10</f>
        <v/>
      </c>
      <c r="B2867">
        <f>Skills!B10</f>
        <v/>
      </c>
      <c r="C2867">
        <f>Inputs!$B$3&gt;=113</f>
        <v/>
      </c>
      <c r="D2867">
        <f>IF(Skills!C10=1,60+Inputs!$B$25+Inputs!$B$29,IF(Skills!C10=2,90+Inputs!$B$26+Inputs!$B$29,IF(Skills!C10=3,120+Inputs!$B$27+Inputs!$B$29,MAX(0,(Inputs!$B$3-100)*3)+Inputs!$B$28+Inputs!$B$29)))</f>
        <v/>
      </c>
      <c r="E2867">
        <f>INDEX(FactorTable!$B$2:$Y$301, MATCH(ROUND(MIN(300,MAX(1,D2867)),0), FactorTable!$A$2:$A$301,0), Skills!M10+1)</f>
        <v/>
      </c>
      <c r="F2867">
        <f>IF(Skills!N10=TRUE,(Skills!L10/10)*(E2867/1000),Skills!L10/10)+Skills!O10</f>
        <v/>
      </c>
      <c r="G2867">
        <f>Skills!G10*IF(Skills!H10&gt;0,Skills!I10/Skills!H10,1)</f>
        <v/>
      </c>
      <c r="H2867">
        <f>1-(1-Skills!J10/100)^Skills!K10</f>
        <v/>
      </c>
      <c r="I2867" t="inlineStr">
        <is>
          <t>1</t>
        </is>
      </c>
      <c r="J2867">
        <f>((Inputs!$B$6*(1+Inputs!$B$7/100))+(((Inputs!$B$12*(1+Inputs!$B$13/100))-(Inputs!$B$12*(1+Inputs!$B$13/100)))+0.25*(Inputs!$B$14-Inputs!$B$14))*(1+Inputs!$B$7/100))*(F2867/100)</f>
        <v/>
      </c>
      <c r="K2867">
        <f>J2867*(1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2867)</f>
        <v/>
      </c>
      <c r="L2867">
        <f>K2867*(MIN(Inputs!$B$22+((C2879=TRUE)*(F2879-Calc!F22)),(Inputs!$B$23+0+(IF(ArtifactsInput!$M$15,CHOOSE(ArtifactsInput!$N$15+1,25,30,35,40,45,50)/100*(Inputs!$B$11-Inputs!$B$11),0))))/100+(Inputs!$B$23+0+(IF(ArtifactsInput!$M$15,CHOOSE(ArtifactsInput!$N$15+1,25,30,35,40,45,50)/100*(Inputs!$B$11-Inputs!$B$11),0)))/100)/2</f>
        <v/>
      </c>
      <c r="M2867">
        <f>L2867*(1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7">
        <f>L2867*(1-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2867*(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7">
        <f>(1-Summary!$B$11)*T2867+Summary!$B$11*V2867</f>
        <v/>
      </c>
      <c r="P2867">
        <f>IF(B2898=0,0,O2867/B2898)</f>
        <v/>
      </c>
      <c r="Q2867">
        <f>IFERROR(1/(IF(Inputs!$B$38="pvp",15,MAX(0.1,Skills!D10-IF(Skills!E10=TRUE,1.0,0)))*(1-IF(AND(ArtifactsInput!$M$27,Inputs!$B$4="Chapter Hunt"),CHOOSE(ArtifactsInput!$N$27+1,20,24,28,32,36,40),0)/100)),0)</f>
        <v/>
      </c>
      <c r="R2867">
        <f>IF(AND(Inputs!$B$38&lt;&gt;"pvp",Inputs!$B$43&gt;0),IF(MAX(0,Inputs!$B$43-B2895)&lt;=0,0,(INT(MAX(0,Inputs!$B$43-B2895)/(IF(Inputs!$B$38="pvp",15,MAX(0.1,Skills!D10-IF(Skills!E10=TRUE,1.0,0)))*(1-IF(AND(ArtifactsInput!$M$27,Inputs!$B$4="Chapter Hunt"),CHOOSE(ArtifactsInput!$N$27+1,20,24,28,32,36,40),0)/100)))+1)),0)</f>
        <v/>
      </c>
      <c r="S2867">
        <f>IFERROR(O2867/N2867,0)</f>
        <v/>
      </c>
      <c r="T2867">
        <f>IF(C2867,(H2867*N2867*IF(AND(Inputs!$B$38&lt;&gt;"pvp",Inputs!$B$43&gt;0),((Skills!G10*((R2867-1)*IF(Skills!H10&gt;0,Skills!I10/Skills!H10,1)+IF(Skills!H10&gt;0,MIN(Skills!I10,MAX(0,MAX(0,Inputs!$B$43-B2895)-((R2867-1)*(IF(Inputs!$B$38="pvp",15,MAX(0.1,Skills!D10-IF(Skills!E10=TRUE,1.0,0)))*(1-IF(AND(ArtifactsInput!$M$27,Inputs!$B$4="Chapter Hunt"),CHOOSE(ArtifactsInput!$N$27+1,20,24,28,32,36,40),0)/100)))))/Skills!H10,1)))/Inputs!$B$43),G2867*Q2867)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2867*(1-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2867*(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2867*(1-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2867*(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7">
        <f>IF(C2867,(H2867*N2867*IF(AND(Inputs!$B$38&lt;&gt;"pvp",Inputs!$B$43&gt;0),((Skills!G10*((R2867-1)*IF(Skills!H10&gt;0,Skills!I10/Skills!H10,1)+IF(Skills!H10&gt;0,MIN(Skills!I10,MAX(0,MAX(0,Inputs!$B$43-B2895)-((R2867-1)*(IF(Inputs!$B$38="pvp",15,MAX(0.1,Skills!D10-IF(Skills!E10=TRUE,1.0,0)))*(1-IF(AND(ArtifactsInput!$M$27,Inputs!$B$4="Chapter Hunt"),CHOOSE(ArtifactsInput!$N$27+1,20,24,28,32,36,40),0)/100)))))/Skills!H10,1)))/Inputs!$B$43),G2867*Q2867))*IF(Inputs!$B$38="pvp",1,(1+(Inputs!$B$21+Skills!Q10+(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8">
      <c r="A2868">
        <f>Skills!A11</f>
        <v/>
      </c>
      <c r="B2868">
        <f>Skills!B11</f>
        <v/>
      </c>
      <c r="C2868">
        <f>Inputs!$B$3&gt;=107</f>
        <v/>
      </c>
      <c r="D2868">
        <f>IF(Skills!C11=1,60+Inputs!$B$25+Inputs!$B$29,IF(Skills!C11=2,90+Inputs!$B$26+Inputs!$B$29,IF(Skills!C11=3,120+Inputs!$B$27+Inputs!$B$29,MAX(0,(Inputs!$B$3-100)*3)+Inputs!$B$28+Inputs!$B$29)))</f>
        <v/>
      </c>
      <c r="E2868">
        <f>INDEX(FactorTable!$B$2:$Y$301, MATCH(ROUND(MIN(300,MAX(1,D2868)),0), FactorTable!$A$2:$A$301,0), Skills!M11+1)</f>
        <v/>
      </c>
      <c r="F2868">
        <f>IF(Skills!N11=TRUE,(Skills!L11/10)*(E2868/1000),Skills!L11/10)+Skills!O11</f>
        <v/>
      </c>
      <c r="G2868">
        <f>Skills!G11*IF(Skills!H11&gt;0,Skills!I11/Skills!H11,1)</f>
        <v/>
      </c>
      <c r="H2868">
        <f>1-(1-Skills!J11/100)^Skills!K11</f>
        <v/>
      </c>
      <c r="I2868" t="inlineStr">
        <is>
          <t>1</t>
        </is>
      </c>
      <c r="J2868">
        <f>((Inputs!$B$6*(1+Inputs!$B$7/100))+(((Inputs!$B$12*(1+Inputs!$B$13/100))-(Inputs!$B$12*(1+Inputs!$B$13/100)))+0.25*(Inputs!$B$14-Inputs!$B$14))*(1+Inputs!$B$7/100))*(F2868/100)</f>
        <v/>
      </c>
      <c r="K2868">
        <f>J2868*(1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2868)</f>
        <v/>
      </c>
      <c r="L2868">
        <f>K2868*(MIN(Inputs!$B$22+((C2879=TRUE)*(F2879-Calc!F22)),(Inputs!$B$23+0+(IF(ArtifactsInput!$M$15,CHOOSE(ArtifactsInput!$N$15+1,25,30,35,40,45,50)/100*(Inputs!$B$11-Inputs!$B$11),0))))/100+(Inputs!$B$23+0+(IF(ArtifactsInput!$M$15,CHOOSE(ArtifactsInput!$N$15+1,25,30,35,40,45,50)/100*(Inputs!$B$11-Inputs!$B$11),0)))/100)/2</f>
        <v/>
      </c>
      <c r="M2868">
        <f>L2868*(1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8">
        <f>L2868*(1-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2868*(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8">
        <f>(1-Summary!$B$11)*T2868+Summary!$B$11*V2868</f>
        <v/>
      </c>
      <c r="P2868">
        <f>IF(B2898=0,0,O2868/B2898)</f>
        <v/>
      </c>
      <c r="Q2868">
        <f>IFERROR(1/(IF(Inputs!$B$38="pvp",15,MAX(0.1,Skills!D11-IF(Skills!E11=TRUE,1.0,0)))*(1-IF(AND(ArtifactsInput!$M$27,Inputs!$B$4="Chapter Hunt"),CHOOSE(ArtifactsInput!$N$27+1,20,24,28,32,36,40),0)/100)),0)</f>
        <v/>
      </c>
      <c r="R2868">
        <f>IF(AND(Inputs!$B$38&lt;&gt;"pvp",Inputs!$B$43&gt;0),IF(MAX(0,Inputs!$B$43-B2895)&lt;=0,0,(INT(MAX(0,Inputs!$B$43-B2895)/(IF(Inputs!$B$38="pvp",15,MAX(0.1,Skills!D11-IF(Skills!E11=TRUE,1.0,0)))*(1-IF(AND(ArtifactsInput!$M$27,Inputs!$B$4="Chapter Hunt"),CHOOSE(ArtifactsInput!$N$27+1,20,24,28,32,36,40),0)/100)))+1)),0)</f>
        <v/>
      </c>
      <c r="S2868">
        <f>IFERROR(O2868/N2868,0)</f>
        <v/>
      </c>
      <c r="T2868">
        <f>IF(C2868,(H2868*N2868*IF(AND(Inputs!$B$38&lt;&gt;"pvp",Inputs!$B$43&gt;0),((Skills!G11*((R2868-1)*IF(Skills!H11&gt;0,Skills!I11/Skills!H11,1)+IF(Skills!H11&gt;0,MIN(Skills!I11,MAX(0,MAX(0,Inputs!$B$43-B2895)-((R2868-1)*(IF(Inputs!$B$38="pvp",15,MAX(0.1,Skills!D11-IF(Skills!E11=TRUE,1.0,0)))*(1-IF(AND(ArtifactsInput!$M$27,Inputs!$B$4="Chapter Hunt"),CHOOSE(ArtifactsInput!$N$27+1,20,24,28,32,36,40),0)/100)))))/Skills!H11,1)))/Inputs!$B$43),G2868*Q2868)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2868*(1-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2868*(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2868*(1-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2868*(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8">
        <f>IF(C2868,(H2868*N2868*IF(AND(Inputs!$B$38&lt;&gt;"pvp",Inputs!$B$43&gt;0),((Skills!G11*((R2868-1)*IF(Skills!H11&gt;0,Skills!I11/Skills!H11,1)+IF(Skills!H11&gt;0,MIN(Skills!I11,MAX(0,MAX(0,Inputs!$B$43-B2895)-((R2868-1)*(IF(Inputs!$B$38="pvp",15,MAX(0.1,Skills!D11-IF(Skills!E11=TRUE,1.0,0)))*(1-IF(AND(ArtifactsInput!$M$27,Inputs!$B$4="Chapter Hunt"),CHOOSE(ArtifactsInput!$N$27+1,20,24,28,32,36,40),0)/100)))))/Skills!H11,1)))/Inputs!$B$43),G2868*Q2868))*IF(Inputs!$B$38="pvp",1,(1+(Inputs!$B$21+Skills!Q11+(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9">
      <c r="A2869">
        <f>Skills!A12</f>
        <v/>
      </c>
      <c r="B2869">
        <f>Skills!B12</f>
        <v/>
      </c>
      <c r="C2869">
        <f>Inputs!$B$3&gt;=110</f>
        <v/>
      </c>
      <c r="D2869">
        <f>IF(Skills!C12=1,60+Inputs!$B$25+Inputs!$B$29,IF(Skills!C12=2,90+Inputs!$B$26+Inputs!$B$29,IF(Skills!C12=3,120+Inputs!$B$27+Inputs!$B$29,MAX(0,(Inputs!$B$3-100)*3)+Inputs!$B$28+Inputs!$B$29)))</f>
        <v/>
      </c>
      <c r="E2869">
        <f>INDEX(FactorTable!$B$2:$Y$301, MATCH(ROUND(MIN(300,MAX(1,D2869)),0), FactorTable!$A$2:$A$301,0), Skills!M12+1)</f>
        <v/>
      </c>
      <c r="F2869">
        <f>IF(Skills!N12=TRUE,(Skills!L12/10)*(E2869/1000),Skills!L12/10)+Skills!O12</f>
        <v/>
      </c>
      <c r="G2869">
        <f>Skills!G12*IF(Skills!H12&gt;0,Skills!I12/Skills!H12,1)</f>
        <v/>
      </c>
      <c r="H2869">
        <f>1-(1-Skills!J12/100)^Skills!K12</f>
        <v/>
      </c>
      <c r="I2869" t="inlineStr">
        <is>
          <t>1</t>
        </is>
      </c>
      <c r="J2869">
        <f>((Inputs!$B$6*(1+Inputs!$B$7/100))+(((Inputs!$B$12*(1+Inputs!$B$13/100))-(Inputs!$B$12*(1+Inputs!$B$13/100)))+0.25*(Inputs!$B$14-Inputs!$B$14))*(1+Inputs!$B$7/100))*(F2869/100)</f>
        <v/>
      </c>
      <c r="K2869">
        <f>J2869*(1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2869)</f>
        <v/>
      </c>
      <c r="L2869">
        <f>K2869*(MIN(Inputs!$B$22+((C2879=TRUE)*(F2879-Calc!F22)),(Inputs!$B$23+0+(IF(ArtifactsInput!$M$15,CHOOSE(ArtifactsInput!$N$15+1,25,30,35,40,45,50)/100*(Inputs!$B$11-Inputs!$B$11),0))))/100+(Inputs!$B$23+0+(IF(ArtifactsInput!$M$15,CHOOSE(ArtifactsInput!$N$15+1,25,30,35,40,45,50)/100*(Inputs!$B$11-Inputs!$B$11),0)))/100)/2</f>
        <v/>
      </c>
      <c r="M2869">
        <f>L2869*(1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9">
        <f>L2869*(1-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2869*(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9">
        <f>(1-Summary!$B$11)*T2869+Summary!$B$11*V2869</f>
        <v/>
      </c>
      <c r="P2869">
        <f>IF(B2898=0,0,O2869/B2898)</f>
        <v/>
      </c>
      <c r="Q2869">
        <f>IFERROR(1/(IF(Inputs!$B$38="pvp",15,MAX(0.1,Skills!D12-IF(Skills!E12=TRUE,1.0,0)))*(1-IF(AND(ArtifactsInput!$M$27,Inputs!$B$4="Chapter Hunt"),CHOOSE(ArtifactsInput!$N$27+1,20,24,28,32,36,40),0)/100)),0)</f>
        <v/>
      </c>
      <c r="R2869">
        <f>IF(AND(Inputs!$B$38&lt;&gt;"pvp",Inputs!$B$43&gt;0),IF(MAX(0,Inputs!$B$43-B2895)&lt;=0,0,(INT(MAX(0,Inputs!$B$43-B2895)/(IF(Inputs!$B$38="pvp",15,MAX(0.1,Skills!D12-IF(Skills!E12=TRUE,1.0,0)))*(1-IF(AND(ArtifactsInput!$M$27,Inputs!$B$4="Chapter Hunt"),CHOOSE(ArtifactsInput!$N$27+1,20,24,28,32,36,40),0)/100)))+1)),0)</f>
        <v/>
      </c>
      <c r="S2869">
        <f>IFERROR(O2869/N2869,0)</f>
        <v/>
      </c>
      <c r="T2869">
        <f>IF(C2869,(H2869*N2869*IF(AND(Inputs!$B$38&lt;&gt;"pvp",Inputs!$B$43&gt;0),((Skills!G12*((R2869-1)*IF(Skills!H12&gt;0,Skills!I12/Skills!H12,1)+IF(Skills!H12&gt;0,MIN(Skills!I12,MAX(0,MAX(0,Inputs!$B$43-B2895)-((R2869-1)*(IF(Inputs!$B$38="pvp",15,MAX(0.1,Skills!D12-IF(Skills!E12=TRUE,1.0,0)))*(1-IF(AND(ArtifactsInput!$M$27,Inputs!$B$4="Chapter Hunt"),CHOOSE(ArtifactsInput!$N$27+1,20,24,28,32,36,40),0)/100)))))/Skills!H12,1)))/Inputs!$B$43),G2869*Q2869)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2869*(1-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2869*(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2869*(1-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2869*(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9">
        <f>IF(C2869,(H2869*N2869*IF(AND(Inputs!$B$38&lt;&gt;"pvp",Inputs!$B$43&gt;0),((Skills!G12*((R2869-1)*IF(Skills!H12&gt;0,Skills!I12/Skills!H12,1)+IF(Skills!H12&gt;0,MIN(Skills!I12,MAX(0,MAX(0,Inputs!$B$43-B2895)-((R2869-1)*(IF(Inputs!$B$38="pvp",15,MAX(0.1,Skills!D12-IF(Skills!E12=TRUE,1.0,0)))*(1-IF(AND(ArtifactsInput!$M$27,Inputs!$B$4="Chapter Hunt"),CHOOSE(ArtifactsInput!$N$27+1,20,24,28,32,36,40),0)/100)))))/Skills!H12,1)))/Inputs!$B$43),G2869*Q2869))*IF(Inputs!$B$38="pvp",1,(1+(Inputs!$B$21+Skills!Q12+(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0">
      <c r="A2870">
        <f>Skills!A13</f>
        <v/>
      </c>
      <c r="B2870">
        <f>Skills!B13</f>
        <v/>
      </c>
      <c r="C2870">
        <f>Inputs!$B$3&gt;=110</f>
        <v/>
      </c>
      <c r="D2870">
        <f>IF(Skills!C13=1,60+Inputs!$B$25+Inputs!$B$29,IF(Skills!C13=2,90+Inputs!$B$26+Inputs!$B$29,IF(Skills!C13=3,120+Inputs!$B$27+Inputs!$B$29,MAX(0,(Inputs!$B$3-100)*3)+Inputs!$B$28+Inputs!$B$29)))</f>
        <v/>
      </c>
      <c r="E2870">
        <f>INDEX(FactorTable!$B$2:$Y$301, MATCH(ROUND(MIN(300,MAX(1,D2870)),0), FactorTable!$A$2:$A$301,0), Skills!M13+1)</f>
        <v/>
      </c>
      <c r="F2870">
        <f>IF(Skills!N13=TRUE,(Skills!L13/10)*(E2870/1000),Skills!L13/10)+Skills!O13</f>
        <v/>
      </c>
      <c r="G2870">
        <f>Skills!G13*IF(Skills!H13&gt;0,Skills!I13/Skills!H13,1)</f>
        <v/>
      </c>
      <c r="H2870">
        <f>1-(1-Skills!J13/100)^Skills!K13</f>
        <v/>
      </c>
      <c r="I2870" t="inlineStr">
        <is>
          <t>1</t>
        </is>
      </c>
      <c r="J2870">
        <f>((Inputs!$B$6*(1+Inputs!$B$7/100))+(((Inputs!$B$12*(1+Inputs!$B$13/100))-(Inputs!$B$12*(1+Inputs!$B$13/100)))+0.25*(Inputs!$B$14-Inputs!$B$14))*(1+Inputs!$B$7/100))*(F2870/100)</f>
        <v/>
      </c>
      <c r="K2870">
        <f>J2870*(1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2870)</f>
        <v/>
      </c>
      <c r="L2870">
        <f>K2870*(MIN(Inputs!$B$22+((C2879=TRUE)*(F2879-Calc!F22)),(Inputs!$B$23+0+(IF(ArtifactsInput!$M$15,CHOOSE(ArtifactsInput!$N$15+1,25,30,35,40,45,50)/100*(Inputs!$B$11-Inputs!$B$11),0))))/100+(Inputs!$B$23+0+(IF(ArtifactsInput!$M$15,CHOOSE(ArtifactsInput!$N$15+1,25,30,35,40,45,50)/100*(Inputs!$B$11-Inputs!$B$11),0)))/100)/2</f>
        <v/>
      </c>
      <c r="M2870">
        <f>L2870*(1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0">
        <f>L2870*(1-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2870*(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0">
        <f>(1-Summary!$B$11)*T2870+Summary!$B$11*V2870</f>
        <v/>
      </c>
      <c r="P2870">
        <f>IF(B2898=0,0,O2870/B2898)</f>
        <v/>
      </c>
      <c r="Q2870">
        <f>IFERROR(1/(IF(Inputs!$B$38="pvp",15,MAX(0.1,Skills!D13-IF(Skills!E13=TRUE,1.0,0)))*(1-IF(AND(ArtifactsInput!$M$27,Inputs!$B$4="Chapter Hunt"),CHOOSE(ArtifactsInput!$N$27+1,20,24,28,32,36,40),0)/100)),0)</f>
        <v/>
      </c>
      <c r="R2870">
        <f>IF(AND(Inputs!$B$38&lt;&gt;"pvp",Inputs!$B$43&gt;0),IF(MAX(0,Inputs!$B$43-B2895)&lt;=0,0,(INT(MAX(0,Inputs!$B$43-B2895)/(IF(Inputs!$B$38="pvp",15,MAX(0.1,Skills!D13-IF(Skills!E13=TRUE,1.0,0)))*(1-IF(AND(ArtifactsInput!$M$27,Inputs!$B$4="Chapter Hunt"),CHOOSE(ArtifactsInput!$N$27+1,20,24,28,32,36,40),0)/100)))+1)),0)</f>
        <v/>
      </c>
      <c r="S2870">
        <f>IFERROR(O2870/N2870,0)</f>
        <v/>
      </c>
      <c r="T2870">
        <f>IF(C2870,(H2870*N2870*IF(AND(Inputs!$B$38&lt;&gt;"pvp",Inputs!$B$43&gt;0),((Skills!G13*((R2870-1)*IF(Skills!H13&gt;0,Skills!I13/Skills!H13,1)+IF(Skills!H13&gt;0,MIN(Skills!I13,MAX(0,MAX(0,Inputs!$B$43-B2895)-((R2870-1)*(IF(Inputs!$B$38="pvp",15,MAX(0.1,Skills!D13-IF(Skills!E13=TRUE,1.0,0)))*(1-IF(AND(ArtifactsInput!$M$27,Inputs!$B$4="Chapter Hunt"),CHOOSE(ArtifactsInput!$N$27+1,20,24,28,32,36,40),0)/100)))))/Skills!H13,1)))/Inputs!$B$43),G2870*Q2870)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2870*(1-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2870*(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2870*(1-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2870*(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70">
        <f>IF(C2870,(H2870*N2870*IF(AND(Inputs!$B$38&lt;&gt;"pvp",Inputs!$B$43&gt;0),((Skills!G13*((R2870-1)*IF(Skills!H13&gt;0,Skills!I13/Skills!H13,1)+IF(Skills!H13&gt;0,MIN(Skills!I13,MAX(0,MAX(0,Inputs!$B$43-B2895)-((R2870-1)*(IF(Inputs!$B$38="pvp",15,MAX(0.1,Skills!D13-IF(Skills!E13=TRUE,1.0,0)))*(1-IF(AND(ArtifactsInput!$M$27,Inputs!$B$4="Chapter Hunt"),CHOOSE(ArtifactsInput!$N$27+1,20,24,28,32,36,40),0)/100)))))/Skills!H13,1)))/Inputs!$B$43),G2870*Q2870))*IF(Inputs!$B$38="pvp",1,(1+(Inputs!$B$21+Skills!Q13+(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1">
      <c r="A2871">
        <f>Skills!A14</f>
        <v/>
      </c>
      <c r="B2871">
        <f>Skills!B14</f>
        <v/>
      </c>
      <c r="C2871">
        <f>Inputs!$B$3&gt;=125</f>
        <v/>
      </c>
      <c r="D2871">
        <f>IF(Skills!C14=1,60+Inputs!$B$25+Inputs!$B$29,IF(Skills!C14=2,90+Inputs!$B$26+Inputs!$B$29,IF(Skills!C14=3,120+Inputs!$B$27+Inputs!$B$29,MAX(0,(Inputs!$B$3-100)*3)+Inputs!$B$28+Inputs!$B$29)))</f>
        <v/>
      </c>
      <c r="E2871">
        <f>INDEX(FactorTable!$B$2:$Y$301, MATCH(ROUND(MIN(300,MAX(1,D2871)),0), FactorTable!$A$2:$A$301,0), Skills!M14+1)</f>
        <v/>
      </c>
      <c r="F2871">
        <f>IF(Skills!N14=TRUE,(Skills!L14/10)*(E2871/1000),Skills!L14/10)+Skills!O14</f>
        <v/>
      </c>
      <c r="G2871">
        <f>Skills!G14*IF(Skills!H14&gt;0,Skills!I14/Skills!H14,1)</f>
        <v/>
      </c>
      <c r="H2871">
        <f>1-(1-Skills!J14/100)^Skills!K14</f>
        <v/>
      </c>
      <c r="I2871" t="inlineStr">
        <is>
          <t>1</t>
        </is>
      </c>
      <c r="J2871">
        <f>((Inputs!$B$6*(1+Inputs!$B$7/100))+(((Inputs!$B$12*(1+Inputs!$B$13/100))-(Inputs!$B$12*(1+Inputs!$B$13/100)))+0.25*(Inputs!$B$14-Inputs!$B$14))*(1+Inputs!$B$7/100))*(F2871/100)</f>
        <v/>
      </c>
      <c r="K2871">
        <f>J2871*(1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2871)</f>
        <v/>
      </c>
      <c r="L2871">
        <f>K2871*(MIN(Inputs!$B$22+((C2879=TRUE)*(F2879-Calc!F22)),(Inputs!$B$23+0+(IF(ArtifactsInput!$M$15,CHOOSE(ArtifactsInput!$N$15+1,25,30,35,40,45,50)/100*(Inputs!$B$11-Inputs!$B$11),0))))/100+(Inputs!$B$23+0+(IF(ArtifactsInput!$M$15,CHOOSE(ArtifactsInput!$N$15+1,25,30,35,40,45,50)/100*(Inputs!$B$11-Inputs!$B$11),0)))/100)/2</f>
        <v/>
      </c>
      <c r="M2871">
        <f>L2871*(1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1">
        <f>L2871*(1-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1">
        <f>(1-Summary!$B$11)*T2871+Summary!$B$11*V2871</f>
        <v/>
      </c>
      <c r="P2871">
        <f>IF(B2898=0,0,O2871/B2898)</f>
        <v/>
      </c>
      <c r="Q2871" t="n">
        <v>0</v>
      </c>
      <c r="R2871" t="n">
        <v>0</v>
      </c>
      <c r="S2871">
        <f>IFERROR(O2871/N2871,0)</f>
        <v/>
      </c>
      <c r="T2871">
        <f>IF(C2871,(H2871*N2871*(B2892+IF(AND(Inputs!$B$38&lt;&gt;"pvp",Inputs!$B$43&gt;0),((Skills!G8*((R2865-1)*IF(Skills!H8&gt;0,Skills!I8/Skills!H8,1)+IF(Skills!H8&gt;0,MIN(Skills!I8,MAX(0,MAX(0,Inputs!$B$43-B2895)-((R2865-1)*(IF(Inputs!$B$38="pvp",15,MAX(0.1,Skills!D8-IF(Skills!E8=TRUE,1.0,0)))*(1-IF(AND(ArtifactsInput!$M$27,Inputs!$B$4="Chapter Hunt"),CHOOSE(ArtifactsInput!$N$27+1,20,24,28,32,36,40),0)/100)))))/Skills!H8,1)))/Inputs!$B$43),G2865*Q2865)+IF(AND(Inputs!$B$38&lt;&gt;"pvp",Inputs!$B$43&gt;0),((Skills!G11*((R2868-1)*IF(Skills!H11&gt;0,Skills!I11/Skills!H11,1)+IF(Skills!H11&gt;0,MIN(Skills!I11,MAX(0,MAX(0,Inputs!$B$43-B2895)-((R2868-1)*(IF(Inputs!$B$38="pvp",15,MAX(0.1,Skills!D11-IF(Skills!E11=TRUE,1.0,0)))*(1-IF(AND(ArtifactsInput!$M$27,Inputs!$B$4="Chapter Hunt"),CHOOSE(ArtifactsInput!$N$27+1,20,24,28,32,36,40),0)/100)))))/Skills!H11,1)))/Inputs!$B$43),G2868*Q2868)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2871*(1-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2871*(1-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71">
        <f>IF(C2871,(H2871*N2871*(B2892+IF(AND(Inputs!$B$38&lt;&gt;"pvp",Inputs!$B$43&gt;0),((Skills!G8*((R2865-1)*IF(Skills!H8&gt;0,Skills!I8/Skills!H8,1)+IF(Skills!H8&gt;0,MIN(Skills!I8,MAX(0,MAX(0,Inputs!$B$43-B2895)-((R2865-1)*(IF(Inputs!$B$38="pvp",15,MAX(0.1,Skills!D8-IF(Skills!E8=TRUE,1.0,0)))*(1-IF(AND(ArtifactsInput!$M$27,Inputs!$B$4="Chapter Hunt"),CHOOSE(ArtifactsInput!$N$27+1,20,24,28,32,36,40),0)/100)))))/Skills!H8,1)))/Inputs!$B$43),G2865*Q2865)+IF(AND(Inputs!$B$38&lt;&gt;"pvp",Inputs!$B$43&gt;0),((Skills!G11*((R2868-1)*IF(Skills!H11&gt;0,Skills!I11/Skills!H11,1)+IF(Skills!H11&gt;0,MIN(Skills!I11,MAX(0,MAX(0,Inputs!$B$43-B2895)-((R2868-1)*(IF(Inputs!$B$38="pvp",15,MAX(0.1,Skills!D11-IF(Skills!E11=TRUE,1.0,0)))*(1-IF(AND(ArtifactsInput!$M$27,Inputs!$B$4="Chapter Hunt"),CHOOSE(ArtifactsInput!$N$27+1,20,24,28,32,36,40),0)/100)))))/Skills!H11,1)))/Inputs!$B$43),G2868*Q2868)))*IF(Inputs!$B$38="pvp",1,(1+(Inputs!$B$21+Skills!Q14+(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2">
      <c r="A2872">
        <f>Skills!A15</f>
        <v/>
      </c>
      <c r="B2872">
        <f>Skills!B15</f>
        <v/>
      </c>
      <c r="C2872">
        <f>Inputs!$B$3&gt;=100</f>
        <v/>
      </c>
      <c r="D2872">
        <f>IF(Skills!C15=1,60+Inputs!$B$25+Inputs!$B$29,IF(Skills!C15=2,90+Inputs!$B$26+Inputs!$B$29,IF(Skills!C15=3,120+Inputs!$B$27+Inputs!$B$29,MAX(0,(Inputs!$B$3-100)*3)+Inputs!$B$28+Inputs!$B$29)))</f>
        <v/>
      </c>
      <c r="E2872">
        <f>INDEX(FactorTable!$B$2:$Y$301, MATCH(ROUND(MIN(300,MAX(1,D2872)),0), FactorTable!$A$2:$A$301,0), Skills!M15+1)</f>
        <v/>
      </c>
      <c r="F2872">
        <f>IF(Skills!N15=TRUE,(Skills!L15/10)*(E2872/1000),Skills!L15/10)+Skills!O15</f>
        <v/>
      </c>
      <c r="G2872" t="inlineStr"/>
      <c r="H2872" t="inlineStr"/>
      <c r="I2872" t="inlineStr">
        <is>
          <t>1</t>
        </is>
      </c>
      <c r="J2872" t="inlineStr"/>
      <c r="K2872" t="inlineStr"/>
      <c r="L2872" t="inlineStr"/>
      <c r="M2872" t="inlineStr"/>
      <c r="N2872" t="inlineStr"/>
      <c r="O2872" t="inlineStr"/>
      <c r="P2872" t="inlineStr"/>
      <c r="Q2872" t="inlineStr"/>
      <c r="R2872" t="inlineStr"/>
      <c r="S2872" t="inlineStr"/>
    </row>
    <row r="2873">
      <c r="A2873">
        <f>Skills!A16</f>
        <v/>
      </c>
      <c r="B2873">
        <f>Skills!B16</f>
        <v/>
      </c>
      <c r="C2873">
        <f>Inputs!$B$3&gt;=120</f>
        <v/>
      </c>
      <c r="D2873">
        <f>IF(Skills!C16=1,60+Inputs!$B$25+Inputs!$B$29,IF(Skills!C16=2,90+Inputs!$B$26+Inputs!$B$29,IF(Skills!C16=3,120+Inputs!$B$27+Inputs!$B$29,MAX(0,(Inputs!$B$3-100)*3)+Inputs!$B$28+Inputs!$B$29)))</f>
        <v/>
      </c>
      <c r="E2873">
        <f>INDEX(FactorTable!$B$2:$Y$301, MATCH(ROUND(MIN(300,MAX(1,D2873)),0), FactorTable!$A$2:$A$301,0), Skills!M16+1)</f>
        <v/>
      </c>
      <c r="F2873">
        <f>IF(Skills!N16=TRUE,(Skills!L16/10)*(E2873/1000),Skills!L16/10)+Skills!O16</f>
        <v/>
      </c>
      <c r="G2873" t="inlineStr"/>
      <c r="H2873" t="inlineStr"/>
      <c r="I2873" t="inlineStr">
        <is>
          <t>1</t>
        </is>
      </c>
      <c r="J2873" t="inlineStr"/>
      <c r="K2873" t="inlineStr"/>
      <c r="L2873" t="inlineStr"/>
      <c r="M2873" t="inlineStr"/>
      <c r="N2873" t="inlineStr"/>
      <c r="O2873" t="inlineStr"/>
      <c r="P2873" t="inlineStr"/>
      <c r="Q2873" t="inlineStr"/>
      <c r="R2873" t="inlineStr"/>
      <c r="S2873" t="inlineStr"/>
    </row>
    <row r="2874">
      <c r="A2874">
        <f>Skills!A17</f>
        <v/>
      </c>
      <c r="B2874">
        <f>Skills!B17</f>
        <v/>
      </c>
      <c r="C2874">
        <f>Inputs!$B$3&gt;=66</f>
        <v/>
      </c>
      <c r="D2874">
        <f>IF(Skills!C17=1,60+Inputs!$B$25+Inputs!$B$29,IF(Skills!C17=2,90+Inputs!$B$26+Inputs!$B$29,IF(Skills!C17=3,120+Inputs!$B$27+Inputs!$B$29,MAX(0,(Inputs!$B$3-100)*3)+Inputs!$B$28+Inputs!$B$29)))</f>
        <v/>
      </c>
      <c r="E2874">
        <f>INDEX(FactorTable!$B$2:$Y$301, MATCH(ROUND(MIN(300,MAX(1,D2874)),0), FactorTable!$A$2:$A$301,0), Skills!M17+1)</f>
        <v/>
      </c>
      <c r="F2874">
        <f>IF(Skills!N17=TRUE,(Skills!L17/10)*(E2874/1000),Skills!L17/10)+Skills!O17</f>
        <v/>
      </c>
      <c r="G2874">
        <f>Skills!G17*IF(Skills!H17&gt;0,Skills!I17/Skills!H17,1)</f>
        <v/>
      </c>
      <c r="H2874">
        <f>1-(1-Skills!J17/100)^Skills!K17</f>
        <v/>
      </c>
      <c r="I2874" t="inlineStr">
        <is>
          <t>1</t>
        </is>
      </c>
      <c r="J2874" t="inlineStr"/>
      <c r="K2874" t="inlineStr"/>
      <c r="L2874" t="inlineStr"/>
      <c r="M2874" t="inlineStr"/>
      <c r="N2874" t="inlineStr"/>
      <c r="O2874">
        <f>(1-Summary!$B$11)*T2874+Summary!$B$11*V2874</f>
        <v/>
      </c>
      <c r="P2874">
        <f>IF(B2898=0,0,O2874/B2898)</f>
        <v/>
      </c>
      <c r="Q2874" t="n">
        <v>0</v>
      </c>
      <c r="R2874" t="n">
        <v>0</v>
      </c>
      <c r="S2874">
        <f>IFERROR(O2874/N2874,0)</f>
        <v/>
      </c>
      <c r="T2874" t="n">
        <v>0</v>
      </c>
      <c r="V2874" t="n">
        <v>0</v>
      </c>
    </row>
    <row r="2875">
      <c r="A2875">
        <f>Skills!A18</f>
        <v/>
      </c>
      <c r="B2875">
        <f>Skills!B18</f>
        <v/>
      </c>
      <c r="C2875">
        <f>Inputs!$B$3&gt;=115</f>
        <v/>
      </c>
      <c r="D2875">
        <f>IF(Skills!C18=1,60+Inputs!$B$25+Inputs!$B$29,IF(Skills!C18=2,90+Inputs!$B$26+Inputs!$B$29,IF(Skills!C18=3,120+Inputs!$B$27+Inputs!$B$29,MAX(0,(Inputs!$B$3-100)*3)+Inputs!$B$28+Inputs!$B$29)))</f>
        <v/>
      </c>
      <c r="E2875">
        <f>INDEX(FactorTable!$B$2:$Y$301, MATCH(ROUND(MIN(300,MAX(1,D2875)),0), FactorTable!$A$2:$A$301,0), Skills!M18+1)</f>
        <v/>
      </c>
      <c r="F2875">
        <f>IF(Skills!N18=TRUE,(Skills!L18/10)*(E2875/1000),Skills!L18/10)+Skills!O18</f>
        <v/>
      </c>
      <c r="G2875">
        <f>Skills!G18*IF(Skills!H18&gt;0,Skills!I18/Skills!H18,1)</f>
        <v/>
      </c>
      <c r="H2875">
        <f>1-(1-Skills!J18/100)^Skills!K18</f>
        <v/>
      </c>
      <c r="I2875" t="inlineStr">
        <is>
          <t>1</t>
        </is>
      </c>
      <c r="J2875" t="inlineStr"/>
      <c r="K2875" t="inlineStr"/>
      <c r="L2875" t="inlineStr"/>
      <c r="M2875" t="inlineStr"/>
      <c r="N2875" t="inlineStr"/>
      <c r="O2875">
        <f>(1-Summary!$B$11)*T2875+Summary!$B$11*V2875</f>
        <v/>
      </c>
      <c r="P2875">
        <f>IF(B2898=0,0,O2875/B2898)</f>
        <v/>
      </c>
      <c r="Q2875">
        <f>IFERROR(1/(IF(Inputs!$B$38="pvp",15,MAX(0.1,Skills!D18-IF(Skills!E18=TRUE,1.0,0)))*(1-IF(AND(ArtifactsInput!$M$27,Inputs!$B$4="Chapter Hunt"),CHOOSE(ArtifactsInput!$N$27+1,20,24,28,32,36,40),0)/100)),0)</f>
        <v/>
      </c>
      <c r="R2875">
        <f>IF(AND(Inputs!$B$38&lt;&gt;"pvp",Inputs!$B$43&gt;0),IF(Inputs!$B$43&lt;=0,0,(INT(Inputs!$B$43/(IF(Inputs!$B$38="pvp",15,MAX(0.1,Skills!D18-IF(Skills!E18=TRUE,1.0,0)))*(1-IF(AND(ArtifactsInput!$M$27,Inputs!$B$4="Chapter Hunt"),CHOOSE(ArtifactsInput!$N$27+1,20,24,28,32,36,40),0)/100)))+1)),0)</f>
        <v/>
      </c>
      <c r="S2875">
        <f>IFERROR(O2875/N2875,0)</f>
        <v/>
      </c>
      <c r="T2875" t="n">
        <v>0</v>
      </c>
      <c r="V2875" t="n">
        <v>0</v>
      </c>
    </row>
    <row r="2876">
      <c r="A2876">
        <f>Skills!A19</f>
        <v/>
      </c>
      <c r="B2876">
        <f>Skills!B19</f>
        <v/>
      </c>
      <c r="C2876">
        <f>Inputs!$B$3&gt;=15</f>
        <v/>
      </c>
      <c r="D2876">
        <f>IF(Skills!C19=1,60+Inputs!$B$25+Inputs!$B$29,IF(Skills!C19=2,90+Inputs!$B$26+Inputs!$B$29,IF(Skills!C19=3,120+Inputs!$B$27+Inputs!$B$29,MAX(0,(Inputs!$B$3-100)*3)+Inputs!$B$28+Inputs!$B$29)))</f>
        <v/>
      </c>
      <c r="E2876">
        <f>INDEX(FactorTable!$B$2:$Y$301, MATCH(ROUND(MIN(300,MAX(1,D2876)),0), FactorTable!$A$2:$A$301,0), Skills!M19+1)</f>
        <v/>
      </c>
      <c r="F2876">
        <f>IF(Skills!N19=TRUE,(Skills!L19/10)*(E2876/1000),Skills!L19/10)+Skills!O19</f>
        <v/>
      </c>
      <c r="G2876">
        <f>Skills!G19*IF(Skills!H19&gt;0,Skills!I19/Skills!H19,1)</f>
        <v/>
      </c>
      <c r="H2876">
        <f>1-(1-Skills!J19/100)^Skills!K19</f>
        <v/>
      </c>
      <c r="I2876" t="inlineStr">
        <is>
          <t>1</t>
        </is>
      </c>
      <c r="J2876" t="inlineStr"/>
      <c r="K2876" t="inlineStr"/>
      <c r="L2876" t="inlineStr"/>
      <c r="M2876" t="inlineStr"/>
      <c r="N2876" t="inlineStr"/>
      <c r="O2876">
        <f>(1-Summary!$B$11)*T2876+Summary!$B$11*V2876</f>
        <v/>
      </c>
      <c r="P2876">
        <f>IF(B2898=0,0,O2876/B2898)</f>
        <v/>
      </c>
      <c r="Q2876" t="n">
        <v>0</v>
      </c>
      <c r="R2876" t="n">
        <v>0</v>
      </c>
      <c r="S2876">
        <f>IFERROR(O2876/N2876,0)</f>
        <v/>
      </c>
      <c r="T2876" t="n">
        <v>0</v>
      </c>
      <c r="V2876" t="n">
        <v>0</v>
      </c>
    </row>
    <row r="2877">
      <c r="A2877">
        <f>Skills!A20</f>
        <v/>
      </c>
      <c r="B2877">
        <f>Skills!B20</f>
        <v/>
      </c>
      <c r="C2877">
        <f>Inputs!$B$3&gt;=10</f>
        <v/>
      </c>
      <c r="D2877">
        <f>IF(Skills!C20=1,60+Inputs!$B$25+Inputs!$B$29,IF(Skills!C20=2,90+Inputs!$B$26+Inputs!$B$29,IF(Skills!C20=3,120+Inputs!$B$27+Inputs!$B$29,MAX(0,(Inputs!$B$3-100)*3)+Inputs!$B$28+Inputs!$B$29)))</f>
        <v/>
      </c>
      <c r="E2877">
        <f>INDEX(FactorTable!$B$2:$Y$301, MATCH(ROUND(MIN(300,MAX(1,D2877)),0), FactorTable!$A$2:$A$301,0), Skills!M20+1)</f>
        <v/>
      </c>
      <c r="F2877">
        <f>IF(Skills!N20=TRUE,(Skills!L20/10)*(E2877/1000),Skills!L20/10)+Skills!O20</f>
        <v/>
      </c>
      <c r="G2877">
        <f>Skills!G20*IF(Skills!H20&gt;0,Skills!I20/Skills!H20,1)</f>
        <v/>
      </c>
      <c r="H2877">
        <f>1-(1-Skills!J20/100)^Skills!K20</f>
        <v/>
      </c>
      <c r="I2877" t="inlineStr">
        <is>
          <t>1</t>
        </is>
      </c>
      <c r="J2877" t="inlineStr"/>
      <c r="K2877" t="inlineStr"/>
      <c r="L2877" t="inlineStr"/>
      <c r="M2877" t="inlineStr"/>
      <c r="N2877" t="inlineStr"/>
      <c r="O2877">
        <f>(1-Summary!$B$11)*T2877+Summary!$B$11*V2877</f>
        <v/>
      </c>
      <c r="P2877">
        <f>IF(B2898=0,0,O2877/B2898)</f>
        <v/>
      </c>
      <c r="Q2877" t="n">
        <v>0</v>
      </c>
      <c r="R2877" t="n">
        <v>0</v>
      </c>
      <c r="S2877">
        <f>IFERROR(O2877/N2877,0)</f>
        <v/>
      </c>
      <c r="T2877" t="n">
        <v>0</v>
      </c>
      <c r="V2877" t="n">
        <v>0</v>
      </c>
    </row>
    <row r="2878">
      <c r="A2878">
        <f>Skills!A21</f>
        <v/>
      </c>
      <c r="B2878">
        <f>Skills!B21</f>
        <v/>
      </c>
      <c r="C2878">
        <f>Inputs!$B$3&gt;=33</f>
        <v/>
      </c>
      <c r="D2878">
        <f>IF(Skills!C21=1,60+Inputs!$B$25+Inputs!$B$29,IF(Skills!C21=2,90+Inputs!$B$26+Inputs!$B$29,IF(Skills!C21=3,120+Inputs!$B$27+Inputs!$B$29,MAX(0,(Inputs!$B$3-100)*3)+Inputs!$B$28+Inputs!$B$29)))</f>
        <v/>
      </c>
      <c r="E2878">
        <f>INDEX(FactorTable!$B$2:$Y$301, MATCH(ROUND(MIN(300,MAX(1,D2878)),0), FactorTable!$A$2:$A$301,0), Skills!M21+1)</f>
        <v/>
      </c>
      <c r="F2878">
        <f>IF(Skills!N21=TRUE,(Skills!L21/10)*(E2878/1000),Skills!L21/10)+Skills!O21</f>
        <v/>
      </c>
      <c r="G2878">
        <f>Skills!G21*IF(Skills!H21&gt;0,Skills!I21/Skills!H21,1)</f>
        <v/>
      </c>
      <c r="H2878">
        <f>1-(1-Skills!J21/100)^Skills!K21</f>
        <v/>
      </c>
      <c r="I2878" t="inlineStr">
        <is>
          <t>1</t>
        </is>
      </c>
      <c r="J2878" t="inlineStr"/>
      <c r="K2878" t="inlineStr"/>
      <c r="L2878" t="inlineStr"/>
      <c r="M2878" t="inlineStr"/>
      <c r="N2878" t="inlineStr"/>
      <c r="O2878">
        <f>(1-Summary!$B$11)*T2878+Summary!$B$11*V2878</f>
        <v/>
      </c>
      <c r="P2878">
        <f>IF(B2898=0,0,O2878/B2898)</f>
        <v/>
      </c>
      <c r="Q2878" t="n">
        <v>0</v>
      </c>
      <c r="R2878" t="n">
        <v>0</v>
      </c>
      <c r="S2878">
        <f>IFERROR(O2878/N2878,0)</f>
        <v/>
      </c>
      <c r="T2878" t="n">
        <v>0</v>
      </c>
      <c r="V2878" t="n">
        <v>0</v>
      </c>
    </row>
    <row r="2879">
      <c r="A2879">
        <f>Skills!A22</f>
        <v/>
      </c>
      <c r="B2879">
        <f>Skills!B22</f>
        <v/>
      </c>
      <c r="C2879">
        <f>Inputs!$B$3&gt;=43</f>
        <v/>
      </c>
      <c r="D2879">
        <f>IF(Skills!C22=1,60+Inputs!$B$25+Inputs!$B$29,IF(Skills!C22=2,90+Inputs!$B$26+Inputs!$B$29,IF(Skills!C22=3,120+Inputs!$B$27+Inputs!$B$29,MAX(0,(Inputs!$B$3-100)*3)+Inputs!$B$28+Inputs!$B$29)))</f>
        <v/>
      </c>
      <c r="E2879">
        <f>INDEX(FactorTable!$B$2:$Y$301, MATCH(ROUND(MIN(300,MAX(1,D2879)),0), FactorTable!$A$2:$A$301,0), Skills!M22+1)</f>
        <v/>
      </c>
      <c r="F2879">
        <f>IF(Skills!N22=TRUE,(Skills!L22/10)*(E2879/1000),Skills!L22/10)+Skills!O22</f>
        <v/>
      </c>
      <c r="G2879">
        <f>Skills!G22*IF(Skills!H22&gt;0,Skills!I22/Skills!H22,1)</f>
        <v/>
      </c>
      <c r="H2879">
        <f>1-(1-Skills!J22/100)^Skills!K22</f>
        <v/>
      </c>
      <c r="I2879" t="inlineStr">
        <is>
          <t>1</t>
        </is>
      </c>
      <c r="J2879" t="inlineStr"/>
      <c r="K2879" t="inlineStr"/>
      <c r="L2879" t="inlineStr"/>
      <c r="M2879" t="inlineStr"/>
      <c r="N2879" t="inlineStr"/>
      <c r="O2879">
        <f>(1-Summary!$B$11)*T2879+Summary!$B$11*V2879</f>
        <v/>
      </c>
      <c r="P2879">
        <f>IF(B2898=0,0,O2879/B2898)</f>
        <v/>
      </c>
      <c r="Q2879" t="n">
        <v>0</v>
      </c>
      <c r="R2879" t="n">
        <v>0</v>
      </c>
      <c r="S2879">
        <f>IFERROR(O2879/N2879,0)</f>
        <v/>
      </c>
      <c r="T2879" t="n">
        <v>0</v>
      </c>
      <c r="V2879" t="n">
        <v>0</v>
      </c>
    </row>
    <row r="2880">
      <c r="A2880">
        <f>Skills!A23</f>
        <v/>
      </c>
      <c r="B2880">
        <f>Skills!B23</f>
        <v/>
      </c>
      <c r="C2880">
        <f>Inputs!$B$3&gt;=38</f>
        <v/>
      </c>
      <c r="D2880">
        <f>IF(Skills!C23=1,60+Inputs!$B$25+Inputs!$B$29,IF(Skills!C23=2,90+Inputs!$B$26+Inputs!$B$29,IF(Skills!C23=3,120+Inputs!$B$27+Inputs!$B$29,MAX(0,(Inputs!$B$3-100)*3)+Inputs!$B$28+Inputs!$B$29)))</f>
        <v/>
      </c>
      <c r="E2880">
        <f>INDEX(FactorTable!$B$2:$Y$301, MATCH(ROUND(MIN(300,MAX(1,D2880)),0), FactorTable!$A$2:$A$301,0), Skills!M23+1)</f>
        <v/>
      </c>
      <c r="F2880">
        <f>IF(Skills!N23=TRUE,(Skills!L23/10)*(E2880/1000),Skills!L23/10)+Skills!O23</f>
        <v/>
      </c>
      <c r="G2880">
        <f>Skills!G23*IF(Skills!H23&gt;0,Skills!I23/Skills!H23,1)</f>
        <v/>
      </c>
      <c r="H2880">
        <f>1-(1-Skills!J23/100)^Skills!K23</f>
        <v/>
      </c>
      <c r="I2880" t="inlineStr">
        <is>
          <t>1</t>
        </is>
      </c>
      <c r="J2880" t="inlineStr"/>
      <c r="K2880" t="inlineStr"/>
      <c r="L2880" t="inlineStr"/>
      <c r="M2880" t="inlineStr"/>
      <c r="N2880" t="inlineStr"/>
      <c r="O2880">
        <f>(1-Summary!$B$11)*T2880+Summary!$B$11*V2880</f>
        <v/>
      </c>
      <c r="P2880">
        <f>IF(B2898=0,0,O2880/B2898)</f>
        <v/>
      </c>
      <c r="Q2880" t="n">
        <v>0</v>
      </c>
      <c r="R2880" t="n">
        <v>0</v>
      </c>
      <c r="S2880">
        <f>IFERROR(O2880/N2880,0)</f>
        <v/>
      </c>
      <c r="T2880" t="n">
        <v>0</v>
      </c>
      <c r="V2880" t="n">
        <v>0</v>
      </c>
    </row>
    <row r="2881">
      <c r="A2881">
        <f>Skills!A24</f>
        <v/>
      </c>
      <c r="B2881">
        <f>Skills!B24</f>
        <v/>
      </c>
      <c r="C2881">
        <f>Inputs!$B$3&gt;=40</f>
        <v/>
      </c>
      <c r="D2881">
        <f>IF(Skills!C24=1,60+Inputs!$B$25+Inputs!$B$29,IF(Skills!C24=2,90+Inputs!$B$26+Inputs!$B$29,IF(Skills!C24=3,120+Inputs!$B$27+Inputs!$B$29,MAX(0,(Inputs!$B$3-100)*3)+Inputs!$B$28+Inputs!$B$29)))</f>
        <v/>
      </c>
      <c r="E2881">
        <f>INDEX(FactorTable!$B$2:$Y$301, MATCH(ROUND(MIN(300,MAX(1,D2881)),0), FactorTable!$A$2:$A$301,0), Skills!M24+1)</f>
        <v/>
      </c>
      <c r="F2881">
        <f>IF(Skills!N24=TRUE,(Skills!L24/10)*(E2881/1000),Skills!L24/10)+Skills!O24</f>
        <v/>
      </c>
      <c r="G2881">
        <f>Skills!G24*IF(Skills!H24&gt;0,Skills!I24/Skills!H24,1)</f>
        <v/>
      </c>
      <c r="H2881">
        <f>1-(1-Skills!J24/100)^Skills!K24</f>
        <v/>
      </c>
      <c r="I2881" t="inlineStr">
        <is>
          <t>1</t>
        </is>
      </c>
      <c r="J2881" t="inlineStr"/>
      <c r="K2881" t="inlineStr"/>
      <c r="L2881" t="inlineStr"/>
      <c r="M2881" t="inlineStr"/>
      <c r="N2881" t="inlineStr"/>
      <c r="O2881">
        <f>(1-Summary!$B$11)*T2881+Summary!$B$11*V2881</f>
        <v/>
      </c>
      <c r="P2881">
        <f>IF(B2898=0,0,O2881/B2898)</f>
        <v/>
      </c>
      <c r="Q2881" t="n">
        <v>0</v>
      </c>
      <c r="R2881" t="n">
        <v>0</v>
      </c>
      <c r="S2881">
        <f>IFERROR(O2881/N2881,0)</f>
        <v/>
      </c>
      <c r="T2881" t="n">
        <v>0</v>
      </c>
      <c r="V2881" t="n">
        <v>0</v>
      </c>
    </row>
    <row r="2882">
      <c r="A2882">
        <f>Skills!A25</f>
        <v/>
      </c>
      <c r="B2882">
        <f>Skills!B25</f>
        <v/>
      </c>
      <c r="C2882">
        <f>Inputs!$B$3&gt;=72</f>
        <v/>
      </c>
      <c r="D2882">
        <f>IF(Skills!C25=1,60+Inputs!$B$25+Inputs!$B$29,IF(Skills!C25=2,90+Inputs!$B$26+Inputs!$B$29,IF(Skills!C25=3,120+Inputs!$B$27+Inputs!$B$29,MAX(0,(Inputs!$B$3-100)*3)+Inputs!$B$28+Inputs!$B$29)))</f>
        <v/>
      </c>
      <c r="E2882">
        <f>INDEX(FactorTable!$B$2:$Y$301, MATCH(ROUND(MIN(300,MAX(1,D2882)),0), FactorTable!$A$2:$A$301,0), Skills!M25+1)</f>
        <v/>
      </c>
      <c r="F2882">
        <f>IF(Skills!N25=TRUE,(Skills!L25/10)*(E2882/1000),Skills!L25/10)+Skills!O25</f>
        <v/>
      </c>
      <c r="G2882">
        <f>Skills!G25*IF(Skills!H25&gt;0,Skills!I25/Skills!H25,1)</f>
        <v/>
      </c>
      <c r="H2882">
        <f>1-(1-Skills!J25/100)^Skills!K25</f>
        <v/>
      </c>
      <c r="I2882" t="inlineStr">
        <is>
          <t>1</t>
        </is>
      </c>
      <c r="J2882" t="inlineStr"/>
      <c r="K2882" t="inlineStr"/>
      <c r="L2882" t="inlineStr"/>
      <c r="M2882" t="inlineStr"/>
      <c r="N2882" t="inlineStr"/>
      <c r="O2882">
        <f>(1-Summary!$B$11)*T2882+Summary!$B$11*V2882</f>
        <v/>
      </c>
      <c r="P2882">
        <f>IF(B2898=0,0,O2882/B2898)</f>
        <v/>
      </c>
      <c r="Q2882" t="n">
        <v>0</v>
      </c>
      <c r="R2882" t="n">
        <v>0</v>
      </c>
      <c r="S2882">
        <f>IFERROR(O2882/N2882,0)</f>
        <v/>
      </c>
      <c r="T2882" t="n">
        <v>0</v>
      </c>
      <c r="V2882" t="n">
        <v>0</v>
      </c>
    </row>
    <row r="2883">
      <c r="A2883">
        <f>Skills!A26</f>
        <v/>
      </c>
      <c r="B2883">
        <f>Skills!B26</f>
        <v/>
      </c>
      <c r="C2883">
        <f>Inputs!$B$3&gt;=75</f>
        <v/>
      </c>
      <c r="D2883">
        <f>IF(Skills!C26=1,60+Inputs!$B$25+Inputs!$B$29,IF(Skills!C26=2,90+Inputs!$B$26+Inputs!$B$29,IF(Skills!C26=3,120+Inputs!$B$27+Inputs!$B$29,MAX(0,(Inputs!$B$3-100)*3)+Inputs!$B$28+Inputs!$B$29)))</f>
        <v/>
      </c>
      <c r="E2883">
        <f>INDEX(FactorTable!$B$2:$Y$301, MATCH(ROUND(MIN(300,MAX(1,D2883)),0), FactorTable!$A$2:$A$301,0), Skills!M26+1)</f>
        <v/>
      </c>
      <c r="F2883">
        <f>IF(Skills!N26=TRUE,(Skills!L26/10)*(E2883/1000),Skills!L26/10)+Skills!O26</f>
        <v/>
      </c>
      <c r="G2883">
        <f>Skills!G26*IF(Skills!H26&gt;0,Skills!I26/Skills!H26,1)</f>
        <v/>
      </c>
      <c r="H2883">
        <f>1-(1-Skills!J26/100)^Skills!K26</f>
        <v/>
      </c>
      <c r="I2883" t="inlineStr">
        <is>
          <t>1</t>
        </is>
      </c>
      <c r="J2883" t="inlineStr"/>
      <c r="K2883" t="inlineStr"/>
      <c r="L2883" t="inlineStr"/>
      <c r="M2883" t="inlineStr"/>
      <c r="N2883" t="inlineStr"/>
      <c r="O2883">
        <f>(1-Summary!$B$11)*T2883+Summary!$B$11*V2883</f>
        <v/>
      </c>
      <c r="P2883">
        <f>IF(B2898=0,0,O2883/B2898)</f>
        <v/>
      </c>
      <c r="Q2883" t="n">
        <v>0</v>
      </c>
      <c r="R2883" t="n">
        <v>0</v>
      </c>
      <c r="S2883">
        <f>IFERROR(O2883/N2883,0)</f>
        <v/>
      </c>
      <c r="T2883" t="n">
        <v>0</v>
      </c>
      <c r="V2883" t="n">
        <v>0</v>
      </c>
    </row>
    <row r="2884">
      <c r="A2884">
        <f>Skills!A27</f>
        <v/>
      </c>
      <c r="B2884">
        <f>Skills!B27</f>
        <v/>
      </c>
      <c r="C2884">
        <f>Inputs!$B$3&gt;=117</f>
        <v/>
      </c>
      <c r="D2884">
        <f>IF(Skills!C27=1,60+Inputs!$B$25+Inputs!$B$29,IF(Skills!C27=2,90+Inputs!$B$26+Inputs!$B$29,IF(Skills!C27=3,120+Inputs!$B$27+Inputs!$B$29,MAX(0,(Inputs!$B$3-100)*3)+Inputs!$B$28+Inputs!$B$29)))</f>
        <v/>
      </c>
      <c r="E2884">
        <f>INDEX(FactorTable!$B$2:$Y$301, MATCH(ROUND(MIN(300,MAX(1,D2884)),0), FactorTable!$A$2:$A$301,0), Skills!M27+1)</f>
        <v/>
      </c>
      <c r="F2884">
        <f>IF(Skills!N27=TRUE,(Skills!L27/10)*(E2884/1000),Skills!L27/10)+Skills!O27</f>
        <v/>
      </c>
      <c r="G2884">
        <f>Skills!G27*IF(Skills!H27&gt;0,Skills!I27/Skills!H27,1)</f>
        <v/>
      </c>
      <c r="H2884">
        <f>1-(1-Skills!J27/100)^Skills!K27</f>
        <v/>
      </c>
      <c r="I2884" t="inlineStr">
        <is>
          <t>1</t>
        </is>
      </c>
      <c r="J2884" t="inlineStr"/>
      <c r="K2884" t="inlineStr"/>
      <c r="L2884" t="inlineStr"/>
      <c r="M2884" t="inlineStr"/>
      <c r="N2884" t="inlineStr"/>
      <c r="O2884">
        <f>(1-Summary!$B$11)*T2884+Summary!$B$11*V2884</f>
        <v/>
      </c>
      <c r="P2884">
        <f>IF(B2898=0,0,O2884/B2898)</f>
        <v/>
      </c>
      <c r="Q2884" t="n">
        <v>0</v>
      </c>
      <c r="R2884" t="n">
        <v>0</v>
      </c>
      <c r="S2884">
        <f>IFERROR(O2884/N2884,0)</f>
        <v/>
      </c>
      <c r="T2884" t="n">
        <v>0</v>
      </c>
      <c r="V2884" t="n">
        <v>0</v>
      </c>
    </row>
    <row r="2885">
      <c r="A2885">
        <f>Skills!A28</f>
        <v/>
      </c>
      <c r="B2885">
        <f>Skills!B28</f>
        <v/>
      </c>
      <c r="C2885">
        <f>TRUE</f>
        <v/>
      </c>
      <c r="D2885">
        <f>IF(Skills!C28=1,60+Inputs!$B$25+Inputs!$B$29,IF(Skills!C28=2,90+Inputs!$B$26+Inputs!$B$29,IF(Skills!C28=3,120+Inputs!$B$27+Inputs!$B$29,MAX(0,(Inputs!$B$3-100)*3)+Inputs!$B$28+Inputs!$B$29)))</f>
        <v/>
      </c>
      <c r="E2885">
        <f>INDEX(FactorTable!$B$2:$Y$301, MATCH(ROUND(MIN(300,MAX(1,D2885)),0), FactorTable!$A$2:$A$301,0), Skills!M28+1)</f>
        <v/>
      </c>
      <c r="F2885">
        <f>IF(Skills!N28=TRUE,(Skills!L28/10)*(E2885/1000),Skills!L28/10)+Skills!O28</f>
        <v/>
      </c>
      <c r="G2885">
        <f>Skills!G28*IF(Skills!H28&gt;0,Skills!I28/Skills!H28,1)</f>
        <v/>
      </c>
      <c r="H2885">
        <f>1-(1-Skills!J28/100)^Skills!K28</f>
        <v/>
      </c>
      <c r="I2885" t="inlineStr">
        <is>
          <t>1</t>
        </is>
      </c>
      <c r="J2885" t="inlineStr"/>
      <c r="K2885" t="inlineStr"/>
      <c r="L2885" t="inlineStr"/>
      <c r="M2885" t="inlineStr"/>
      <c r="N2885" t="inlineStr"/>
      <c r="O2885">
        <f>(1-Summary!$B$11)*T2885+Summary!$B$11*V2885</f>
        <v/>
      </c>
      <c r="P2885">
        <f>IF(B2898=0,0,O2885/B2898)</f>
        <v/>
      </c>
      <c r="Q2885">
        <f>IFERROR(1/(IF(Inputs!$B$38="pvp",15,MAX(0.1,Skills!D28-IF(Skills!E28=TRUE,1.0,0)))*(1-IF(AND(ArtifactsInput!$M$27,Inputs!$B$4="Chapter Hunt"),CHOOSE(ArtifactsInput!$N$27+1,20,24,28,32,36,40),0)/100)),0)</f>
        <v/>
      </c>
      <c r="R2885">
        <f>IF(AND(Inputs!$B$38&lt;&gt;"pvp",Inputs!$B$43&gt;0),IF(Inputs!$B$43&lt;=0,0,(INT(Inputs!$B$43/(IF(Inputs!$B$38="pvp",15,MAX(0.1,Skills!D28-IF(Skills!E28=TRUE,1.0,0)))*(1-IF(AND(ArtifactsInput!$M$27,Inputs!$B$4="Chapter Hunt"),CHOOSE(ArtifactsInput!$N$27+1,20,24,28,32,36,40),0)/100)))+1)),0)</f>
        <v/>
      </c>
      <c r="S2885">
        <f>IFERROR(O2885/N2885,0)</f>
        <v/>
      </c>
      <c r="T2885" t="n">
        <v>0</v>
      </c>
      <c r="V2885" t="n">
        <v>0</v>
      </c>
    </row>
    <row r="2887">
      <c r="A2887" t="inlineStr">
        <is>
          <t>Attack% Bucket Multiplier</t>
        </is>
      </c>
      <c r="B2887">
        <f>(1+(((C2874=TRUE)*F2874*5/7)+((C2881=TRUE)*(F2881-Calc!F24))+(IF(ArtifactsInput!$M$21,CHOOSE(ArtifactsInput!$N$21+1,25,30,35,40,45,50)*(IF(OR(Inputs!$B$4="Chapter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88">
      <c r="A2888" t="inlineStr">
        <is>
          <t>Global Crit Rate Bonus %</t>
        </is>
      </c>
      <c r="B2888" t="n">
        <v>0</v>
      </c>
    </row>
    <row r="2889">
      <c r="A2889" t="inlineStr">
        <is>
          <t>Attack Speed Buff Bonus % (Nimble Feet, duty-cycle averaged)</t>
        </is>
      </c>
      <c r="B2889">
        <f>((C2885=TRUE)*F2885*IF(AND(Inputs!$B$38&lt;&gt;"pvp",Inputs!$B$43&gt;0),(((R2885-1)*(Skills!T28*(1+Inputs!$B$34/100))+MIN((Skills!T28*(1+Inputs!$B$34/100)),MAX(0,Inputs!$B$43-((R2885-1)*Skills!D28))))/Inputs!$B$43),IF(Inputs!$B$38="pvp",MIN((Skills!T28*(1+Inputs!$B$34/100)),15)/15,(Skills!T28*(1+Inputs!$B$34/100))/Skills!D28)))</f>
        <v/>
      </c>
    </row>
    <row r="2890">
      <c r="A2890" t="inlineStr">
        <is>
          <t>Actions Per Second</t>
        </is>
      </c>
      <c r="B2890">
        <f>1+MIN(150,150*(1-(1-(Inputs!$B$11+((C2877=TRUE)*(F2877-Calc!F20))+((C2878=TRUE)*(F2878-Calc!F21)))/150)*(1-B2889/150)))/100</f>
        <v/>
      </c>
    </row>
    <row r="2891">
      <c r="A2891" t="inlineStr">
        <is>
          <t>Skill + Buff Cast Rate</t>
        </is>
      </c>
      <c r="B2891">
        <f>IF(AND(Inputs!$B$38&lt;&gt;"pvp",Inputs!$B$43&gt;0),SUMPRODUCT((Skills!E2:E28=TRUE)*(C2859:C2885=TRUE)*R2859:R2885*Skills!F2:F28)/Inputs!$B$43,SUMPRODUCT((Skills!E2:E28=TRUE)*(C2859:C2885=TRUE)*Q2859:Q2885*Skills!F2:F28))</f>
        <v/>
      </c>
    </row>
    <row r="2892">
      <c r="A2892" t="inlineStr">
        <is>
          <t>Eight-Legs Easton Casts Per Second</t>
        </is>
      </c>
      <c r="B2892">
        <f>MAX(0,B2890-B2891)</f>
        <v/>
      </c>
    </row>
    <row r="2893">
      <c r="A2893" t="inlineStr">
        <is>
          <t>Global Critical Damage Bonus % (unused)</t>
        </is>
      </c>
      <c r="B2893" t="n">
        <v>0</v>
      </c>
    </row>
    <row r="2894">
      <c r="A2894" t="inlineStr">
        <is>
          <t>Global Final Damage Bonus % (Jolly Roger + Ahoy Mateys - Final Damage proc)</t>
        </is>
      </c>
      <c r="B2894">
        <f>((C2875=TRUE)*F2875*IF(AND(Inputs!$B$38&lt;&gt;"pvp",Inputs!$B$43&gt;0),(((R2875-1)*(Skills!T18*(1+Inputs!$B$34/100))+MIN((Skills!T18*(1+Inputs!$B$34/100)),MAX(0,Inputs!$B$43-((R2875-1)*Skills!D18))))/Inputs!$B$43),IF(Inputs!$B$38="pvp",MIN((Skills!T18*(1+Inputs!$B$34/100)),15)/15,(Skills!T18*(1+Inputs!$B$34/100))/Skills!D18)))+IF(Inputs!$B$3&gt;=122,20*IF(Inputs!$B$38="pvp",MIN((20*(1+Inputs!$B$34/100)),15)/15,(20*(1+Inputs!$B$34/100))/Skills!D4),0)</f>
        <v/>
      </c>
    </row>
    <row r="2895">
      <c r="A2895" t="inlineStr">
        <is>
          <t>Buff-Casting Startup Delay (s, fixed-duration only)</t>
        </is>
      </c>
      <c r="B2895">
        <f>IF(AND(Inputs!$B$38&lt;&gt;"pvp",Inputs!$B$43&gt;0),SUMPRODUCT((Skills!T2:T28&gt;0)*(Skills!E2:E28=TRUE)*(C2859:C2885=TRUE))/B2890,0)</f>
        <v/>
      </c>
    </row>
    <row r="2896">
      <c r="A2896" t="inlineStr">
        <is>
          <t>Boss-Only Total DPS (this block's swept value)</t>
        </is>
      </c>
      <c r="B2896">
        <f>SUM(T2859:T2885)</f>
        <v/>
      </c>
    </row>
    <row r="2897">
      <c r="A2897" t="inlineStr">
        <is>
          <t>Normal-Only Total DPS (this block's swept value)</t>
        </is>
      </c>
      <c r="B2897">
        <f>SUM(V2859:V2885)</f>
        <v/>
      </c>
    </row>
    <row r="2898">
      <c r="A2898" s="6" t="inlineStr">
        <is>
          <t>TOTAL DPS</t>
        </is>
      </c>
      <c r="B2898" s="6">
        <f>SUM(O2859:O2885)</f>
        <v/>
      </c>
    </row>
    <row r="2901">
      <c r="A2901" s="6" t="inlineStr">
        <is>
          <t>Stat: CDR = 1.5s</t>
        </is>
      </c>
    </row>
    <row r="2902">
      <c r="A2902" s="5" t="inlineStr">
        <is>
          <t>Key</t>
        </is>
      </c>
      <c r="B2902" s="5" t="inlineStr">
        <is>
          <t>Name</t>
        </is>
      </c>
      <c r="C2902" s="5" t="inlineStr">
        <is>
          <t>Unlocked</t>
        </is>
      </c>
      <c r="D2902" s="5" t="inlineStr">
        <is>
          <t>InputLevel</t>
        </is>
      </c>
      <c r="E2902" s="5" t="inlineStr">
        <is>
          <t>Factor</t>
        </is>
      </c>
      <c r="F2902" s="5" t="inlineStr">
        <is>
          <t>CoefficientPercent</t>
        </is>
      </c>
      <c r="G2902" s="5" t="inlineStr">
        <is>
          <t>EffectiveHits</t>
        </is>
      </c>
      <c r="H2902" s="5" t="inlineStr">
        <is>
          <t>ProcProbability</t>
        </is>
      </c>
      <c r="I2902" s="5" t="inlineStr">
        <is>
          <t>MapleHeroMultiplier</t>
        </is>
      </c>
      <c r="J2902" s="5" t="inlineStr">
        <is>
          <t>BaseDamage</t>
        </is>
      </c>
      <c r="K2902" s="5" t="inlineStr">
        <is>
          <t>BaseHitDamage</t>
        </is>
      </c>
      <c r="L2902" s="5" t="inlineStr">
        <is>
          <t>NonCritAvg</t>
        </is>
      </c>
      <c r="M2902" s="5" t="inlineStr">
        <is>
          <t>CritAvg</t>
        </is>
      </c>
      <c r="N2902" s="5" t="inlineStr">
        <is>
          <t>ExpectedDamage(perHit)</t>
        </is>
      </c>
      <c r="O2902" s="5" t="inlineStr">
        <is>
          <t>DPS</t>
        </is>
      </c>
      <c r="P2902" s="5" t="inlineStr">
        <is>
          <t>% of Total</t>
        </is>
      </c>
      <c r="Q2902" s="5" t="inlineStr">
        <is>
          <t>InvCooldown</t>
        </is>
      </c>
      <c r="R2902" s="5" t="inlineStr">
        <is>
          <t>CastsInFight</t>
        </is>
      </c>
      <c r="S2902" s="5" t="inlineStr">
        <is>
          <t>HitRate(perSec)</t>
        </is>
      </c>
      <c r="U2902" t="inlineStr">
        <is>
          <t>helpers</t>
        </is>
      </c>
    </row>
    <row r="2903">
      <c r="A2903">
        <f>Skills!A2</f>
        <v/>
      </c>
      <c r="B2903">
        <f>Skills!B2</f>
        <v/>
      </c>
      <c r="C2903">
        <f>Inputs!$B$3&gt;=100</f>
        <v/>
      </c>
      <c r="D2903" t="inlineStr"/>
      <c r="E2903" t="inlineStr"/>
      <c r="F2903">
        <f>U2905+Skills!O2</f>
        <v/>
      </c>
      <c r="G2903">
        <f>Skills!G2*IF(Skills!H2&gt;0,Skills!I2/Skills!H2,1)</f>
        <v/>
      </c>
      <c r="H2903">
        <f>1-(1-Skills!J2/100)^Skills!K2</f>
        <v/>
      </c>
      <c r="I2903" t="inlineStr">
        <is>
          <t>1</t>
        </is>
      </c>
      <c r="J2903">
        <f>((Inputs!$B$6*(1+Inputs!$B$7/100))+(((Inputs!$B$12*(1+Inputs!$B$13/100))-(Inputs!$B$12*(1+Inputs!$B$13/100)))+0.25*(Inputs!$B$14-Inputs!$B$14))*(1+Inputs!$B$7/100))*(F2903/100)</f>
        <v/>
      </c>
      <c r="K2903">
        <f>J2903*(1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2903)</f>
        <v/>
      </c>
      <c r="L2903">
        <f>K2903*(MIN(Inputs!$B$22+((C2923=TRUE)*(F2923-Calc!F22)),(Inputs!$B$23+0+(IF(ArtifactsInput!$M$15,CHOOSE(ArtifactsInput!$N$15+1,25,30,35,40,45,50)/100*(Inputs!$B$11-Inputs!$B$11),0))))/100+(Inputs!$B$23+0+(IF(ArtifactsInput!$M$15,CHOOSE(ArtifactsInput!$N$15+1,25,30,35,40,45,50)/100*(Inputs!$B$11-Inputs!$B$11),0)))/100)/2</f>
        <v/>
      </c>
      <c r="M2903">
        <f>L2903*(1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3">
        <f>L2903*(1-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2903*(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3">
        <f>(1-Summary!$B$11)*T2903+Summary!$B$11*V2903</f>
        <v/>
      </c>
      <c r="P2903">
        <f>IF(B2942=0,0,O2903/B2942)</f>
        <v/>
      </c>
      <c r="Q2903" t="n">
        <v>0</v>
      </c>
      <c r="R2903" t="n">
        <v>0</v>
      </c>
      <c r="S2903">
        <f>IFERROR(O2903/N2903,0)</f>
        <v/>
      </c>
      <c r="T2903">
        <f>IF(C2903,(Skills!G2*N2903*B2936)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2903*(1-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2903*(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2903*(1-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2903*(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3">
        <f>MAX(0,(Inputs!$B$3-100)*3)+Inputs!$B$28+Inputs!$B$29</f>
        <v/>
      </c>
      <c r="V2903">
        <f>IF(C2903,(Skills!G2*N2903*B2936)*IF(Inputs!$B$38="pvp",1,(1+(Inputs!$B$21+Skills!Q2+(IF(ArtifactsInput!$M$33,CHOOSE(ArtifactsInput!$N$33+1,30,36,42,48,54,60),0))+(IF(AND(ArtifactsInput!$M$35,Inputs!$B$4&lt;&gt;"Chapter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4">
      <c r="A2904">
        <f>Skills!A3</f>
        <v/>
      </c>
      <c r="B2904">
        <f>Skills!B3</f>
        <v/>
      </c>
      <c r="C2904">
        <f>Inputs!$B$3&gt;=35</f>
        <v/>
      </c>
      <c r="D2904">
        <f>IF(Skills!C3=1,60+Inputs!$B$25+Inputs!$B$29,IF(Skills!C3=2,90+Inputs!$B$26+Inputs!$B$29,IF(Skills!C3=3,120+Inputs!$B$27+Inputs!$B$29,MAX(0,(Inputs!$B$3-100)*3)+Inputs!$B$28+Inputs!$B$29)))</f>
        <v/>
      </c>
      <c r="E2904">
        <f>INDEX(FactorTable!$B$2:$Y$301, MATCH(ROUND(MIN(300,MAX(1,D2904)),0), FactorTable!$A$2:$A$301,0), Skills!M3+1)</f>
        <v/>
      </c>
      <c r="F2904">
        <f>IF(Skills!N3=TRUE,(Skills!L3/10)*(E2904/1000),Skills!L3/10)+Skills!O3</f>
        <v/>
      </c>
      <c r="G2904">
        <f>Skills!G3*IF(Skills!H3&gt;0,Skills!I3/Skills!H3,1)</f>
        <v/>
      </c>
      <c r="H2904">
        <f>1-(1-Skills!J3/100)^Skills!K3</f>
        <v/>
      </c>
      <c r="I2904" t="inlineStr">
        <is>
          <t>1</t>
        </is>
      </c>
      <c r="J2904">
        <f>((Inputs!$B$6*(1+Inputs!$B$7/100))+(((Inputs!$B$12*(1+Inputs!$B$13/100))-(Inputs!$B$12*(1+Inputs!$B$13/100)))+0.25*(Inputs!$B$14-Inputs!$B$14))*(1+Inputs!$B$7/100))*(F2904/100)</f>
        <v/>
      </c>
      <c r="K2904">
        <f>J2904*(1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2916=TRUE,F2916,0)/100)*(1+(IF(Skills!A3="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2904)</f>
        <v/>
      </c>
      <c r="L2904">
        <f>K2904*(MIN(Inputs!$B$22+((C2923=TRUE)*(F2923-Calc!F22)),(Inputs!$B$23+0+(IF(ArtifactsInput!$M$15,CHOOSE(ArtifactsInput!$N$15+1,25,30,35,40,45,50)/100*(Inputs!$B$11-Inputs!$B$11),0))))/100+(Inputs!$B$23+0+(IF(ArtifactsInput!$M$15,CHOOSE(ArtifactsInput!$N$15+1,25,30,35,40,45,50)/100*(Inputs!$B$11-Inputs!$B$11),0)))/100)/2</f>
        <v/>
      </c>
      <c r="M2904">
        <f>L2904*(1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4">
        <f>L2904*(1-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2904*(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4">
        <f>(1-Summary!$B$11)*T2904+Summary!$B$11*V2904</f>
        <v/>
      </c>
      <c r="P2904">
        <f>IF(B2942=0,0,O2904/B2942)</f>
        <v/>
      </c>
      <c r="Q2904">
        <f>IFERROR(1/(IF(Inputs!$B$38="pvp",15,MAX(0.1,Skills!D3-IF(Skills!E3=TRUE,1.5,0)))*(1-IF(AND(ArtifactsInput!$M$27,Inputs!$B$4="Chapter Hunt"),CHOOSE(ArtifactsInput!$N$27+1,20,24,28,32,36,40),0)/100)),0)</f>
        <v/>
      </c>
      <c r="R2904">
        <f>IF(AND(Inputs!$B$38&lt;&gt;"pvp",Inputs!$B$43&gt;0),IF(MAX(0,Inputs!$B$43-B2939)&lt;=0,0,(INT(MAX(0,Inputs!$B$43-B2939)/(IF(Inputs!$B$38="pvp",15,MAX(0.1,Skills!D3-IF(Skills!E3=TRUE,1.5,0)))*(1-IF(AND(ArtifactsInput!$M$27,Inputs!$B$4="Chapter Hunt"),CHOOSE(ArtifactsInput!$N$27+1,20,24,28,32,36,40),0)/100)))+1)),0)</f>
        <v/>
      </c>
      <c r="S2904">
        <f>IFERROR(O2904/N2904,0)</f>
        <v/>
      </c>
      <c r="T2904">
        <f>IF(C2904,(H2904*N2904*IF(AND(Inputs!$B$38&lt;&gt;"pvp",Inputs!$B$43&gt;0),((Skills!G3*((R2904-1)*IF(Skills!H3&gt;0,Skills!I3/Skills!H3,1)+IF(Skills!H3&gt;0,MIN(Skills!I3,MAX(0,MAX(0,Inputs!$B$43-B2939)-((R2904-1)*(IF(Inputs!$B$38="pvp",15,MAX(0.1,Skills!D3-IF(Skills!E3=TRUE,1.5,0)))*(1-IF(AND(ArtifactsInput!$M$27,Inputs!$B$4="Chapter Hunt"),CHOOSE(ArtifactsInput!$N$27+1,20,24,28,32,36,40),0)/100)))))/Skills!H3,1)))/Inputs!$B$43),G2904*Q2904)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2904*(1-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2904*(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2904*(1-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2904*(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4">
        <f>INDEX(FactorTable!$B$2:$Y$301, MATCH(ROUND(MIN(300,MAX(1,U2903)),0), FactorTable!$A$2:$A$301,0), 22)</f>
        <v/>
      </c>
      <c r="V2904">
        <f>IF(C2904,(H2904*N2904*IF(AND(Inputs!$B$38&lt;&gt;"pvp",Inputs!$B$43&gt;0),((Skills!G3*((R2904-1)*IF(Skills!H3&gt;0,Skills!I3/Skills!H3,1)+IF(Skills!H3&gt;0,MIN(Skills!I3,MAX(0,MAX(0,Inputs!$B$43-B2939)-((R2904-1)*(IF(Inputs!$B$38="pvp",15,MAX(0.1,Skills!D3-IF(Skills!E3=TRUE,1.5,0)))*(1-IF(AND(ArtifactsInput!$M$27,Inputs!$B$4="Chapter Hunt"),CHOOSE(ArtifactsInput!$N$27+1,20,24,28,32,36,40),0)/100)))))/Skills!H3,1)))/Inputs!$B$43),G2904*Q2904))*IF(Inputs!$B$38="pvp",1,(1+(Inputs!$B$21+Skills!Q3+(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5">
      <c r="A2905">
        <f>Skills!A4</f>
        <v/>
      </c>
      <c r="B2905">
        <f>Skills!B4</f>
        <v/>
      </c>
      <c r="C2905">
        <f>Inputs!$B$3&gt;=40</f>
        <v/>
      </c>
      <c r="D2905">
        <f>IF(Skills!C4=1,60+Inputs!$B$25+Inputs!$B$29,IF(Skills!C4=2,90+Inputs!$B$26+Inputs!$B$29,IF(Skills!C4=3,120+Inputs!$B$27+Inputs!$B$29,MAX(0,(Inputs!$B$3-100)*3)+Inputs!$B$28+Inputs!$B$29)))</f>
        <v/>
      </c>
      <c r="E2905">
        <f>INDEX(FactorTable!$B$2:$Y$301, MATCH(ROUND(MIN(300,MAX(1,D2905)),0), FactorTable!$A$2:$A$301,0), Skills!M4+1)</f>
        <v/>
      </c>
      <c r="F2905">
        <f>IF(Skills!N4=TRUE,(Skills!L4/10)*(E2905/1000),Skills!L4/10)+Skills!O4</f>
        <v/>
      </c>
      <c r="G2905">
        <f>Skills!G4*IF(Skills!H4&gt;0,Skills!I4/Skills!H4,1)</f>
        <v/>
      </c>
      <c r="H2905">
        <f>1-(1-Skills!J4/100)^Skills!K4</f>
        <v/>
      </c>
      <c r="I2905" t="inlineStr">
        <is>
          <t>1</t>
        </is>
      </c>
      <c r="J2905">
        <f>((Inputs!$B$6*(1+Inputs!$B$7/100))+(((Inputs!$B$12*(1+Inputs!$B$13/100))-(Inputs!$B$12*(1+Inputs!$B$13/100)))+0.25*(Inputs!$B$14-Inputs!$B$14))*(1+Inputs!$B$7/100))*(F2905/100)</f>
        <v/>
      </c>
      <c r="K2905">
        <f>J2905*(1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2917=TRUE,F2917,0)/100)*(1+(IF(Skills!A4="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2905)</f>
        <v/>
      </c>
      <c r="L2905">
        <f>K2905*(MIN(Inputs!$B$22+((C2923=TRUE)*(F2923-Calc!F22)),(Inputs!$B$23+0+(IF(ArtifactsInput!$M$15,CHOOSE(ArtifactsInput!$N$15+1,25,30,35,40,45,50)/100*(Inputs!$B$11-Inputs!$B$11),0))))/100+(Inputs!$B$23+0+(IF(ArtifactsInput!$M$15,CHOOSE(ArtifactsInput!$N$15+1,25,30,35,40,45,50)/100*(Inputs!$B$11-Inputs!$B$11),0)))/100)/2</f>
        <v/>
      </c>
      <c r="M2905">
        <f>L2905*(1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5">
        <f>L2905*(1-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2905*(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5">
        <f>(1-Summary!$B$11)*T2905+Summary!$B$11*V2905</f>
        <v/>
      </c>
      <c r="P2905">
        <f>IF(B2942=0,0,O2905/B2942)</f>
        <v/>
      </c>
      <c r="Q2905">
        <f>IFERROR(1/(IF(Inputs!$B$38="pvp",15,MAX(0.1,Skills!D4-IF(Skills!E4=TRUE,1.5,0)))*(1-IF(AND(ArtifactsInput!$M$27,Inputs!$B$4="Chapter Hunt"),CHOOSE(ArtifactsInput!$N$27+1,20,24,28,32,36,40),0)/100)),0)</f>
        <v/>
      </c>
      <c r="R2905">
        <f>IF(AND(Inputs!$B$38&lt;&gt;"pvp",Inputs!$B$43&gt;0),IF(MAX(0,Inputs!$B$43-B2939)&lt;=0,0,(INT(MAX(0,Inputs!$B$43-B2939)/(IF(Inputs!$B$38="pvp",15,MAX(0.1,Skills!D4-IF(Skills!E4=TRUE,1.5,0)))*(1-IF(AND(ArtifactsInput!$M$27,Inputs!$B$4="Chapter Hunt"),CHOOSE(ArtifactsInput!$N$27+1,20,24,28,32,36,40),0)/100)))+1)),0)</f>
        <v/>
      </c>
      <c r="S2905">
        <f>IFERROR(O2905/N2905,0)</f>
        <v/>
      </c>
      <c r="T2905">
        <f>IF(C2905,(H2905*N2905*IF(AND(Inputs!$B$38&lt;&gt;"pvp",Inputs!$B$43&gt;0),((Skills!G4*((R2905-1)*IF(Skills!H4&gt;0,Skills!I4/Skills!H4,1)+IF(Skills!H4&gt;0,MIN(Skills!I4,MAX(0,MAX(0,Inputs!$B$43-B2939)-((R2905-1)*(IF(Inputs!$B$38="pvp",15,MAX(0.1,Skills!D4-IF(Skills!E4=TRUE,1.5,0)))*(1-IF(AND(ArtifactsInput!$M$27,Inputs!$B$4="Chapter Hunt"),CHOOSE(ArtifactsInput!$N$27+1,20,24,28,32,36,40),0)/100)))))/Skills!H4,1)))/Inputs!$B$43),G2905*Q2905)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2905*(1-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2905*(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2905*(1-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2905*(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5">
        <f>290*U2904/1000</f>
        <v/>
      </c>
      <c r="V2905">
        <f>IF(C2905,(H2905*N2905*IF(AND(Inputs!$B$38&lt;&gt;"pvp",Inputs!$B$43&gt;0),((Skills!G4*((R2905-1)*IF(Skills!H4&gt;0,Skills!I4/Skills!H4,1)+IF(Skills!H4&gt;0,MIN(Skills!I4,MAX(0,MAX(0,Inputs!$B$43-B2939)-((R2905-1)*(IF(Inputs!$B$38="pvp",15,MAX(0.1,Skills!D4-IF(Skills!E4=TRUE,1.5,0)))*(1-IF(AND(ArtifactsInput!$M$27,Inputs!$B$4="Chapter Hunt"),CHOOSE(ArtifactsInput!$N$27+1,20,24,28,32,36,40),0)/100)))))/Skills!H4,1)))/Inputs!$B$43),G2905*Q2905))*IF(Inputs!$B$38="pvp",1,(1+(Inputs!$B$21+Skills!Q4+(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6">
      <c r="A2906">
        <f>Skills!A5</f>
        <v/>
      </c>
      <c r="B2906">
        <f>Skills!B5</f>
        <v/>
      </c>
      <c r="C2906">
        <f>Inputs!$B$3&gt;=45</f>
        <v/>
      </c>
      <c r="D2906">
        <f>IF(Skills!C5=1,60+Inputs!$B$25+Inputs!$B$29,IF(Skills!C5=2,90+Inputs!$B$26+Inputs!$B$29,IF(Skills!C5=3,120+Inputs!$B$27+Inputs!$B$29,MAX(0,(Inputs!$B$3-100)*3)+Inputs!$B$28+Inputs!$B$29)))</f>
        <v/>
      </c>
      <c r="E2906">
        <f>INDEX(FactorTable!$B$2:$Y$301, MATCH(ROUND(MIN(300,MAX(1,D2906)),0), FactorTable!$A$2:$A$301,0), Skills!M5+1)</f>
        <v/>
      </c>
      <c r="F2906">
        <f>IF(Skills!N5=TRUE,(Skills!L5/10)*(E2906/1000),Skills!L5/10)+Skills!O5</f>
        <v/>
      </c>
      <c r="G2906">
        <f>Skills!G5*IF(Skills!H5&gt;0,Skills!I5/Skills!H5,1)</f>
        <v/>
      </c>
      <c r="H2906">
        <f>1-(1-Skills!J5/100)^Skills!K5</f>
        <v/>
      </c>
      <c r="I2906" t="inlineStr">
        <is>
          <t>1</t>
        </is>
      </c>
      <c r="J2906">
        <f>((Inputs!$B$6*(1+Inputs!$B$7/100))+(((Inputs!$B$12*(1+Inputs!$B$13/100))-(Inputs!$B$12*(1+Inputs!$B$13/100)))+0.25*(Inputs!$B$14-Inputs!$B$14))*(1+Inputs!$B$7/100))*(F2906/100)</f>
        <v/>
      </c>
      <c r="K2906">
        <f>J2906*(1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2917=TRUE,F2917,0)/100)*(1+(IF(Skills!A5="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2906)</f>
        <v/>
      </c>
      <c r="L2906">
        <f>K2906*(MIN(Inputs!$B$22+((C2923=TRUE)*(F2923-Calc!F22)),(Inputs!$B$23+0+(IF(ArtifactsInput!$M$15,CHOOSE(ArtifactsInput!$N$15+1,25,30,35,40,45,50)/100*(Inputs!$B$11-Inputs!$B$11),0))))/100+(Inputs!$B$23+0+(IF(ArtifactsInput!$M$15,CHOOSE(ArtifactsInput!$N$15+1,25,30,35,40,45,50)/100*(Inputs!$B$11-Inputs!$B$11),0)))/100)/2</f>
        <v/>
      </c>
      <c r="M2906">
        <f>L2906*(1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6">
        <f>L2906*(1-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2906*(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6">
        <f>(1-Summary!$B$11)*T2906+Summary!$B$11*V2906</f>
        <v/>
      </c>
      <c r="P2906">
        <f>IF(B2942=0,0,O2906/B2942)</f>
        <v/>
      </c>
      <c r="Q2906">
        <f>IFERROR(1/(IF(Inputs!$B$38="pvp",15,MAX(0.1,Skills!D5-IF(Skills!E5=TRUE,1.5,0)))*(1-IF(AND(ArtifactsInput!$M$27,Inputs!$B$4="Chapter Hunt"),CHOOSE(ArtifactsInput!$N$27+1,20,24,28,32,36,40),0)/100)),0)</f>
        <v/>
      </c>
      <c r="R2906">
        <f>IF(AND(Inputs!$B$38&lt;&gt;"pvp",Inputs!$B$43&gt;0),IF(MAX(0,Inputs!$B$43-B2939)&lt;=0,0,(INT(MAX(0,Inputs!$B$43-B2939)/(IF(Inputs!$B$38="pvp",15,MAX(0.1,Skills!D5-IF(Skills!E5=TRUE,1.5,0)))*(1-IF(AND(ArtifactsInput!$M$27,Inputs!$B$4="Chapter Hunt"),CHOOSE(ArtifactsInput!$N$27+1,20,24,28,32,36,40),0)/100)))+1)),0)</f>
        <v/>
      </c>
      <c r="S2906">
        <f>IFERROR(O2906/N2906,0)</f>
        <v/>
      </c>
      <c r="T2906">
        <f>IF(C2906,(H2906*N2906*IF(AND(Inputs!$B$38&lt;&gt;"pvp",Inputs!$B$43&gt;0),((Skills!G5*((R2906-1)*IF(Skills!H5&gt;0,Skills!I5/Skills!H5,1)+IF(Skills!H5&gt;0,MIN(Skills!I5,MAX(0,MAX(0,Inputs!$B$43-B2939)-((R2906-1)*(IF(Inputs!$B$38="pvp",15,MAX(0.1,Skills!D5-IF(Skills!E5=TRUE,1.5,0)))*(1-IF(AND(ArtifactsInput!$M$27,Inputs!$B$4="Chapter Hunt"),CHOOSE(ArtifactsInput!$N$27+1,20,24,28,32,36,40),0)/100)))))/Skills!H5,1)))/Inputs!$B$43),G2906*Q2906)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2906*(1-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2906*(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2906*(1-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2906*(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6">
        <f>IF(C2906,(H2906*N2906*IF(AND(Inputs!$B$38&lt;&gt;"pvp",Inputs!$B$43&gt;0),((Skills!G5*((R2906-1)*IF(Skills!H5&gt;0,Skills!I5/Skills!H5,1)+IF(Skills!H5&gt;0,MIN(Skills!I5,MAX(0,MAX(0,Inputs!$B$43-B2939)-((R2906-1)*(IF(Inputs!$B$38="pvp",15,MAX(0.1,Skills!D5-IF(Skills!E5=TRUE,1.5,0)))*(1-IF(AND(ArtifactsInput!$M$27,Inputs!$B$4="Chapter Hunt"),CHOOSE(ArtifactsInput!$N$27+1,20,24,28,32,36,40),0)/100)))))/Skills!H5,1)))/Inputs!$B$43),G2906*Q2906))*IF(Inputs!$B$38="pvp",1,(1+(Inputs!$B$21+Skills!Q5+(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7">
      <c r="A2907">
        <f>Skills!A6</f>
        <v/>
      </c>
      <c r="B2907">
        <f>Skills!B6</f>
        <v/>
      </c>
      <c r="C2907">
        <f>Inputs!$B$3&gt;=63</f>
        <v/>
      </c>
      <c r="D2907">
        <f>IF(Skills!C6=1,60+Inputs!$B$25+Inputs!$B$29,IF(Skills!C6=2,90+Inputs!$B$26+Inputs!$B$29,IF(Skills!C6=3,120+Inputs!$B$27+Inputs!$B$29,MAX(0,(Inputs!$B$3-100)*3)+Inputs!$B$28+Inputs!$B$29)))</f>
        <v/>
      </c>
      <c r="E2907">
        <f>INDEX(FactorTable!$B$2:$Y$301, MATCH(ROUND(MIN(300,MAX(1,D2907)),0), FactorTable!$A$2:$A$301,0), Skills!M6+1)</f>
        <v/>
      </c>
      <c r="F2907">
        <f>IF(Skills!N6=TRUE,(Skills!L6/10)*(E2907/1000),Skills!L6/10)+Skills!O6</f>
        <v/>
      </c>
      <c r="G2907">
        <f>Skills!G6*IF(Skills!H6&gt;0,Skills!I6/Skills!H6,1)</f>
        <v/>
      </c>
      <c r="H2907">
        <f>1-(1-Skills!J6/100)^Skills!K6</f>
        <v/>
      </c>
      <c r="I2907" t="inlineStr">
        <is>
          <t>1</t>
        </is>
      </c>
      <c r="J2907">
        <f>((Inputs!$B$6*(1+Inputs!$B$7/100))+(((Inputs!$B$12*(1+Inputs!$B$13/100))-(Inputs!$B$12*(1+Inputs!$B$13/100)))+0.25*(Inputs!$B$14-Inputs!$B$14))*(1+Inputs!$B$7/100))*(F2907/100)</f>
        <v/>
      </c>
      <c r="K2907">
        <f>J2907*(1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2916=TRUE,F2916,0)/100)*(1+(IF(Skills!A6="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2907)</f>
        <v/>
      </c>
      <c r="L2907">
        <f>K2907*(MIN(Inputs!$B$22+((C2923=TRUE)*(F2923-Calc!F22)),(Inputs!$B$23+0+(IF(ArtifactsInput!$M$15,CHOOSE(ArtifactsInput!$N$15+1,25,30,35,40,45,50)/100*(Inputs!$B$11-Inputs!$B$11),0))))/100+(Inputs!$B$23+0+(IF(ArtifactsInput!$M$15,CHOOSE(ArtifactsInput!$N$15+1,25,30,35,40,45,50)/100*(Inputs!$B$11-Inputs!$B$11),0)))/100)/2</f>
        <v/>
      </c>
      <c r="M2907">
        <f>L2907*(1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7">
        <f>L2907*(1-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2907*(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7">
        <f>(1-Summary!$B$11)*T2907+Summary!$B$11*V2907</f>
        <v/>
      </c>
      <c r="P2907">
        <f>IF(B2942=0,0,O2907/B2942)</f>
        <v/>
      </c>
      <c r="Q2907">
        <f>IFERROR(1/(IF(Inputs!$B$38="pvp",15,MAX(0.1,Skills!D6-IF(Skills!E6=TRUE,1.5,0)))*(1-IF(AND(ArtifactsInput!$M$27,Inputs!$B$4="Chapter Hunt"),CHOOSE(ArtifactsInput!$N$27+1,20,24,28,32,36,40),0)/100)),0)</f>
        <v/>
      </c>
      <c r="R2907">
        <f>IF(AND(Inputs!$B$38&lt;&gt;"pvp",Inputs!$B$43&gt;0),IF(MAX(0,Inputs!$B$43-B2939)&lt;=0,0,(INT(MAX(0,Inputs!$B$43-B2939)/(IF(Inputs!$B$38="pvp",15,MAX(0.1,Skills!D6-IF(Skills!E6=TRUE,1.5,0)))*(1-IF(AND(ArtifactsInput!$M$27,Inputs!$B$4="Chapter Hunt"),CHOOSE(ArtifactsInput!$N$27+1,20,24,28,32,36,40),0)/100)))+1)),0)</f>
        <v/>
      </c>
      <c r="S2907">
        <f>IFERROR(O2907/N2907,0)</f>
        <v/>
      </c>
      <c r="T2907">
        <f>IF(C2907,(H2907*N2907*IF(AND(Inputs!$B$38&lt;&gt;"pvp",Inputs!$B$43&gt;0),((Skills!G6*((R2907-1)*IF(Skills!H6&gt;0,Skills!I6/Skills!H6,1)+IF(Skills!H6&gt;0,MIN(Skills!I6,MAX(0,MAX(0,Inputs!$B$43-B2939)-((R2907-1)*(IF(Inputs!$B$38="pvp",15,MAX(0.1,Skills!D6-IF(Skills!E6=TRUE,1.5,0)))*(1-IF(AND(ArtifactsInput!$M$27,Inputs!$B$4="Chapter Hunt"),CHOOSE(ArtifactsInput!$N$27+1,20,24,28,32,36,40),0)/100)))))/Skills!H6,1)))/Inputs!$B$43),G2907*Q2907)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2907*(1-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2907*(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2907*(1-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2907*(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7">
        <f>IF(C2907,(H2907*N2907*IF(AND(Inputs!$B$38&lt;&gt;"pvp",Inputs!$B$43&gt;0),((Skills!G6*((R2907-1)*IF(Skills!H6&gt;0,Skills!I6/Skills!H6,1)+IF(Skills!H6&gt;0,MIN(Skills!I6,MAX(0,MAX(0,Inputs!$B$43-B2939)-((R2907-1)*(IF(Inputs!$B$38="pvp",15,MAX(0.1,Skills!D6-IF(Skills!E6=TRUE,1.5,0)))*(1-IF(AND(ArtifactsInput!$M$27,Inputs!$B$4="Chapter Hunt"),CHOOSE(ArtifactsInput!$N$27+1,20,24,28,32,36,40),0)/100)))))/Skills!H6,1)))/Inputs!$B$43),G2907*Q2907))*IF(Inputs!$B$38="pvp",1,(1+(Inputs!$B$21+Skills!Q6+(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8">
      <c r="A2908">
        <f>Skills!A7</f>
        <v/>
      </c>
      <c r="B2908">
        <f>Skills!B7</f>
        <v/>
      </c>
      <c r="C2908">
        <f>Inputs!$B$3&gt;=66</f>
        <v/>
      </c>
      <c r="D2908">
        <f>IF(Skills!C7=1,60+Inputs!$B$25+Inputs!$B$29,IF(Skills!C7=2,90+Inputs!$B$26+Inputs!$B$29,IF(Skills!C7=3,120+Inputs!$B$27+Inputs!$B$29,MAX(0,(Inputs!$B$3-100)*3)+Inputs!$B$28+Inputs!$B$29)))</f>
        <v/>
      </c>
      <c r="E2908">
        <f>INDEX(FactorTable!$B$2:$Y$301, MATCH(ROUND(MIN(300,MAX(1,D2908)),0), FactorTable!$A$2:$A$301,0), Skills!M7+1)</f>
        <v/>
      </c>
      <c r="F2908">
        <f>IF(Skills!N7=TRUE,(Skills!L7/10)*(E2908/1000),Skills!L7/10)+Skills!O7</f>
        <v/>
      </c>
      <c r="G2908">
        <f>Skills!G7*IF(Skills!H7&gt;0,Skills!I7/Skills!H7,1)</f>
        <v/>
      </c>
      <c r="H2908">
        <f>1-(1-Skills!J7/100)^Skills!K7</f>
        <v/>
      </c>
      <c r="I2908" t="inlineStr">
        <is>
          <t>1</t>
        </is>
      </c>
      <c r="J2908">
        <f>((Inputs!$B$6*(1+Inputs!$B$7/100))+(((Inputs!$B$12*(1+Inputs!$B$13/100))-(Inputs!$B$12*(1+Inputs!$B$13/100)))+0.25*(Inputs!$B$14-Inputs!$B$14))*(1+Inputs!$B$7/100))*(F2908/100)</f>
        <v/>
      </c>
      <c r="K2908">
        <f>J2908*(1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2916=TRUE,F2916,0)/100)*(1+(IF(Skills!A7="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2908)</f>
        <v/>
      </c>
      <c r="L2908">
        <f>K2908*(MIN(Inputs!$B$22+((C2923=TRUE)*(F2923-Calc!F22)),(Inputs!$B$23+0+(IF(ArtifactsInput!$M$15,CHOOSE(ArtifactsInput!$N$15+1,25,30,35,40,45,50)/100*(Inputs!$B$11-Inputs!$B$11),0))))/100+(Inputs!$B$23+0+(IF(ArtifactsInput!$M$15,CHOOSE(ArtifactsInput!$N$15+1,25,30,35,40,45,50)/100*(Inputs!$B$11-Inputs!$B$11),0)))/100)/2</f>
        <v/>
      </c>
      <c r="M2908">
        <f>L2908*(1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8">
        <f>L2908*(1-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2908*(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8">
        <f>(1-Summary!$B$11)*T2908+Summary!$B$11*V2908</f>
        <v/>
      </c>
      <c r="P2908">
        <f>IF(B2942=0,0,O2908/B2942)</f>
        <v/>
      </c>
      <c r="Q2908">
        <f>IFERROR(1/(IF(Inputs!$B$38="pvp",15,MAX(0.1,Skills!D7-IF(Skills!E7=TRUE,1.5,0)))*(1-IF(AND(ArtifactsInput!$M$27,Inputs!$B$4="Chapter Hunt"),CHOOSE(ArtifactsInput!$N$27+1,20,24,28,32,36,40),0)/100)),0)</f>
        <v/>
      </c>
      <c r="R2908">
        <f>IF(AND(Inputs!$B$38&lt;&gt;"pvp",Inputs!$B$43&gt;0),IF(MAX(0,Inputs!$B$43-B2939)&lt;=0,0,(INT(MAX(0,Inputs!$B$43-B2939)/(IF(Inputs!$B$38="pvp",15,MAX(0.1,Skills!D7-IF(Skills!E7=TRUE,1.5,0)))*(1-IF(AND(ArtifactsInput!$M$27,Inputs!$B$4="Chapter Hunt"),CHOOSE(ArtifactsInput!$N$27+1,20,24,28,32,36,40),0)/100)))+1)),0)</f>
        <v/>
      </c>
      <c r="S2908">
        <f>IFERROR(O2908/N2908,0)</f>
        <v/>
      </c>
      <c r="T2908">
        <f>IF(C2908,(H2908*N2908*IF(AND(Inputs!$B$38&lt;&gt;"pvp",Inputs!$B$43&gt;0),((Skills!G7*((R2908-1)*IF(Skills!H7&gt;0,Skills!I7/Skills!H7,1)+IF(Skills!H7&gt;0,MIN(Skills!I7,MAX(0,MAX(0,Inputs!$B$43-B2939)-((R2908-1)*(IF(Inputs!$B$38="pvp",15,MAX(0.1,Skills!D7-IF(Skills!E7=TRUE,1.5,0)))*(1-IF(AND(ArtifactsInput!$M$27,Inputs!$B$4="Chapter Hunt"),CHOOSE(ArtifactsInput!$N$27+1,20,24,28,32,36,40),0)/100)))))/Skills!H7,1)))/Inputs!$B$43),G2908*Q2908)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2908*(1-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2908*(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2908*(1-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2908*(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8">
        <f>IF(C2908,(H2908*N2908*IF(AND(Inputs!$B$38&lt;&gt;"pvp",Inputs!$B$43&gt;0),((Skills!G7*((R2908-1)*IF(Skills!H7&gt;0,Skills!I7/Skills!H7,1)+IF(Skills!H7&gt;0,MIN(Skills!I7,MAX(0,MAX(0,Inputs!$B$43-B2939)-((R2908-1)*(IF(Inputs!$B$38="pvp",15,MAX(0.1,Skills!D7-IF(Skills!E7=TRUE,1.5,0)))*(1-IF(AND(ArtifactsInput!$M$27,Inputs!$B$4="Chapter Hunt"),CHOOSE(ArtifactsInput!$N$27+1,20,24,28,32,36,40),0)/100)))))/Skills!H7,1)))/Inputs!$B$43),G2908*Q2908))*IF(Inputs!$B$38="pvp",1,(1+(Inputs!$B$21+Skills!Q7+(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9">
      <c r="A2909">
        <f>Skills!A8</f>
        <v/>
      </c>
      <c r="B2909">
        <f>Skills!B8</f>
        <v/>
      </c>
      <c r="C2909">
        <f>Inputs!$B$3&gt;=100</f>
        <v/>
      </c>
      <c r="D2909">
        <f>IF(Skills!C8=1,60+Inputs!$B$25+Inputs!$B$29,IF(Skills!C8=2,90+Inputs!$B$26+Inputs!$B$29,IF(Skills!C8=3,120+Inputs!$B$27+Inputs!$B$29,MAX(0,(Inputs!$B$3-100)*3)+Inputs!$B$28+Inputs!$B$29)))</f>
        <v/>
      </c>
      <c r="E2909">
        <f>INDEX(FactorTable!$B$2:$Y$301, MATCH(ROUND(MIN(300,MAX(1,D2909)),0), FactorTable!$A$2:$A$301,0), Skills!M8+1)</f>
        <v/>
      </c>
      <c r="F2909">
        <f>IF(Skills!N8=TRUE,(Skills!L8/10)*(E2909/1000),Skills!L8/10)+Skills!O8</f>
        <v/>
      </c>
      <c r="G2909">
        <f>Skills!G8*IF(Skills!H8&gt;0,Skills!I8/Skills!H8,1)</f>
        <v/>
      </c>
      <c r="H2909">
        <f>1-(1-Skills!J8/100)^Skills!K8</f>
        <v/>
      </c>
      <c r="I2909" t="inlineStr">
        <is>
          <t>1</t>
        </is>
      </c>
      <c r="J2909">
        <f>((Inputs!$B$6*(1+Inputs!$B$7/100))+(((Inputs!$B$12*(1+Inputs!$B$13/100))-(Inputs!$B$12*(1+Inputs!$B$13/100)))+0.25*(Inputs!$B$14-Inputs!$B$14))*(1+Inputs!$B$7/100))*(F2909/100)</f>
        <v/>
      </c>
      <c r="K2909">
        <f>J2909*(1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2909)</f>
        <v/>
      </c>
      <c r="L2909">
        <f>K2909*(MIN(Inputs!$B$22+((C2923=TRUE)*(F2923-Calc!F22)),(Inputs!$B$23+0+(IF(ArtifactsInput!$M$15,CHOOSE(ArtifactsInput!$N$15+1,25,30,35,40,45,50)/100*(Inputs!$B$11-Inputs!$B$11),0))))/100+(Inputs!$B$23+0+(IF(ArtifactsInput!$M$15,CHOOSE(ArtifactsInput!$N$15+1,25,30,35,40,45,50)/100*(Inputs!$B$11-Inputs!$B$11),0)))/100)/2</f>
        <v/>
      </c>
      <c r="M2909">
        <f>L2909*(1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9">
        <f>L2909*(1-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2909*(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9">
        <f>(1-Summary!$B$11)*T2909+Summary!$B$11*V2909</f>
        <v/>
      </c>
      <c r="P2909">
        <f>IF(B2942=0,0,O2909/B2942)</f>
        <v/>
      </c>
      <c r="Q2909">
        <f>IFERROR(1/(IF(Inputs!$B$38="pvp",15,MAX(0.1,Skills!D8-IF(Skills!E8=TRUE,1.5,0)))*(1-IF(AND(ArtifactsInput!$M$27,Inputs!$B$4="Chapter Hunt"),CHOOSE(ArtifactsInput!$N$27+1,20,24,28,32,36,40),0)/100)),0)</f>
        <v/>
      </c>
      <c r="R2909">
        <f>IF(AND(Inputs!$B$38&lt;&gt;"pvp",Inputs!$B$43&gt;0),IF(MAX(0,Inputs!$B$43-B2939)&lt;=0,0,(INT(MAX(0,Inputs!$B$43-B2939)/(IF(Inputs!$B$38="pvp",15,MAX(0.1,Skills!D8-IF(Skills!E8=TRUE,1.5,0)))*(1-IF(AND(ArtifactsInput!$M$27,Inputs!$B$4="Chapter Hunt"),CHOOSE(ArtifactsInput!$N$27+1,20,24,28,32,36,40),0)/100)))+1)),0)</f>
        <v/>
      </c>
      <c r="S2909">
        <f>IFERROR(O2909/N2909,0)</f>
        <v/>
      </c>
      <c r="T2909">
        <f>IF(C2909,(H2909*N2909*IF(AND(Inputs!$B$38&lt;&gt;"pvp",Inputs!$B$43&gt;0),((Skills!G8*((R2909-1)*IF(Skills!H8&gt;0,Skills!I8/Skills!H8,1)+IF(Skills!H8&gt;0,MIN(Skills!I8,MAX(0,MAX(0,Inputs!$B$43-B2939)-((R2909-1)*(IF(Inputs!$B$38="pvp",15,MAX(0.1,Skills!D8-IF(Skills!E8=TRUE,1.5,0)))*(1-IF(AND(ArtifactsInput!$M$27,Inputs!$B$4="Chapter Hunt"),CHOOSE(ArtifactsInput!$N$27+1,20,24,28,32,36,40),0)/100)))))/Skills!H8,1)))/Inputs!$B$43),G2909*Q2909)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2909*(1-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2909*(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2909*(1-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2909*(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9">
        <f>IF(C2909,(H2909*N2909*IF(AND(Inputs!$B$38&lt;&gt;"pvp",Inputs!$B$43&gt;0),((Skills!G8*((R2909-1)*IF(Skills!H8&gt;0,Skills!I8/Skills!H8,1)+IF(Skills!H8&gt;0,MIN(Skills!I8,MAX(0,MAX(0,Inputs!$B$43-B2939)-((R2909-1)*(IF(Inputs!$B$38="pvp",15,MAX(0.1,Skills!D8-IF(Skills!E8=TRUE,1.5,0)))*(1-IF(AND(ArtifactsInput!$M$27,Inputs!$B$4="Chapter Hunt"),CHOOSE(ArtifactsInput!$N$27+1,20,24,28,32,36,40),0)/100)))))/Skills!H8,1)))/Inputs!$B$43),G2909*Q2909))*IF(Inputs!$B$38="pvp",1,(1+(Inputs!$B$21+Skills!Q8+(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0">
      <c r="A2910">
        <f>Skills!A9</f>
        <v/>
      </c>
      <c r="B2910">
        <f>Skills!B9</f>
        <v/>
      </c>
      <c r="C2910">
        <f>Inputs!$B$3&gt;=103</f>
        <v/>
      </c>
      <c r="D2910">
        <f>IF(Skills!C9=1,60+Inputs!$B$25+Inputs!$B$29,IF(Skills!C9=2,90+Inputs!$B$26+Inputs!$B$29,IF(Skills!C9=3,120+Inputs!$B$27+Inputs!$B$29,MAX(0,(Inputs!$B$3-100)*3)+Inputs!$B$28+Inputs!$B$29)))</f>
        <v/>
      </c>
      <c r="E2910">
        <f>INDEX(FactorTable!$B$2:$Y$301, MATCH(ROUND(MIN(300,MAX(1,D2910)),0), FactorTable!$A$2:$A$301,0), Skills!M9+1)</f>
        <v/>
      </c>
      <c r="F2910">
        <f>IF(Skills!N9=TRUE,(Skills!L9/10)*(E2910/1000),Skills!L9/10)+Skills!O9</f>
        <v/>
      </c>
      <c r="G2910">
        <f>Skills!G9*IF(Skills!H9&gt;0,Skills!I9/Skills!H9,1)</f>
        <v/>
      </c>
      <c r="H2910">
        <f>1-(1-Skills!J9/100)^Skills!K9</f>
        <v/>
      </c>
      <c r="I2910" t="inlineStr">
        <is>
          <t>1</t>
        </is>
      </c>
      <c r="J2910">
        <f>((Inputs!$B$6*(1+Inputs!$B$7/100))+(((Inputs!$B$12*(1+Inputs!$B$13/100))-(Inputs!$B$12*(1+Inputs!$B$13/100)))+0.25*(Inputs!$B$14-Inputs!$B$14))*(1+Inputs!$B$7/100))*(F2910/100)</f>
        <v/>
      </c>
      <c r="K2910">
        <f>J2910*(1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2910)</f>
        <v/>
      </c>
      <c r="L2910">
        <f>K2910*(MIN(Inputs!$B$22+((C2923=TRUE)*(F2923-Calc!F22)),(Inputs!$B$23+0+(IF(ArtifactsInput!$M$15,CHOOSE(ArtifactsInput!$N$15+1,25,30,35,40,45,50)/100*(Inputs!$B$11-Inputs!$B$11),0))))/100+(Inputs!$B$23+0+(IF(ArtifactsInput!$M$15,CHOOSE(ArtifactsInput!$N$15+1,25,30,35,40,45,50)/100*(Inputs!$B$11-Inputs!$B$11),0)))/100)/2</f>
        <v/>
      </c>
      <c r="M2910">
        <f>L2910*(1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0">
        <f>L2910*(1-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2910*(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0">
        <f>(1-Summary!$B$11)*T2910+Summary!$B$11*V2910</f>
        <v/>
      </c>
      <c r="P2910">
        <f>IF(B2942=0,0,O2910/B2942)</f>
        <v/>
      </c>
      <c r="Q2910">
        <f>IFERROR(1/(IF(Inputs!$B$38="pvp",15,MAX(0.1,Skills!D9-IF(Skills!E9=TRUE,1.5,0)))*(1-IF(AND(ArtifactsInput!$M$27,Inputs!$B$4="Chapter Hunt"),CHOOSE(ArtifactsInput!$N$27+1,20,24,28,32,36,40),0)/100)),0)</f>
        <v/>
      </c>
      <c r="R2910">
        <f>IF(AND(Inputs!$B$38&lt;&gt;"pvp",Inputs!$B$43&gt;0),IF(MAX(0,Inputs!$B$43-B2939)&lt;=0,0,(INT(MAX(0,Inputs!$B$43-B2939)/(IF(Inputs!$B$38="pvp",15,MAX(0.1,Skills!D9-IF(Skills!E9=TRUE,1.5,0)))*(1-IF(AND(ArtifactsInput!$M$27,Inputs!$B$4="Chapter Hunt"),CHOOSE(ArtifactsInput!$N$27+1,20,24,28,32,36,40),0)/100)))+1)),0)</f>
        <v/>
      </c>
      <c r="S2910">
        <f>IFERROR(O2910/N2910,0)</f>
        <v/>
      </c>
      <c r="T2910">
        <f>IF(C2910,(H2910*N2910*IF(AND(Inputs!$B$38&lt;&gt;"pvp",Inputs!$B$43&gt;0),((Skills!G9*((R2910-1)*IF(Skills!H9&gt;0,Skills!I9/Skills!H9,1)+IF(Skills!H9&gt;0,MIN(Skills!I9,MAX(0,MAX(0,Inputs!$B$43-B2939)-((R2910-1)*(IF(Inputs!$B$38="pvp",15,MAX(0.1,Skills!D9-IF(Skills!E9=TRUE,1.5,0)))*(1-IF(AND(ArtifactsInput!$M$27,Inputs!$B$4="Chapter Hunt"),CHOOSE(ArtifactsInput!$N$27+1,20,24,28,32,36,40),0)/100)))))/Skills!H9,1)))/Inputs!$B$43),G2910*Q2910)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2910*(1-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2910*(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2910*(1-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2910*(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0">
        <f>IF(C2910,(H2910*N2910*IF(AND(Inputs!$B$38&lt;&gt;"pvp",Inputs!$B$43&gt;0),((Skills!G9*((R2910-1)*IF(Skills!H9&gt;0,Skills!I9/Skills!H9,1)+IF(Skills!H9&gt;0,MIN(Skills!I9,MAX(0,MAX(0,Inputs!$B$43-B2939)-((R2910-1)*(IF(Inputs!$B$38="pvp",15,MAX(0.1,Skills!D9-IF(Skills!E9=TRUE,1.5,0)))*(1-IF(AND(ArtifactsInput!$M$27,Inputs!$B$4="Chapter Hunt"),CHOOSE(ArtifactsInput!$N$27+1,20,24,28,32,36,40),0)/100)))))/Skills!H9,1)))/Inputs!$B$43),G2910*Q2910))*IF(Inputs!$B$38="pvp",1,(1+(Inputs!$B$21+Skills!Q9+(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1">
      <c r="A2911">
        <f>Skills!A10</f>
        <v/>
      </c>
      <c r="B2911">
        <f>Skills!B10</f>
        <v/>
      </c>
      <c r="C2911">
        <f>Inputs!$B$3&gt;=113</f>
        <v/>
      </c>
      <c r="D2911">
        <f>IF(Skills!C10=1,60+Inputs!$B$25+Inputs!$B$29,IF(Skills!C10=2,90+Inputs!$B$26+Inputs!$B$29,IF(Skills!C10=3,120+Inputs!$B$27+Inputs!$B$29,MAX(0,(Inputs!$B$3-100)*3)+Inputs!$B$28+Inputs!$B$29)))</f>
        <v/>
      </c>
      <c r="E2911">
        <f>INDEX(FactorTable!$B$2:$Y$301, MATCH(ROUND(MIN(300,MAX(1,D2911)),0), FactorTable!$A$2:$A$301,0), Skills!M10+1)</f>
        <v/>
      </c>
      <c r="F2911">
        <f>IF(Skills!N10=TRUE,(Skills!L10/10)*(E2911/1000),Skills!L10/10)+Skills!O10</f>
        <v/>
      </c>
      <c r="G2911">
        <f>Skills!G10*IF(Skills!H10&gt;0,Skills!I10/Skills!H10,1)</f>
        <v/>
      </c>
      <c r="H2911">
        <f>1-(1-Skills!J10/100)^Skills!K10</f>
        <v/>
      </c>
      <c r="I2911" t="inlineStr">
        <is>
          <t>1</t>
        </is>
      </c>
      <c r="J2911">
        <f>((Inputs!$B$6*(1+Inputs!$B$7/100))+(((Inputs!$B$12*(1+Inputs!$B$13/100))-(Inputs!$B$12*(1+Inputs!$B$13/100)))+0.25*(Inputs!$B$14-Inputs!$B$14))*(1+Inputs!$B$7/100))*(F2911/100)</f>
        <v/>
      </c>
      <c r="K2911">
        <f>J2911*(1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2911)</f>
        <v/>
      </c>
      <c r="L2911">
        <f>K2911*(MIN(Inputs!$B$22+((C2923=TRUE)*(F2923-Calc!F22)),(Inputs!$B$23+0+(IF(ArtifactsInput!$M$15,CHOOSE(ArtifactsInput!$N$15+1,25,30,35,40,45,50)/100*(Inputs!$B$11-Inputs!$B$11),0))))/100+(Inputs!$B$23+0+(IF(ArtifactsInput!$M$15,CHOOSE(ArtifactsInput!$N$15+1,25,30,35,40,45,50)/100*(Inputs!$B$11-Inputs!$B$11),0)))/100)/2</f>
        <v/>
      </c>
      <c r="M2911">
        <f>L2911*(1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1">
        <f>L2911*(1-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1">
        <f>(1-Summary!$B$11)*T2911+Summary!$B$11*V2911</f>
        <v/>
      </c>
      <c r="P2911">
        <f>IF(B2942=0,0,O2911/B2942)</f>
        <v/>
      </c>
      <c r="Q2911">
        <f>IFERROR(1/(IF(Inputs!$B$38="pvp",15,MAX(0.1,Skills!D10-IF(Skills!E10=TRUE,1.5,0)))*(1-IF(AND(ArtifactsInput!$M$27,Inputs!$B$4="Chapter Hunt"),CHOOSE(ArtifactsInput!$N$27+1,20,24,28,32,36,40),0)/100)),0)</f>
        <v/>
      </c>
      <c r="R2911">
        <f>IF(AND(Inputs!$B$38&lt;&gt;"pvp",Inputs!$B$43&gt;0),IF(MAX(0,Inputs!$B$43-B2939)&lt;=0,0,(INT(MAX(0,Inputs!$B$43-B2939)/(IF(Inputs!$B$38="pvp",15,MAX(0.1,Skills!D10-IF(Skills!E10=TRUE,1.5,0)))*(1-IF(AND(ArtifactsInput!$M$27,Inputs!$B$4="Chapter Hunt"),CHOOSE(ArtifactsInput!$N$27+1,20,24,28,32,36,40),0)/100)))+1)),0)</f>
        <v/>
      </c>
      <c r="S2911">
        <f>IFERROR(O2911/N2911,0)</f>
        <v/>
      </c>
      <c r="T2911">
        <f>IF(C2911,(H2911*N2911*IF(AND(Inputs!$B$38&lt;&gt;"pvp",Inputs!$B$43&gt;0),((Skills!G10*((R2911-1)*IF(Skills!H10&gt;0,Skills!I10/Skills!H10,1)+IF(Skills!H10&gt;0,MIN(Skills!I10,MAX(0,MAX(0,Inputs!$B$43-B2939)-((R2911-1)*(IF(Inputs!$B$38="pvp",15,MAX(0.1,Skills!D10-IF(Skills!E10=TRUE,1.5,0)))*(1-IF(AND(ArtifactsInput!$M$27,Inputs!$B$4="Chapter Hunt"),CHOOSE(ArtifactsInput!$N$27+1,20,24,28,32,36,40),0)/100)))))/Skills!H10,1)))/Inputs!$B$43),G2911*Q2911)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2911*(1-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2911*(1-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1">
        <f>IF(C2911,(H2911*N2911*IF(AND(Inputs!$B$38&lt;&gt;"pvp",Inputs!$B$43&gt;0),((Skills!G10*((R2911-1)*IF(Skills!H10&gt;0,Skills!I10/Skills!H10,1)+IF(Skills!H10&gt;0,MIN(Skills!I10,MAX(0,MAX(0,Inputs!$B$43-B2939)-((R2911-1)*(IF(Inputs!$B$38="pvp",15,MAX(0.1,Skills!D10-IF(Skills!E10=TRUE,1.5,0)))*(1-IF(AND(ArtifactsInput!$M$27,Inputs!$B$4="Chapter Hunt"),CHOOSE(ArtifactsInput!$N$27+1,20,24,28,32,36,40),0)/100)))))/Skills!H10,1)))/Inputs!$B$43),G2911*Q2911))*IF(Inputs!$B$38="pvp",1,(1+(Inputs!$B$21+Skills!Q10+(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2">
      <c r="A2912">
        <f>Skills!A11</f>
        <v/>
      </c>
      <c r="B2912">
        <f>Skills!B11</f>
        <v/>
      </c>
      <c r="C2912">
        <f>Inputs!$B$3&gt;=107</f>
        <v/>
      </c>
      <c r="D2912">
        <f>IF(Skills!C11=1,60+Inputs!$B$25+Inputs!$B$29,IF(Skills!C11=2,90+Inputs!$B$26+Inputs!$B$29,IF(Skills!C11=3,120+Inputs!$B$27+Inputs!$B$29,MAX(0,(Inputs!$B$3-100)*3)+Inputs!$B$28+Inputs!$B$29)))</f>
        <v/>
      </c>
      <c r="E2912">
        <f>INDEX(FactorTable!$B$2:$Y$301, MATCH(ROUND(MIN(300,MAX(1,D2912)),0), FactorTable!$A$2:$A$301,0), Skills!M11+1)</f>
        <v/>
      </c>
      <c r="F2912">
        <f>IF(Skills!N11=TRUE,(Skills!L11/10)*(E2912/1000),Skills!L11/10)+Skills!O11</f>
        <v/>
      </c>
      <c r="G2912">
        <f>Skills!G11*IF(Skills!H11&gt;0,Skills!I11/Skills!H11,1)</f>
        <v/>
      </c>
      <c r="H2912">
        <f>1-(1-Skills!J11/100)^Skills!K11</f>
        <v/>
      </c>
      <c r="I2912" t="inlineStr">
        <is>
          <t>1</t>
        </is>
      </c>
      <c r="J2912">
        <f>((Inputs!$B$6*(1+Inputs!$B$7/100))+(((Inputs!$B$12*(1+Inputs!$B$13/100))-(Inputs!$B$12*(1+Inputs!$B$13/100)))+0.25*(Inputs!$B$14-Inputs!$B$14))*(1+Inputs!$B$7/100))*(F2912/100)</f>
        <v/>
      </c>
      <c r="K2912">
        <f>J2912*(1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2912)</f>
        <v/>
      </c>
      <c r="L2912">
        <f>K2912*(MIN(Inputs!$B$22+((C2923=TRUE)*(F2923-Calc!F22)),(Inputs!$B$23+0+(IF(ArtifactsInput!$M$15,CHOOSE(ArtifactsInput!$N$15+1,25,30,35,40,45,50)/100*(Inputs!$B$11-Inputs!$B$11),0))))/100+(Inputs!$B$23+0+(IF(ArtifactsInput!$M$15,CHOOSE(ArtifactsInput!$N$15+1,25,30,35,40,45,50)/100*(Inputs!$B$11-Inputs!$B$11),0)))/100)/2</f>
        <v/>
      </c>
      <c r="M2912">
        <f>L2912*(1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2">
        <f>L2912*(1-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2912*(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2">
        <f>(1-Summary!$B$11)*T2912+Summary!$B$11*V2912</f>
        <v/>
      </c>
      <c r="P2912">
        <f>IF(B2942=0,0,O2912/B2942)</f>
        <v/>
      </c>
      <c r="Q2912">
        <f>IFERROR(1/(IF(Inputs!$B$38="pvp",15,MAX(0.1,Skills!D11-IF(Skills!E11=TRUE,1.5,0)))*(1-IF(AND(ArtifactsInput!$M$27,Inputs!$B$4="Chapter Hunt"),CHOOSE(ArtifactsInput!$N$27+1,20,24,28,32,36,40),0)/100)),0)</f>
        <v/>
      </c>
      <c r="R2912">
        <f>IF(AND(Inputs!$B$38&lt;&gt;"pvp",Inputs!$B$43&gt;0),IF(MAX(0,Inputs!$B$43-B2939)&lt;=0,0,(INT(MAX(0,Inputs!$B$43-B2939)/(IF(Inputs!$B$38="pvp",15,MAX(0.1,Skills!D11-IF(Skills!E11=TRUE,1.5,0)))*(1-IF(AND(ArtifactsInput!$M$27,Inputs!$B$4="Chapter Hunt"),CHOOSE(ArtifactsInput!$N$27+1,20,24,28,32,36,40),0)/100)))+1)),0)</f>
        <v/>
      </c>
      <c r="S2912">
        <f>IFERROR(O2912/N2912,0)</f>
        <v/>
      </c>
      <c r="T2912">
        <f>IF(C2912,(H2912*N2912*IF(AND(Inputs!$B$38&lt;&gt;"pvp",Inputs!$B$43&gt;0),((Skills!G11*((R2912-1)*IF(Skills!H11&gt;0,Skills!I11/Skills!H11,1)+IF(Skills!H11&gt;0,MIN(Skills!I11,MAX(0,MAX(0,Inputs!$B$43-B2939)-((R2912-1)*(IF(Inputs!$B$38="pvp",15,MAX(0.1,Skills!D11-IF(Skills!E11=TRUE,1.5,0)))*(1-IF(AND(ArtifactsInput!$M$27,Inputs!$B$4="Chapter Hunt"),CHOOSE(ArtifactsInput!$N$27+1,20,24,28,32,36,40),0)/100)))))/Skills!H11,1)))/Inputs!$B$43),G2912*Q2912)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2912*(1-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2912*(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2912*(1-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2912*(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2">
        <f>IF(C2912,(H2912*N2912*IF(AND(Inputs!$B$38&lt;&gt;"pvp",Inputs!$B$43&gt;0),((Skills!G11*((R2912-1)*IF(Skills!H11&gt;0,Skills!I11/Skills!H11,1)+IF(Skills!H11&gt;0,MIN(Skills!I11,MAX(0,MAX(0,Inputs!$B$43-B2939)-((R2912-1)*(IF(Inputs!$B$38="pvp",15,MAX(0.1,Skills!D11-IF(Skills!E11=TRUE,1.5,0)))*(1-IF(AND(ArtifactsInput!$M$27,Inputs!$B$4="Chapter Hunt"),CHOOSE(ArtifactsInput!$N$27+1,20,24,28,32,36,40),0)/100)))))/Skills!H11,1)))/Inputs!$B$43),G2912*Q2912))*IF(Inputs!$B$38="pvp",1,(1+(Inputs!$B$21+Skills!Q11+(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3">
      <c r="A2913">
        <f>Skills!A12</f>
        <v/>
      </c>
      <c r="B2913">
        <f>Skills!B12</f>
        <v/>
      </c>
      <c r="C2913">
        <f>Inputs!$B$3&gt;=110</f>
        <v/>
      </c>
      <c r="D2913">
        <f>IF(Skills!C12=1,60+Inputs!$B$25+Inputs!$B$29,IF(Skills!C12=2,90+Inputs!$B$26+Inputs!$B$29,IF(Skills!C12=3,120+Inputs!$B$27+Inputs!$B$29,MAX(0,(Inputs!$B$3-100)*3)+Inputs!$B$28+Inputs!$B$29)))</f>
        <v/>
      </c>
      <c r="E2913">
        <f>INDEX(FactorTable!$B$2:$Y$301, MATCH(ROUND(MIN(300,MAX(1,D2913)),0), FactorTable!$A$2:$A$301,0), Skills!M12+1)</f>
        <v/>
      </c>
      <c r="F2913">
        <f>IF(Skills!N12=TRUE,(Skills!L12/10)*(E2913/1000),Skills!L12/10)+Skills!O12</f>
        <v/>
      </c>
      <c r="G2913">
        <f>Skills!G12*IF(Skills!H12&gt;0,Skills!I12/Skills!H12,1)</f>
        <v/>
      </c>
      <c r="H2913">
        <f>1-(1-Skills!J12/100)^Skills!K12</f>
        <v/>
      </c>
      <c r="I2913" t="inlineStr">
        <is>
          <t>1</t>
        </is>
      </c>
      <c r="J2913">
        <f>((Inputs!$B$6*(1+Inputs!$B$7/100))+(((Inputs!$B$12*(1+Inputs!$B$13/100))-(Inputs!$B$12*(1+Inputs!$B$13/100)))+0.25*(Inputs!$B$14-Inputs!$B$14))*(1+Inputs!$B$7/100))*(F2913/100)</f>
        <v/>
      </c>
      <c r="K2913">
        <f>J2913*(1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2913)</f>
        <v/>
      </c>
      <c r="L2913">
        <f>K2913*(MIN(Inputs!$B$22+((C2923=TRUE)*(F2923-Calc!F22)),(Inputs!$B$23+0+(IF(ArtifactsInput!$M$15,CHOOSE(ArtifactsInput!$N$15+1,25,30,35,40,45,50)/100*(Inputs!$B$11-Inputs!$B$11),0))))/100+(Inputs!$B$23+0+(IF(ArtifactsInput!$M$15,CHOOSE(ArtifactsInput!$N$15+1,25,30,35,40,45,50)/100*(Inputs!$B$11-Inputs!$B$11),0)))/100)/2</f>
        <v/>
      </c>
      <c r="M2913">
        <f>L2913*(1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3">
        <f>L2913*(1-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2913*(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3">
        <f>(1-Summary!$B$11)*T2913+Summary!$B$11*V2913</f>
        <v/>
      </c>
      <c r="P2913">
        <f>IF(B2942=0,0,O2913/B2942)</f>
        <v/>
      </c>
      <c r="Q2913">
        <f>IFERROR(1/(IF(Inputs!$B$38="pvp",15,MAX(0.1,Skills!D12-IF(Skills!E12=TRUE,1.5,0)))*(1-IF(AND(ArtifactsInput!$M$27,Inputs!$B$4="Chapter Hunt"),CHOOSE(ArtifactsInput!$N$27+1,20,24,28,32,36,40),0)/100)),0)</f>
        <v/>
      </c>
      <c r="R2913">
        <f>IF(AND(Inputs!$B$38&lt;&gt;"pvp",Inputs!$B$43&gt;0),IF(MAX(0,Inputs!$B$43-B2939)&lt;=0,0,(INT(MAX(0,Inputs!$B$43-B2939)/(IF(Inputs!$B$38="pvp",15,MAX(0.1,Skills!D12-IF(Skills!E12=TRUE,1.5,0)))*(1-IF(AND(ArtifactsInput!$M$27,Inputs!$B$4="Chapter Hunt"),CHOOSE(ArtifactsInput!$N$27+1,20,24,28,32,36,40),0)/100)))+1)),0)</f>
        <v/>
      </c>
      <c r="S2913">
        <f>IFERROR(O2913/N2913,0)</f>
        <v/>
      </c>
      <c r="T2913">
        <f>IF(C2913,(H2913*N2913*IF(AND(Inputs!$B$38&lt;&gt;"pvp",Inputs!$B$43&gt;0),((Skills!G12*((R2913-1)*IF(Skills!H12&gt;0,Skills!I12/Skills!H12,1)+IF(Skills!H12&gt;0,MIN(Skills!I12,MAX(0,MAX(0,Inputs!$B$43-B2939)-((R2913-1)*(IF(Inputs!$B$38="pvp",15,MAX(0.1,Skills!D12-IF(Skills!E12=TRUE,1.5,0)))*(1-IF(AND(ArtifactsInput!$M$27,Inputs!$B$4="Chapter Hunt"),CHOOSE(ArtifactsInput!$N$27+1,20,24,28,32,36,40),0)/100)))))/Skills!H12,1)))/Inputs!$B$43),G2913*Q2913)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2913*(1-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2913*(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2913*(1-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2913*(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3">
        <f>IF(C2913,(H2913*N2913*IF(AND(Inputs!$B$38&lt;&gt;"pvp",Inputs!$B$43&gt;0),((Skills!G12*((R2913-1)*IF(Skills!H12&gt;0,Skills!I12/Skills!H12,1)+IF(Skills!H12&gt;0,MIN(Skills!I12,MAX(0,MAX(0,Inputs!$B$43-B2939)-((R2913-1)*(IF(Inputs!$B$38="pvp",15,MAX(0.1,Skills!D12-IF(Skills!E12=TRUE,1.5,0)))*(1-IF(AND(ArtifactsInput!$M$27,Inputs!$B$4="Chapter Hunt"),CHOOSE(ArtifactsInput!$N$27+1,20,24,28,32,36,40),0)/100)))))/Skills!H12,1)))/Inputs!$B$43),G2913*Q2913))*IF(Inputs!$B$38="pvp",1,(1+(Inputs!$B$21+Skills!Q12+(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4">
      <c r="A2914">
        <f>Skills!A13</f>
        <v/>
      </c>
      <c r="B2914">
        <f>Skills!B13</f>
        <v/>
      </c>
      <c r="C2914">
        <f>Inputs!$B$3&gt;=110</f>
        <v/>
      </c>
      <c r="D2914">
        <f>IF(Skills!C13=1,60+Inputs!$B$25+Inputs!$B$29,IF(Skills!C13=2,90+Inputs!$B$26+Inputs!$B$29,IF(Skills!C13=3,120+Inputs!$B$27+Inputs!$B$29,MAX(0,(Inputs!$B$3-100)*3)+Inputs!$B$28+Inputs!$B$29)))</f>
        <v/>
      </c>
      <c r="E2914">
        <f>INDEX(FactorTable!$B$2:$Y$301, MATCH(ROUND(MIN(300,MAX(1,D2914)),0), FactorTable!$A$2:$A$301,0), Skills!M13+1)</f>
        <v/>
      </c>
      <c r="F2914">
        <f>IF(Skills!N13=TRUE,(Skills!L13/10)*(E2914/1000),Skills!L13/10)+Skills!O13</f>
        <v/>
      </c>
      <c r="G2914">
        <f>Skills!G13*IF(Skills!H13&gt;0,Skills!I13/Skills!H13,1)</f>
        <v/>
      </c>
      <c r="H2914">
        <f>1-(1-Skills!J13/100)^Skills!K13</f>
        <v/>
      </c>
      <c r="I2914" t="inlineStr">
        <is>
          <t>1</t>
        </is>
      </c>
      <c r="J2914">
        <f>((Inputs!$B$6*(1+Inputs!$B$7/100))+(((Inputs!$B$12*(1+Inputs!$B$13/100))-(Inputs!$B$12*(1+Inputs!$B$13/100)))+0.25*(Inputs!$B$14-Inputs!$B$14))*(1+Inputs!$B$7/100))*(F2914/100)</f>
        <v/>
      </c>
      <c r="K2914">
        <f>J2914*(1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2914)</f>
        <v/>
      </c>
      <c r="L2914">
        <f>K2914*(MIN(Inputs!$B$22+((C2923=TRUE)*(F2923-Calc!F22)),(Inputs!$B$23+0+(IF(ArtifactsInput!$M$15,CHOOSE(ArtifactsInput!$N$15+1,25,30,35,40,45,50)/100*(Inputs!$B$11-Inputs!$B$11),0))))/100+(Inputs!$B$23+0+(IF(ArtifactsInput!$M$15,CHOOSE(ArtifactsInput!$N$15+1,25,30,35,40,45,50)/100*(Inputs!$B$11-Inputs!$B$11),0)))/100)/2</f>
        <v/>
      </c>
      <c r="M2914">
        <f>L2914*(1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4">
        <f>L2914*(1-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2914*(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4">
        <f>(1-Summary!$B$11)*T2914+Summary!$B$11*V2914</f>
        <v/>
      </c>
      <c r="P2914">
        <f>IF(B2942=0,0,O2914/B2942)</f>
        <v/>
      </c>
      <c r="Q2914">
        <f>IFERROR(1/(IF(Inputs!$B$38="pvp",15,MAX(0.1,Skills!D13-IF(Skills!E13=TRUE,1.5,0)))*(1-IF(AND(ArtifactsInput!$M$27,Inputs!$B$4="Chapter Hunt"),CHOOSE(ArtifactsInput!$N$27+1,20,24,28,32,36,40),0)/100)),0)</f>
        <v/>
      </c>
      <c r="R2914">
        <f>IF(AND(Inputs!$B$38&lt;&gt;"pvp",Inputs!$B$43&gt;0),IF(MAX(0,Inputs!$B$43-B2939)&lt;=0,0,(INT(MAX(0,Inputs!$B$43-B2939)/(IF(Inputs!$B$38="pvp",15,MAX(0.1,Skills!D13-IF(Skills!E13=TRUE,1.5,0)))*(1-IF(AND(ArtifactsInput!$M$27,Inputs!$B$4="Chapter Hunt"),CHOOSE(ArtifactsInput!$N$27+1,20,24,28,32,36,40),0)/100)))+1)),0)</f>
        <v/>
      </c>
      <c r="S2914">
        <f>IFERROR(O2914/N2914,0)</f>
        <v/>
      </c>
      <c r="T2914">
        <f>IF(C2914,(H2914*N2914*IF(AND(Inputs!$B$38&lt;&gt;"pvp",Inputs!$B$43&gt;0),((Skills!G13*((R2914-1)*IF(Skills!H13&gt;0,Skills!I13/Skills!H13,1)+IF(Skills!H13&gt;0,MIN(Skills!I13,MAX(0,MAX(0,Inputs!$B$43-B2939)-((R2914-1)*(IF(Inputs!$B$38="pvp",15,MAX(0.1,Skills!D13-IF(Skills!E13=TRUE,1.5,0)))*(1-IF(AND(ArtifactsInput!$M$27,Inputs!$B$4="Chapter Hunt"),CHOOSE(ArtifactsInput!$N$27+1,20,24,28,32,36,40),0)/100)))))/Skills!H13,1)))/Inputs!$B$43),G2914*Q2914)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2914*(1-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2914*(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2914*(1-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2914*(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4">
        <f>IF(C2914,(H2914*N2914*IF(AND(Inputs!$B$38&lt;&gt;"pvp",Inputs!$B$43&gt;0),((Skills!G13*((R2914-1)*IF(Skills!H13&gt;0,Skills!I13/Skills!H13,1)+IF(Skills!H13&gt;0,MIN(Skills!I13,MAX(0,MAX(0,Inputs!$B$43-B2939)-((R2914-1)*(IF(Inputs!$B$38="pvp",15,MAX(0.1,Skills!D13-IF(Skills!E13=TRUE,1.5,0)))*(1-IF(AND(ArtifactsInput!$M$27,Inputs!$B$4="Chapter Hunt"),CHOOSE(ArtifactsInput!$N$27+1,20,24,28,32,36,40),0)/100)))))/Skills!H13,1)))/Inputs!$B$43),G2914*Q2914))*IF(Inputs!$B$38="pvp",1,(1+(Inputs!$B$21+Skills!Q13+(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5">
      <c r="A2915">
        <f>Skills!A14</f>
        <v/>
      </c>
      <c r="B2915">
        <f>Skills!B14</f>
        <v/>
      </c>
      <c r="C2915">
        <f>Inputs!$B$3&gt;=125</f>
        <v/>
      </c>
      <c r="D2915">
        <f>IF(Skills!C14=1,60+Inputs!$B$25+Inputs!$B$29,IF(Skills!C14=2,90+Inputs!$B$26+Inputs!$B$29,IF(Skills!C14=3,120+Inputs!$B$27+Inputs!$B$29,MAX(0,(Inputs!$B$3-100)*3)+Inputs!$B$28+Inputs!$B$29)))</f>
        <v/>
      </c>
      <c r="E2915">
        <f>INDEX(FactorTable!$B$2:$Y$301, MATCH(ROUND(MIN(300,MAX(1,D2915)),0), FactorTable!$A$2:$A$301,0), Skills!M14+1)</f>
        <v/>
      </c>
      <c r="F2915">
        <f>IF(Skills!N14=TRUE,(Skills!L14/10)*(E2915/1000),Skills!L14/10)+Skills!O14</f>
        <v/>
      </c>
      <c r="G2915">
        <f>Skills!G14*IF(Skills!H14&gt;0,Skills!I14/Skills!H14,1)</f>
        <v/>
      </c>
      <c r="H2915">
        <f>1-(1-Skills!J14/100)^Skills!K14</f>
        <v/>
      </c>
      <c r="I2915" t="inlineStr">
        <is>
          <t>1</t>
        </is>
      </c>
      <c r="J2915">
        <f>((Inputs!$B$6*(1+Inputs!$B$7/100))+(((Inputs!$B$12*(1+Inputs!$B$13/100))-(Inputs!$B$12*(1+Inputs!$B$13/100)))+0.25*(Inputs!$B$14-Inputs!$B$14))*(1+Inputs!$B$7/100))*(F2915/100)</f>
        <v/>
      </c>
      <c r="K2915">
        <f>J2915*(1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2915)</f>
        <v/>
      </c>
      <c r="L2915">
        <f>K2915*(MIN(Inputs!$B$22+((C2923=TRUE)*(F2923-Calc!F22)),(Inputs!$B$23+0+(IF(ArtifactsInput!$M$15,CHOOSE(ArtifactsInput!$N$15+1,25,30,35,40,45,50)/100*(Inputs!$B$11-Inputs!$B$11),0))))/100+(Inputs!$B$23+0+(IF(ArtifactsInput!$M$15,CHOOSE(ArtifactsInput!$N$15+1,25,30,35,40,45,50)/100*(Inputs!$B$11-Inputs!$B$11),0)))/100)/2</f>
        <v/>
      </c>
      <c r="M2915">
        <f>L2915*(1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5">
        <f>L2915*(1-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2915*(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5">
        <f>(1-Summary!$B$11)*T2915+Summary!$B$11*V2915</f>
        <v/>
      </c>
      <c r="P2915">
        <f>IF(B2942=0,0,O2915/B2942)</f>
        <v/>
      </c>
      <c r="Q2915" t="n">
        <v>0</v>
      </c>
      <c r="R2915" t="n">
        <v>0</v>
      </c>
      <c r="S2915">
        <f>IFERROR(O2915/N2915,0)</f>
        <v/>
      </c>
      <c r="T2915">
        <f>IF(C2915,(H2915*N2915*(B2936+IF(AND(Inputs!$B$38&lt;&gt;"pvp",Inputs!$B$43&gt;0),((Skills!G8*((R2909-1)*IF(Skills!H8&gt;0,Skills!I8/Skills!H8,1)+IF(Skills!H8&gt;0,MIN(Skills!I8,MAX(0,MAX(0,Inputs!$B$43-B2939)-((R2909-1)*(IF(Inputs!$B$38="pvp",15,MAX(0.1,Skills!D8-IF(Skills!E8=TRUE,1.5,0)))*(1-IF(AND(ArtifactsInput!$M$27,Inputs!$B$4="Chapter Hunt"),CHOOSE(ArtifactsInput!$N$27+1,20,24,28,32,36,40),0)/100)))))/Skills!H8,1)))/Inputs!$B$43),G2909*Q2909)+IF(AND(Inputs!$B$38&lt;&gt;"pvp",Inputs!$B$43&gt;0),((Skills!G11*((R2912-1)*IF(Skills!H11&gt;0,Skills!I11/Skills!H11,1)+IF(Skills!H11&gt;0,MIN(Skills!I11,MAX(0,MAX(0,Inputs!$B$43-B2939)-((R2912-1)*(IF(Inputs!$B$38="pvp",15,MAX(0.1,Skills!D11-IF(Skills!E11=TRUE,1.5,0)))*(1-IF(AND(ArtifactsInput!$M$27,Inputs!$B$4="Chapter Hunt"),CHOOSE(ArtifactsInput!$N$27+1,20,24,28,32,36,40),0)/100)))))/Skills!H11,1)))/Inputs!$B$43),G2912*Q2912)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2915*(1-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2915*(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2915*(1-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2915*(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5">
        <f>IF(C2915,(H2915*N2915*(B2936+IF(AND(Inputs!$B$38&lt;&gt;"pvp",Inputs!$B$43&gt;0),((Skills!G8*((R2909-1)*IF(Skills!H8&gt;0,Skills!I8/Skills!H8,1)+IF(Skills!H8&gt;0,MIN(Skills!I8,MAX(0,MAX(0,Inputs!$B$43-B2939)-((R2909-1)*(IF(Inputs!$B$38="pvp",15,MAX(0.1,Skills!D8-IF(Skills!E8=TRUE,1.5,0)))*(1-IF(AND(ArtifactsInput!$M$27,Inputs!$B$4="Chapter Hunt"),CHOOSE(ArtifactsInput!$N$27+1,20,24,28,32,36,40),0)/100)))))/Skills!H8,1)))/Inputs!$B$43),G2909*Q2909)+IF(AND(Inputs!$B$38&lt;&gt;"pvp",Inputs!$B$43&gt;0),((Skills!G11*((R2912-1)*IF(Skills!H11&gt;0,Skills!I11/Skills!H11,1)+IF(Skills!H11&gt;0,MIN(Skills!I11,MAX(0,MAX(0,Inputs!$B$43-B2939)-((R2912-1)*(IF(Inputs!$B$38="pvp",15,MAX(0.1,Skills!D11-IF(Skills!E11=TRUE,1.5,0)))*(1-IF(AND(ArtifactsInput!$M$27,Inputs!$B$4="Chapter Hunt"),CHOOSE(ArtifactsInput!$N$27+1,20,24,28,32,36,40),0)/100)))))/Skills!H11,1)))/Inputs!$B$43),G2912*Q2912)))*IF(Inputs!$B$38="pvp",1,(1+(Inputs!$B$21+Skills!Q14+(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6">
      <c r="A2916">
        <f>Skills!A15</f>
        <v/>
      </c>
      <c r="B2916">
        <f>Skills!B15</f>
        <v/>
      </c>
      <c r="C2916">
        <f>Inputs!$B$3&gt;=100</f>
        <v/>
      </c>
      <c r="D2916">
        <f>IF(Skills!C15=1,60+Inputs!$B$25+Inputs!$B$29,IF(Skills!C15=2,90+Inputs!$B$26+Inputs!$B$29,IF(Skills!C15=3,120+Inputs!$B$27+Inputs!$B$29,MAX(0,(Inputs!$B$3-100)*3)+Inputs!$B$28+Inputs!$B$29)))</f>
        <v/>
      </c>
      <c r="E2916">
        <f>INDEX(FactorTable!$B$2:$Y$301, MATCH(ROUND(MIN(300,MAX(1,D2916)),0), FactorTable!$A$2:$A$301,0), Skills!M15+1)</f>
        <v/>
      </c>
      <c r="F2916">
        <f>IF(Skills!N15=TRUE,(Skills!L15/10)*(E2916/1000),Skills!L15/10)+Skills!O15</f>
        <v/>
      </c>
      <c r="G2916" t="inlineStr"/>
      <c r="H2916" t="inlineStr"/>
      <c r="I2916" t="inlineStr">
        <is>
          <t>1</t>
        </is>
      </c>
      <c r="J2916" t="inlineStr"/>
      <c r="K2916" t="inlineStr"/>
      <c r="L2916" t="inlineStr"/>
      <c r="M2916" t="inlineStr"/>
      <c r="N2916" t="inlineStr"/>
      <c r="O2916" t="inlineStr"/>
      <c r="P2916" t="inlineStr"/>
      <c r="Q2916" t="inlineStr"/>
      <c r="R2916" t="inlineStr"/>
      <c r="S2916" t="inlineStr"/>
    </row>
    <row r="2917">
      <c r="A2917">
        <f>Skills!A16</f>
        <v/>
      </c>
      <c r="B2917">
        <f>Skills!B16</f>
        <v/>
      </c>
      <c r="C2917">
        <f>Inputs!$B$3&gt;=120</f>
        <v/>
      </c>
      <c r="D2917">
        <f>IF(Skills!C16=1,60+Inputs!$B$25+Inputs!$B$29,IF(Skills!C16=2,90+Inputs!$B$26+Inputs!$B$29,IF(Skills!C16=3,120+Inputs!$B$27+Inputs!$B$29,MAX(0,(Inputs!$B$3-100)*3)+Inputs!$B$28+Inputs!$B$29)))</f>
        <v/>
      </c>
      <c r="E2917">
        <f>INDEX(FactorTable!$B$2:$Y$301, MATCH(ROUND(MIN(300,MAX(1,D2917)),0), FactorTable!$A$2:$A$301,0), Skills!M16+1)</f>
        <v/>
      </c>
      <c r="F2917">
        <f>IF(Skills!N16=TRUE,(Skills!L16/10)*(E2917/1000),Skills!L16/10)+Skills!O16</f>
        <v/>
      </c>
      <c r="G2917" t="inlineStr"/>
      <c r="H2917" t="inlineStr"/>
      <c r="I2917" t="inlineStr">
        <is>
          <t>1</t>
        </is>
      </c>
      <c r="J2917" t="inlineStr"/>
      <c r="K2917" t="inlineStr"/>
      <c r="L2917" t="inlineStr"/>
      <c r="M2917" t="inlineStr"/>
      <c r="N2917" t="inlineStr"/>
      <c r="O2917" t="inlineStr"/>
      <c r="P2917" t="inlineStr"/>
      <c r="Q2917" t="inlineStr"/>
      <c r="R2917" t="inlineStr"/>
      <c r="S2917" t="inlineStr"/>
    </row>
    <row r="2918">
      <c r="A2918">
        <f>Skills!A17</f>
        <v/>
      </c>
      <c r="B2918">
        <f>Skills!B17</f>
        <v/>
      </c>
      <c r="C2918">
        <f>Inputs!$B$3&gt;=66</f>
        <v/>
      </c>
      <c r="D2918">
        <f>IF(Skills!C17=1,60+Inputs!$B$25+Inputs!$B$29,IF(Skills!C17=2,90+Inputs!$B$26+Inputs!$B$29,IF(Skills!C17=3,120+Inputs!$B$27+Inputs!$B$29,MAX(0,(Inputs!$B$3-100)*3)+Inputs!$B$28+Inputs!$B$29)))</f>
        <v/>
      </c>
      <c r="E2918">
        <f>INDEX(FactorTable!$B$2:$Y$301, MATCH(ROUND(MIN(300,MAX(1,D2918)),0), FactorTable!$A$2:$A$301,0), Skills!M17+1)</f>
        <v/>
      </c>
      <c r="F2918">
        <f>IF(Skills!N17=TRUE,(Skills!L17/10)*(E2918/1000),Skills!L17/10)+Skills!O17</f>
        <v/>
      </c>
      <c r="G2918">
        <f>Skills!G17*IF(Skills!H17&gt;0,Skills!I17/Skills!H17,1)</f>
        <v/>
      </c>
      <c r="H2918">
        <f>1-(1-Skills!J17/100)^Skills!K17</f>
        <v/>
      </c>
      <c r="I2918" t="inlineStr">
        <is>
          <t>1</t>
        </is>
      </c>
      <c r="J2918" t="inlineStr"/>
      <c r="K2918" t="inlineStr"/>
      <c r="L2918" t="inlineStr"/>
      <c r="M2918" t="inlineStr"/>
      <c r="N2918" t="inlineStr"/>
      <c r="O2918">
        <f>(1-Summary!$B$11)*T2918+Summary!$B$11*V2918</f>
        <v/>
      </c>
      <c r="P2918">
        <f>IF(B2942=0,0,O2918/B2942)</f>
        <v/>
      </c>
      <c r="Q2918" t="n">
        <v>0</v>
      </c>
      <c r="R2918" t="n">
        <v>0</v>
      </c>
      <c r="S2918">
        <f>IFERROR(O2918/N2918,0)</f>
        <v/>
      </c>
      <c r="T2918" t="n">
        <v>0</v>
      </c>
      <c r="V2918" t="n">
        <v>0</v>
      </c>
    </row>
    <row r="2919">
      <c r="A2919">
        <f>Skills!A18</f>
        <v/>
      </c>
      <c r="B2919">
        <f>Skills!B18</f>
        <v/>
      </c>
      <c r="C2919">
        <f>Inputs!$B$3&gt;=115</f>
        <v/>
      </c>
      <c r="D2919">
        <f>IF(Skills!C18=1,60+Inputs!$B$25+Inputs!$B$29,IF(Skills!C18=2,90+Inputs!$B$26+Inputs!$B$29,IF(Skills!C18=3,120+Inputs!$B$27+Inputs!$B$29,MAX(0,(Inputs!$B$3-100)*3)+Inputs!$B$28+Inputs!$B$29)))</f>
        <v/>
      </c>
      <c r="E2919">
        <f>INDEX(FactorTable!$B$2:$Y$301, MATCH(ROUND(MIN(300,MAX(1,D2919)),0), FactorTable!$A$2:$A$301,0), Skills!M18+1)</f>
        <v/>
      </c>
      <c r="F2919">
        <f>IF(Skills!N18=TRUE,(Skills!L18/10)*(E2919/1000),Skills!L18/10)+Skills!O18</f>
        <v/>
      </c>
      <c r="G2919">
        <f>Skills!G18*IF(Skills!H18&gt;0,Skills!I18/Skills!H18,1)</f>
        <v/>
      </c>
      <c r="H2919">
        <f>1-(1-Skills!J18/100)^Skills!K18</f>
        <v/>
      </c>
      <c r="I2919" t="inlineStr">
        <is>
          <t>1</t>
        </is>
      </c>
      <c r="J2919" t="inlineStr"/>
      <c r="K2919" t="inlineStr"/>
      <c r="L2919" t="inlineStr"/>
      <c r="M2919" t="inlineStr"/>
      <c r="N2919" t="inlineStr"/>
      <c r="O2919">
        <f>(1-Summary!$B$11)*T2919+Summary!$B$11*V2919</f>
        <v/>
      </c>
      <c r="P2919">
        <f>IF(B2942=0,0,O2919/B2942)</f>
        <v/>
      </c>
      <c r="Q2919">
        <f>IFERROR(1/(IF(Inputs!$B$38="pvp",15,MAX(0.1,Skills!D18-IF(Skills!E18=TRUE,1.5,0)))*(1-IF(AND(ArtifactsInput!$M$27,Inputs!$B$4="Chapter Hunt"),CHOOSE(ArtifactsInput!$N$27+1,20,24,28,32,36,40),0)/100)),0)</f>
        <v/>
      </c>
      <c r="R2919">
        <f>IF(AND(Inputs!$B$38&lt;&gt;"pvp",Inputs!$B$43&gt;0),IF(Inputs!$B$43&lt;=0,0,(INT(Inputs!$B$43/(IF(Inputs!$B$38="pvp",15,MAX(0.1,Skills!D18-IF(Skills!E18=TRUE,1.5,0)))*(1-IF(AND(ArtifactsInput!$M$27,Inputs!$B$4="Chapter Hunt"),CHOOSE(ArtifactsInput!$N$27+1,20,24,28,32,36,40),0)/100)))+1)),0)</f>
        <v/>
      </c>
      <c r="S2919">
        <f>IFERROR(O2919/N2919,0)</f>
        <v/>
      </c>
      <c r="T2919" t="n">
        <v>0</v>
      </c>
      <c r="V2919" t="n">
        <v>0</v>
      </c>
    </row>
    <row r="2920">
      <c r="A2920">
        <f>Skills!A19</f>
        <v/>
      </c>
      <c r="B2920">
        <f>Skills!B19</f>
        <v/>
      </c>
      <c r="C2920">
        <f>Inputs!$B$3&gt;=15</f>
        <v/>
      </c>
      <c r="D2920">
        <f>IF(Skills!C19=1,60+Inputs!$B$25+Inputs!$B$29,IF(Skills!C19=2,90+Inputs!$B$26+Inputs!$B$29,IF(Skills!C19=3,120+Inputs!$B$27+Inputs!$B$29,MAX(0,(Inputs!$B$3-100)*3)+Inputs!$B$28+Inputs!$B$29)))</f>
        <v/>
      </c>
      <c r="E2920">
        <f>INDEX(FactorTable!$B$2:$Y$301, MATCH(ROUND(MIN(300,MAX(1,D2920)),0), FactorTable!$A$2:$A$301,0), Skills!M19+1)</f>
        <v/>
      </c>
      <c r="F2920">
        <f>IF(Skills!N19=TRUE,(Skills!L19/10)*(E2920/1000),Skills!L19/10)+Skills!O19</f>
        <v/>
      </c>
      <c r="G2920">
        <f>Skills!G19*IF(Skills!H19&gt;0,Skills!I19/Skills!H19,1)</f>
        <v/>
      </c>
      <c r="H2920">
        <f>1-(1-Skills!J19/100)^Skills!K19</f>
        <v/>
      </c>
      <c r="I2920" t="inlineStr">
        <is>
          <t>1</t>
        </is>
      </c>
      <c r="J2920" t="inlineStr"/>
      <c r="K2920" t="inlineStr"/>
      <c r="L2920" t="inlineStr"/>
      <c r="M2920" t="inlineStr"/>
      <c r="N2920" t="inlineStr"/>
      <c r="O2920">
        <f>(1-Summary!$B$11)*T2920+Summary!$B$11*V2920</f>
        <v/>
      </c>
      <c r="P2920">
        <f>IF(B2942=0,0,O2920/B2942)</f>
        <v/>
      </c>
      <c r="Q2920" t="n">
        <v>0</v>
      </c>
      <c r="R2920" t="n">
        <v>0</v>
      </c>
      <c r="S2920">
        <f>IFERROR(O2920/N2920,0)</f>
        <v/>
      </c>
      <c r="T2920" t="n">
        <v>0</v>
      </c>
      <c r="V2920" t="n">
        <v>0</v>
      </c>
    </row>
    <row r="2921">
      <c r="A2921">
        <f>Skills!A20</f>
        <v/>
      </c>
      <c r="B2921">
        <f>Skills!B20</f>
        <v/>
      </c>
      <c r="C2921">
        <f>Inputs!$B$3&gt;=10</f>
        <v/>
      </c>
      <c r="D2921">
        <f>IF(Skills!C20=1,60+Inputs!$B$25+Inputs!$B$29,IF(Skills!C20=2,90+Inputs!$B$26+Inputs!$B$29,IF(Skills!C20=3,120+Inputs!$B$27+Inputs!$B$29,MAX(0,(Inputs!$B$3-100)*3)+Inputs!$B$28+Inputs!$B$29)))</f>
        <v/>
      </c>
      <c r="E2921">
        <f>INDEX(FactorTable!$B$2:$Y$301, MATCH(ROUND(MIN(300,MAX(1,D2921)),0), FactorTable!$A$2:$A$301,0), Skills!M20+1)</f>
        <v/>
      </c>
      <c r="F2921">
        <f>IF(Skills!N20=TRUE,(Skills!L20/10)*(E2921/1000),Skills!L20/10)+Skills!O20</f>
        <v/>
      </c>
      <c r="G2921">
        <f>Skills!G20*IF(Skills!H20&gt;0,Skills!I20/Skills!H20,1)</f>
        <v/>
      </c>
      <c r="H2921">
        <f>1-(1-Skills!J20/100)^Skills!K20</f>
        <v/>
      </c>
      <c r="I2921" t="inlineStr">
        <is>
          <t>1</t>
        </is>
      </c>
      <c r="J2921" t="inlineStr"/>
      <c r="K2921" t="inlineStr"/>
      <c r="L2921" t="inlineStr"/>
      <c r="M2921" t="inlineStr"/>
      <c r="N2921" t="inlineStr"/>
      <c r="O2921">
        <f>(1-Summary!$B$11)*T2921+Summary!$B$11*V2921</f>
        <v/>
      </c>
      <c r="P2921">
        <f>IF(B2942=0,0,O2921/B2942)</f>
        <v/>
      </c>
      <c r="Q2921" t="n">
        <v>0</v>
      </c>
      <c r="R2921" t="n">
        <v>0</v>
      </c>
      <c r="S2921">
        <f>IFERROR(O2921/N2921,0)</f>
        <v/>
      </c>
      <c r="T2921" t="n">
        <v>0</v>
      </c>
      <c r="V2921" t="n">
        <v>0</v>
      </c>
    </row>
    <row r="2922">
      <c r="A2922">
        <f>Skills!A21</f>
        <v/>
      </c>
      <c r="B2922">
        <f>Skills!B21</f>
        <v/>
      </c>
      <c r="C2922">
        <f>Inputs!$B$3&gt;=33</f>
        <v/>
      </c>
      <c r="D2922">
        <f>IF(Skills!C21=1,60+Inputs!$B$25+Inputs!$B$29,IF(Skills!C21=2,90+Inputs!$B$26+Inputs!$B$29,IF(Skills!C21=3,120+Inputs!$B$27+Inputs!$B$29,MAX(0,(Inputs!$B$3-100)*3)+Inputs!$B$28+Inputs!$B$29)))</f>
        <v/>
      </c>
      <c r="E2922">
        <f>INDEX(FactorTable!$B$2:$Y$301, MATCH(ROUND(MIN(300,MAX(1,D2922)),0), FactorTable!$A$2:$A$301,0), Skills!M21+1)</f>
        <v/>
      </c>
      <c r="F2922">
        <f>IF(Skills!N21=TRUE,(Skills!L21/10)*(E2922/1000),Skills!L21/10)+Skills!O21</f>
        <v/>
      </c>
      <c r="G2922">
        <f>Skills!G21*IF(Skills!H21&gt;0,Skills!I21/Skills!H21,1)</f>
        <v/>
      </c>
      <c r="H2922">
        <f>1-(1-Skills!J21/100)^Skills!K21</f>
        <v/>
      </c>
      <c r="I2922" t="inlineStr">
        <is>
          <t>1</t>
        </is>
      </c>
      <c r="J2922" t="inlineStr"/>
      <c r="K2922" t="inlineStr"/>
      <c r="L2922" t="inlineStr"/>
      <c r="M2922" t="inlineStr"/>
      <c r="N2922" t="inlineStr"/>
      <c r="O2922">
        <f>(1-Summary!$B$11)*T2922+Summary!$B$11*V2922</f>
        <v/>
      </c>
      <c r="P2922">
        <f>IF(B2942=0,0,O2922/B2942)</f>
        <v/>
      </c>
      <c r="Q2922" t="n">
        <v>0</v>
      </c>
      <c r="R2922" t="n">
        <v>0</v>
      </c>
      <c r="S2922">
        <f>IFERROR(O2922/N2922,0)</f>
        <v/>
      </c>
      <c r="T2922" t="n">
        <v>0</v>
      </c>
      <c r="V2922" t="n">
        <v>0</v>
      </c>
    </row>
    <row r="2923">
      <c r="A2923">
        <f>Skills!A22</f>
        <v/>
      </c>
      <c r="B2923">
        <f>Skills!B22</f>
        <v/>
      </c>
      <c r="C2923">
        <f>Inputs!$B$3&gt;=43</f>
        <v/>
      </c>
      <c r="D2923">
        <f>IF(Skills!C22=1,60+Inputs!$B$25+Inputs!$B$29,IF(Skills!C22=2,90+Inputs!$B$26+Inputs!$B$29,IF(Skills!C22=3,120+Inputs!$B$27+Inputs!$B$29,MAX(0,(Inputs!$B$3-100)*3)+Inputs!$B$28+Inputs!$B$29)))</f>
        <v/>
      </c>
      <c r="E2923">
        <f>INDEX(FactorTable!$B$2:$Y$301, MATCH(ROUND(MIN(300,MAX(1,D2923)),0), FactorTable!$A$2:$A$301,0), Skills!M22+1)</f>
        <v/>
      </c>
      <c r="F2923">
        <f>IF(Skills!N22=TRUE,(Skills!L22/10)*(E2923/1000),Skills!L22/10)+Skills!O22</f>
        <v/>
      </c>
      <c r="G2923">
        <f>Skills!G22*IF(Skills!H22&gt;0,Skills!I22/Skills!H22,1)</f>
        <v/>
      </c>
      <c r="H2923">
        <f>1-(1-Skills!J22/100)^Skills!K22</f>
        <v/>
      </c>
      <c r="I2923" t="inlineStr">
        <is>
          <t>1</t>
        </is>
      </c>
      <c r="J2923" t="inlineStr"/>
      <c r="K2923" t="inlineStr"/>
      <c r="L2923" t="inlineStr"/>
      <c r="M2923" t="inlineStr"/>
      <c r="N2923" t="inlineStr"/>
      <c r="O2923">
        <f>(1-Summary!$B$11)*T2923+Summary!$B$11*V2923</f>
        <v/>
      </c>
      <c r="P2923">
        <f>IF(B2942=0,0,O2923/B2942)</f>
        <v/>
      </c>
      <c r="Q2923" t="n">
        <v>0</v>
      </c>
      <c r="R2923" t="n">
        <v>0</v>
      </c>
      <c r="S2923">
        <f>IFERROR(O2923/N2923,0)</f>
        <v/>
      </c>
      <c r="T2923" t="n">
        <v>0</v>
      </c>
      <c r="V2923" t="n">
        <v>0</v>
      </c>
    </row>
    <row r="2924">
      <c r="A2924">
        <f>Skills!A23</f>
        <v/>
      </c>
      <c r="B2924">
        <f>Skills!B23</f>
        <v/>
      </c>
      <c r="C2924">
        <f>Inputs!$B$3&gt;=38</f>
        <v/>
      </c>
      <c r="D2924">
        <f>IF(Skills!C23=1,60+Inputs!$B$25+Inputs!$B$29,IF(Skills!C23=2,90+Inputs!$B$26+Inputs!$B$29,IF(Skills!C23=3,120+Inputs!$B$27+Inputs!$B$29,MAX(0,(Inputs!$B$3-100)*3)+Inputs!$B$28+Inputs!$B$29)))</f>
        <v/>
      </c>
      <c r="E2924">
        <f>INDEX(FactorTable!$B$2:$Y$301, MATCH(ROUND(MIN(300,MAX(1,D2924)),0), FactorTable!$A$2:$A$301,0), Skills!M23+1)</f>
        <v/>
      </c>
      <c r="F2924">
        <f>IF(Skills!N23=TRUE,(Skills!L23/10)*(E2924/1000),Skills!L23/10)+Skills!O23</f>
        <v/>
      </c>
      <c r="G2924">
        <f>Skills!G23*IF(Skills!H23&gt;0,Skills!I23/Skills!H23,1)</f>
        <v/>
      </c>
      <c r="H2924">
        <f>1-(1-Skills!J23/100)^Skills!K23</f>
        <v/>
      </c>
      <c r="I2924" t="inlineStr">
        <is>
          <t>1</t>
        </is>
      </c>
      <c r="J2924" t="inlineStr"/>
      <c r="K2924" t="inlineStr"/>
      <c r="L2924" t="inlineStr"/>
      <c r="M2924" t="inlineStr"/>
      <c r="N2924" t="inlineStr"/>
      <c r="O2924">
        <f>(1-Summary!$B$11)*T2924+Summary!$B$11*V2924</f>
        <v/>
      </c>
      <c r="P2924">
        <f>IF(B2942=0,0,O2924/B2942)</f>
        <v/>
      </c>
      <c r="Q2924" t="n">
        <v>0</v>
      </c>
      <c r="R2924" t="n">
        <v>0</v>
      </c>
      <c r="S2924">
        <f>IFERROR(O2924/N2924,0)</f>
        <v/>
      </c>
      <c r="T2924" t="n">
        <v>0</v>
      </c>
      <c r="V2924" t="n">
        <v>0</v>
      </c>
    </row>
    <row r="2925">
      <c r="A2925">
        <f>Skills!A24</f>
        <v/>
      </c>
      <c r="B2925">
        <f>Skills!B24</f>
        <v/>
      </c>
      <c r="C2925">
        <f>Inputs!$B$3&gt;=40</f>
        <v/>
      </c>
      <c r="D2925">
        <f>IF(Skills!C24=1,60+Inputs!$B$25+Inputs!$B$29,IF(Skills!C24=2,90+Inputs!$B$26+Inputs!$B$29,IF(Skills!C24=3,120+Inputs!$B$27+Inputs!$B$29,MAX(0,(Inputs!$B$3-100)*3)+Inputs!$B$28+Inputs!$B$29)))</f>
        <v/>
      </c>
      <c r="E2925">
        <f>INDEX(FactorTable!$B$2:$Y$301, MATCH(ROUND(MIN(300,MAX(1,D2925)),0), FactorTable!$A$2:$A$301,0), Skills!M24+1)</f>
        <v/>
      </c>
      <c r="F2925">
        <f>IF(Skills!N24=TRUE,(Skills!L24/10)*(E2925/1000),Skills!L24/10)+Skills!O24</f>
        <v/>
      </c>
      <c r="G2925">
        <f>Skills!G24*IF(Skills!H24&gt;0,Skills!I24/Skills!H24,1)</f>
        <v/>
      </c>
      <c r="H2925">
        <f>1-(1-Skills!J24/100)^Skills!K24</f>
        <v/>
      </c>
      <c r="I2925" t="inlineStr">
        <is>
          <t>1</t>
        </is>
      </c>
      <c r="J2925" t="inlineStr"/>
      <c r="K2925" t="inlineStr"/>
      <c r="L2925" t="inlineStr"/>
      <c r="M2925" t="inlineStr"/>
      <c r="N2925" t="inlineStr"/>
      <c r="O2925">
        <f>(1-Summary!$B$11)*T2925+Summary!$B$11*V2925</f>
        <v/>
      </c>
      <c r="P2925">
        <f>IF(B2942=0,0,O2925/B2942)</f>
        <v/>
      </c>
      <c r="Q2925" t="n">
        <v>0</v>
      </c>
      <c r="R2925" t="n">
        <v>0</v>
      </c>
      <c r="S2925">
        <f>IFERROR(O2925/N2925,0)</f>
        <v/>
      </c>
      <c r="T2925" t="n">
        <v>0</v>
      </c>
      <c r="V2925" t="n">
        <v>0</v>
      </c>
    </row>
    <row r="2926">
      <c r="A2926">
        <f>Skills!A25</f>
        <v/>
      </c>
      <c r="B2926">
        <f>Skills!B25</f>
        <v/>
      </c>
      <c r="C2926">
        <f>Inputs!$B$3&gt;=72</f>
        <v/>
      </c>
      <c r="D2926">
        <f>IF(Skills!C25=1,60+Inputs!$B$25+Inputs!$B$29,IF(Skills!C25=2,90+Inputs!$B$26+Inputs!$B$29,IF(Skills!C25=3,120+Inputs!$B$27+Inputs!$B$29,MAX(0,(Inputs!$B$3-100)*3)+Inputs!$B$28+Inputs!$B$29)))</f>
        <v/>
      </c>
      <c r="E2926">
        <f>INDEX(FactorTable!$B$2:$Y$301, MATCH(ROUND(MIN(300,MAX(1,D2926)),0), FactorTable!$A$2:$A$301,0), Skills!M25+1)</f>
        <v/>
      </c>
      <c r="F2926">
        <f>IF(Skills!N25=TRUE,(Skills!L25/10)*(E2926/1000),Skills!L25/10)+Skills!O25</f>
        <v/>
      </c>
      <c r="G2926">
        <f>Skills!G25*IF(Skills!H25&gt;0,Skills!I25/Skills!H25,1)</f>
        <v/>
      </c>
      <c r="H2926">
        <f>1-(1-Skills!J25/100)^Skills!K25</f>
        <v/>
      </c>
      <c r="I2926" t="inlineStr">
        <is>
          <t>1</t>
        </is>
      </c>
      <c r="J2926" t="inlineStr"/>
      <c r="K2926" t="inlineStr"/>
      <c r="L2926" t="inlineStr"/>
      <c r="M2926" t="inlineStr"/>
      <c r="N2926" t="inlineStr"/>
      <c r="O2926">
        <f>(1-Summary!$B$11)*T2926+Summary!$B$11*V2926</f>
        <v/>
      </c>
      <c r="P2926">
        <f>IF(B2942=0,0,O2926/B2942)</f>
        <v/>
      </c>
      <c r="Q2926" t="n">
        <v>0</v>
      </c>
      <c r="R2926" t="n">
        <v>0</v>
      </c>
      <c r="S2926">
        <f>IFERROR(O2926/N2926,0)</f>
        <v/>
      </c>
      <c r="T2926" t="n">
        <v>0</v>
      </c>
      <c r="V2926" t="n">
        <v>0</v>
      </c>
    </row>
    <row r="2927">
      <c r="A2927">
        <f>Skills!A26</f>
        <v/>
      </c>
      <c r="B2927">
        <f>Skills!B26</f>
        <v/>
      </c>
      <c r="C2927">
        <f>Inputs!$B$3&gt;=75</f>
        <v/>
      </c>
      <c r="D2927">
        <f>IF(Skills!C26=1,60+Inputs!$B$25+Inputs!$B$29,IF(Skills!C26=2,90+Inputs!$B$26+Inputs!$B$29,IF(Skills!C26=3,120+Inputs!$B$27+Inputs!$B$29,MAX(0,(Inputs!$B$3-100)*3)+Inputs!$B$28+Inputs!$B$29)))</f>
        <v/>
      </c>
      <c r="E2927">
        <f>INDEX(FactorTable!$B$2:$Y$301, MATCH(ROUND(MIN(300,MAX(1,D2927)),0), FactorTable!$A$2:$A$301,0), Skills!M26+1)</f>
        <v/>
      </c>
      <c r="F2927">
        <f>IF(Skills!N26=TRUE,(Skills!L26/10)*(E2927/1000),Skills!L26/10)+Skills!O26</f>
        <v/>
      </c>
      <c r="G2927">
        <f>Skills!G26*IF(Skills!H26&gt;0,Skills!I26/Skills!H26,1)</f>
        <v/>
      </c>
      <c r="H2927">
        <f>1-(1-Skills!J26/100)^Skills!K26</f>
        <v/>
      </c>
      <c r="I2927" t="inlineStr">
        <is>
          <t>1</t>
        </is>
      </c>
      <c r="J2927" t="inlineStr"/>
      <c r="K2927" t="inlineStr"/>
      <c r="L2927" t="inlineStr"/>
      <c r="M2927" t="inlineStr"/>
      <c r="N2927" t="inlineStr"/>
      <c r="O2927">
        <f>(1-Summary!$B$11)*T2927+Summary!$B$11*V2927</f>
        <v/>
      </c>
      <c r="P2927">
        <f>IF(B2942=0,0,O2927/B2942)</f>
        <v/>
      </c>
      <c r="Q2927" t="n">
        <v>0</v>
      </c>
      <c r="R2927" t="n">
        <v>0</v>
      </c>
      <c r="S2927">
        <f>IFERROR(O2927/N2927,0)</f>
        <v/>
      </c>
      <c r="T2927" t="n">
        <v>0</v>
      </c>
      <c r="V2927" t="n">
        <v>0</v>
      </c>
    </row>
    <row r="2928">
      <c r="A2928">
        <f>Skills!A27</f>
        <v/>
      </c>
      <c r="B2928">
        <f>Skills!B27</f>
        <v/>
      </c>
      <c r="C2928">
        <f>Inputs!$B$3&gt;=117</f>
        <v/>
      </c>
      <c r="D2928">
        <f>IF(Skills!C27=1,60+Inputs!$B$25+Inputs!$B$29,IF(Skills!C27=2,90+Inputs!$B$26+Inputs!$B$29,IF(Skills!C27=3,120+Inputs!$B$27+Inputs!$B$29,MAX(0,(Inputs!$B$3-100)*3)+Inputs!$B$28+Inputs!$B$29)))</f>
        <v/>
      </c>
      <c r="E2928">
        <f>INDEX(FactorTable!$B$2:$Y$301, MATCH(ROUND(MIN(300,MAX(1,D2928)),0), FactorTable!$A$2:$A$301,0), Skills!M27+1)</f>
        <v/>
      </c>
      <c r="F2928">
        <f>IF(Skills!N27=TRUE,(Skills!L27/10)*(E2928/1000),Skills!L27/10)+Skills!O27</f>
        <v/>
      </c>
      <c r="G2928">
        <f>Skills!G27*IF(Skills!H27&gt;0,Skills!I27/Skills!H27,1)</f>
        <v/>
      </c>
      <c r="H2928">
        <f>1-(1-Skills!J27/100)^Skills!K27</f>
        <v/>
      </c>
      <c r="I2928" t="inlineStr">
        <is>
          <t>1</t>
        </is>
      </c>
      <c r="J2928" t="inlineStr"/>
      <c r="K2928" t="inlineStr"/>
      <c r="L2928" t="inlineStr"/>
      <c r="M2928" t="inlineStr"/>
      <c r="N2928" t="inlineStr"/>
      <c r="O2928">
        <f>(1-Summary!$B$11)*T2928+Summary!$B$11*V2928</f>
        <v/>
      </c>
      <c r="P2928">
        <f>IF(B2942=0,0,O2928/B2942)</f>
        <v/>
      </c>
      <c r="Q2928" t="n">
        <v>0</v>
      </c>
      <c r="R2928" t="n">
        <v>0</v>
      </c>
      <c r="S2928">
        <f>IFERROR(O2928/N2928,0)</f>
        <v/>
      </c>
      <c r="T2928" t="n">
        <v>0</v>
      </c>
      <c r="V2928" t="n">
        <v>0</v>
      </c>
    </row>
    <row r="2929">
      <c r="A2929">
        <f>Skills!A28</f>
        <v/>
      </c>
      <c r="B2929">
        <f>Skills!B28</f>
        <v/>
      </c>
      <c r="C2929">
        <f>TRUE</f>
        <v/>
      </c>
      <c r="D2929">
        <f>IF(Skills!C28=1,60+Inputs!$B$25+Inputs!$B$29,IF(Skills!C28=2,90+Inputs!$B$26+Inputs!$B$29,IF(Skills!C28=3,120+Inputs!$B$27+Inputs!$B$29,MAX(0,(Inputs!$B$3-100)*3)+Inputs!$B$28+Inputs!$B$29)))</f>
        <v/>
      </c>
      <c r="E2929">
        <f>INDEX(FactorTable!$B$2:$Y$301, MATCH(ROUND(MIN(300,MAX(1,D2929)),0), FactorTable!$A$2:$A$301,0), Skills!M28+1)</f>
        <v/>
      </c>
      <c r="F2929">
        <f>IF(Skills!N28=TRUE,(Skills!L28/10)*(E2929/1000),Skills!L28/10)+Skills!O28</f>
        <v/>
      </c>
      <c r="G2929">
        <f>Skills!G28*IF(Skills!H28&gt;0,Skills!I28/Skills!H28,1)</f>
        <v/>
      </c>
      <c r="H2929">
        <f>1-(1-Skills!J28/100)^Skills!K28</f>
        <v/>
      </c>
      <c r="I2929" t="inlineStr">
        <is>
          <t>1</t>
        </is>
      </c>
      <c r="J2929" t="inlineStr"/>
      <c r="K2929" t="inlineStr"/>
      <c r="L2929" t="inlineStr"/>
      <c r="M2929" t="inlineStr"/>
      <c r="N2929" t="inlineStr"/>
      <c r="O2929">
        <f>(1-Summary!$B$11)*T2929+Summary!$B$11*V2929</f>
        <v/>
      </c>
      <c r="P2929">
        <f>IF(B2942=0,0,O2929/B2942)</f>
        <v/>
      </c>
      <c r="Q2929">
        <f>IFERROR(1/(IF(Inputs!$B$38="pvp",15,MAX(0.1,Skills!D28-IF(Skills!E28=TRUE,1.5,0)))*(1-IF(AND(ArtifactsInput!$M$27,Inputs!$B$4="Chapter Hunt"),CHOOSE(ArtifactsInput!$N$27+1,20,24,28,32,36,40),0)/100)),0)</f>
        <v/>
      </c>
      <c r="R2929">
        <f>IF(AND(Inputs!$B$38&lt;&gt;"pvp",Inputs!$B$43&gt;0),IF(Inputs!$B$43&lt;=0,0,(INT(Inputs!$B$43/(IF(Inputs!$B$38="pvp",15,MAX(0.1,Skills!D28-IF(Skills!E28=TRUE,1.5,0)))*(1-IF(AND(ArtifactsInput!$M$27,Inputs!$B$4="Chapter Hunt"),CHOOSE(ArtifactsInput!$N$27+1,20,24,28,32,36,40),0)/100)))+1)),0)</f>
        <v/>
      </c>
      <c r="S2929">
        <f>IFERROR(O2929/N2929,0)</f>
        <v/>
      </c>
      <c r="T2929" t="n">
        <v>0</v>
      </c>
      <c r="V2929" t="n">
        <v>0</v>
      </c>
    </row>
    <row r="2931">
      <c r="A2931" t="inlineStr">
        <is>
          <t>Attack% Bucket Multiplier</t>
        </is>
      </c>
      <c r="B2931">
        <f>(1+(((C2918=TRUE)*F2918*5/7)+((C2925=TRUE)*(F2925-Calc!F24))+(IF(ArtifactsInput!$M$21,CHOOSE(ArtifactsInput!$N$21+1,25,30,35,40,45,50)*(IF(OR(Inputs!$B$4="Chapter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32">
      <c r="A2932" t="inlineStr">
        <is>
          <t>Global Crit Rate Bonus %</t>
        </is>
      </c>
      <c r="B2932" t="n">
        <v>0</v>
      </c>
    </row>
    <row r="2933">
      <c r="A2933" t="inlineStr">
        <is>
          <t>Attack Speed Buff Bonus % (Nimble Feet, duty-cycle averaged)</t>
        </is>
      </c>
      <c r="B2933">
        <f>((C2929=TRUE)*F2929*IF(AND(Inputs!$B$38&lt;&gt;"pvp",Inputs!$B$43&gt;0),(((R2929-1)*(Skills!T28*(1+Inputs!$B$34/100))+MIN((Skills!T28*(1+Inputs!$B$34/100)),MAX(0,Inputs!$B$43-((R2929-1)*Skills!D28))))/Inputs!$B$43),IF(Inputs!$B$38="pvp",MIN((Skills!T28*(1+Inputs!$B$34/100)),15)/15,(Skills!T28*(1+Inputs!$B$34/100))/Skills!D28)))</f>
        <v/>
      </c>
    </row>
    <row r="2934">
      <c r="A2934" t="inlineStr">
        <is>
          <t>Actions Per Second</t>
        </is>
      </c>
      <c r="B2934">
        <f>1+MIN(150,150*(1-(1-(Inputs!$B$11+((C2921=TRUE)*(F2921-Calc!F20))+((C2922=TRUE)*(F2922-Calc!F21)))/150)*(1-B2933/150)))/100</f>
        <v/>
      </c>
    </row>
    <row r="2935">
      <c r="A2935" t="inlineStr">
        <is>
          <t>Skill + Buff Cast Rate</t>
        </is>
      </c>
      <c r="B2935">
        <f>IF(AND(Inputs!$B$38&lt;&gt;"pvp",Inputs!$B$43&gt;0),SUMPRODUCT((Skills!E2:E28=TRUE)*(C2903:C2929=TRUE)*R2903:R2929*Skills!F2:F28)/Inputs!$B$43,SUMPRODUCT((Skills!E2:E28=TRUE)*(C2903:C2929=TRUE)*Q2903:Q2929*Skills!F2:F28))</f>
        <v/>
      </c>
    </row>
    <row r="2936">
      <c r="A2936" t="inlineStr">
        <is>
          <t>Eight-Legs Easton Casts Per Second</t>
        </is>
      </c>
      <c r="B2936">
        <f>MAX(0,B2934-B2935)</f>
        <v/>
      </c>
    </row>
    <row r="2937">
      <c r="A2937" t="inlineStr">
        <is>
          <t>Global Critical Damage Bonus % (unused)</t>
        </is>
      </c>
      <c r="B2937" t="n">
        <v>0</v>
      </c>
    </row>
    <row r="2938">
      <c r="A2938" t="inlineStr">
        <is>
          <t>Global Final Damage Bonus % (Jolly Roger + Ahoy Mateys - Final Damage proc)</t>
        </is>
      </c>
      <c r="B2938">
        <f>((C2919=TRUE)*F2919*IF(AND(Inputs!$B$38&lt;&gt;"pvp",Inputs!$B$43&gt;0),(((R2919-1)*(Skills!T18*(1+Inputs!$B$34/100))+MIN((Skills!T18*(1+Inputs!$B$34/100)),MAX(0,Inputs!$B$43-((R2919-1)*Skills!D18))))/Inputs!$B$43),IF(Inputs!$B$38="pvp",MIN((Skills!T18*(1+Inputs!$B$34/100)),15)/15,(Skills!T18*(1+Inputs!$B$34/100))/Skills!D18)))+IF(Inputs!$B$3&gt;=122,20*IF(Inputs!$B$38="pvp",MIN((20*(1+Inputs!$B$34/100)),15)/15,(20*(1+Inputs!$B$34/100))/Skills!D4),0)</f>
        <v/>
      </c>
    </row>
    <row r="2939">
      <c r="A2939" t="inlineStr">
        <is>
          <t>Buff-Casting Startup Delay (s, fixed-duration only)</t>
        </is>
      </c>
      <c r="B2939">
        <f>IF(AND(Inputs!$B$38&lt;&gt;"pvp",Inputs!$B$43&gt;0),SUMPRODUCT((Skills!T2:T28&gt;0)*(Skills!E2:E28=TRUE)*(C2903:C2929=TRUE))/B2934,0)</f>
        <v/>
      </c>
    </row>
    <row r="2940">
      <c r="A2940" t="inlineStr">
        <is>
          <t>Boss-Only Total DPS (this block's swept value)</t>
        </is>
      </c>
      <c r="B2940">
        <f>SUM(T2903:T2929)</f>
        <v/>
      </c>
    </row>
    <row r="2941">
      <c r="A2941" t="inlineStr">
        <is>
          <t>Normal-Only Total DPS (this block's swept value)</t>
        </is>
      </c>
      <c r="B2941">
        <f>SUM(V2903:V2929)</f>
        <v/>
      </c>
    </row>
    <row r="2942">
      <c r="A2942" s="6" t="inlineStr">
        <is>
          <t>TOTAL DPS</t>
        </is>
      </c>
      <c r="B2942" s="6">
        <f>SUM(O2903:O2929)</f>
        <v/>
      </c>
    </row>
    <row r="2945">
      <c r="A2945" s="6" t="inlineStr">
        <is>
          <t>Stat: CDR = 2.0s</t>
        </is>
      </c>
    </row>
    <row r="2946">
      <c r="A2946" s="5" t="inlineStr">
        <is>
          <t>Key</t>
        </is>
      </c>
      <c r="B2946" s="5" t="inlineStr">
        <is>
          <t>Name</t>
        </is>
      </c>
      <c r="C2946" s="5" t="inlineStr">
        <is>
          <t>Unlocked</t>
        </is>
      </c>
      <c r="D2946" s="5" t="inlineStr">
        <is>
          <t>InputLevel</t>
        </is>
      </c>
      <c r="E2946" s="5" t="inlineStr">
        <is>
          <t>Factor</t>
        </is>
      </c>
      <c r="F2946" s="5" t="inlineStr">
        <is>
          <t>CoefficientPercent</t>
        </is>
      </c>
      <c r="G2946" s="5" t="inlineStr">
        <is>
          <t>EffectiveHits</t>
        </is>
      </c>
      <c r="H2946" s="5" t="inlineStr">
        <is>
          <t>ProcProbability</t>
        </is>
      </c>
      <c r="I2946" s="5" t="inlineStr">
        <is>
          <t>MapleHeroMultiplier</t>
        </is>
      </c>
      <c r="J2946" s="5" t="inlineStr">
        <is>
          <t>BaseDamage</t>
        </is>
      </c>
      <c r="K2946" s="5" t="inlineStr">
        <is>
          <t>BaseHitDamage</t>
        </is>
      </c>
      <c r="L2946" s="5" t="inlineStr">
        <is>
          <t>NonCritAvg</t>
        </is>
      </c>
      <c r="M2946" s="5" t="inlineStr">
        <is>
          <t>CritAvg</t>
        </is>
      </c>
      <c r="N2946" s="5" t="inlineStr">
        <is>
          <t>ExpectedDamage(perHit)</t>
        </is>
      </c>
      <c r="O2946" s="5" t="inlineStr">
        <is>
          <t>DPS</t>
        </is>
      </c>
      <c r="P2946" s="5" t="inlineStr">
        <is>
          <t>% of Total</t>
        </is>
      </c>
      <c r="Q2946" s="5" t="inlineStr">
        <is>
          <t>InvCooldown</t>
        </is>
      </c>
      <c r="R2946" s="5" t="inlineStr">
        <is>
          <t>CastsInFight</t>
        </is>
      </c>
      <c r="S2946" s="5" t="inlineStr">
        <is>
          <t>HitRate(perSec)</t>
        </is>
      </c>
      <c r="U2946" t="inlineStr">
        <is>
          <t>helpers</t>
        </is>
      </c>
    </row>
    <row r="2947">
      <c r="A2947">
        <f>Skills!A2</f>
        <v/>
      </c>
      <c r="B2947">
        <f>Skills!B2</f>
        <v/>
      </c>
      <c r="C2947">
        <f>Inputs!$B$3&gt;=100</f>
        <v/>
      </c>
      <c r="D2947" t="inlineStr"/>
      <c r="E2947" t="inlineStr"/>
      <c r="F2947">
        <f>U2949+Skills!O2</f>
        <v/>
      </c>
      <c r="G2947">
        <f>Skills!G2*IF(Skills!H2&gt;0,Skills!I2/Skills!H2,1)</f>
        <v/>
      </c>
      <c r="H2947">
        <f>1-(1-Skills!J2/100)^Skills!K2</f>
        <v/>
      </c>
      <c r="I2947" t="inlineStr">
        <is>
          <t>1</t>
        </is>
      </c>
      <c r="J2947">
        <f>((Inputs!$B$6*(1+Inputs!$B$7/100))+(((Inputs!$B$12*(1+Inputs!$B$13/100))-(Inputs!$B$12*(1+Inputs!$B$13/100)))+0.25*(Inputs!$B$14-Inputs!$B$14))*(1+Inputs!$B$7/100))*(F2947/100)</f>
        <v/>
      </c>
      <c r="K2947">
        <f>J2947*(1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2947)</f>
        <v/>
      </c>
      <c r="L2947">
        <f>K2947*(MIN(Inputs!$B$22+((C2967=TRUE)*(F2967-Calc!F22)),(Inputs!$B$23+0+(IF(ArtifactsInput!$M$15,CHOOSE(ArtifactsInput!$N$15+1,25,30,35,40,45,50)/100*(Inputs!$B$11-Inputs!$B$11),0))))/100+(Inputs!$B$23+0+(IF(ArtifactsInput!$M$15,CHOOSE(ArtifactsInput!$N$15+1,25,30,35,40,45,50)/100*(Inputs!$B$11-Inputs!$B$11),0)))/100)/2</f>
        <v/>
      </c>
      <c r="M2947">
        <f>L2947*(1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7">
        <f>L2947*(1-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2947*(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7">
        <f>(1-Summary!$B$11)*T2947+Summary!$B$11*V2947</f>
        <v/>
      </c>
      <c r="P2947">
        <f>IF(B2986=0,0,O2947/B2986)</f>
        <v/>
      </c>
      <c r="Q2947" t="n">
        <v>0</v>
      </c>
      <c r="R2947" t="n">
        <v>0</v>
      </c>
      <c r="S2947">
        <f>IFERROR(O2947/N2947,0)</f>
        <v/>
      </c>
      <c r="T2947">
        <f>IF(C2947,(Skills!G2*N2947*B2980)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2947*(1-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2947*(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2947*(1-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2947*(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7">
        <f>MAX(0,(Inputs!$B$3-100)*3)+Inputs!$B$28+Inputs!$B$29</f>
        <v/>
      </c>
      <c r="V2947">
        <f>IF(C2947,(Skills!G2*N2947*B2980)*IF(Inputs!$B$38="pvp",1,(1+(Inputs!$B$21+Skills!Q2+(IF(ArtifactsInput!$M$33,CHOOSE(ArtifactsInput!$N$33+1,30,36,42,48,54,60),0))+(IF(AND(ArtifactsInput!$M$35,Inputs!$B$4&lt;&gt;"Chapter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8">
      <c r="A2948">
        <f>Skills!A3</f>
        <v/>
      </c>
      <c r="B2948">
        <f>Skills!B3</f>
        <v/>
      </c>
      <c r="C2948">
        <f>Inputs!$B$3&gt;=35</f>
        <v/>
      </c>
      <c r="D2948">
        <f>IF(Skills!C3=1,60+Inputs!$B$25+Inputs!$B$29,IF(Skills!C3=2,90+Inputs!$B$26+Inputs!$B$29,IF(Skills!C3=3,120+Inputs!$B$27+Inputs!$B$29,MAX(0,(Inputs!$B$3-100)*3)+Inputs!$B$28+Inputs!$B$29)))</f>
        <v/>
      </c>
      <c r="E2948">
        <f>INDEX(FactorTable!$B$2:$Y$301, MATCH(ROUND(MIN(300,MAX(1,D2948)),0), FactorTable!$A$2:$A$301,0), Skills!M3+1)</f>
        <v/>
      </c>
      <c r="F2948">
        <f>IF(Skills!N3=TRUE,(Skills!L3/10)*(E2948/1000),Skills!L3/10)+Skills!O3</f>
        <v/>
      </c>
      <c r="G2948">
        <f>Skills!G3*IF(Skills!H3&gt;0,Skills!I3/Skills!H3,1)</f>
        <v/>
      </c>
      <c r="H2948">
        <f>1-(1-Skills!J3/100)^Skills!K3</f>
        <v/>
      </c>
      <c r="I2948" t="inlineStr">
        <is>
          <t>1</t>
        </is>
      </c>
      <c r="J2948">
        <f>((Inputs!$B$6*(1+Inputs!$B$7/100))+(((Inputs!$B$12*(1+Inputs!$B$13/100))-(Inputs!$B$12*(1+Inputs!$B$13/100)))+0.25*(Inputs!$B$14-Inputs!$B$14))*(1+Inputs!$B$7/100))*(F2948/100)</f>
        <v/>
      </c>
      <c r="K2948">
        <f>J2948*(1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2960=TRUE,F2960,0)/100)*(1+(IF(Skills!A3="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2948)</f>
        <v/>
      </c>
      <c r="L2948">
        <f>K2948*(MIN(Inputs!$B$22+((C2967=TRUE)*(F2967-Calc!F22)),(Inputs!$B$23+0+(IF(ArtifactsInput!$M$15,CHOOSE(ArtifactsInput!$N$15+1,25,30,35,40,45,50)/100*(Inputs!$B$11-Inputs!$B$11),0))))/100+(Inputs!$B$23+0+(IF(ArtifactsInput!$M$15,CHOOSE(ArtifactsInput!$N$15+1,25,30,35,40,45,50)/100*(Inputs!$B$11-Inputs!$B$11),0)))/100)/2</f>
        <v/>
      </c>
      <c r="M2948">
        <f>L2948*(1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8">
        <f>L2948*(1-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2948*(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8">
        <f>(1-Summary!$B$11)*T2948+Summary!$B$11*V2948</f>
        <v/>
      </c>
      <c r="P2948">
        <f>IF(B2986=0,0,O2948/B2986)</f>
        <v/>
      </c>
      <c r="Q2948">
        <f>IFERROR(1/(IF(Inputs!$B$38="pvp",15,MAX(0.1,Skills!D3-IF(Skills!E3=TRUE,2.0,0)))*(1-IF(AND(ArtifactsInput!$M$27,Inputs!$B$4="Chapter Hunt"),CHOOSE(ArtifactsInput!$N$27+1,20,24,28,32,36,40),0)/100)),0)</f>
        <v/>
      </c>
      <c r="R2948">
        <f>IF(AND(Inputs!$B$38&lt;&gt;"pvp",Inputs!$B$43&gt;0),IF(MAX(0,Inputs!$B$43-B2983)&lt;=0,0,(INT(MAX(0,Inputs!$B$43-B2983)/(IF(Inputs!$B$38="pvp",15,MAX(0.1,Skills!D3-IF(Skills!E3=TRUE,2.0,0)))*(1-IF(AND(ArtifactsInput!$M$27,Inputs!$B$4="Chapter Hunt"),CHOOSE(ArtifactsInput!$N$27+1,20,24,28,32,36,40),0)/100)))+1)),0)</f>
        <v/>
      </c>
      <c r="S2948">
        <f>IFERROR(O2948/N2948,0)</f>
        <v/>
      </c>
      <c r="T2948">
        <f>IF(C2948,(H2948*N2948*IF(AND(Inputs!$B$38&lt;&gt;"pvp",Inputs!$B$43&gt;0),((Skills!G3*((R2948-1)*IF(Skills!H3&gt;0,Skills!I3/Skills!H3,1)+IF(Skills!H3&gt;0,MIN(Skills!I3,MAX(0,MAX(0,Inputs!$B$43-B2983)-((R2948-1)*(IF(Inputs!$B$38="pvp",15,MAX(0.1,Skills!D3-IF(Skills!E3=TRUE,2.0,0)))*(1-IF(AND(ArtifactsInput!$M$27,Inputs!$B$4="Chapter Hunt"),CHOOSE(ArtifactsInput!$N$27+1,20,24,28,32,36,40),0)/100)))))/Skills!H3,1)))/Inputs!$B$43),G2948*Q2948)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2948*(1-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2948*(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2948*(1-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2948*(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8">
        <f>INDEX(FactorTable!$B$2:$Y$301, MATCH(ROUND(MIN(300,MAX(1,U2947)),0), FactorTable!$A$2:$A$301,0), 22)</f>
        <v/>
      </c>
      <c r="V2948">
        <f>IF(C2948,(H2948*N2948*IF(AND(Inputs!$B$38&lt;&gt;"pvp",Inputs!$B$43&gt;0),((Skills!G3*((R2948-1)*IF(Skills!H3&gt;0,Skills!I3/Skills!H3,1)+IF(Skills!H3&gt;0,MIN(Skills!I3,MAX(0,MAX(0,Inputs!$B$43-B2983)-((R2948-1)*(IF(Inputs!$B$38="pvp",15,MAX(0.1,Skills!D3-IF(Skills!E3=TRUE,2.0,0)))*(1-IF(AND(ArtifactsInput!$M$27,Inputs!$B$4="Chapter Hunt"),CHOOSE(ArtifactsInput!$N$27+1,20,24,28,32,36,40),0)/100)))))/Skills!H3,1)))/Inputs!$B$43),G2948*Q2948))*IF(Inputs!$B$38="pvp",1,(1+(Inputs!$B$21+Skills!Q3+(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9">
      <c r="A2949">
        <f>Skills!A4</f>
        <v/>
      </c>
      <c r="B2949">
        <f>Skills!B4</f>
        <v/>
      </c>
      <c r="C2949">
        <f>Inputs!$B$3&gt;=40</f>
        <v/>
      </c>
      <c r="D2949">
        <f>IF(Skills!C4=1,60+Inputs!$B$25+Inputs!$B$29,IF(Skills!C4=2,90+Inputs!$B$26+Inputs!$B$29,IF(Skills!C4=3,120+Inputs!$B$27+Inputs!$B$29,MAX(0,(Inputs!$B$3-100)*3)+Inputs!$B$28+Inputs!$B$29)))</f>
        <v/>
      </c>
      <c r="E2949">
        <f>INDEX(FactorTable!$B$2:$Y$301, MATCH(ROUND(MIN(300,MAX(1,D2949)),0), FactorTable!$A$2:$A$301,0), Skills!M4+1)</f>
        <v/>
      </c>
      <c r="F2949">
        <f>IF(Skills!N4=TRUE,(Skills!L4/10)*(E2949/1000),Skills!L4/10)+Skills!O4</f>
        <v/>
      </c>
      <c r="G2949">
        <f>Skills!G4*IF(Skills!H4&gt;0,Skills!I4/Skills!H4,1)</f>
        <v/>
      </c>
      <c r="H2949">
        <f>1-(1-Skills!J4/100)^Skills!K4</f>
        <v/>
      </c>
      <c r="I2949" t="inlineStr">
        <is>
          <t>1</t>
        </is>
      </c>
      <c r="J2949">
        <f>((Inputs!$B$6*(1+Inputs!$B$7/100))+(((Inputs!$B$12*(1+Inputs!$B$13/100))-(Inputs!$B$12*(1+Inputs!$B$13/100)))+0.25*(Inputs!$B$14-Inputs!$B$14))*(1+Inputs!$B$7/100))*(F2949/100)</f>
        <v/>
      </c>
      <c r="K2949">
        <f>J2949*(1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2961=TRUE,F2961,0)/100)*(1+(IF(Skills!A4="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2949)</f>
        <v/>
      </c>
      <c r="L2949">
        <f>K2949*(MIN(Inputs!$B$22+((C2967=TRUE)*(F2967-Calc!F22)),(Inputs!$B$23+0+(IF(ArtifactsInput!$M$15,CHOOSE(ArtifactsInput!$N$15+1,25,30,35,40,45,50)/100*(Inputs!$B$11-Inputs!$B$11),0))))/100+(Inputs!$B$23+0+(IF(ArtifactsInput!$M$15,CHOOSE(ArtifactsInput!$N$15+1,25,30,35,40,45,50)/100*(Inputs!$B$11-Inputs!$B$11),0)))/100)/2</f>
        <v/>
      </c>
      <c r="M2949">
        <f>L2949*(1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9">
        <f>L2949*(1-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2949*(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9">
        <f>(1-Summary!$B$11)*T2949+Summary!$B$11*V2949</f>
        <v/>
      </c>
      <c r="P2949">
        <f>IF(B2986=0,0,O2949/B2986)</f>
        <v/>
      </c>
      <c r="Q2949">
        <f>IFERROR(1/(IF(Inputs!$B$38="pvp",15,MAX(0.1,Skills!D4-IF(Skills!E4=TRUE,2.0,0)))*(1-IF(AND(ArtifactsInput!$M$27,Inputs!$B$4="Chapter Hunt"),CHOOSE(ArtifactsInput!$N$27+1,20,24,28,32,36,40),0)/100)),0)</f>
        <v/>
      </c>
      <c r="R2949">
        <f>IF(AND(Inputs!$B$38&lt;&gt;"pvp",Inputs!$B$43&gt;0),IF(MAX(0,Inputs!$B$43-B2983)&lt;=0,0,(INT(MAX(0,Inputs!$B$43-B2983)/(IF(Inputs!$B$38="pvp",15,MAX(0.1,Skills!D4-IF(Skills!E4=TRUE,2.0,0)))*(1-IF(AND(ArtifactsInput!$M$27,Inputs!$B$4="Chapter Hunt"),CHOOSE(ArtifactsInput!$N$27+1,20,24,28,32,36,40),0)/100)))+1)),0)</f>
        <v/>
      </c>
      <c r="S2949">
        <f>IFERROR(O2949/N2949,0)</f>
        <v/>
      </c>
      <c r="T2949">
        <f>IF(C2949,(H2949*N2949*IF(AND(Inputs!$B$38&lt;&gt;"pvp",Inputs!$B$43&gt;0),((Skills!G4*((R2949-1)*IF(Skills!H4&gt;0,Skills!I4/Skills!H4,1)+IF(Skills!H4&gt;0,MIN(Skills!I4,MAX(0,MAX(0,Inputs!$B$43-B2983)-((R2949-1)*(IF(Inputs!$B$38="pvp",15,MAX(0.1,Skills!D4-IF(Skills!E4=TRUE,2.0,0)))*(1-IF(AND(ArtifactsInput!$M$27,Inputs!$B$4="Chapter Hunt"),CHOOSE(ArtifactsInput!$N$27+1,20,24,28,32,36,40),0)/100)))))/Skills!H4,1)))/Inputs!$B$43),G2949*Q2949)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2949*(1-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2949*(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2949*(1-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2949*(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9">
        <f>290*U2948/1000</f>
        <v/>
      </c>
      <c r="V2949">
        <f>IF(C2949,(H2949*N2949*IF(AND(Inputs!$B$38&lt;&gt;"pvp",Inputs!$B$43&gt;0),((Skills!G4*((R2949-1)*IF(Skills!H4&gt;0,Skills!I4/Skills!H4,1)+IF(Skills!H4&gt;0,MIN(Skills!I4,MAX(0,MAX(0,Inputs!$B$43-B2983)-((R2949-1)*(IF(Inputs!$B$38="pvp",15,MAX(0.1,Skills!D4-IF(Skills!E4=TRUE,2.0,0)))*(1-IF(AND(ArtifactsInput!$M$27,Inputs!$B$4="Chapter Hunt"),CHOOSE(ArtifactsInput!$N$27+1,20,24,28,32,36,40),0)/100)))))/Skills!H4,1)))/Inputs!$B$43),G2949*Q2949))*IF(Inputs!$B$38="pvp",1,(1+(Inputs!$B$21+Skills!Q4+(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0">
      <c r="A2950">
        <f>Skills!A5</f>
        <v/>
      </c>
      <c r="B2950">
        <f>Skills!B5</f>
        <v/>
      </c>
      <c r="C2950">
        <f>Inputs!$B$3&gt;=45</f>
        <v/>
      </c>
      <c r="D2950">
        <f>IF(Skills!C5=1,60+Inputs!$B$25+Inputs!$B$29,IF(Skills!C5=2,90+Inputs!$B$26+Inputs!$B$29,IF(Skills!C5=3,120+Inputs!$B$27+Inputs!$B$29,MAX(0,(Inputs!$B$3-100)*3)+Inputs!$B$28+Inputs!$B$29)))</f>
        <v/>
      </c>
      <c r="E2950">
        <f>INDEX(FactorTable!$B$2:$Y$301, MATCH(ROUND(MIN(300,MAX(1,D2950)),0), FactorTable!$A$2:$A$301,0), Skills!M5+1)</f>
        <v/>
      </c>
      <c r="F2950">
        <f>IF(Skills!N5=TRUE,(Skills!L5/10)*(E2950/1000),Skills!L5/10)+Skills!O5</f>
        <v/>
      </c>
      <c r="G2950">
        <f>Skills!G5*IF(Skills!H5&gt;0,Skills!I5/Skills!H5,1)</f>
        <v/>
      </c>
      <c r="H2950">
        <f>1-(1-Skills!J5/100)^Skills!K5</f>
        <v/>
      </c>
      <c r="I2950" t="inlineStr">
        <is>
          <t>1</t>
        </is>
      </c>
      <c r="J2950">
        <f>((Inputs!$B$6*(1+Inputs!$B$7/100))+(((Inputs!$B$12*(1+Inputs!$B$13/100))-(Inputs!$B$12*(1+Inputs!$B$13/100)))+0.25*(Inputs!$B$14-Inputs!$B$14))*(1+Inputs!$B$7/100))*(F2950/100)</f>
        <v/>
      </c>
      <c r="K2950">
        <f>J2950*(1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2961=TRUE,F2961,0)/100)*(1+(IF(Skills!A5="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2950)</f>
        <v/>
      </c>
      <c r="L2950">
        <f>K2950*(MIN(Inputs!$B$22+((C2967=TRUE)*(F2967-Calc!F22)),(Inputs!$B$23+0+(IF(ArtifactsInput!$M$15,CHOOSE(ArtifactsInput!$N$15+1,25,30,35,40,45,50)/100*(Inputs!$B$11-Inputs!$B$11),0))))/100+(Inputs!$B$23+0+(IF(ArtifactsInput!$M$15,CHOOSE(ArtifactsInput!$N$15+1,25,30,35,40,45,50)/100*(Inputs!$B$11-Inputs!$B$11),0)))/100)/2</f>
        <v/>
      </c>
      <c r="M2950">
        <f>L2950*(1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0">
        <f>L2950*(1-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2950*(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0">
        <f>(1-Summary!$B$11)*T2950+Summary!$B$11*V2950</f>
        <v/>
      </c>
      <c r="P2950">
        <f>IF(B2986=0,0,O2950/B2986)</f>
        <v/>
      </c>
      <c r="Q2950">
        <f>IFERROR(1/(IF(Inputs!$B$38="pvp",15,MAX(0.1,Skills!D5-IF(Skills!E5=TRUE,2.0,0)))*(1-IF(AND(ArtifactsInput!$M$27,Inputs!$B$4="Chapter Hunt"),CHOOSE(ArtifactsInput!$N$27+1,20,24,28,32,36,40),0)/100)),0)</f>
        <v/>
      </c>
      <c r="R2950">
        <f>IF(AND(Inputs!$B$38&lt;&gt;"pvp",Inputs!$B$43&gt;0),IF(MAX(0,Inputs!$B$43-B2983)&lt;=0,0,(INT(MAX(0,Inputs!$B$43-B2983)/(IF(Inputs!$B$38="pvp",15,MAX(0.1,Skills!D5-IF(Skills!E5=TRUE,2.0,0)))*(1-IF(AND(ArtifactsInput!$M$27,Inputs!$B$4="Chapter Hunt"),CHOOSE(ArtifactsInput!$N$27+1,20,24,28,32,36,40),0)/100)))+1)),0)</f>
        <v/>
      </c>
      <c r="S2950">
        <f>IFERROR(O2950/N2950,0)</f>
        <v/>
      </c>
      <c r="T2950">
        <f>IF(C2950,(H2950*N2950*IF(AND(Inputs!$B$38&lt;&gt;"pvp",Inputs!$B$43&gt;0),((Skills!G5*((R2950-1)*IF(Skills!H5&gt;0,Skills!I5/Skills!H5,1)+IF(Skills!H5&gt;0,MIN(Skills!I5,MAX(0,MAX(0,Inputs!$B$43-B2983)-((R2950-1)*(IF(Inputs!$B$38="pvp",15,MAX(0.1,Skills!D5-IF(Skills!E5=TRUE,2.0,0)))*(1-IF(AND(ArtifactsInput!$M$27,Inputs!$B$4="Chapter Hunt"),CHOOSE(ArtifactsInput!$N$27+1,20,24,28,32,36,40),0)/100)))))/Skills!H5,1)))/Inputs!$B$43),G2950*Q2950)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2950*(1-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2950*(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2950*(1-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2950*(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0">
        <f>IF(C2950,(H2950*N2950*IF(AND(Inputs!$B$38&lt;&gt;"pvp",Inputs!$B$43&gt;0),((Skills!G5*((R2950-1)*IF(Skills!H5&gt;0,Skills!I5/Skills!H5,1)+IF(Skills!H5&gt;0,MIN(Skills!I5,MAX(0,MAX(0,Inputs!$B$43-B2983)-((R2950-1)*(IF(Inputs!$B$38="pvp",15,MAX(0.1,Skills!D5-IF(Skills!E5=TRUE,2.0,0)))*(1-IF(AND(ArtifactsInput!$M$27,Inputs!$B$4="Chapter Hunt"),CHOOSE(ArtifactsInput!$N$27+1,20,24,28,32,36,40),0)/100)))))/Skills!H5,1)))/Inputs!$B$43),G2950*Q2950))*IF(Inputs!$B$38="pvp",1,(1+(Inputs!$B$21+Skills!Q5+(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1">
      <c r="A2951">
        <f>Skills!A6</f>
        <v/>
      </c>
      <c r="B2951">
        <f>Skills!B6</f>
        <v/>
      </c>
      <c r="C2951">
        <f>Inputs!$B$3&gt;=63</f>
        <v/>
      </c>
      <c r="D2951">
        <f>IF(Skills!C6=1,60+Inputs!$B$25+Inputs!$B$29,IF(Skills!C6=2,90+Inputs!$B$26+Inputs!$B$29,IF(Skills!C6=3,120+Inputs!$B$27+Inputs!$B$29,MAX(0,(Inputs!$B$3-100)*3)+Inputs!$B$28+Inputs!$B$29)))</f>
        <v/>
      </c>
      <c r="E2951">
        <f>INDEX(FactorTable!$B$2:$Y$301, MATCH(ROUND(MIN(300,MAX(1,D2951)),0), FactorTable!$A$2:$A$301,0), Skills!M6+1)</f>
        <v/>
      </c>
      <c r="F2951">
        <f>IF(Skills!N6=TRUE,(Skills!L6/10)*(E2951/1000),Skills!L6/10)+Skills!O6</f>
        <v/>
      </c>
      <c r="G2951">
        <f>Skills!G6*IF(Skills!H6&gt;0,Skills!I6/Skills!H6,1)</f>
        <v/>
      </c>
      <c r="H2951">
        <f>1-(1-Skills!J6/100)^Skills!K6</f>
        <v/>
      </c>
      <c r="I2951" t="inlineStr">
        <is>
          <t>1</t>
        </is>
      </c>
      <c r="J2951">
        <f>((Inputs!$B$6*(1+Inputs!$B$7/100))+(((Inputs!$B$12*(1+Inputs!$B$13/100))-(Inputs!$B$12*(1+Inputs!$B$13/100)))+0.25*(Inputs!$B$14-Inputs!$B$14))*(1+Inputs!$B$7/100))*(F2951/100)</f>
        <v/>
      </c>
      <c r="K2951">
        <f>J2951*(1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2960=TRUE,F2960,0)/100)*(1+(IF(Skills!A6="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2951)</f>
        <v/>
      </c>
      <c r="L2951">
        <f>K2951*(MIN(Inputs!$B$22+((C2967=TRUE)*(F2967-Calc!F22)),(Inputs!$B$23+0+(IF(ArtifactsInput!$M$15,CHOOSE(ArtifactsInput!$N$15+1,25,30,35,40,45,50)/100*(Inputs!$B$11-Inputs!$B$11),0))))/100+(Inputs!$B$23+0+(IF(ArtifactsInput!$M$15,CHOOSE(ArtifactsInput!$N$15+1,25,30,35,40,45,50)/100*(Inputs!$B$11-Inputs!$B$11),0)))/100)/2</f>
        <v/>
      </c>
      <c r="M2951">
        <f>L2951*(1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1">
        <f>L2951*(1-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1">
        <f>(1-Summary!$B$11)*T2951+Summary!$B$11*V2951</f>
        <v/>
      </c>
      <c r="P2951">
        <f>IF(B2986=0,0,O2951/B2986)</f>
        <v/>
      </c>
      <c r="Q2951">
        <f>IFERROR(1/(IF(Inputs!$B$38="pvp",15,MAX(0.1,Skills!D6-IF(Skills!E6=TRUE,2.0,0)))*(1-IF(AND(ArtifactsInput!$M$27,Inputs!$B$4="Chapter Hunt"),CHOOSE(ArtifactsInput!$N$27+1,20,24,28,32,36,40),0)/100)),0)</f>
        <v/>
      </c>
      <c r="R2951">
        <f>IF(AND(Inputs!$B$38&lt;&gt;"pvp",Inputs!$B$43&gt;0),IF(MAX(0,Inputs!$B$43-B2983)&lt;=0,0,(INT(MAX(0,Inputs!$B$43-B2983)/(IF(Inputs!$B$38="pvp",15,MAX(0.1,Skills!D6-IF(Skills!E6=TRUE,2.0,0)))*(1-IF(AND(ArtifactsInput!$M$27,Inputs!$B$4="Chapter Hunt"),CHOOSE(ArtifactsInput!$N$27+1,20,24,28,32,36,40),0)/100)))+1)),0)</f>
        <v/>
      </c>
      <c r="S2951">
        <f>IFERROR(O2951/N2951,0)</f>
        <v/>
      </c>
      <c r="T2951">
        <f>IF(C2951,(H2951*N2951*IF(AND(Inputs!$B$38&lt;&gt;"pvp",Inputs!$B$43&gt;0),((Skills!G6*((R2951-1)*IF(Skills!H6&gt;0,Skills!I6/Skills!H6,1)+IF(Skills!H6&gt;0,MIN(Skills!I6,MAX(0,MAX(0,Inputs!$B$43-B2983)-((R2951-1)*(IF(Inputs!$B$38="pvp",15,MAX(0.1,Skills!D6-IF(Skills!E6=TRUE,2.0,0)))*(1-IF(AND(ArtifactsInput!$M$27,Inputs!$B$4="Chapter Hunt"),CHOOSE(ArtifactsInput!$N$27+1,20,24,28,32,36,40),0)/100)))))/Skills!H6,1)))/Inputs!$B$43),G2951*Q2951)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2951*(1-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2951*(1-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1">
        <f>IF(C2951,(H2951*N2951*IF(AND(Inputs!$B$38&lt;&gt;"pvp",Inputs!$B$43&gt;0),((Skills!G6*((R2951-1)*IF(Skills!H6&gt;0,Skills!I6/Skills!H6,1)+IF(Skills!H6&gt;0,MIN(Skills!I6,MAX(0,MAX(0,Inputs!$B$43-B2983)-((R2951-1)*(IF(Inputs!$B$38="pvp",15,MAX(0.1,Skills!D6-IF(Skills!E6=TRUE,2.0,0)))*(1-IF(AND(ArtifactsInput!$M$27,Inputs!$B$4="Chapter Hunt"),CHOOSE(ArtifactsInput!$N$27+1,20,24,28,32,36,40),0)/100)))))/Skills!H6,1)))/Inputs!$B$43),G2951*Q2951))*IF(Inputs!$B$38="pvp",1,(1+(Inputs!$B$21+Skills!Q6+(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2">
      <c r="A2952">
        <f>Skills!A7</f>
        <v/>
      </c>
      <c r="B2952">
        <f>Skills!B7</f>
        <v/>
      </c>
      <c r="C2952">
        <f>Inputs!$B$3&gt;=66</f>
        <v/>
      </c>
      <c r="D2952">
        <f>IF(Skills!C7=1,60+Inputs!$B$25+Inputs!$B$29,IF(Skills!C7=2,90+Inputs!$B$26+Inputs!$B$29,IF(Skills!C7=3,120+Inputs!$B$27+Inputs!$B$29,MAX(0,(Inputs!$B$3-100)*3)+Inputs!$B$28+Inputs!$B$29)))</f>
        <v/>
      </c>
      <c r="E2952">
        <f>INDEX(FactorTable!$B$2:$Y$301, MATCH(ROUND(MIN(300,MAX(1,D2952)),0), FactorTable!$A$2:$A$301,0), Skills!M7+1)</f>
        <v/>
      </c>
      <c r="F2952">
        <f>IF(Skills!N7=TRUE,(Skills!L7/10)*(E2952/1000),Skills!L7/10)+Skills!O7</f>
        <v/>
      </c>
      <c r="G2952">
        <f>Skills!G7*IF(Skills!H7&gt;0,Skills!I7/Skills!H7,1)</f>
        <v/>
      </c>
      <c r="H2952">
        <f>1-(1-Skills!J7/100)^Skills!K7</f>
        <v/>
      </c>
      <c r="I2952" t="inlineStr">
        <is>
          <t>1</t>
        </is>
      </c>
      <c r="J2952">
        <f>((Inputs!$B$6*(1+Inputs!$B$7/100))+(((Inputs!$B$12*(1+Inputs!$B$13/100))-(Inputs!$B$12*(1+Inputs!$B$13/100)))+0.25*(Inputs!$B$14-Inputs!$B$14))*(1+Inputs!$B$7/100))*(F2952/100)</f>
        <v/>
      </c>
      <c r="K2952">
        <f>J2952*(1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2960=TRUE,F2960,0)/100)*(1+(IF(Skills!A7="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2952)</f>
        <v/>
      </c>
      <c r="L2952">
        <f>K2952*(MIN(Inputs!$B$22+((C2967=TRUE)*(F2967-Calc!F22)),(Inputs!$B$23+0+(IF(ArtifactsInput!$M$15,CHOOSE(ArtifactsInput!$N$15+1,25,30,35,40,45,50)/100*(Inputs!$B$11-Inputs!$B$11),0))))/100+(Inputs!$B$23+0+(IF(ArtifactsInput!$M$15,CHOOSE(ArtifactsInput!$N$15+1,25,30,35,40,45,50)/100*(Inputs!$B$11-Inputs!$B$11),0)))/100)/2</f>
        <v/>
      </c>
      <c r="M2952">
        <f>L2952*(1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2">
        <f>L2952*(1-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2952*(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2">
        <f>(1-Summary!$B$11)*T2952+Summary!$B$11*V2952</f>
        <v/>
      </c>
      <c r="P2952">
        <f>IF(B2986=0,0,O2952/B2986)</f>
        <v/>
      </c>
      <c r="Q2952">
        <f>IFERROR(1/(IF(Inputs!$B$38="pvp",15,MAX(0.1,Skills!D7-IF(Skills!E7=TRUE,2.0,0)))*(1-IF(AND(ArtifactsInput!$M$27,Inputs!$B$4="Chapter Hunt"),CHOOSE(ArtifactsInput!$N$27+1,20,24,28,32,36,40),0)/100)),0)</f>
        <v/>
      </c>
      <c r="R2952">
        <f>IF(AND(Inputs!$B$38&lt;&gt;"pvp",Inputs!$B$43&gt;0),IF(MAX(0,Inputs!$B$43-B2983)&lt;=0,0,(INT(MAX(0,Inputs!$B$43-B2983)/(IF(Inputs!$B$38="pvp",15,MAX(0.1,Skills!D7-IF(Skills!E7=TRUE,2.0,0)))*(1-IF(AND(ArtifactsInput!$M$27,Inputs!$B$4="Chapter Hunt"),CHOOSE(ArtifactsInput!$N$27+1,20,24,28,32,36,40),0)/100)))+1)),0)</f>
        <v/>
      </c>
      <c r="S2952">
        <f>IFERROR(O2952/N2952,0)</f>
        <v/>
      </c>
      <c r="T2952">
        <f>IF(C2952,(H2952*N2952*IF(AND(Inputs!$B$38&lt;&gt;"pvp",Inputs!$B$43&gt;0),((Skills!G7*((R2952-1)*IF(Skills!H7&gt;0,Skills!I7/Skills!H7,1)+IF(Skills!H7&gt;0,MIN(Skills!I7,MAX(0,MAX(0,Inputs!$B$43-B2983)-((R2952-1)*(IF(Inputs!$B$38="pvp",15,MAX(0.1,Skills!D7-IF(Skills!E7=TRUE,2.0,0)))*(1-IF(AND(ArtifactsInput!$M$27,Inputs!$B$4="Chapter Hunt"),CHOOSE(ArtifactsInput!$N$27+1,20,24,28,32,36,40),0)/100)))))/Skills!H7,1)))/Inputs!$B$43),G2952*Q2952)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2952*(1-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2952*(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2952*(1-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2952*(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2">
        <f>IF(C2952,(H2952*N2952*IF(AND(Inputs!$B$38&lt;&gt;"pvp",Inputs!$B$43&gt;0),((Skills!G7*((R2952-1)*IF(Skills!H7&gt;0,Skills!I7/Skills!H7,1)+IF(Skills!H7&gt;0,MIN(Skills!I7,MAX(0,MAX(0,Inputs!$B$43-B2983)-((R2952-1)*(IF(Inputs!$B$38="pvp",15,MAX(0.1,Skills!D7-IF(Skills!E7=TRUE,2.0,0)))*(1-IF(AND(ArtifactsInput!$M$27,Inputs!$B$4="Chapter Hunt"),CHOOSE(ArtifactsInput!$N$27+1,20,24,28,32,36,40),0)/100)))))/Skills!H7,1)))/Inputs!$B$43),G2952*Q2952))*IF(Inputs!$B$38="pvp",1,(1+(Inputs!$B$21+Skills!Q7+(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3">
      <c r="A2953">
        <f>Skills!A8</f>
        <v/>
      </c>
      <c r="B2953">
        <f>Skills!B8</f>
        <v/>
      </c>
      <c r="C2953">
        <f>Inputs!$B$3&gt;=100</f>
        <v/>
      </c>
      <c r="D2953">
        <f>IF(Skills!C8=1,60+Inputs!$B$25+Inputs!$B$29,IF(Skills!C8=2,90+Inputs!$B$26+Inputs!$B$29,IF(Skills!C8=3,120+Inputs!$B$27+Inputs!$B$29,MAX(0,(Inputs!$B$3-100)*3)+Inputs!$B$28+Inputs!$B$29)))</f>
        <v/>
      </c>
      <c r="E2953">
        <f>INDEX(FactorTable!$B$2:$Y$301, MATCH(ROUND(MIN(300,MAX(1,D2953)),0), FactorTable!$A$2:$A$301,0), Skills!M8+1)</f>
        <v/>
      </c>
      <c r="F2953">
        <f>IF(Skills!N8=TRUE,(Skills!L8/10)*(E2953/1000),Skills!L8/10)+Skills!O8</f>
        <v/>
      </c>
      <c r="G2953">
        <f>Skills!G8*IF(Skills!H8&gt;0,Skills!I8/Skills!H8,1)</f>
        <v/>
      </c>
      <c r="H2953">
        <f>1-(1-Skills!J8/100)^Skills!K8</f>
        <v/>
      </c>
      <c r="I2953" t="inlineStr">
        <is>
          <t>1</t>
        </is>
      </c>
      <c r="J2953">
        <f>((Inputs!$B$6*(1+Inputs!$B$7/100))+(((Inputs!$B$12*(1+Inputs!$B$13/100))-(Inputs!$B$12*(1+Inputs!$B$13/100)))+0.25*(Inputs!$B$14-Inputs!$B$14))*(1+Inputs!$B$7/100))*(F2953/100)</f>
        <v/>
      </c>
      <c r="K2953">
        <f>J2953*(1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2953)</f>
        <v/>
      </c>
      <c r="L2953">
        <f>K2953*(MIN(Inputs!$B$22+((C2967=TRUE)*(F2967-Calc!F22)),(Inputs!$B$23+0+(IF(ArtifactsInput!$M$15,CHOOSE(ArtifactsInput!$N$15+1,25,30,35,40,45,50)/100*(Inputs!$B$11-Inputs!$B$11),0))))/100+(Inputs!$B$23+0+(IF(ArtifactsInput!$M$15,CHOOSE(ArtifactsInput!$N$15+1,25,30,35,40,45,50)/100*(Inputs!$B$11-Inputs!$B$11),0)))/100)/2</f>
        <v/>
      </c>
      <c r="M2953">
        <f>L2953*(1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3">
        <f>L2953*(1-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2953*(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3">
        <f>(1-Summary!$B$11)*T2953+Summary!$B$11*V2953</f>
        <v/>
      </c>
      <c r="P2953">
        <f>IF(B2986=0,0,O2953/B2986)</f>
        <v/>
      </c>
      <c r="Q2953">
        <f>IFERROR(1/(IF(Inputs!$B$38="pvp",15,MAX(0.1,Skills!D8-IF(Skills!E8=TRUE,2.0,0)))*(1-IF(AND(ArtifactsInput!$M$27,Inputs!$B$4="Chapter Hunt"),CHOOSE(ArtifactsInput!$N$27+1,20,24,28,32,36,40),0)/100)),0)</f>
        <v/>
      </c>
      <c r="R2953">
        <f>IF(AND(Inputs!$B$38&lt;&gt;"pvp",Inputs!$B$43&gt;0),IF(MAX(0,Inputs!$B$43-B2983)&lt;=0,0,(INT(MAX(0,Inputs!$B$43-B2983)/(IF(Inputs!$B$38="pvp",15,MAX(0.1,Skills!D8-IF(Skills!E8=TRUE,2.0,0)))*(1-IF(AND(ArtifactsInput!$M$27,Inputs!$B$4="Chapter Hunt"),CHOOSE(ArtifactsInput!$N$27+1,20,24,28,32,36,40),0)/100)))+1)),0)</f>
        <v/>
      </c>
      <c r="S2953">
        <f>IFERROR(O2953/N2953,0)</f>
        <v/>
      </c>
      <c r="T2953">
        <f>IF(C2953,(H2953*N2953*IF(AND(Inputs!$B$38&lt;&gt;"pvp",Inputs!$B$43&gt;0),((Skills!G8*((R2953-1)*IF(Skills!H8&gt;0,Skills!I8/Skills!H8,1)+IF(Skills!H8&gt;0,MIN(Skills!I8,MAX(0,MAX(0,Inputs!$B$43-B2983)-((R2953-1)*(IF(Inputs!$B$38="pvp",15,MAX(0.1,Skills!D8-IF(Skills!E8=TRUE,2.0,0)))*(1-IF(AND(ArtifactsInput!$M$27,Inputs!$B$4="Chapter Hunt"),CHOOSE(ArtifactsInput!$N$27+1,20,24,28,32,36,40),0)/100)))))/Skills!H8,1)))/Inputs!$B$43),G2953*Q2953)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2953*(1-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2953*(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2953*(1-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2953*(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3">
        <f>IF(C2953,(H2953*N2953*IF(AND(Inputs!$B$38&lt;&gt;"pvp",Inputs!$B$43&gt;0),((Skills!G8*((R2953-1)*IF(Skills!H8&gt;0,Skills!I8/Skills!H8,1)+IF(Skills!H8&gt;0,MIN(Skills!I8,MAX(0,MAX(0,Inputs!$B$43-B2983)-((R2953-1)*(IF(Inputs!$B$38="pvp",15,MAX(0.1,Skills!D8-IF(Skills!E8=TRUE,2.0,0)))*(1-IF(AND(ArtifactsInput!$M$27,Inputs!$B$4="Chapter Hunt"),CHOOSE(ArtifactsInput!$N$27+1,20,24,28,32,36,40),0)/100)))))/Skills!H8,1)))/Inputs!$B$43),G2953*Q2953))*IF(Inputs!$B$38="pvp",1,(1+(Inputs!$B$21+Skills!Q8+(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4">
      <c r="A2954">
        <f>Skills!A9</f>
        <v/>
      </c>
      <c r="B2954">
        <f>Skills!B9</f>
        <v/>
      </c>
      <c r="C2954">
        <f>Inputs!$B$3&gt;=103</f>
        <v/>
      </c>
      <c r="D2954">
        <f>IF(Skills!C9=1,60+Inputs!$B$25+Inputs!$B$29,IF(Skills!C9=2,90+Inputs!$B$26+Inputs!$B$29,IF(Skills!C9=3,120+Inputs!$B$27+Inputs!$B$29,MAX(0,(Inputs!$B$3-100)*3)+Inputs!$B$28+Inputs!$B$29)))</f>
        <v/>
      </c>
      <c r="E2954">
        <f>INDEX(FactorTable!$B$2:$Y$301, MATCH(ROUND(MIN(300,MAX(1,D2954)),0), FactorTable!$A$2:$A$301,0), Skills!M9+1)</f>
        <v/>
      </c>
      <c r="F2954">
        <f>IF(Skills!N9=TRUE,(Skills!L9/10)*(E2954/1000),Skills!L9/10)+Skills!O9</f>
        <v/>
      </c>
      <c r="G2954">
        <f>Skills!G9*IF(Skills!H9&gt;0,Skills!I9/Skills!H9,1)</f>
        <v/>
      </c>
      <c r="H2954">
        <f>1-(1-Skills!J9/100)^Skills!K9</f>
        <v/>
      </c>
      <c r="I2954" t="inlineStr">
        <is>
          <t>1</t>
        </is>
      </c>
      <c r="J2954">
        <f>((Inputs!$B$6*(1+Inputs!$B$7/100))+(((Inputs!$B$12*(1+Inputs!$B$13/100))-(Inputs!$B$12*(1+Inputs!$B$13/100)))+0.25*(Inputs!$B$14-Inputs!$B$14))*(1+Inputs!$B$7/100))*(F2954/100)</f>
        <v/>
      </c>
      <c r="K2954">
        <f>J2954*(1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2954)</f>
        <v/>
      </c>
      <c r="L2954">
        <f>K2954*(MIN(Inputs!$B$22+((C2967=TRUE)*(F2967-Calc!F22)),(Inputs!$B$23+0+(IF(ArtifactsInput!$M$15,CHOOSE(ArtifactsInput!$N$15+1,25,30,35,40,45,50)/100*(Inputs!$B$11-Inputs!$B$11),0))))/100+(Inputs!$B$23+0+(IF(ArtifactsInput!$M$15,CHOOSE(ArtifactsInput!$N$15+1,25,30,35,40,45,50)/100*(Inputs!$B$11-Inputs!$B$11),0)))/100)/2</f>
        <v/>
      </c>
      <c r="M2954">
        <f>L2954*(1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4">
        <f>L2954*(1-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2954*(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4">
        <f>(1-Summary!$B$11)*T2954+Summary!$B$11*V2954</f>
        <v/>
      </c>
      <c r="P2954">
        <f>IF(B2986=0,0,O2954/B2986)</f>
        <v/>
      </c>
      <c r="Q2954">
        <f>IFERROR(1/(IF(Inputs!$B$38="pvp",15,MAX(0.1,Skills!D9-IF(Skills!E9=TRUE,2.0,0)))*(1-IF(AND(ArtifactsInput!$M$27,Inputs!$B$4="Chapter Hunt"),CHOOSE(ArtifactsInput!$N$27+1,20,24,28,32,36,40),0)/100)),0)</f>
        <v/>
      </c>
      <c r="R2954">
        <f>IF(AND(Inputs!$B$38&lt;&gt;"pvp",Inputs!$B$43&gt;0),IF(MAX(0,Inputs!$B$43-B2983)&lt;=0,0,(INT(MAX(0,Inputs!$B$43-B2983)/(IF(Inputs!$B$38="pvp",15,MAX(0.1,Skills!D9-IF(Skills!E9=TRUE,2.0,0)))*(1-IF(AND(ArtifactsInput!$M$27,Inputs!$B$4="Chapter Hunt"),CHOOSE(ArtifactsInput!$N$27+1,20,24,28,32,36,40),0)/100)))+1)),0)</f>
        <v/>
      </c>
      <c r="S2954">
        <f>IFERROR(O2954/N2954,0)</f>
        <v/>
      </c>
      <c r="T2954">
        <f>IF(C2954,(H2954*N2954*IF(AND(Inputs!$B$38&lt;&gt;"pvp",Inputs!$B$43&gt;0),((Skills!G9*((R2954-1)*IF(Skills!H9&gt;0,Skills!I9/Skills!H9,1)+IF(Skills!H9&gt;0,MIN(Skills!I9,MAX(0,MAX(0,Inputs!$B$43-B2983)-((R2954-1)*(IF(Inputs!$B$38="pvp",15,MAX(0.1,Skills!D9-IF(Skills!E9=TRUE,2.0,0)))*(1-IF(AND(ArtifactsInput!$M$27,Inputs!$B$4="Chapter Hunt"),CHOOSE(ArtifactsInput!$N$27+1,20,24,28,32,36,40),0)/100)))))/Skills!H9,1)))/Inputs!$B$43),G2954*Q2954)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2954*(1-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2954*(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2954*(1-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2954*(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4">
        <f>IF(C2954,(H2954*N2954*IF(AND(Inputs!$B$38&lt;&gt;"pvp",Inputs!$B$43&gt;0),((Skills!G9*((R2954-1)*IF(Skills!H9&gt;0,Skills!I9/Skills!H9,1)+IF(Skills!H9&gt;0,MIN(Skills!I9,MAX(0,MAX(0,Inputs!$B$43-B2983)-((R2954-1)*(IF(Inputs!$B$38="pvp",15,MAX(0.1,Skills!D9-IF(Skills!E9=TRUE,2.0,0)))*(1-IF(AND(ArtifactsInput!$M$27,Inputs!$B$4="Chapter Hunt"),CHOOSE(ArtifactsInput!$N$27+1,20,24,28,32,36,40),0)/100)))))/Skills!H9,1)))/Inputs!$B$43),G2954*Q2954))*IF(Inputs!$B$38="pvp",1,(1+(Inputs!$B$21+Skills!Q9+(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5">
      <c r="A2955">
        <f>Skills!A10</f>
        <v/>
      </c>
      <c r="B2955">
        <f>Skills!B10</f>
        <v/>
      </c>
      <c r="C2955">
        <f>Inputs!$B$3&gt;=113</f>
        <v/>
      </c>
      <c r="D2955">
        <f>IF(Skills!C10=1,60+Inputs!$B$25+Inputs!$B$29,IF(Skills!C10=2,90+Inputs!$B$26+Inputs!$B$29,IF(Skills!C10=3,120+Inputs!$B$27+Inputs!$B$29,MAX(0,(Inputs!$B$3-100)*3)+Inputs!$B$28+Inputs!$B$29)))</f>
        <v/>
      </c>
      <c r="E2955">
        <f>INDEX(FactorTable!$B$2:$Y$301, MATCH(ROUND(MIN(300,MAX(1,D2955)),0), FactorTable!$A$2:$A$301,0), Skills!M10+1)</f>
        <v/>
      </c>
      <c r="F2955">
        <f>IF(Skills!N10=TRUE,(Skills!L10/10)*(E2955/1000),Skills!L10/10)+Skills!O10</f>
        <v/>
      </c>
      <c r="G2955">
        <f>Skills!G10*IF(Skills!H10&gt;0,Skills!I10/Skills!H10,1)</f>
        <v/>
      </c>
      <c r="H2955">
        <f>1-(1-Skills!J10/100)^Skills!K10</f>
        <v/>
      </c>
      <c r="I2955" t="inlineStr">
        <is>
          <t>1</t>
        </is>
      </c>
      <c r="J2955">
        <f>((Inputs!$B$6*(1+Inputs!$B$7/100))+(((Inputs!$B$12*(1+Inputs!$B$13/100))-(Inputs!$B$12*(1+Inputs!$B$13/100)))+0.25*(Inputs!$B$14-Inputs!$B$14))*(1+Inputs!$B$7/100))*(F2955/100)</f>
        <v/>
      </c>
      <c r="K2955">
        <f>J2955*(1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2955)</f>
        <v/>
      </c>
      <c r="L2955">
        <f>K2955*(MIN(Inputs!$B$22+((C2967=TRUE)*(F2967-Calc!F22)),(Inputs!$B$23+0+(IF(ArtifactsInput!$M$15,CHOOSE(ArtifactsInput!$N$15+1,25,30,35,40,45,50)/100*(Inputs!$B$11-Inputs!$B$11),0))))/100+(Inputs!$B$23+0+(IF(ArtifactsInput!$M$15,CHOOSE(ArtifactsInput!$N$15+1,25,30,35,40,45,50)/100*(Inputs!$B$11-Inputs!$B$11),0)))/100)/2</f>
        <v/>
      </c>
      <c r="M2955">
        <f>L2955*(1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5">
        <f>L2955*(1-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2955*(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5">
        <f>(1-Summary!$B$11)*T2955+Summary!$B$11*V2955</f>
        <v/>
      </c>
      <c r="P2955">
        <f>IF(B2986=0,0,O2955/B2986)</f>
        <v/>
      </c>
      <c r="Q2955">
        <f>IFERROR(1/(IF(Inputs!$B$38="pvp",15,MAX(0.1,Skills!D10-IF(Skills!E10=TRUE,2.0,0)))*(1-IF(AND(ArtifactsInput!$M$27,Inputs!$B$4="Chapter Hunt"),CHOOSE(ArtifactsInput!$N$27+1,20,24,28,32,36,40),0)/100)),0)</f>
        <v/>
      </c>
      <c r="R2955">
        <f>IF(AND(Inputs!$B$38&lt;&gt;"pvp",Inputs!$B$43&gt;0),IF(MAX(0,Inputs!$B$43-B2983)&lt;=0,0,(INT(MAX(0,Inputs!$B$43-B2983)/(IF(Inputs!$B$38="pvp",15,MAX(0.1,Skills!D10-IF(Skills!E10=TRUE,2.0,0)))*(1-IF(AND(ArtifactsInput!$M$27,Inputs!$B$4="Chapter Hunt"),CHOOSE(ArtifactsInput!$N$27+1,20,24,28,32,36,40),0)/100)))+1)),0)</f>
        <v/>
      </c>
      <c r="S2955">
        <f>IFERROR(O2955/N2955,0)</f>
        <v/>
      </c>
      <c r="T2955">
        <f>IF(C2955,(H2955*N2955*IF(AND(Inputs!$B$38&lt;&gt;"pvp",Inputs!$B$43&gt;0),((Skills!G10*((R2955-1)*IF(Skills!H10&gt;0,Skills!I10/Skills!H10,1)+IF(Skills!H10&gt;0,MIN(Skills!I10,MAX(0,MAX(0,Inputs!$B$43-B2983)-((R2955-1)*(IF(Inputs!$B$38="pvp",15,MAX(0.1,Skills!D10-IF(Skills!E10=TRUE,2.0,0)))*(1-IF(AND(ArtifactsInput!$M$27,Inputs!$B$4="Chapter Hunt"),CHOOSE(ArtifactsInput!$N$27+1,20,24,28,32,36,40),0)/100)))))/Skills!H10,1)))/Inputs!$B$43),G2955*Q2955)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2955*(1-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2955*(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2955*(1-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2955*(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5">
        <f>IF(C2955,(H2955*N2955*IF(AND(Inputs!$B$38&lt;&gt;"pvp",Inputs!$B$43&gt;0),((Skills!G10*((R2955-1)*IF(Skills!H10&gt;0,Skills!I10/Skills!H10,1)+IF(Skills!H10&gt;0,MIN(Skills!I10,MAX(0,MAX(0,Inputs!$B$43-B2983)-((R2955-1)*(IF(Inputs!$B$38="pvp",15,MAX(0.1,Skills!D10-IF(Skills!E10=TRUE,2.0,0)))*(1-IF(AND(ArtifactsInput!$M$27,Inputs!$B$4="Chapter Hunt"),CHOOSE(ArtifactsInput!$N$27+1,20,24,28,32,36,40),0)/100)))))/Skills!H10,1)))/Inputs!$B$43),G2955*Q2955))*IF(Inputs!$B$38="pvp",1,(1+(Inputs!$B$21+Skills!Q10+(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6">
      <c r="A2956">
        <f>Skills!A11</f>
        <v/>
      </c>
      <c r="B2956">
        <f>Skills!B11</f>
        <v/>
      </c>
      <c r="C2956">
        <f>Inputs!$B$3&gt;=107</f>
        <v/>
      </c>
      <c r="D2956">
        <f>IF(Skills!C11=1,60+Inputs!$B$25+Inputs!$B$29,IF(Skills!C11=2,90+Inputs!$B$26+Inputs!$B$29,IF(Skills!C11=3,120+Inputs!$B$27+Inputs!$B$29,MAX(0,(Inputs!$B$3-100)*3)+Inputs!$B$28+Inputs!$B$29)))</f>
        <v/>
      </c>
      <c r="E2956">
        <f>INDEX(FactorTable!$B$2:$Y$301, MATCH(ROUND(MIN(300,MAX(1,D2956)),0), FactorTable!$A$2:$A$301,0), Skills!M11+1)</f>
        <v/>
      </c>
      <c r="F2956">
        <f>IF(Skills!N11=TRUE,(Skills!L11/10)*(E2956/1000),Skills!L11/10)+Skills!O11</f>
        <v/>
      </c>
      <c r="G2956">
        <f>Skills!G11*IF(Skills!H11&gt;0,Skills!I11/Skills!H11,1)</f>
        <v/>
      </c>
      <c r="H2956">
        <f>1-(1-Skills!J11/100)^Skills!K11</f>
        <v/>
      </c>
      <c r="I2956" t="inlineStr">
        <is>
          <t>1</t>
        </is>
      </c>
      <c r="J2956">
        <f>((Inputs!$B$6*(1+Inputs!$B$7/100))+(((Inputs!$B$12*(1+Inputs!$B$13/100))-(Inputs!$B$12*(1+Inputs!$B$13/100)))+0.25*(Inputs!$B$14-Inputs!$B$14))*(1+Inputs!$B$7/100))*(F2956/100)</f>
        <v/>
      </c>
      <c r="K2956">
        <f>J2956*(1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2956)</f>
        <v/>
      </c>
      <c r="L2956">
        <f>K2956*(MIN(Inputs!$B$22+((C2967=TRUE)*(F2967-Calc!F22)),(Inputs!$B$23+0+(IF(ArtifactsInput!$M$15,CHOOSE(ArtifactsInput!$N$15+1,25,30,35,40,45,50)/100*(Inputs!$B$11-Inputs!$B$11),0))))/100+(Inputs!$B$23+0+(IF(ArtifactsInput!$M$15,CHOOSE(ArtifactsInput!$N$15+1,25,30,35,40,45,50)/100*(Inputs!$B$11-Inputs!$B$11),0)))/100)/2</f>
        <v/>
      </c>
      <c r="M2956">
        <f>L2956*(1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6">
        <f>L2956*(1-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2956*(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6">
        <f>(1-Summary!$B$11)*T2956+Summary!$B$11*V2956</f>
        <v/>
      </c>
      <c r="P2956">
        <f>IF(B2986=0,0,O2956/B2986)</f>
        <v/>
      </c>
      <c r="Q2956">
        <f>IFERROR(1/(IF(Inputs!$B$38="pvp",15,MAX(0.1,Skills!D11-IF(Skills!E11=TRUE,2.0,0)))*(1-IF(AND(ArtifactsInput!$M$27,Inputs!$B$4="Chapter Hunt"),CHOOSE(ArtifactsInput!$N$27+1,20,24,28,32,36,40),0)/100)),0)</f>
        <v/>
      </c>
      <c r="R2956">
        <f>IF(AND(Inputs!$B$38&lt;&gt;"pvp",Inputs!$B$43&gt;0),IF(MAX(0,Inputs!$B$43-B2983)&lt;=0,0,(INT(MAX(0,Inputs!$B$43-B2983)/(IF(Inputs!$B$38="pvp",15,MAX(0.1,Skills!D11-IF(Skills!E11=TRUE,2.0,0)))*(1-IF(AND(ArtifactsInput!$M$27,Inputs!$B$4="Chapter Hunt"),CHOOSE(ArtifactsInput!$N$27+1,20,24,28,32,36,40),0)/100)))+1)),0)</f>
        <v/>
      </c>
      <c r="S2956">
        <f>IFERROR(O2956/N2956,0)</f>
        <v/>
      </c>
      <c r="T2956">
        <f>IF(C2956,(H2956*N2956*IF(AND(Inputs!$B$38&lt;&gt;"pvp",Inputs!$B$43&gt;0),((Skills!G11*((R2956-1)*IF(Skills!H11&gt;0,Skills!I11/Skills!H11,1)+IF(Skills!H11&gt;0,MIN(Skills!I11,MAX(0,MAX(0,Inputs!$B$43-B2983)-((R2956-1)*(IF(Inputs!$B$38="pvp",15,MAX(0.1,Skills!D11-IF(Skills!E11=TRUE,2.0,0)))*(1-IF(AND(ArtifactsInput!$M$27,Inputs!$B$4="Chapter Hunt"),CHOOSE(ArtifactsInput!$N$27+1,20,24,28,32,36,40),0)/100)))))/Skills!H11,1)))/Inputs!$B$43),G2956*Q2956)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2956*(1-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2956*(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2956*(1-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2956*(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6">
        <f>IF(C2956,(H2956*N2956*IF(AND(Inputs!$B$38&lt;&gt;"pvp",Inputs!$B$43&gt;0),((Skills!G11*((R2956-1)*IF(Skills!H11&gt;0,Skills!I11/Skills!H11,1)+IF(Skills!H11&gt;0,MIN(Skills!I11,MAX(0,MAX(0,Inputs!$B$43-B2983)-((R2956-1)*(IF(Inputs!$B$38="pvp",15,MAX(0.1,Skills!D11-IF(Skills!E11=TRUE,2.0,0)))*(1-IF(AND(ArtifactsInput!$M$27,Inputs!$B$4="Chapter Hunt"),CHOOSE(ArtifactsInput!$N$27+1,20,24,28,32,36,40),0)/100)))))/Skills!H11,1)))/Inputs!$B$43),G2956*Q2956))*IF(Inputs!$B$38="pvp",1,(1+(Inputs!$B$21+Skills!Q11+(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7">
      <c r="A2957">
        <f>Skills!A12</f>
        <v/>
      </c>
      <c r="B2957">
        <f>Skills!B12</f>
        <v/>
      </c>
      <c r="C2957">
        <f>Inputs!$B$3&gt;=110</f>
        <v/>
      </c>
      <c r="D2957">
        <f>IF(Skills!C12=1,60+Inputs!$B$25+Inputs!$B$29,IF(Skills!C12=2,90+Inputs!$B$26+Inputs!$B$29,IF(Skills!C12=3,120+Inputs!$B$27+Inputs!$B$29,MAX(0,(Inputs!$B$3-100)*3)+Inputs!$B$28+Inputs!$B$29)))</f>
        <v/>
      </c>
      <c r="E2957">
        <f>INDEX(FactorTable!$B$2:$Y$301, MATCH(ROUND(MIN(300,MAX(1,D2957)),0), FactorTable!$A$2:$A$301,0), Skills!M12+1)</f>
        <v/>
      </c>
      <c r="F2957">
        <f>IF(Skills!N12=TRUE,(Skills!L12/10)*(E2957/1000),Skills!L12/10)+Skills!O12</f>
        <v/>
      </c>
      <c r="G2957">
        <f>Skills!G12*IF(Skills!H12&gt;0,Skills!I12/Skills!H12,1)</f>
        <v/>
      </c>
      <c r="H2957">
        <f>1-(1-Skills!J12/100)^Skills!K12</f>
        <v/>
      </c>
      <c r="I2957" t="inlineStr">
        <is>
          <t>1</t>
        </is>
      </c>
      <c r="J2957">
        <f>((Inputs!$B$6*(1+Inputs!$B$7/100))+(((Inputs!$B$12*(1+Inputs!$B$13/100))-(Inputs!$B$12*(1+Inputs!$B$13/100)))+0.25*(Inputs!$B$14-Inputs!$B$14))*(1+Inputs!$B$7/100))*(F2957/100)</f>
        <v/>
      </c>
      <c r="K2957">
        <f>J2957*(1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2957)</f>
        <v/>
      </c>
      <c r="L2957">
        <f>K2957*(MIN(Inputs!$B$22+((C2967=TRUE)*(F2967-Calc!F22)),(Inputs!$B$23+0+(IF(ArtifactsInput!$M$15,CHOOSE(ArtifactsInput!$N$15+1,25,30,35,40,45,50)/100*(Inputs!$B$11-Inputs!$B$11),0))))/100+(Inputs!$B$23+0+(IF(ArtifactsInput!$M$15,CHOOSE(ArtifactsInput!$N$15+1,25,30,35,40,45,50)/100*(Inputs!$B$11-Inputs!$B$11),0)))/100)/2</f>
        <v/>
      </c>
      <c r="M2957">
        <f>L2957*(1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7">
        <f>L2957*(1-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2957*(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7">
        <f>(1-Summary!$B$11)*T2957+Summary!$B$11*V2957</f>
        <v/>
      </c>
      <c r="P2957">
        <f>IF(B2986=0,0,O2957/B2986)</f>
        <v/>
      </c>
      <c r="Q2957">
        <f>IFERROR(1/(IF(Inputs!$B$38="pvp",15,MAX(0.1,Skills!D12-IF(Skills!E12=TRUE,2.0,0)))*(1-IF(AND(ArtifactsInput!$M$27,Inputs!$B$4="Chapter Hunt"),CHOOSE(ArtifactsInput!$N$27+1,20,24,28,32,36,40),0)/100)),0)</f>
        <v/>
      </c>
      <c r="R2957">
        <f>IF(AND(Inputs!$B$38&lt;&gt;"pvp",Inputs!$B$43&gt;0),IF(MAX(0,Inputs!$B$43-B2983)&lt;=0,0,(INT(MAX(0,Inputs!$B$43-B2983)/(IF(Inputs!$B$38="pvp",15,MAX(0.1,Skills!D12-IF(Skills!E12=TRUE,2.0,0)))*(1-IF(AND(ArtifactsInput!$M$27,Inputs!$B$4="Chapter Hunt"),CHOOSE(ArtifactsInput!$N$27+1,20,24,28,32,36,40),0)/100)))+1)),0)</f>
        <v/>
      </c>
      <c r="S2957">
        <f>IFERROR(O2957/N2957,0)</f>
        <v/>
      </c>
      <c r="T2957">
        <f>IF(C2957,(H2957*N2957*IF(AND(Inputs!$B$38&lt;&gt;"pvp",Inputs!$B$43&gt;0),((Skills!G12*((R2957-1)*IF(Skills!H12&gt;0,Skills!I12/Skills!H12,1)+IF(Skills!H12&gt;0,MIN(Skills!I12,MAX(0,MAX(0,Inputs!$B$43-B2983)-((R2957-1)*(IF(Inputs!$B$38="pvp",15,MAX(0.1,Skills!D12-IF(Skills!E12=TRUE,2.0,0)))*(1-IF(AND(ArtifactsInput!$M$27,Inputs!$B$4="Chapter Hunt"),CHOOSE(ArtifactsInput!$N$27+1,20,24,28,32,36,40),0)/100)))))/Skills!H12,1)))/Inputs!$B$43),G2957*Q2957)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2957*(1-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2957*(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2957*(1-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2957*(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7">
        <f>IF(C2957,(H2957*N2957*IF(AND(Inputs!$B$38&lt;&gt;"pvp",Inputs!$B$43&gt;0),((Skills!G12*((R2957-1)*IF(Skills!H12&gt;0,Skills!I12/Skills!H12,1)+IF(Skills!H12&gt;0,MIN(Skills!I12,MAX(0,MAX(0,Inputs!$B$43-B2983)-((R2957-1)*(IF(Inputs!$B$38="pvp",15,MAX(0.1,Skills!D12-IF(Skills!E12=TRUE,2.0,0)))*(1-IF(AND(ArtifactsInput!$M$27,Inputs!$B$4="Chapter Hunt"),CHOOSE(ArtifactsInput!$N$27+1,20,24,28,32,36,40),0)/100)))))/Skills!H12,1)))/Inputs!$B$43),G2957*Q2957))*IF(Inputs!$B$38="pvp",1,(1+(Inputs!$B$21+Skills!Q12+(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8">
      <c r="A2958">
        <f>Skills!A13</f>
        <v/>
      </c>
      <c r="B2958">
        <f>Skills!B13</f>
        <v/>
      </c>
      <c r="C2958">
        <f>Inputs!$B$3&gt;=110</f>
        <v/>
      </c>
      <c r="D2958">
        <f>IF(Skills!C13=1,60+Inputs!$B$25+Inputs!$B$29,IF(Skills!C13=2,90+Inputs!$B$26+Inputs!$B$29,IF(Skills!C13=3,120+Inputs!$B$27+Inputs!$B$29,MAX(0,(Inputs!$B$3-100)*3)+Inputs!$B$28+Inputs!$B$29)))</f>
        <v/>
      </c>
      <c r="E2958">
        <f>INDEX(FactorTable!$B$2:$Y$301, MATCH(ROUND(MIN(300,MAX(1,D2958)),0), FactorTable!$A$2:$A$301,0), Skills!M13+1)</f>
        <v/>
      </c>
      <c r="F2958">
        <f>IF(Skills!N13=TRUE,(Skills!L13/10)*(E2958/1000),Skills!L13/10)+Skills!O13</f>
        <v/>
      </c>
      <c r="G2958">
        <f>Skills!G13*IF(Skills!H13&gt;0,Skills!I13/Skills!H13,1)</f>
        <v/>
      </c>
      <c r="H2958">
        <f>1-(1-Skills!J13/100)^Skills!K13</f>
        <v/>
      </c>
      <c r="I2958" t="inlineStr">
        <is>
          <t>1</t>
        </is>
      </c>
      <c r="J2958">
        <f>((Inputs!$B$6*(1+Inputs!$B$7/100))+(((Inputs!$B$12*(1+Inputs!$B$13/100))-(Inputs!$B$12*(1+Inputs!$B$13/100)))+0.25*(Inputs!$B$14-Inputs!$B$14))*(1+Inputs!$B$7/100))*(F2958/100)</f>
        <v/>
      </c>
      <c r="K2958">
        <f>J2958*(1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2958)</f>
        <v/>
      </c>
      <c r="L2958">
        <f>K2958*(MIN(Inputs!$B$22+((C2967=TRUE)*(F2967-Calc!F22)),(Inputs!$B$23+0+(IF(ArtifactsInput!$M$15,CHOOSE(ArtifactsInput!$N$15+1,25,30,35,40,45,50)/100*(Inputs!$B$11-Inputs!$B$11),0))))/100+(Inputs!$B$23+0+(IF(ArtifactsInput!$M$15,CHOOSE(ArtifactsInput!$N$15+1,25,30,35,40,45,50)/100*(Inputs!$B$11-Inputs!$B$11),0)))/100)/2</f>
        <v/>
      </c>
      <c r="M2958">
        <f>L2958*(1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8">
        <f>L2958*(1-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2958*(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8">
        <f>(1-Summary!$B$11)*T2958+Summary!$B$11*V2958</f>
        <v/>
      </c>
      <c r="P2958">
        <f>IF(B2986=0,0,O2958/B2986)</f>
        <v/>
      </c>
      <c r="Q2958">
        <f>IFERROR(1/(IF(Inputs!$B$38="pvp",15,MAX(0.1,Skills!D13-IF(Skills!E13=TRUE,2.0,0)))*(1-IF(AND(ArtifactsInput!$M$27,Inputs!$B$4="Chapter Hunt"),CHOOSE(ArtifactsInput!$N$27+1,20,24,28,32,36,40),0)/100)),0)</f>
        <v/>
      </c>
      <c r="R2958">
        <f>IF(AND(Inputs!$B$38&lt;&gt;"pvp",Inputs!$B$43&gt;0),IF(MAX(0,Inputs!$B$43-B2983)&lt;=0,0,(INT(MAX(0,Inputs!$B$43-B2983)/(IF(Inputs!$B$38="pvp",15,MAX(0.1,Skills!D13-IF(Skills!E13=TRUE,2.0,0)))*(1-IF(AND(ArtifactsInput!$M$27,Inputs!$B$4="Chapter Hunt"),CHOOSE(ArtifactsInput!$N$27+1,20,24,28,32,36,40),0)/100)))+1)),0)</f>
        <v/>
      </c>
      <c r="S2958">
        <f>IFERROR(O2958/N2958,0)</f>
        <v/>
      </c>
      <c r="T2958">
        <f>IF(C2958,(H2958*N2958*IF(AND(Inputs!$B$38&lt;&gt;"pvp",Inputs!$B$43&gt;0),((Skills!G13*((R2958-1)*IF(Skills!H13&gt;0,Skills!I13/Skills!H13,1)+IF(Skills!H13&gt;0,MIN(Skills!I13,MAX(0,MAX(0,Inputs!$B$43-B2983)-((R2958-1)*(IF(Inputs!$B$38="pvp",15,MAX(0.1,Skills!D13-IF(Skills!E13=TRUE,2.0,0)))*(1-IF(AND(ArtifactsInput!$M$27,Inputs!$B$4="Chapter Hunt"),CHOOSE(ArtifactsInput!$N$27+1,20,24,28,32,36,40),0)/100)))))/Skills!H13,1)))/Inputs!$B$43),G2958*Q2958)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2958*(1-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2958*(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2958*(1-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2958*(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8">
        <f>IF(C2958,(H2958*N2958*IF(AND(Inputs!$B$38&lt;&gt;"pvp",Inputs!$B$43&gt;0),((Skills!G13*((R2958-1)*IF(Skills!H13&gt;0,Skills!I13/Skills!H13,1)+IF(Skills!H13&gt;0,MIN(Skills!I13,MAX(0,MAX(0,Inputs!$B$43-B2983)-((R2958-1)*(IF(Inputs!$B$38="pvp",15,MAX(0.1,Skills!D13-IF(Skills!E13=TRUE,2.0,0)))*(1-IF(AND(ArtifactsInput!$M$27,Inputs!$B$4="Chapter Hunt"),CHOOSE(ArtifactsInput!$N$27+1,20,24,28,32,36,40),0)/100)))))/Skills!H13,1)))/Inputs!$B$43),G2958*Q2958))*IF(Inputs!$B$38="pvp",1,(1+(Inputs!$B$21+Skills!Q13+(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9">
      <c r="A2959">
        <f>Skills!A14</f>
        <v/>
      </c>
      <c r="B2959">
        <f>Skills!B14</f>
        <v/>
      </c>
      <c r="C2959">
        <f>Inputs!$B$3&gt;=125</f>
        <v/>
      </c>
      <c r="D2959">
        <f>IF(Skills!C14=1,60+Inputs!$B$25+Inputs!$B$29,IF(Skills!C14=2,90+Inputs!$B$26+Inputs!$B$29,IF(Skills!C14=3,120+Inputs!$B$27+Inputs!$B$29,MAX(0,(Inputs!$B$3-100)*3)+Inputs!$B$28+Inputs!$B$29)))</f>
        <v/>
      </c>
      <c r="E2959">
        <f>INDEX(FactorTable!$B$2:$Y$301, MATCH(ROUND(MIN(300,MAX(1,D2959)),0), FactorTable!$A$2:$A$301,0), Skills!M14+1)</f>
        <v/>
      </c>
      <c r="F2959">
        <f>IF(Skills!N14=TRUE,(Skills!L14/10)*(E2959/1000),Skills!L14/10)+Skills!O14</f>
        <v/>
      </c>
      <c r="G2959">
        <f>Skills!G14*IF(Skills!H14&gt;0,Skills!I14/Skills!H14,1)</f>
        <v/>
      </c>
      <c r="H2959">
        <f>1-(1-Skills!J14/100)^Skills!K14</f>
        <v/>
      </c>
      <c r="I2959" t="inlineStr">
        <is>
          <t>1</t>
        </is>
      </c>
      <c r="J2959">
        <f>((Inputs!$B$6*(1+Inputs!$B$7/100))+(((Inputs!$B$12*(1+Inputs!$B$13/100))-(Inputs!$B$12*(1+Inputs!$B$13/100)))+0.25*(Inputs!$B$14-Inputs!$B$14))*(1+Inputs!$B$7/100))*(F2959/100)</f>
        <v/>
      </c>
      <c r="K2959">
        <f>J2959*(1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2959)</f>
        <v/>
      </c>
      <c r="L2959">
        <f>K2959*(MIN(Inputs!$B$22+((C2967=TRUE)*(F2967-Calc!F22)),(Inputs!$B$23+0+(IF(ArtifactsInput!$M$15,CHOOSE(ArtifactsInput!$N$15+1,25,30,35,40,45,50)/100*(Inputs!$B$11-Inputs!$B$11),0))))/100+(Inputs!$B$23+0+(IF(ArtifactsInput!$M$15,CHOOSE(ArtifactsInput!$N$15+1,25,30,35,40,45,50)/100*(Inputs!$B$11-Inputs!$B$11),0)))/100)/2</f>
        <v/>
      </c>
      <c r="M2959">
        <f>L2959*(1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9">
        <f>L2959*(1-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2959*(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9">
        <f>(1-Summary!$B$11)*T2959+Summary!$B$11*V2959</f>
        <v/>
      </c>
      <c r="P2959">
        <f>IF(B2986=0,0,O2959/B2986)</f>
        <v/>
      </c>
      <c r="Q2959" t="n">
        <v>0</v>
      </c>
      <c r="R2959" t="n">
        <v>0</v>
      </c>
      <c r="S2959">
        <f>IFERROR(O2959/N2959,0)</f>
        <v/>
      </c>
      <c r="T2959">
        <f>IF(C2959,(H2959*N2959*(B2980+IF(AND(Inputs!$B$38&lt;&gt;"pvp",Inputs!$B$43&gt;0),((Skills!G8*((R2953-1)*IF(Skills!H8&gt;0,Skills!I8/Skills!H8,1)+IF(Skills!H8&gt;0,MIN(Skills!I8,MAX(0,MAX(0,Inputs!$B$43-B2983)-((R2953-1)*(IF(Inputs!$B$38="pvp",15,MAX(0.1,Skills!D8-IF(Skills!E8=TRUE,2.0,0)))*(1-IF(AND(ArtifactsInput!$M$27,Inputs!$B$4="Chapter Hunt"),CHOOSE(ArtifactsInput!$N$27+1,20,24,28,32,36,40),0)/100)))))/Skills!H8,1)))/Inputs!$B$43),G2953*Q2953)+IF(AND(Inputs!$B$38&lt;&gt;"pvp",Inputs!$B$43&gt;0),((Skills!G11*((R2956-1)*IF(Skills!H11&gt;0,Skills!I11/Skills!H11,1)+IF(Skills!H11&gt;0,MIN(Skills!I11,MAX(0,MAX(0,Inputs!$B$43-B2983)-((R2956-1)*(IF(Inputs!$B$38="pvp",15,MAX(0.1,Skills!D11-IF(Skills!E11=TRUE,2.0,0)))*(1-IF(AND(ArtifactsInput!$M$27,Inputs!$B$4="Chapter Hunt"),CHOOSE(ArtifactsInput!$N$27+1,20,24,28,32,36,40),0)/100)))))/Skills!H11,1)))/Inputs!$B$43),G2956*Q2956)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2959*(1-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2959*(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2959*(1-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2959*(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9">
        <f>IF(C2959,(H2959*N2959*(B2980+IF(AND(Inputs!$B$38&lt;&gt;"pvp",Inputs!$B$43&gt;0),((Skills!G8*((R2953-1)*IF(Skills!H8&gt;0,Skills!I8/Skills!H8,1)+IF(Skills!H8&gt;0,MIN(Skills!I8,MAX(0,MAX(0,Inputs!$B$43-B2983)-((R2953-1)*(IF(Inputs!$B$38="pvp",15,MAX(0.1,Skills!D8-IF(Skills!E8=TRUE,2.0,0)))*(1-IF(AND(ArtifactsInput!$M$27,Inputs!$B$4="Chapter Hunt"),CHOOSE(ArtifactsInput!$N$27+1,20,24,28,32,36,40),0)/100)))))/Skills!H8,1)))/Inputs!$B$43),G2953*Q2953)+IF(AND(Inputs!$B$38&lt;&gt;"pvp",Inputs!$B$43&gt;0),((Skills!G11*((R2956-1)*IF(Skills!H11&gt;0,Skills!I11/Skills!H11,1)+IF(Skills!H11&gt;0,MIN(Skills!I11,MAX(0,MAX(0,Inputs!$B$43-B2983)-((R2956-1)*(IF(Inputs!$B$38="pvp",15,MAX(0.1,Skills!D11-IF(Skills!E11=TRUE,2.0,0)))*(1-IF(AND(ArtifactsInput!$M$27,Inputs!$B$4="Chapter Hunt"),CHOOSE(ArtifactsInput!$N$27+1,20,24,28,32,36,40),0)/100)))))/Skills!H11,1)))/Inputs!$B$43),G2956*Q2956)))*IF(Inputs!$B$38="pvp",1,(1+(Inputs!$B$21+Skills!Q14+(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0">
      <c r="A2960">
        <f>Skills!A15</f>
        <v/>
      </c>
      <c r="B2960">
        <f>Skills!B15</f>
        <v/>
      </c>
      <c r="C2960">
        <f>Inputs!$B$3&gt;=100</f>
        <v/>
      </c>
      <c r="D2960">
        <f>IF(Skills!C15=1,60+Inputs!$B$25+Inputs!$B$29,IF(Skills!C15=2,90+Inputs!$B$26+Inputs!$B$29,IF(Skills!C15=3,120+Inputs!$B$27+Inputs!$B$29,MAX(0,(Inputs!$B$3-100)*3)+Inputs!$B$28+Inputs!$B$29)))</f>
        <v/>
      </c>
      <c r="E2960">
        <f>INDEX(FactorTable!$B$2:$Y$301, MATCH(ROUND(MIN(300,MAX(1,D2960)),0), FactorTable!$A$2:$A$301,0), Skills!M15+1)</f>
        <v/>
      </c>
      <c r="F2960">
        <f>IF(Skills!N15=TRUE,(Skills!L15/10)*(E2960/1000),Skills!L15/10)+Skills!O15</f>
        <v/>
      </c>
      <c r="G2960" t="inlineStr"/>
      <c r="H2960" t="inlineStr"/>
      <c r="I2960" t="inlineStr">
        <is>
          <t>1</t>
        </is>
      </c>
      <c r="J2960" t="inlineStr"/>
      <c r="K2960" t="inlineStr"/>
      <c r="L2960" t="inlineStr"/>
      <c r="M2960" t="inlineStr"/>
      <c r="N2960" t="inlineStr"/>
      <c r="O2960" t="inlineStr"/>
      <c r="P2960" t="inlineStr"/>
      <c r="Q2960" t="inlineStr"/>
      <c r="R2960" t="inlineStr"/>
      <c r="S2960" t="inlineStr"/>
    </row>
    <row r="2961">
      <c r="A2961">
        <f>Skills!A16</f>
        <v/>
      </c>
      <c r="B2961">
        <f>Skills!B16</f>
        <v/>
      </c>
      <c r="C2961">
        <f>Inputs!$B$3&gt;=120</f>
        <v/>
      </c>
      <c r="D2961">
        <f>IF(Skills!C16=1,60+Inputs!$B$25+Inputs!$B$29,IF(Skills!C16=2,90+Inputs!$B$26+Inputs!$B$29,IF(Skills!C16=3,120+Inputs!$B$27+Inputs!$B$29,MAX(0,(Inputs!$B$3-100)*3)+Inputs!$B$28+Inputs!$B$29)))</f>
        <v/>
      </c>
      <c r="E2961">
        <f>INDEX(FactorTable!$B$2:$Y$301, MATCH(ROUND(MIN(300,MAX(1,D2961)),0), FactorTable!$A$2:$A$301,0), Skills!M16+1)</f>
        <v/>
      </c>
      <c r="F2961">
        <f>IF(Skills!N16=TRUE,(Skills!L16/10)*(E2961/1000),Skills!L16/10)+Skills!O16</f>
        <v/>
      </c>
      <c r="G2961" t="inlineStr"/>
      <c r="H2961" t="inlineStr"/>
      <c r="I2961" t="inlineStr">
        <is>
          <t>1</t>
        </is>
      </c>
      <c r="J2961" t="inlineStr"/>
      <c r="K2961" t="inlineStr"/>
      <c r="L2961" t="inlineStr"/>
      <c r="M2961" t="inlineStr"/>
      <c r="N2961" t="inlineStr"/>
      <c r="O2961" t="inlineStr"/>
      <c r="P2961" t="inlineStr"/>
      <c r="Q2961" t="inlineStr"/>
      <c r="R2961" t="inlineStr"/>
      <c r="S2961" t="inlineStr"/>
    </row>
    <row r="2962">
      <c r="A2962">
        <f>Skills!A17</f>
        <v/>
      </c>
      <c r="B2962">
        <f>Skills!B17</f>
        <v/>
      </c>
      <c r="C2962">
        <f>Inputs!$B$3&gt;=66</f>
        <v/>
      </c>
      <c r="D2962">
        <f>IF(Skills!C17=1,60+Inputs!$B$25+Inputs!$B$29,IF(Skills!C17=2,90+Inputs!$B$26+Inputs!$B$29,IF(Skills!C17=3,120+Inputs!$B$27+Inputs!$B$29,MAX(0,(Inputs!$B$3-100)*3)+Inputs!$B$28+Inputs!$B$29)))</f>
        <v/>
      </c>
      <c r="E2962">
        <f>INDEX(FactorTable!$B$2:$Y$301, MATCH(ROUND(MIN(300,MAX(1,D2962)),0), FactorTable!$A$2:$A$301,0), Skills!M17+1)</f>
        <v/>
      </c>
      <c r="F2962">
        <f>IF(Skills!N17=TRUE,(Skills!L17/10)*(E2962/1000),Skills!L17/10)+Skills!O17</f>
        <v/>
      </c>
      <c r="G2962">
        <f>Skills!G17*IF(Skills!H17&gt;0,Skills!I17/Skills!H17,1)</f>
        <v/>
      </c>
      <c r="H2962">
        <f>1-(1-Skills!J17/100)^Skills!K17</f>
        <v/>
      </c>
      <c r="I2962" t="inlineStr">
        <is>
          <t>1</t>
        </is>
      </c>
      <c r="J2962" t="inlineStr"/>
      <c r="K2962" t="inlineStr"/>
      <c r="L2962" t="inlineStr"/>
      <c r="M2962" t="inlineStr"/>
      <c r="N2962" t="inlineStr"/>
      <c r="O2962">
        <f>(1-Summary!$B$11)*T2962+Summary!$B$11*V2962</f>
        <v/>
      </c>
      <c r="P2962">
        <f>IF(B2986=0,0,O2962/B2986)</f>
        <v/>
      </c>
      <c r="Q2962" t="n">
        <v>0</v>
      </c>
      <c r="R2962" t="n">
        <v>0</v>
      </c>
      <c r="S2962">
        <f>IFERROR(O2962/N2962,0)</f>
        <v/>
      </c>
      <c r="T2962" t="n">
        <v>0</v>
      </c>
      <c r="V2962" t="n">
        <v>0</v>
      </c>
    </row>
    <row r="2963">
      <c r="A2963">
        <f>Skills!A18</f>
        <v/>
      </c>
      <c r="B2963">
        <f>Skills!B18</f>
        <v/>
      </c>
      <c r="C2963">
        <f>Inputs!$B$3&gt;=115</f>
        <v/>
      </c>
      <c r="D2963">
        <f>IF(Skills!C18=1,60+Inputs!$B$25+Inputs!$B$29,IF(Skills!C18=2,90+Inputs!$B$26+Inputs!$B$29,IF(Skills!C18=3,120+Inputs!$B$27+Inputs!$B$29,MAX(0,(Inputs!$B$3-100)*3)+Inputs!$B$28+Inputs!$B$29)))</f>
        <v/>
      </c>
      <c r="E2963">
        <f>INDEX(FactorTable!$B$2:$Y$301, MATCH(ROUND(MIN(300,MAX(1,D2963)),0), FactorTable!$A$2:$A$301,0), Skills!M18+1)</f>
        <v/>
      </c>
      <c r="F2963">
        <f>IF(Skills!N18=TRUE,(Skills!L18/10)*(E2963/1000),Skills!L18/10)+Skills!O18</f>
        <v/>
      </c>
      <c r="G2963">
        <f>Skills!G18*IF(Skills!H18&gt;0,Skills!I18/Skills!H18,1)</f>
        <v/>
      </c>
      <c r="H2963">
        <f>1-(1-Skills!J18/100)^Skills!K18</f>
        <v/>
      </c>
      <c r="I2963" t="inlineStr">
        <is>
          <t>1</t>
        </is>
      </c>
      <c r="J2963" t="inlineStr"/>
      <c r="K2963" t="inlineStr"/>
      <c r="L2963" t="inlineStr"/>
      <c r="M2963" t="inlineStr"/>
      <c r="N2963" t="inlineStr"/>
      <c r="O2963">
        <f>(1-Summary!$B$11)*T2963+Summary!$B$11*V2963</f>
        <v/>
      </c>
      <c r="P2963">
        <f>IF(B2986=0,0,O2963/B2986)</f>
        <v/>
      </c>
      <c r="Q2963">
        <f>IFERROR(1/(IF(Inputs!$B$38="pvp",15,MAX(0.1,Skills!D18-IF(Skills!E18=TRUE,2.0,0)))*(1-IF(AND(ArtifactsInput!$M$27,Inputs!$B$4="Chapter Hunt"),CHOOSE(ArtifactsInput!$N$27+1,20,24,28,32,36,40),0)/100)),0)</f>
        <v/>
      </c>
      <c r="R2963">
        <f>IF(AND(Inputs!$B$38&lt;&gt;"pvp",Inputs!$B$43&gt;0),IF(Inputs!$B$43&lt;=0,0,(INT(Inputs!$B$43/(IF(Inputs!$B$38="pvp",15,MAX(0.1,Skills!D18-IF(Skills!E18=TRUE,2.0,0)))*(1-IF(AND(ArtifactsInput!$M$27,Inputs!$B$4="Chapter Hunt"),CHOOSE(ArtifactsInput!$N$27+1,20,24,28,32,36,40),0)/100)))+1)),0)</f>
        <v/>
      </c>
      <c r="S2963">
        <f>IFERROR(O2963/N2963,0)</f>
        <v/>
      </c>
      <c r="T2963" t="n">
        <v>0</v>
      </c>
      <c r="V2963" t="n">
        <v>0</v>
      </c>
    </row>
    <row r="2964">
      <c r="A2964">
        <f>Skills!A19</f>
        <v/>
      </c>
      <c r="B2964">
        <f>Skills!B19</f>
        <v/>
      </c>
      <c r="C2964">
        <f>Inputs!$B$3&gt;=15</f>
        <v/>
      </c>
      <c r="D2964">
        <f>IF(Skills!C19=1,60+Inputs!$B$25+Inputs!$B$29,IF(Skills!C19=2,90+Inputs!$B$26+Inputs!$B$29,IF(Skills!C19=3,120+Inputs!$B$27+Inputs!$B$29,MAX(0,(Inputs!$B$3-100)*3)+Inputs!$B$28+Inputs!$B$29)))</f>
        <v/>
      </c>
      <c r="E2964">
        <f>INDEX(FactorTable!$B$2:$Y$301, MATCH(ROUND(MIN(300,MAX(1,D2964)),0), FactorTable!$A$2:$A$301,0), Skills!M19+1)</f>
        <v/>
      </c>
      <c r="F2964">
        <f>IF(Skills!N19=TRUE,(Skills!L19/10)*(E2964/1000),Skills!L19/10)+Skills!O19</f>
        <v/>
      </c>
      <c r="G2964">
        <f>Skills!G19*IF(Skills!H19&gt;0,Skills!I19/Skills!H19,1)</f>
        <v/>
      </c>
      <c r="H2964">
        <f>1-(1-Skills!J19/100)^Skills!K19</f>
        <v/>
      </c>
      <c r="I2964" t="inlineStr">
        <is>
          <t>1</t>
        </is>
      </c>
      <c r="J2964" t="inlineStr"/>
      <c r="K2964" t="inlineStr"/>
      <c r="L2964" t="inlineStr"/>
      <c r="M2964" t="inlineStr"/>
      <c r="N2964" t="inlineStr"/>
      <c r="O2964">
        <f>(1-Summary!$B$11)*T2964+Summary!$B$11*V2964</f>
        <v/>
      </c>
      <c r="P2964">
        <f>IF(B2986=0,0,O2964/B2986)</f>
        <v/>
      </c>
      <c r="Q2964" t="n">
        <v>0</v>
      </c>
      <c r="R2964" t="n">
        <v>0</v>
      </c>
      <c r="S2964">
        <f>IFERROR(O2964/N2964,0)</f>
        <v/>
      </c>
      <c r="T2964" t="n">
        <v>0</v>
      </c>
      <c r="V2964" t="n">
        <v>0</v>
      </c>
    </row>
    <row r="2965">
      <c r="A2965">
        <f>Skills!A20</f>
        <v/>
      </c>
      <c r="B2965">
        <f>Skills!B20</f>
        <v/>
      </c>
      <c r="C2965">
        <f>Inputs!$B$3&gt;=10</f>
        <v/>
      </c>
      <c r="D2965">
        <f>IF(Skills!C20=1,60+Inputs!$B$25+Inputs!$B$29,IF(Skills!C20=2,90+Inputs!$B$26+Inputs!$B$29,IF(Skills!C20=3,120+Inputs!$B$27+Inputs!$B$29,MAX(0,(Inputs!$B$3-100)*3)+Inputs!$B$28+Inputs!$B$29)))</f>
        <v/>
      </c>
      <c r="E2965">
        <f>INDEX(FactorTable!$B$2:$Y$301, MATCH(ROUND(MIN(300,MAX(1,D2965)),0), FactorTable!$A$2:$A$301,0), Skills!M20+1)</f>
        <v/>
      </c>
      <c r="F2965">
        <f>IF(Skills!N20=TRUE,(Skills!L20/10)*(E2965/1000),Skills!L20/10)+Skills!O20</f>
        <v/>
      </c>
      <c r="G2965">
        <f>Skills!G20*IF(Skills!H20&gt;0,Skills!I20/Skills!H20,1)</f>
        <v/>
      </c>
      <c r="H2965">
        <f>1-(1-Skills!J20/100)^Skills!K20</f>
        <v/>
      </c>
      <c r="I2965" t="inlineStr">
        <is>
          <t>1</t>
        </is>
      </c>
      <c r="J2965" t="inlineStr"/>
      <c r="K2965" t="inlineStr"/>
      <c r="L2965" t="inlineStr"/>
      <c r="M2965" t="inlineStr"/>
      <c r="N2965" t="inlineStr"/>
      <c r="O2965">
        <f>(1-Summary!$B$11)*T2965+Summary!$B$11*V2965</f>
        <v/>
      </c>
      <c r="P2965">
        <f>IF(B2986=0,0,O2965/B2986)</f>
        <v/>
      </c>
      <c r="Q2965" t="n">
        <v>0</v>
      </c>
      <c r="R2965" t="n">
        <v>0</v>
      </c>
      <c r="S2965">
        <f>IFERROR(O2965/N2965,0)</f>
        <v/>
      </c>
      <c r="T2965" t="n">
        <v>0</v>
      </c>
      <c r="V2965" t="n">
        <v>0</v>
      </c>
    </row>
    <row r="2966">
      <c r="A2966">
        <f>Skills!A21</f>
        <v/>
      </c>
      <c r="B2966">
        <f>Skills!B21</f>
        <v/>
      </c>
      <c r="C2966">
        <f>Inputs!$B$3&gt;=33</f>
        <v/>
      </c>
      <c r="D2966">
        <f>IF(Skills!C21=1,60+Inputs!$B$25+Inputs!$B$29,IF(Skills!C21=2,90+Inputs!$B$26+Inputs!$B$29,IF(Skills!C21=3,120+Inputs!$B$27+Inputs!$B$29,MAX(0,(Inputs!$B$3-100)*3)+Inputs!$B$28+Inputs!$B$29)))</f>
        <v/>
      </c>
      <c r="E2966">
        <f>INDEX(FactorTable!$B$2:$Y$301, MATCH(ROUND(MIN(300,MAX(1,D2966)),0), FactorTable!$A$2:$A$301,0), Skills!M21+1)</f>
        <v/>
      </c>
      <c r="F2966">
        <f>IF(Skills!N21=TRUE,(Skills!L21/10)*(E2966/1000),Skills!L21/10)+Skills!O21</f>
        <v/>
      </c>
      <c r="G2966">
        <f>Skills!G21*IF(Skills!H21&gt;0,Skills!I21/Skills!H21,1)</f>
        <v/>
      </c>
      <c r="H2966">
        <f>1-(1-Skills!J21/100)^Skills!K21</f>
        <v/>
      </c>
      <c r="I2966" t="inlineStr">
        <is>
          <t>1</t>
        </is>
      </c>
      <c r="J2966" t="inlineStr"/>
      <c r="K2966" t="inlineStr"/>
      <c r="L2966" t="inlineStr"/>
      <c r="M2966" t="inlineStr"/>
      <c r="N2966" t="inlineStr"/>
      <c r="O2966">
        <f>(1-Summary!$B$11)*T2966+Summary!$B$11*V2966</f>
        <v/>
      </c>
      <c r="P2966">
        <f>IF(B2986=0,0,O2966/B2986)</f>
        <v/>
      </c>
      <c r="Q2966" t="n">
        <v>0</v>
      </c>
      <c r="R2966" t="n">
        <v>0</v>
      </c>
      <c r="S2966">
        <f>IFERROR(O2966/N2966,0)</f>
        <v/>
      </c>
      <c r="T2966" t="n">
        <v>0</v>
      </c>
      <c r="V2966" t="n">
        <v>0</v>
      </c>
    </row>
    <row r="2967">
      <c r="A2967">
        <f>Skills!A22</f>
        <v/>
      </c>
      <c r="B2967">
        <f>Skills!B22</f>
        <v/>
      </c>
      <c r="C2967">
        <f>Inputs!$B$3&gt;=43</f>
        <v/>
      </c>
      <c r="D2967">
        <f>IF(Skills!C22=1,60+Inputs!$B$25+Inputs!$B$29,IF(Skills!C22=2,90+Inputs!$B$26+Inputs!$B$29,IF(Skills!C22=3,120+Inputs!$B$27+Inputs!$B$29,MAX(0,(Inputs!$B$3-100)*3)+Inputs!$B$28+Inputs!$B$29)))</f>
        <v/>
      </c>
      <c r="E2967">
        <f>INDEX(FactorTable!$B$2:$Y$301, MATCH(ROUND(MIN(300,MAX(1,D2967)),0), FactorTable!$A$2:$A$301,0), Skills!M22+1)</f>
        <v/>
      </c>
      <c r="F2967">
        <f>IF(Skills!N22=TRUE,(Skills!L22/10)*(E2967/1000),Skills!L22/10)+Skills!O22</f>
        <v/>
      </c>
      <c r="G2967">
        <f>Skills!G22*IF(Skills!H22&gt;0,Skills!I22/Skills!H22,1)</f>
        <v/>
      </c>
      <c r="H2967">
        <f>1-(1-Skills!J22/100)^Skills!K22</f>
        <v/>
      </c>
      <c r="I2967" t="inlineStr">
        <is>
          <t>1</t>
        </is>
      </c>
      <c r="J2967" t="inlineStr"/>
      <c r="K2967" t="inlineStr"/>
      <c r="L2967" t="inlineStr"/>
      <c r="M2967" t="inlineStr"/>
      <c r="N2967" t="inlineStr"/>
      <c r="O2967">
        <f>(1-Summary!$B$11)*T2967+Summary!$B$11*V2967</f>
        <v/>
      </c>
      <c r="P2967">
        <f>IF(B2986=0,0,O2967/B2986)</f>
        <v/>
      </c>
      <c r="Q2967" t="n">
        <v>0</v>
      </c>
      <c r="R2967" t="n">
        <v>0</v>
      </c>
      <c r="S2967">
        <f>IFERROR(O2967/N2967,0)</f>
        <v/>
      </c>
      <c r="T2967" t="n">
        <v>0</v>
      </c>
      <c r="V2967" t="n">
        <v>0</v>
      </c>
    </row>
    <row r="2968">
      <c r="A2968">
        <f>Skills!A23</f>
        <v/>
      </c>
      <c r="B2968">
        <f>Skills!B23</f>
        <v/>
      </c>
      <c r="C2968">
        <f>Inputs!$B$3&gt;=38</f>
        <v/>
      </c>
      <c r="D2968">
        <f>IF(Skills!C23=1,60+Inputs!$B$25+Inputs!$B$29,IF(Skills!C23=2,90+Inputs!$B$26+Inputs!$B$29,IF(Skills!C23=3,120+Inputs!$B$27+Inputs!$B$29,MAX(0,(Inputs!$B$3-100)*3)+Inputs!$B$28+Inputs!$B$29)))</f>
        <v/>
      </c>
      <c r="E2968">
        <f>INDEX(FactorTable!$B$2:$Y$301, MATCH(ROUND(MIN(300,MAX(1,D2968)),0), FactorTable!$A$2:$A$301,0), Skills!M23+1)</f>
        <v/>
      </c>
      <c r="F2968">
        <f>IF(Skills!N23=TRUE,(Skills!L23/10)*(E2968/1000),Skills!L23/10)+Skills!O23</f>
        <v/>
      </c>
      <c r="G2968">
        <f>Skills!G23*IF(Skills!H23&gt;0,Skills!I23/Skills!H23,1)</f>
        <v/>
      </c>
      <c r="H2968">
        <f>1-(1-Skills!J23/100)^Skills!K23</f>
        <v/>
      </c>
      <c r="I2968" t="inlineStr">
        <is>
          <t>1</t>
        </is>
      </c>
      <c r="J2968" t="inlineStr"/>
      <c r="K2968" t="inlineStr"/>
      <c r="L2968" t="inlineStr"/>
      <c r="M2968" t="inlineStr"/>
      <c r="N2968" t="inlineStr"/>
      <c r="O2968">
        <f>(1-Summary!$B$11)*T2968+Summary!$B$11*V2968</f>
        <v/>
      </c>
      <c r="P2968">
        <f>IF(B2986=0,0,O2968/B2986)</f>
        <v/>
      </c>
      <c r="Q2968" t="n">
        <v>0</v>
      </c>
      <c r="R2968" t="n">
        <v>0</v>
      </c>
      <c r="S2968">
        <f>IFERROR(O2968/N2968,0)</f>
        <v/>
      </c>
      <c r="T2968" t="n">
        <v>0</v>
      </c>
      <c r="V2968" t="n">
        <v>0</v>
      </c>
    </row>
    <row r="2969">
      <c r="A2969">
        <f>Skills!A24</f>
        <v/>
      </c>
      <c r="B2969">
        <f>Skills!B24</f>
        <v/>
      </c>
      <c r="C2969">
        <f>Inputs!$B$3&gt;=40</f>
        <v/>
      </c>
      <c r="D2969">
        <f>IF(Skills!C24=1,60+Inputs!$B$25+Inputs!$B$29,IF(Skills!C24=2,90+Inputs!$B$26+Inputs!$B$29,IF(Skills!C24=3,120+Inputs!$B$27+Inputs!$B$29,MAX(0,(Inputs!$B$3-100)*3)+Inputs!$B$28+Inputs!$B$29)))</f>
        <v/>
      </c>
      <c r="E2969">
        <f>INDEX(FactorTable!$B$2:$Y$301, MATCH(ROUND(MIN(300,MAX(1,D2969)),0), FactorTable!$A$2:$A$301,0), Skills!M24+1)</f>
        <v/>
      </c>
      <c r="F2969">
        <f>IF(Skills!N24=TRUE,(Skills!L24/10)*(E2969/1000),Skills!L24/10)+Skills!O24</f>
        <v/>
      </c>
      <c r="G2969">
        <f>Skills!G24*IF(Skills!H24&gt;0,Skills!I24/Skills!H24,1)</f>
        <v/>
      </c>
      <c r="H2969">
        <f>1-(1-Skills!J24/100)^Skills!K24</f>
        <v/>
      </c>
      <c r="I2969" t="inlineStr">
        <is>
          <t>1</t>
        </is>
      </c>
      <c r="J2969" t="inlineStr"/>
      <c r="K2969" t="inlineStr"/>
      <c r="L2969" t="inlineStr"/>
      <c r="M2969" t="inlineStr"/>
      <c r="N2969" t="inlineStr"/>
      <c r="O2969">
        <f>(1-Summary!$B$11)*T2969+Summary!$B$11*V2969</f>
        <v/>
      </c>
      <c r="P2969">
        <f>IF(B2986=0,0,O2969/B2986)</f>
        <v/>
      </c>
      <c r="Q2969" t="n">
        <v>0</v>
      </c>
      <c r="R2969" t="n">
        <v>0</v>
      </c>
      <c r="S2969">
        <f>IFERROR(O2969/N2969,0)</f>
        <v/>
      </c>
      <c r="T2969" t="n">
        <v>0</v>
      </c>
      <c r="V2969" t="n">
        <v>0</v>
      </c>
    </row>
    <row r="2970">
      <c r="A2970">
        <f>Skills!A25</f>
        <v/>
      </c>
      <c r="B2970">
        <f>Skills!B25</f>
        <v/>
      </c>
      <c r="C2970">
        <f>Inputs!$B$3&gt;=72</f>
        <v/>
      </c>
      <c r="D2970">
        <f>IF(Skills!C25=1,60+Inputs!$B$25+Inputs!$B$29,IF(Skills!C25=2,90+Inputs!$B$26+Inputs!$B$29,IF(Skills!C25=3,120+Inputs!$B$27+Inputs!$B$29,MAX(0,(Inputs!$B$3-100)*3)+Inputs!$B$28+Inputs!$B$29)))</f>
        <v/>
      </c>
      <c r="E2970">
        <f>INDEX(FactorTable!$B$2:$Y$301, MATCH(ROUND(MIN(300,MAX(1,D2970)),0), FactorTable!$A$2:$A$301,0), Skills!M25+1)</f>
        <v/>
      </c>
      <c r="F2970">
        <f>IF(Skills!N25=TRUE,(Skills!L25/10)*(E2970/1000),Skills!L25/10)+Skills!O25</f>
        <v/>
      </c>
      <c r="G2970">
        <f>Skills!G25*IF(Skills!H25&gt;0,Skills!I25/Skills!H25,1)</f>
        <v/>
      </c>
      <c r="H2970">
        <f>1-(1-Skills!J25/100)^Skills!K25</f>
        <v/>
      </c>
      <c r="I2970" t="inlineStr">
        <is>
          <t>1</t>
        </is>
      </c>
      <c r="J2970" t="inlineStr"/>
      <c r="K2970" t="inlineStr"/>
      <c r="L2970" t="inlineStr"/>
      <c r="M2970" t="inlineStr"/>
      <c r="N2970" t="inlineStr"/>
      <c r="O2970">
        <f>(1-Summary!$B$11)*T2970+Summary!$B$11*V2970</f>
        <v/>
      </c>
      <c r="P2970">
        <f>IF(B2986=0,0,O2970/B2986)</f>
        <v/>
      </c>
      <c r="Q2970" t="n">
        <v>0</v>
      </c>
      <c r="R2970" t="n">
        <v>0</v>
      </c>
      <c r="S2970">
        <f>IFERROR(O2970/N2970,0)</f>
        <v/>
      </c>
      <c r="T2970" t="n">
        <v>0</v>
      </c>
      <c r="V2970" t="n">
        <v>0</v>
      </c>
    </row>
    <row r="2971">
      <c r="A2971">
        <f>Skills!A26</f>
        <v/>
      </c>
      <c r="B2971">
        <f>Skills!B26</f>
        <v/>
      </c>
      <c r="C2971">
        <f>Inputs!$B$3&gt;=75</f>
        <v/>
      </c>
      <c r="D2971">
        <f>IF(Skills!C26=1,60+Inputs!$B$25+Inputs!$B$29,IF(Skills!C26=2,90+Inputs!$B$26+Inputs!$B$29,IF(Skills!C26=3,120+Inputs!$B$27+Inputs!$B$29,MAX(0,(Inputs!$B$3-100)*3)+Inputs!$B$28+Inputs!$B$29)))</f>
        <v/>
      </c>
      <c r="E2971">
        <f>INDEX(FactorTable!$B$2:$Y$301, MATCH(ROUND(MIN(300,MAX(1,D2971)),0), FactorTable!$A$2:$A$301,0), Skills!M26+1)</f>
        <v/>
      </c>
      <c r="F2971">
        <f>IF(Skills!N26=TRUE,(Skills!L26/10)*(E2971/1000),Skills!L26/10)+Skills!O26</f>
        <v/>
      </c>
      <c r="G2971">
        <f>Skills!G26*IF(Skills!H26&gt;0,Skills!I26/Skills!H26,1)</f>
        <v/>
      </c>
      <c r="H2971">
        <f>1-(1-Skills!J26/100)^Skills!K26</f>
        <v/>
      </c>
      <c r="I2971" t="inlineStr">
        <is>
          <t>1</t>
        </is>
      </c>
      <c r="J2971" t="inlineStr"/>
      <c r="K2971" t="inlineStr"/>
      <c r="L2971" t="inlineStr"/>
      <c r="M2971" t="inlineStr"/>
      <c r="N2971" t="inlineStr"/>
      <c r="O2971">
        <f>(1-Summary!$B$11)*T2971+Summary!$B$11*V2971</f>
        <v/>
      </c>
      <c r="P2971">
        <f>IF(B2986=0,0,O2971/B2986)</f>
        <v/>
      </c>
      <c r="Q2971" t="n">
        <v>0</v>
      </c>
      <c r="R2971" t="n">
        <v>0</v>
      </c>
      <c r="S2971">
        <f>IFERROR(O2971/N2971,0)</f>
        <v/>
      </c>
      <c r="T2971" t="n">
        <v>0</v>
      </c>
      <c r="V2971" t="n">
        <v>0</v>
      </c>
    </row>
    <row r="2972">
      <c r="A2972">
        <f>Skills!A27</f>
        <v/>
      </c>
      <c r="B2972">
        <f>Skills!B27</f>
        <v/>
      </c>
      <c r="C2972">
        <f>Inputs!$B$3&gt;=117</f>
        <v/>
      </c>
      <c r="D2972">
        <f>IF(Skills!C27=1,60+Inputs!$B$25+Inputs!$B$29,IF(Skills!C27=2,90+Inputs!$B$26+Inputs!$B$29,IF(Skills!C27=3,120+Inputs!$B$27+Inputs!$B$29,MAX(0,(Inputs!$B$3-100)*3)+Inputs!$B$28+Inputs!$B$29)))</f>
        <v/>
      </c>
      <c r="E2972">
        <f>INDEX(FactorTable!$B$2:$Y$301, MATCH(ROUND(MIN(300,MAX(1,D2972)),0), FactorTable!$A$2:$A$301,0), Skills!M27+1)</f>
        <v/>
      </c>
      <c r="F2972">
        <f>IF(Skills!N27=TRUE,(Skills!L27/10)*(E2972/1000),Skills!L27/10)+Skills!O27</f>
        <v/>
      </c>
      <c r="G2972">
        <f>Skills!G27*IF(Skills!H27&gt;0,Skills!I27/Skills!H27,1)</f>
        <v/>
      </c>
      <c r="H2972">
        <f>1-(1-Skills!J27/100)^Skills!K27</f>
        <v/>
      </c>
      <c r="I2972" t="inlineStr">
        <is>
          <t>1</t>
        </is>
      </c>
      <c r="J2972" t="inlineStr"/>
      <c r="K2972" t="inlineStr"/>
      <c r="L2972" t="inlineStr"/>
      <c r="M2972" t="inlineStr"/>
      <c r="N2972" t="inlineStr"/>
      <c r="O2972">
        <f>(1-Summary!$B$11)*T2972+Summary!$B$11*V2972</f>
        <v/>
      </c>
      <c r="P2972">
        <f>IF(B2986=0,0,O2972/B2986)</f>
        <v/>
      </c>
      <c r="Q2972" t="n">
        <v>0</v>
      </c>
      <c r="R2972" t="n">
        <v>0</v>
      </c>
      <c r="S2972">
        <f>IFERROR(O2972/N2972,0)</f>
        <v/>
      </c>
      <c r="T2972" t="n">
        <v>0</v>
      </c>
      <c r="V2972" t="n">
        <v>0</v>
      </c>
    </row>
    <row r="2973">
      <c r="A2973">
        <f>Skills!A28</f>
        <v/>
      </c>
      <c r="B2973">
        <f>Skills!B28</f>
        <v/>
      </c>
      <c r="C2973">
        <f>TRUE</f>
        <v/>
      </c>
      <c r="D2973">
        <f>IF(Skills!C28=1,60+Inputs!$B$25+Inputs!$B$29,IF(Skills!C28=2,90+Inputs!$B$26+Inputs!$B$29,IF(Skills!C28=3,120+Inputs!$B$27+Inputs!$B$29,MAX(0,(Inputs!$B$3-100)*3)+Inputs!$B$28+Inputs!$B$29)))</f>
        <v/>
      </c>
      <c r="E2973">
        <f>INDEX(FactorTable!$B$2:$Y$301, MATCH(ROUND(MIN(300,MAX(1,D2973)),0), FactorTable!$A$2:$A$301,0), Skills!M28+1)</f>
        <v/>
      </c>
      <c r="F2973">
        <f>IF(Skills!N28=TRUE,(Skills!L28/10)*(E2973/1000),Skills!L28/10)+Skills!O28</f>
        <v/>
      </c>
      <c r="G2973">
        <f>Skills!G28*IF(Skills!H28&gt;0,Skills!I28/Skills!H28,1)</f>
        <v/>
      </c>
      <c r="H2973">
        <f>1-(1-Skills!J28/100)^Skills!K28</f>
        <v/>
      </c>
      <c r="I2973" t="inlineStr">
        <is>
          <t>1</t>
        </is>
      </c>
      <c r="J2973" t="inlineStr"/>
      <c r="K2973" t="inlineStr"/>
      <c r="L2973" t="inlineStr"/>
      <c r="M2973" t="inlineStr"/>
      <c r="N2973" t="inlineStr"/>
      <c r="O2973">
        <f>(1-Summary!$B$11)*T2973+Summary!$B$11*V2973</f>
        <v/>
      </c>
      <c r="P2973">
        <f>IF(B2986=0,0,O2973/B2986)</f>
        <v/>
      </c>
      <c r="Q2973">
        <f>IFERROR(1/(IF(Inputs!$B$38="pvp",15,MAX(0.1,Skills!D28-IF(Skills!E28=TRUE,2.0,0)))*(1-IF(AND(ArtifactsInput!$M$27,Inputs!$B$4="Chapter Hunt"),CHOOSE(ArtifactsInput!$N$27+1,20,24,28,32,36,40),0)/100)),0)</f>
        <v/>
      </c>
      <c r="R2973">
        <f>IF(AND(Inputs!$B$38&lt;&gt;"pvp",Inputs!$B$43&gt;0),IF(Inputs!$B$43&lt;=0,0,(INT(Inputs!$B$43/(IF(Inputs!$B$38="pvp",15,MAX(0.1,Skills!D28-IF(Skills!E28=TRUE,2.0,0)))*(1-IF(AND(ArtifactsInput!$M$27,Inputs!$B$4="Chapter Hunt"),CHOOSE(ArtifactsInput!$N$27+1,20,24,28,32,36,40),0)/100)))+1)),0)</f>
        <v/>
      </c>
      <c r="S2973">
        <f>IFERROR(O2973/N2973,0)</f>
        <v/>
      </c>
      <c r="T2973" t="n">
        <v>0</v>
      </c>
      <c r="V2973" t="n">
        <v>0</v>
      </c>
    </row>
    <row r="2975">
      <c r="A2975" t="inlineStr">
        <is>
          <t>Attack% Bucket Multiplier</t>
        </is>
      </c>
      <c r="B2975">
        <f>(1+(((C2962=TRUE)*F2962*5/7)+((C2969=TRUE)*(F2969-Calc!F24))+(IF(ArtifactsInput!$M$21,CHOOSE(ArtifactsInput!$N$21+1,25,30,35,40,45,50)*(IF(OR(Inputs!$B$4="Chapter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76">
      <c r="A2976" t="inlineStr">
        <is>
          <t>Global Crit Rate Bonus %</t>
        </is>
      </c>
      <c r="B2976" t="n">
        <v>0</v>
      </c>
    </row>
    <row r="2977">
      <c r="A2977" t="inlineStr">
        <is>
          <t>Attack Speed Buff Bonus % (Nimble Feet, duty-cycle averaged)</t>
        </is>
      </c>
      <c r="B2977">
        <f>((C2973=TRUE)*F2973*IF(AND(Inputs!$B$38&lt;&gt;"pvp",Inputs!$B$43&gt;0),(((R2973-1)*(Skills!T28*(1+Inputs!$B$34/100))+MIN((Skills!T28*(1+Inputs!$B$34/100)),MAX(0,Inputs!$B$43-((R2973-1)*Skills!D28))))/Inputs!$B$43),IF(Inputs!$B$38="pvp",MIN((Skills!T28*(1+Inputs!$B$34/100)),15)/15,(Skills!T28*(1+Inputs!$B$34/100))/Skills!D28)))</f>
        <v/>
      </c>
    </row>
    <row r="2978">
      <c r="A2978" t="inlineStr">
        <is>
          <t>Actions Per Second</t>
        </is>
      </c>
      <c r="B2978">
        <f>1+MIN(150,150*(1-(1-(Inputs!$B$11+((C2965=TRUE)*(F2965-Calc!F20))+((C2966=TRUE)*(F2966-Calc!F21)))/150)*(1-B2977/150)))/100</f>
        <v/>
      </c>
    </row>
    <row r="2979">
      <c r="A2979" t="inlineStr">
        <is>
          <t>Skill + Buff Cast Rate</t>
        </is>
      </c>
      <c r="B2979">
        <f>IF(AND(Inputs!$B$38&lt;&gt;"pvp",Inputs!$B$43&gt;0),SUMPRODUCT((Skills!E2:E28=TRUE)*(C2947:C2973=TRUE)*R2947:R2973*Skills!F2:F28)/Inputs!$B$43,SUMPRODUCT((Skills!E2:E28=TRUE)*(C2947:C2973=TRUE)*Q2947:Q2973*Skills!F2:F28))</f>
        <v/>
      </c>
    </row>
    <row r="2980">
      <c r="A2980" t="inlineStr">
        <is>
          <t>Eight-Legs Easton Casts Per Second</t>
        </is>
      </c>
      <c r="B2980">
        <f>MAX(0,B2978-B2979)</f>
        <v/>
      </c>
    </row>
    <row r="2981">
      <c r="A2981" t="inlineStr">
        <is>
          <t>Global Critical Damage Bonus % (unused)</t>
        </is>
      </c>
      <c r="B2981" t="n">
        <v>0</v>
      </c>
    </row>
    <row r="2982">
      <c r="A2982" t="inlineStr">
        <is>
          <t>Global Final Damage Bonus % (Jolly Roger + Ahoy Mateys - Final Damage proc)</t>
        </is>
      </c>
      <c r="B2982">
        <f>((C2963=TRUE)*F2963*IF(AND(Inputs!$B$38&lt;&gt;"pvp",Inputs!$B$43&gt;0),(((R2963-1)*(Skills!T18*(1+Inputs!$B$34/100))+MIN((Skills!T18*(1+Inputs!$B$34/100)),MAX(0,Inputs!$B$43-((R2963-1)*Skills!D18))))/Inputs!$B$43),IF(Inputs!$B$38="pvp",MIN((Skills!T18*(1+Inputs!$B$34/100)),15)/15,(Skills!T18*(1+Inputs!$B$34/100))/Skills!D18)))+IF(Inputs!$B$3&gt;=122,20*IF(Inputs!$B$38="pvp",MIN((20*(1+Inputs!$B$34/100)),15)/15,(20*(1+Inputs!$B$34/100))/Skills!D4),0)</f>
        <v/>
      </c>
    </row>
    <row r="2983">
      <c r="A2983" t="inlineStr">
        <is>
          <t>Buff-Casting Startup Delay (s, fixed-duration only)</t>
        </is>
      </c>
      <c r="B2983">
        <f>IF(AND(Inputs!$B$38&lt;&gt;"pvp",Inputs!$B$43&gt;0),SUMPRODUCT((Skills!T2:T28&gt;0)*(Skills!E2:E28=TRUE)*(C2947:C2973=TRUE))/B2978,0)</f>
        <v/>
      </c>
    </row>
    <row r="2984">
      <c r="A2984" t="inlineStr">
        <is>
          <t>Boss-Only Total DPS (this block's swept value)</t>
        </is>
      </c>
      <c r="B2984">
        <f>SUM(T2947:T2973)</f>
        <v/>
      </c>
    </row>
    <row r="2985">
      <c r="A2985" t="inlineStr">
        <is>
          <t>Normal-Only Total DPS (this block's swept value)</t>
        </is>
      </c>
      <c r="B2985">
        <f>SUM(V2947:V2973)</f>
        <v/>
      </c>
    </row>
    <row r="2986">
      <c r="A2986" s="6" t="inlineStr">
        <is>
          <t>TOTAL DPS</t>
        </is>
      </c>
      <c r="B2986" s="6">
        <f>SUM(O2947:O2973)</f>
        <v/>
      </c>
    </row>
    <row r="2989">
      <c r="A2989" s="6" t="inlineStr">
        <is>
          <t>Stat: CDR = 2.5s</t>
        </is>
      </c>
    </row>
    <row r="2990">
      <c r="A2990" s="5" t="inlineStr">
        <is>
          <t>Key</t>
        </is>
      </c>
      <c r="B2990" s="5" t="inlineStr">
        <is>
          <t>Name</t>
        </is>
      </c>
      <c r="C2990" s="5" t="inlineStr">
        <is>
          <t>Unlocked</t>
        </is>
      </c>
      <c r="D2990" s="5" t="inlineStr">
        <is>
          <t>InputLevel</t>
        </is>
      </c>
      <c r="E2990" s="5" t="inlineStr">
        <is>
          <t>Factor</t>
        </is>
      </c>
      <c r="F2990" s="5" t="inlineStr">
        <is>
          <t>CoefficientPercent</t>
        </is>
      </c>
      <c r="G2990" s="5" t="inlineStr">
        <is>
          <t>EffectiveHits</t>
        </is>
      </c>
      <c r="H2990" s="5" t="inlineStr">
        <is>
          <t>ProcProbability</t>
        </is>
      </c>
      <c r="I2990" s="5" t="inlineStr">
        <is>
          <t>MapleHeroMultiplier</t>
        </is>
      </c>
      <c r="J2990" s="5" t="inlineStr">
        <is>
          <t>BaseDamage</t>
        </is>
      </c>
      <c r="K2990" s="5" t="inlineStr">
        <is>
          <t>BaseHitDamage</t>
        </is>
      </c>
      <c r="L2990" s="5" t="inlineStr">
        <is>
          <t>NonCritAvg</t>
        </is>
      </c>
      <c r="M2990" s="5" t="inlineStr">
        <is>
          <t>CritAvg</t>
        </is>
      </c>
      <c r="N2990" s="5" t="inlineStr">
        <is>
          <t>ExpectedDamage(perHit)</t>
        </is>
      </c>
      <c r="O2990" s="5" t="inlineStr">
        <is>
          <t>DPS</t>
        </is>
      </c>
      <c r="P2990" s="5" t="inlineStr">
        <is>
          <t>% of Total</t>
        </is>
      </c>
      <c r="Q2990" s="5" t="inlineStr">
        <is>
          <t>InvCooldown</t>
        </is>
      </c>
      <c r="R2990" s="5" t="inlineStr">
        <is>
          <t>CastsInFight</t>
        </is>
      </c>
      <c r="S2990" s="5" t="inlineStr">
        <is>
          <t>HitRate(perSec)</t>
        </is>
      </c>
      <c r="U2990" t="inlineStr">
        <is>
          <t>helpers</t>
        </is>
      </c>
    </row>
    <row r="2991">
      <c r="A2991">
        <f>Skills!A2</f>
        <v/>
      </c>
      <c r="B2991">
        <f>Skills!B2</f>
        <v/>
      </c>
      <c r="C2991">
        <f>Inputs!$B$3&gt;=100</f>
        <v/>
      </c>
      <c r="D2991" t="inlineStr"/>
      <c r="E2991" t="inlineStr"/>
      <c r="F2991">
        <f>U2993+Skills!O2</f>
        <v/>
      </c>
      <c r="G2991">
        <f>Skills!G2*IF(Skills!H2&gt;0,Skills!I2/Skills!H2,1)</f>
        <v/>
      </c>
      <c r="H2991">
        <f>1-(1-Skills!J2/100)^Skills!K2</f>
        <v/>
      </c>
      <c r="I2991" t="inlineStr">
        <is>
          <t>1</t>
        </is>
      </c>
      <c r="J2991">
        <f>((Inputs!$B$6*(1+Inputs!$B$7/100))+(((Inputs!$B$12*(1+Inputs!$B$13/100))-(Inputs!$B$12*(1+Inputs!$B$13/100)))+0.25*(Inputs!$B$14-Inputs!$B$14))*(1+Inputs!$B$7/100))*(F2991/100)</f>
        <v/>
      </c>
      <c r="K2991">
        <f>J2991*(1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2991)</f>
        <v/>
      </c>
      <c r="L2991">
        <f>K2991*(MIN(Inputs!$B$22+((C3011=TRUE)*(F3011-Calc!F22)),(Inputs!$B$23+0+(IF(ArtifactsInput!$M$15,CHOOSE(ArtifactsInput!$N$15+1,25,30,35,40,45,50)/100*(Inputs!$B$11-Inputs!$B$11),0))))/100+(Inputs!$B$23+0+(IF(ArtifactsInput!$M$15,CHOOSE(ArtifactsInput!$N$15+1,25,30,35,40,45,50)/100*(Inputs!$B$11-Inputs!$B$11),0)))/100)/2</f>
        <v/>
      </c>
      <c r="M2991">
        <f>L2991*(1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1">
        <f>L2991*(1-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1">
        <f>(1-Summary!$B$11)*T2991+Summary!$B$11*V2991</f>
        <v/>
      </c>
      <c r="P2991">
        <f>IF(B3030=0,0,O2991/B3030)</f>
        <v/>
      </c>
      <c r="Q2991" t="n">
        <v>0</v>
      </c>
      <c r="R2991" t="n">
        <v>0</v>
      </c>
      <c r="S2991">
        <f>IFERROR(O2991/N2991,0)</f>
        <v/>
      </c>
      <c r="T2991">
        <f>IF(C2991,(Skills!G2*N2991*B3024)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2991*(1-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1">
        <f>MAX(0,(Inputs!$B$3-100)*3)+Inputs!$B$28+Inputs!$B$29</f>
        <v/>
      </c>
      <c r="V2991">
        <f>IF(C2991,(Skills!G2*N2991*B3024)*IF(Inputs!$B$38="pvp",1,(1+(Inputs!$B$21+Skills!Q2+(IF(ArtifactsInput!$M$33,CHOOSE(ArtifactsInput!$N$33+1,30,36,42,48,54,60),0))+(IF(AND(ArtifactsInput!$M$35,Inputs!$B$4&lt;&gt;"Chapter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2">
      <c r="A2992">
        <f>Skills!A3</f>
        <v/>
      </c>
      <c r="B2992">
        <f>Skills!B3</f>
        <v/>
      </c>
      <c r="C2992">
        <f>Inputs!$B$3&gt;=35</f>
        <v/>
      </c>
      <c r="D2992">
        <f>IF(Skills!C3=1,60+Inputs!$B$25+Inputs!$B$29,IF(Skills!C3=2,90+Inputs!$B$26+Inputs!$B$29,IF(Skills!C3=3,120+Inputs!$B$27+Inputs!$B$29,MAX(0,(Inputs!$B$3-100)*3)+Inputs!$B$28+Inputs!$B$29)))</f>
        <v/>
      </c>
      <c r="E2992">
        <f>INDEX(FactorTable!$B$2:$Y$301, MATCH(ROUND(MIN(300,MAX(1,D2992)),0), FactorTable!$A$2:$A$301,0), Skills!M3+1)</f>
        <v/>
      </c>
      <c r="F2992">
        <f>IF(Skills!N3=TRUE,(Skills!L3/10)*(E2992/1000),Skills!L3/10)+Skills!O3</f>
        <v/>
      </c>
      <c r="G2992">
        <f>Skills!G3*IF(Skills!H3&gt;0,Skills!I3/Skills!H3,1)</f>
        <v/>
      </c>
      <c r="H2992">
        <f>1-(1-Skills!J3/100)^Skills!K3</f>
        <v/>
      </c>
      <c r="I2992" t="inlineStr">
        <is>
          <t>1</t>
        </is>
      </c>
      <c r="J2992">
        <f>((Inputs!$B$6*(1+Inputs!$B$7/100))+(((Inputs!$B$12*(1+Inputs!$B$13/100))-(Inputs!$B$12*(1+Inputs!$B$13/100)))+0.25*(Inputs!$B$14-Inputs!$B$14))*(1+Inputs!$B$7/100))*(F2992/100)</f>
        <v/>
      </c>
      <c r="K2992">
        <f>J2992*(1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3004=TRUE,F3004,0)/100)*(1+(IF(Skills!A3="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2992)</f>
        <v/>
      </c>
      <c r="L2992">
        <f>K2992*(MIN(Inputs!$B$22+((C3011=TRUE)*(F3011-Calc!F22)),(Inputs!$B$23+0+(IF(ArtifactsInput!$M$15,CHOOSE(ArtifactsInput!$N$15+1,25,30,35,40,45,50)/100*(Inputs!$B$11-Inputs!$B$11),0))))/100+(Inputs!$B$23+0+(IF(ArtifactsInput!$M$15,CHOOSE(ArtifactsInput!$N$15+1,25,30,35,40,45,50)/100*(Inputs!$B$11-Inputs!$B$11),0)))/100)/2</f>
        <v/>
      </c>
      <c r="M2992">
        <f>L2992*(1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2">
        <f>L2992*(1-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2992*(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2">
        <f>(1-Summary!$B$11)*T2992+Summary!$B$11*V2992</f>
        <v/>
      </c>
      <c r="P2992">
        <f>IF(B3030=0,0,O2992/B3030)</f>
        <v/>
      </c>
      <c r="Q2992">
        <f>IFERROR(1/(IF(Inputs!$B$38="pvp",15,MAX(0.1,Skills!D3-IF(Skills!E3=TRUE,2.5,0)))*(1-IF(AND(ArtifactsInput!$M$27,Inputs!$B$4="Chapter Hunt"),CHOOSE(ArtifactsInput!$N$27+1,20,24,28,32,36,40),0)/100)),0)</f>
        <v/>
      </c>
      <c r="R2992">
        <f>IF(AND(Inputs!$B$38&lt;&gt;"pvp",Inputs!$B$43&gt;0),IF(MAX(0,Inputs!$B$43-B3027)&lt;=0,0,(INT(MAX(0,Inputs!$B$43-B3027)/(IF(Inputs!$B$38="pvp",15,MAX(0.1,Skills!D3-IF(Skills!E3=TRUE,2.5,0)))*(1-IF(AND(ArtifactsInput!$M$27,Inputs!$B$4="Chapter Hunt"),CHOOSE(ArtifactsInput!$N$27+1,20,24,28,32,36,40),0)/100)))+1)),0)</f>
        <v/>
      </c>
      <c r="S2992">
        <f>IFERROR(O2992/N2992,0)</f>
        <v/>
      </c>
      <c r="T2992">
        <f>IF(C2992,(H2992*N2992*IF(AND(Inputs!$B$38&lt;&gt;"pvp",Inputs!$B$43&gt;0),((Skills!G3*((R2992-1)*IF(Skills!H3&gt;0,Skills!I3/Skills!H3,1)+IF(Skills!H3&gt;0,MIN(Skills!I3,MAX(0,MAX(0,Inputs!$B$43-B3027)-((R2992-1)*(IF(Inputs!$B$38="pvp",15,MAX(0.1,Skills!D3-IF(Skills!E3=TRUE,2.5,0)))*(1-IF(AND(ArtifactsInput!$M$27,Inputs!$B$4="Chapter Hunt"),CHOOSE(ArtifactsInput!$N$27+1,20,24,28,32,36,40),0)/100)))))/Skills!H3,1)))/Inputs!$B$43),G2992*Q2992)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2992*(1-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2992*(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2992*(1-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2992*(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2">
        <f>INDEX(FactorTable!$B$2:$Y$301, MATCH(ROUND(MIN(300,MAX(1,U2991)),0), FactorTable!$A$2:$A$301,0), 22)</f>
        <v/>
      </c>
      <c r="V2992">
        <f>IF(C2992,(H2992*N2992*IF(AND(Inputs!$B$38&lt;&gt;"pvp",Inputs!$B$43&gt;0),((Skills!G3*((R2992-1)*IF(Skills!H3&gt;0,Skills!I3/Skills!H3,1)+IF(Skills!H3&gt;0,MIN(Skills!I3,MAX(0,MAX(0,Inputs!$B$43-B3027)-((R2992-1)*(IF(Inputs!$B$38="pvp",15,MAX(0.1,Skills!D3-IF(Skills!E3=TRUE,2.5,0)))*(1-IF(AND(ArtifactsInput!$M$27,Inputs!$B$4="Chapter Hunt"),CHOOSE(ArtifactsInput!$N$27+1,20,24,28,32,36,40),0)/100)))))/Skills!H3,1)))/Inputs!$B$43),G2992*Q2992))*IF(Inputs!$B$38="pvp",1,(1+(Inputs!$B$21+Skills!Q3+(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3">
      <c r="A2993">
        <f>Skills!A4</f>
        <v/>
      </c>
      <c r="B2993">
        <f>Skills!B4</f>
        <v/>
      </c>
      <c r="C2993">
        <f>Inputs!$B$3&gt;=40</f>
        <v/>
      </c>
      <c r="D2993">
        <f>IF(Skills!C4=1,60+Inputs!$B$25+Inputs!$B$29,IF(Skills!C4=2,90+Inputs!$B$26+Inputs!$B$29,IF(Skills!C4=3,120+Inputs!$B$27+Inputs!$B$29,MAX(0,(Inputs!$B$3-100)*3)+Inputs!$B$28+Inputs!$B$29)))</f>
        <v/>
      </c>
      <c r="E2993">
        <f>INDEX(FactorTable!$B$2:$Y$301, MATCH(ROUND(MIN(300,MAX(1,D2993)),0), FactorTable!$A$2:$A$301,0), Skills!M4+1)</f>
        <v/>
      </c>
      <c r="F2993">
        <f>IF(Skills!N4=TRUE,(Skills!L4/10)*(E2993/1000),Skills!L4/10)+Skills!O4</f>
        <v/>
      </c>
      <c r="G2993">
        <f>Skills!G4*IF(Skills!H4&gt;0,Skills!I4/Skills!H4,1)</f>
        <v/>
      </c>
      <c r="H2993">
        <f>1-(1-Skills!J4/100)^Skills!K4</f>
        <v/>
      </c>
      <c r="I2993" t="inlineStr">
        <is>
          <t>1</t>
        </is>
      </c>
      <c r="J2993">
        <f>((Inputs!$B$6*(1+Inputs!$B$7/100))+(((Inputs!$B$12*(1+Inputs!$B$13/100))-(Inputs!$B$12*(1+Inputs!$B$13/100)))+0.25*(Inputs!$B$14-Inputs!$B$14))*(1+Inputs!$B$7/100))*(F2993/100)</f>
        <v/>
      </c>
      <c r="K2993">
        <f>J2993*(1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3005=TRUE,F3005,0)/100)*(1+(IF(Skills!A4="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2993)</f>
        <v/>
      </c>
      <c r="L2993">
        <f>K2993*(MIN(Inputs!$B$22+((C3011=TRUE)*(F3011-Calc!F22)),(Inputs!$B$23+0+(IF(ArtifactsInput!$M$15,CHOOSE(ArtifactsInput!$N$15+1,25,30,35,40,45,50)/100*(Inputs!$B$11-Inputs!$B$11),0))))/100+(Inputs!$B$23+0+(IF(ArtifactsInput!$M$15,CHOOSE(ArtifactsInput!$N$15+1,25,30,35,40,45,50)/100*(Inputs!$B$11-Inputs!$B$11),0)))/100)/2</f>
        <v/>
      </c>
      <c r="M2993">
        <f>L2993*(1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3">
        <f>L2993*(1-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2993*(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3">
        <f>(1-Summary!$B$11)*T2993+Summary!$B$11*V2993</f>
        <v/>
      </c>
      <c r="P2993">
        <f>IF(B3030=0,0,O2993/B3030)</f>
        <v/>
      </c>
      <c r="Q2993">
        <f>IFERROR(1/(IF(Inputs!$B$38="pvp",15,MAX(0.1,Skills!D4-IF(Skills!E4=TRUE,2.5,0)))*(1-IF(AND(ArtifactsInput!$M$27,Inputs!$B$4="Chapter Hunt"),CHOOSE(ArtifactsInput!$N$27+1,20,24,28,32,36,40),0)/100)),0)</f>
        <v/>
      </c>
      <c r="R2993">
        <f>IF(AND(Inputs!$B$38&lt;&gt;"pvp",Inputs!$B$43&gt;0),IF(MAX(0,Inputs!$B$43-B3027)&lt;=0,0,(INT(MAX(0,Inputs!$B$43-B3027)/(IF(Inputs!$B$38="pvp",15,MAX(0.1,Skills!D4-IF(Skills!E4=TRUE,2.5,0)))*(1-IF(AND(ArtifactsInput!$M$27,Inputs!$B$4="Chapter Hunt"),CHOOSE(ArtifactsInput!$N$27+1,20,24,28,32,36,40),0)/100)))+1)),0)</f>
        <v/>
      </c>
      <c r="S2993">
        <f>IFERROR(O2993/N2993,0)</f>
        <v/>
      </c>
      <c r="T2993">
        <f>IF(C2993,(H2993*N2993*IF(AND(Inputs!$B$38&lt;&gt;"pvp",Inputs!$B$43&gt;0),((Skills!G4*((R2993-1)*IF(Skills!H4&gt;0,Skills!I4/Skills!H4,1)+IF(Skills!H4&gt;0,MIN(Skills!I4,MAX(0,MAX(0,Inputs!$B$43-B3027)-((R2993-1)*(IF(Inputs!$B$38="pvp",15,MAX(0.1,Skills!D4-IF(Skills!E4=TRUE,2.5,0)))*(1-IF(AND(ArtifactsInput!$M$27,Inputs!$B$4="Chapter Hunt"),CHOOSE(ArtifactsInput!$N$27+1,20,24,28,32,36,40),0)/100)))))/Skills!H4,1)))/Inputs!$B$43),G2993*Q2993)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2993*(1-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2993*(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2993*(1-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2993*(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3">
        <f>290*U2992/1000</f>
        <v/>
      </c>
      <c r="V2993">
        <f>IF(C2993,(H2993*N2993*IF(AND(Inputs!$B$38&lt;&gt;"pvp",Inputs!$B$43&gt;0),((Skills!G4*((R2993-1)*IF(Skills!H4&gt;0,Skills!I4/Skills!H4,1)+IF(Skills!H4&gt;0,MIN(Skills!I4,MAX(0,MAX(0,Inputs!$B$43-B3027)-((R2993-1)*(IF(Inputs!$B$38="pvp",15,MAX(0.1,Skills!D4-IF(Skills!E4=TRUE,2.5,0)))*(1-IF(AND(ArtifactsInput!$M$27,Inputs!$B$4="Chapter Hunt"),CHOOSE(ArtifactsInput!$N$27+1,20,24,28,32,36,40),0)/100)))))/Skills!H4,1)))/Inputs!$B$43),G2993*Q2993))*IF(Inputs!$B$38="pvp",1,(1+(Inputs!$B$21+Skills!Q4+(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4">
      <c r="A2994">
        <f>Skills!A5</f>
        <v/>
      </c>
      <c r="B2994">
        <f>Skills!B5</f>
        <v/>
      </c>
      <c r="C2994">
        <f>Inputs!$B$3&gt;=45</f>
        <v/>
      </c>
      <c r="D2994">
        <f>IF(Skills!C5=1,60+Inputs!$B$25+Inputs!$B$29,IF(Skills!C5=2,90+Inputs!$B$26+Inputs!$B$29,IF(Skills!C5=3,120+Inputs!$B$27+Inputs!$B$29,MAX(0,(Inputs!$B$3-100)*3)+Inputs!$B$28+Inputs!$B$29)))</f>
        <v/>
      </c>
      <c r="E2994">
        <f>INDEX(FactorTable!$B$2:$Y$301, MATCH(ROUND(MIN(300,MAX(1,D2994)),0), FactorTable!$A$2:$A$301,0), Skills!M5+1)</f>
        <v/>
      </c>
      <c r="F2994">
        <f>IF(Skills!N5=TRUE,(Skills!L5/10)*(E2994/1000),Skills!L5/10)+Skills!O5</f>
        <v/>
      </c>
      <c r="G2994">
        <f>Skills!G5*IF(Skills!H5&gt;0,Skills!I5/Skills!H5,1)</f>
        <v/>
      </c>
      <c r="H2994">
        <f>1-(1-Skills!J5/100)^Skills!K5</f>
        <v/>
      </c>
      <c r="I2994" t="inlineStr">
        <is>
          <t>1</t>
        </is>
      </c>
      <c r="J2994">
        <f>((Inputs!$B$6*(1+Inputs!$B$7/100))+(((Inputs!$B$12*(1+Inputs!$B$13/100))-(Inputs!$B$12*(1+Inputs!$B$13/100)))+0.25*(Inputs!$B$14-Inputs!$B$14))*(1+Inputs!$B$7/100))*(F2994/100)</f>
        <v/>
      </c>
      <c r="K2994">
        <f>J2994*(1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3005=TRUE,F3005,0)/100)*(1+(IF(Skills!A5="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2994)</f>
        <v/>
      </c>
      <c r="L2994">
        <f>K2994*(MIN(Inputs!$B$22+((C3011=TRUE)*(F3011-Calc!F22)),(Inputs!$B$23+0+(IF(ArtifactsInput!$M$15,CHOOSE(ArtifactsInput!$N$15+1,25,30,35,40,45,50)/100*(Inputs!$B$11-Inputs!$B$11),0))))/100+(Inputs!$B$23+0+(IF(ArtifactsInput!$M$15,CHOOSE(ArtifactsInput!$N$15+1,25,30,35,40,45,50)/100*(Inputs!$B$11-Inputs!$B$11),0)))/100)/2</f>
        <v/>
      </c>
      <c r="M2994">
        <f>L2994*(1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4">
        <f>L2994*(1-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2994*(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4">
        <f>(1-Summary!$B$11)*T2994+Summary!$B$11*V2994</f>
        <v/>
      </c>
      <c r="P2994">
        <f>IF(B3030=0,0,O2994/B3030)</f>
        <v/>
      </c>
      <c r="Q2994">
        <f>IFERROR(1/(IF(Inputs!$B$38="pvp",15,MAX(0.1,Skills!D5-IF(Skills!E5=TRUE,2.5,0)))*(1-IF(AND(ArtifactsInput!$M$27,Inputs!$B$4="Chapter Hunt"),CHOOSE(ArtifactsInput!$N$27+1,20,24,28,32,36,40),0)/100)),0)</f>
        <v/>
      </c>
      <c r="R2994">
        <f>IF(AND(Inputs!$B$38&lt;&gt;"pvp",Inputs!$B$43&gt;0),IF(MAX(0,Inputs!$B$43-B3027)&lt;=0,0,(INT(MAX(0,Inputs!$B$43-B3027)/(IF(Inputs!$B$38="pvp",15,MAX(0.1,Skills!D5-IF(Skills!E5=TRUE,2.5,0)))*(1-IF(AND(ArtifactsInput!$M$27,Inputs!$B$4="Chapter Hunt"),CHOOSE(ArtifactsInput!$N$27+1,20,24,28,32,36,40),0)/100)))+1)),0)</f>
        <v/>
      </c>
      <c r="S2994">
        <f>IFERROR(O2994/N2994,0)</f>
        <v/>
      </c>
      <c r="T2994">
        <f>IF(C2994,(H2994*N2994*IF(AND(Inputs!$B$38&lt;&gt;"pvp",Inputs!$B$43&gt;0),((Skills!G5*((R2994-1)*IF(Skills!H5&gt;0,Skills!I5/Skills!H5,1)+IF(Skills!H5&gt;0,MIN(Skills!I5,MAX(0,MAX(0,Inputs!$B$43-B3027)-((R2994-1)*(IF(Inputs!$B$38="pvp",15,MAX(0.1,Skills!D5-IF(Skills!E5=TRUE,2.5,0)))*(1-IF(AND(ArtifactsInput!$M$27,Inputs!$B$4="Chapter Hunt"),CHOOSE(ArtifactsInput!$N$27+1,20,24,28,32,36,40),0)/100)))))/Skills!H5,1)))/Inputs!$B$43),G2994*Q2994)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2994*(1-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2994*(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2994*(1-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2994*(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4">
        <f>IF(C2994,(H2994*N2994*IF(AND(Inputs!$B$38&lt;&gt;"pvp",Inputs!$B$43&gt;0),((Skills!G5*((R2994-1)*IF(Skills!H5&gt;0,Skills!I5/Skills!H5,1)+IF(Skills!H5&gt;0,MIN(Skills!I5,MAX(0,MAX(0,Inputs!$B$43-B3027)-((R2994-1)*(IF(Inputs!$B$38="pvp",15,MAX(0.1,Skills!D5-IF(Skills!E5=TRUE,2.5,0)))*(1-IF(AND(ArtifactsInput!$M$27,Inputs!$B$4="Chapter Hunt"),CHOOSE(ArtifactsInput!$N$27+1,20,24,28,32,36,40),0)/100)))))/Skills!H5,1)))/Inputs!$B$43),G2994*Q2994))*IF(Inputs!$B$38="pvp",1,(1+(Inputs!$B$21+Skills!Q5+(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5">
      <c r="A2995">
        <f>Skills!A6</f>
        <v/>
      </c>
      <c r="B2995">
        <f>Skills!B6</f>
        <v/>
      </c>
      <c r="C2995">
        <f>Inputs!$B$3&gt;=63</f>
        <v/>
      </c>
      <c r="D2995">
        <f>IF(Skills!C6=1,60+Inputs!$B$25+Inputs!$B$29,IF(Skills!C6=2,90+Inputs!$B$26+Inputs!$B$29,IF(Skills!C6=3,120+Inputs!$B$27+Inputs!$B$29,MAX(0,(Inputs!$B$3-100)*3)+Inputs!$B$28+Inputs!$B$29)))</f>
        <v/>
      </c>
      <c r="E2995">
        <f>INDEX(FactorTable!$B$2:$Y$301, MATCH(ROUND(MIN(300,MAX(1,D2995)),0), FactorTable!$A$2:$A$301,0), Skills!M6+1)</f>
        <v/>
      </c>
      <c r="F2995">
        <f>IF(Skills!N6=TRUE,(Skills!L6/10)*(E2995/1000),Skills!L6/10)+Skills!O6</f>
        <v/>
      </c>
      <c r="G2995">
        <f>Skills!G6*IF(Skills!H6&gt;0,Skills!I6/Skills!H6,1)</f>
        <v/>
      </c>
      <c r="H2995">
        <f>1-(1-Skills!J6/100)^Skills!K6</f>
        <v/>
      </c>
      <c r="I2995" t="inlineStr">
        <is>
          <t>1</t>
        </is>
      </c>
      <c r="J2995">
        <f>((Inputs!$B$6*(1+Inputs!$B$7/100))+(((Inputs!$B$12*(1+Inputs!$B$13/100))-(Inputs!$B$12*(1+Inputs!$B$13/100)))+0.25*(Inputs!$B$14-Inputs!$B$14))*(1+Inputs!$B$7/100))*(F2995/100)</f>
        <v/>
      </c>
      <c r="K2995">
        <f>J2995*(1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3004=TRUE,F3004,0)/100)*(1+(IF(Skills!A6="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2995)</f>
        <v/>
      </c>
      <c r="L2995">
        <f>K2995*(MIN(Inputs!$B$22+((C3011=TRUE)*(F3011-Calc!F22)),(Inputs!$B$23+0+(IF(ArtifactsInput!$M$15,CHOOSE(ArtifactsInput!$N$15+1,25,30,35,40,45,50)/100*(Inputs!$B$11-Inputs!$B$11),0))))/100+(Inputs!$B$23+0+(IF(ArtifactsInput!$M$15,CHOOSE(ArtifactsInput!$N$15+1,25,30,35,40,45,50)/100*(Inputs!$B$11-Inputs!$B$11),0)))/100)/2</f>
        <v/>
      </c>
      <c r="M2995">
        <f>L2995*(1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5">
        <f>L2995*(1-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2995*(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5">
        <f>(1-Summary!$B$11)*T2995+Summary!$B$11*V2995</f>
        <v/>
      </c>
      <c r="P2995">
        <f>IF(B3030=0,0,O2995/B3030)</f>
        <v/>
      </c>
      <c r="Q2995">
        <f>IFERROR(1/(IF(Inputs!$B$38="pvp",15,MAX(0.1,Skills!D6-IF(Skills!E6=TRUE,2.5,0)))*(1-IF(AND(ArtifactsInput!$M$27,Inputs!$B$4="Chapter Hunt"),CHOOSE(ArtifactsInput!$N$27+1,20,24,28,32,36,40),0)/100)),0)</f>
        <v/>
      </c>
      <c r="R2995">
        <f>IF(AND(Inputs!$B$38&lt;&gt;"pvp",Inputs!$B$43&gt;0),IF(MAX(0,Inputs!$B$43-B3027)&lt;=0,0,(INT(MAX(0,Inputs!$B$43-B3027)/(IF(Inputs!$B$38="pvp",15,MAX(0.1,Skills!D6-IF(Skills!E6=TRUE,2.5,0)))*(1-IF(AND(ArtifactsInput!$M$27,Inputs!$B$4="Chapter Hunt"),CHOOSE(ArtifactsInput!$N$27+1,20,24,28,32,36,40),0)/100)))+1)),0)</f>
        <v/>
      </c>
      <c r="S2995">
        <f>IFERROR(O2995/N2995,0)</f>
        <v/>
      </c>
      <c r="T2995">
        <f>IF(C2995,(H2995*N2995*IF(AND(Inputs!$B$38&lt;&gt;"pvp",Inputs!$B$43&gt;0),((Skills!G6*((R2995-1)*IF(Skills!H6&gt;0,Skills!I6/Skills!H6,1)+IF(Skills!H6&gt;0,MIN(Skills!I6,MAX(0,MAX(0,Inputs!$B$43-B3027)-((R2995-1)*(IF(Inputs!$B$38="pvp",15,MAX(0.1,Skills!D6-IF(Skills!E6=TRUE,2.5,0)))*(1-IF(AND(ArtifactsInput!$M$27,Inputs!$B$4="Chapter Hunt"),CHOOSE(ArtifactsInput!$N$27+1,20,24,28,32,36,40),0)/100)))))/Skills!H6,1)))/Inputs!$B$43),G2995*Q2995)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2995*(1-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2995*(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2995*(1-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2995*(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5">
        <f>IF(C2995,(H2995*N2995*IF(AND(Inputs!$B$38&lt;&gt;"pvp",Inputs!$B$43&gt;0),((Skills!G6*((R2995-1)*IF(Skills!H6&gt;0,Skills!I6/Skills!H6,1)+IF(Skills!H6&gt;0,MIN(Skills!I6,MAX(0,MAX(0,Inputs!$B$43-B3027)-((R2995-1)*(IF(Inputs!$B$38="pvp",15,MAX(0.1,Skills!D6-IF(Skills!E6=TRUE,2.5,0)))*(1-IF(AND(ArtifactsInput!$M$27,Inputs!$B$4="Chapter Hunt"),CHOOSE(ArtifactsInput!$N$27+1,20,24,28,32,36,40),0)/100)))))/Skills!H6,1)))/Inputs!$B$43),G2995*Q2995))*IF(Inputs!$B$38="pvp",1,(1+(Inputs!$B$21+Skills!Q6+(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6">
      <c r="A2996">
        <f>Skills!A7</f>
        <v/>
      </c>
      <c r="B2996">
        <f>Skills!B7</f>
        <v/>
      </c>
      <c r="C2996">
        <f>Inputs!$B$3&gt;=66</f>
        <v/>
      </c>
      <c r="D2996">
        <f>IF(Skills!C7=1,60+Inputs!$B$25+Inputs!$B$29,IF(Skills!C7=2,90+Inputs!$B$26+Inputs!$B$29,IF(Skills!C7=3,120+Inputs!$B$27+Inputs!$B$29,MAX(0,(Inputs!$B$3-100)*3)+Inputs!$B$28+Inputs!$B$29)))</f>
        <v/>
      </c>
      <c r="E2996">
        <f>INDEX(FactorTable!$B$2:$Y$301, MATCH(ROUND(MIN(300,MAX(1,D2996)),0), FactorTable!$A$2:$A$301,0), Skills!M7+1)</f>
        <v/>
      </c>
      <c r="F2996">
        <f>IF(Skills!N7=TRUE,(Skills!L7/10)*(E2996/1000),Skills!L7/10)+Skills!O7</f>
        <v/>
      </c>
      <c r="G2996">
        <f>Skills!G7*IF(Skills!H7&gt;0,Skills!I7/Skills!H7,1)</f>
        <v/>
      </c>
      <c r="H2996">
        <f>1-(1-Skills!J7/100)^Skills!K7</f>
        <v/>
      </c>
      <c r="I2996" t="inlineStr">
        <is>
          <t>1</t>
        </is>
      </c>
      <c r="J2996">
        <f>((Inputs!$B$6*(1+Inputs!$B$7/100))+(((Inputs!$B$12*(1+Inputs!$B$13/100))-(Inputs!$B$12*(1+Inputs!$B$13/100)))+0.25*(Inputs!$B$14-Inputs!$B$14))*(1+Inputs!$B$7/100))*(F2996/100)</f>
        <v/>
      </c>
      <c r="K2996">
        <f>J2996*(1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3004=TRUE,F3004,0)/100)*(1+(IF(Skills!A7="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2996)</f>
        <v/>
      </c>
      <c r="L2996">
        <f>K2996*(MIN(Inputs!$B$22+((C3011=TRUE)*(F3011-Calc!F22)),(Inputs!$B$23+0+(IF(ArtifactsInput!$M$15,CHOOSE(ArtifactsInput!$N$15+1,25,30,35,40,45,50)/100*(Inputs!$B$11-Inputs!$B$11),0))))/100+(Inputs!$B$23+0+(IF(ArtifactsInput!$M$15,CHOOSE(ArtifactsInput!$N$15+1,25,30,35,40,45,50)/100*(Inputs!$B$11-Inputs!$B$11),0)))/100)/2</f>
        <v/>
      </c>
      <c r="M2996">
        <f>L2996*(1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6">
        <f>L2996*(1-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2996*(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6">
        <f>(1-Summary!$B$11)*T2996+Summary!$B$11*V2996</f>
        <v/>
      </c>
      <c r="P2996">
        <f>IF(B3030=0,0,O2996/B3030)</f>
        <v/>
      </c>
      <c r="Q2996">
        <f>IFERROR(1/(IF(Inputs!$B$38="pvp",15,MAX(0.1,Skills!D7-IF(Skills!E7=TRUE,2.5,0)))*(1-IF(AND(ArtifactsInput!$M$27,Inputs!$B$4="Chapter Hunt"),CHOOSE(ArtifactsInput!$N$27+1,20,24,28,32,36,40),0)/100)),0)</f>
        <v/>
      </c>
      <c r="R2996">
        <f>IF(AND(Inputs!$B$38&lt;&gt;"pvp",Inputs!$B$43&gt;0),IF(MAX(0,Inputs!$B$43-B3027)&lt;=0,0,(INT(MAX(0,Inputs!$B$43-B3027)/(IF(Inputs!$B$38="pvp",15,MAX(0.1,Skills!D7-IF(Skills!E7=TRUE,2.5,0)))*(1-IF(AND(ArtifactsInput!$M$27,Inputs!$B$4="Chapter Hunt"),CHOOSE(ArtifactsInput!$N$27+1,20,24,28,32,36,40),0)/100)))+1)),0)</f>
        <v/>
      </c>
      <c r="S2996">
        <f>IFERROR(O2996/N2996,0)</f>
        <v/>
      </c>
      <c r="T2996">
        <f>IF(C2996,(H2996*N2996*IF(AND(Inputs!$B$38&lt;&gt;"pvp",Inputs!$B$43&gt;0),((Skills!G7*((R2996-1)*IF(Skills!H7&gt;0,Skills!I7/Skills!H7,1)+IF(Skills!H7&gt;0,MIN(Skills!I7,MAX(0,MAX(0,Inputs!$B$43-B3027)-((R2996-1)*(IF(Inputs!$B$38="pvp",15,MAX(0.1,Skills!D7-IF(Skills!E7=TRUE,2.5,0)))*(1-IF(AND(ArtifactsInput!$M$27,Inputs!$B$4="Chapter Hunt"),CHOOSE(ArtifactsInput!$N$27+1,20,24,28,32,36,40),0)/100)))))/Skills!H7,1)))/Inputs!$B$43),G2996*Q2996)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2996*(1-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2996*(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2996*(1-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2996*(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6">
        <f>IF(C2996,(H2996*N2996*IF(AND(Inputs!$B$38&lt;&gt;"pvp",Inputs!$B$43&gt;0),((Skills!G7*((R2996-1)*IF(Skills!H7&gt;0,Skills!I7/Skills!H7,1)+IF(Skills!H7&gt;0,MIN(Skills!I7,MAX(0,MAX(0,Inputs!$B$43-B3027)-((R2996-1)*(IF(Inputs!$B$38="pvp",15,MAX(0.1,Skills!D7-IF(Skills!E7=TRUE,2.5,0)))*(1-IF(AND(ArtifactsInput!$M$27,Inputs!$B$4="Chapter Hunt"),CHOOSE(ArtifactsInput!$N$27+1,20,24,28,32,36,40),0)/100)))))/Skills!H7,1)))/Inputs!$B$43),G2996*Q2996))*IF(Inputs!$B$38="pvp",1,(1+(Inputs!$B$21+Skills!Q7+(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7">
      <c r="A2997">
        <f>Skills!A8</f>
        <v/>
      </c>
      <c r="B2997">
        <f>Skills!B8</f>
        <v/>
      </c>
      <c r="C2997">
        <f>Inputs!$B$3&gt;=100</f>
        <v/>
      </c>
      <c r="D2997">
        <f>IF(Skills!C8=1,60+Inputs!$B$25+Inputs!$B$29,IF(Skills!C8=2,90+Inputs!$B$26+Inputs!$B$29,IF(Skills!C8=3,120+Inputs!$B$27+Inputs!$B$29,MAX(0,(Inputs!$B$3-100)*3)+Inputs!$B$28+Inputs!$B$29)))</f>
        <v/>
      </c>
      <c r="E2997">
        <f>INDEX(FactorTable!$B$2:$Y$301, MATCH(ROUND(MIN(300,MAX(1,D2997)),0), FactorTable!$A$2:$A$301,0), Skills!M8+1)</f>
        <v/>
      </c>
      <c r="F2997">
        <f>IF(Skills!N8=TRUE,(Skills!L8/10)*(E2997/1000),Skills!L8/10)+Skills!O8</f>
        <v/>
      </c>
      <c r="G2997">
        <f>Skills!G8*IF(Skills!H8&gt;0,Skills!I8/Skills!H8,1)</f>
        <v/>
      </c>
      <c r="H2997">
        <f>1-(1-Skills!J8/100)^Skills!K8</f>
        <v/>
      </c>
      <c r="I2997" t="inlineStr">
        <is>
          <t>1</t>
        </is>
      </c>
      <c r="J2997">
        <f>((Inputs!$B$6*(1+Inputs!$B$7/100))+(((Inputs!$B$12*(1+Inputs!$B$13/100))-(Inputs!$B$12*(1+Inputs!$B$13/100)))+0.25*(Inputs!$B$14-Inputs!$B$14))*(1+Inputs!$B$7/100))*(F2997/100)</f>
        <v/>
      </c>
      <c r="K2997">
        <f>J2997*(1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2997)</f>
        <v/>
      </c>
      <c r="L2997">
        <f>K2997*(MIN(Inputs!$B$22+((C3011=TRUE)*(F3011-Calc!F22)),(Inputs!$B$23+0+(IF(ArtifactsInput!$M$15,CHOOSE(ArtifactsInput!$N$15+1,25,30,35,40,45,50)/100*(Inputs!$B$11-Inputs!$B$11),0))))/100+(Inputs!$B$23+0+(IF(ArtifactsInput!$M$15,CHOOSE(ArtifactsInput!$N$15+1,25,30,35,40,45,50)/100*(Inputs!$B$11-Inputs!$B$11),0)))/100)/2</f>
        <v/>
      </c>
      <c r="M2997">
        <f>L2997*(1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7">
        <f>L2997*(1-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2997*(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7">
        <f>(1-Summary!$B$11)*T2997+Summary!$B$11*V2997</f>
        <v/>
      </c>
      <c r="P2997">
        <f>IF(B3030=0,0,O2997/B3030)</f>
        <v/>
      </c>
      <c r="Q2997">
        <f>IFERROR(1/(IF(Inputs!$B$38="pvp",15,MAX(0.1,Skills!D8-IF(Skills!E8=TRUE,2.5,0)))*(1-IF(AND(ArtifactsInput!$M$27,Inputs!$B$4="Chapter Hunt"),CHOOSE(ArtifactsInput!$N$27+1,20,24,28,32,36,40),0)/100)),0)</f>
        <v/>
      </c>
      <c r="R2997">
        <f>IF(AND(Inputs!$B$38&lt;&gt;"pvp",Inputs!$B$43&gt;0),IF(MAX(0,Inputs!$B$43-B3027)&lt;=0,0,(INT(MAX(0,Inputs!$B$43-B3027)/(IF(Inputs!$B$38="pvp",15,MAX(0.1,Skills!D8-IF(Skills!E8=TRUE,2.5,0)))*(1-IF(AND(ArtifactsInput!$M$27,Inputs!$B$4="Chapter Hunt"),CHOOSE(ArtifactsInput!$N$27+1,20,24,28,32,36,40),0)/100)))+1)),0)</f>
        <v/>
      </c>
      <c r="S2997">
        <f>IFERROR(O2997/N2997,0)</f>
        <v/>
      </c>
      <c r="T2997">
        <f>IF(C2997,(H2997*N2997*IF(AND(Inputs!$B$38&lt;&gt;"pvp",Inputs!$B$43&gt;0),((Skills!G8*((R2997-1)*IF(Skills!H8&gt;0,Skills!I8/Skills!H8,1)+IF(Skills!H8&gt;0,MIN(Skills!I8,MAX(0,MAX(0,Inputs!$B$43-B3027)-((R2997-1)*(IF(Inputs!$B$38="pvp",15,MAX(0.1,Skills!D8-IF(Skills!E8=TRUE,2.5,0)))*(1-IF(AND(ArtifactsInput!$M$27,Inputs!$B$4="Chapter Hunt"),CHOOSE(ArtifactsInput!$N$27+1,20,24,28,32,36,40),0)/100)))))/Skills!H8,1)))/Inputs!$B$43),G2997*Q2997)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2997*(1-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2997*(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2997*(1-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2997*(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7">
        <f>IF(C2997,(H2997*N2997*IF(AND(Inputs!$B$38&lt;&gt;"pvp",Inputs!$B$43&gt;0),((Skills!G8*((R2997-1)*IF(Skills!H8&gt;0,Skills!I8/Skills!H8,1)+IF(Skills!H8&gt;0,MIN(Skills!I8,MAX(0,MAX(0,Inputs!$B$43-B3027)-((R2997-1)*(IF(Inputs!$B$38="pvp",15,MAX(0.1,Skills!D8-IF(Skills!E8=TRUE,2.5,0)))*(1-IF(AND(ArtifactsInput!$M$27,Inputs!$B$4="Chapter Hunt"),CHOOSE(ArtifactsInput!$N$27+1,20,24,28,32,36,40),0)/100)))))/Skills!H8,1)))/Inputs!$B$43),G2997*Q2997))*IF(Inputs!$B$38="pvp",1,(1+(Inputs!$B$21+Skills!Q8+(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8">
      <c r="A2998">
        <f>Skills!A9</f>
        <v/>
      </c>
      <c r="B2998">
        <f>Skills!B9</f>
        <v/>
      </c>
      <c r="C2998">
        <f>Inputs!$B$3&gt;=103</f>
        <v/>
      </c>
      <c r="D2998">
        <f>IF(Skills!C9=1,60+Inputs!$B$25+Inputs!$B$29,IF(Skills!C9=2,90+Inputs!$B$26+Inputs!$B$29,IF(Skills!C9=3,120+Inputs!$B$27+Inputs!$B$29,MAX(0,(Inputs!$B$3-100)*3)+Inputs!$B$28+Inputs!$B$29)))</f>
        <v/>
      </c>
      <c r="E2998">
        <f>INDEX(FactorTable!$B$2:$Y$301, MATCH(ROUND(MIN(300,MAX(1,D2998)),0), FactorTable!$A$2:$A$301,0), Skills!M9+1)</f>
        <v/>
      </c>
      <c r="F2998">
        <f>IF(Skills!N9=TRUE,(Skills!L9/10)*(E2998/1000),Skills!L9/10)+Skills!O9</f>
        <v/>
      </c>
      <c r="G2998">
        <f>Skills!G9*IF(Skills!H9&gt;0,Skills!I9/Skills!H9,1)</f>
        <v/>
      </c>
      <c r="H2998">
        <f>1-(1-Skills!J9/100)^Skills!K9</f>
        <v/>
      </c>
      <c r="I2998" t="inlineStr">
        <is>
          <t>1</t>
        </is>
      </c>
      <c r="J2998">
        <f>((Inputs!$B$6*(1+Inputs!$B$7/100))+(((Inputs!$B$12*(1+Inputs!$B$13/100))-(Inputs!$B$12*(1+Inputs!$B$13/100)))+0.25*(Inputs!$B$14-Inputs!$B$14))*(1+Inputs!$B$7/100))*(F2998/100)</f>
        <v/>
      </c>
      <c r="K2998">
        <f>J2998*(1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2998)</f>
        <v/>
      </c>
      <c r="L2998">
        <f>K2998*(MIN(Inputs!$B$22+((C3011=TRUE)*(F3011-Calc!F22)),(Inputs!$B$23+0+(IF(ArtifactsInput!$M$15,CHOOSE(ArtifactsInput!$N$15+1,25,30,35,40,45,50)/100*(Inputs!$B$11-Inputs!$B$11),0))))/100+(Inputs!$B$23+0+(IF(ArtifactsInput!$M$15,CHOOSE(ArtifactsInput!$N$15+1,25,30,35,40,45,50)/100*(Inputs!$B$11-Inputs!$B$11),0)))/100)/2</f>
        <v/>
      </c>
      <c r="M2998">
        <f>L2998*(1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8">
        <f>L2998*(1-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2998*(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8">
        <f>(1-Summary!$B$11)*T2998+Summary!$B$11*V2998</f>
        <v/>
      </c>
      <c r="P2998">
        <f>IF(B3030=0,0,O2998/B3030)</f>
        <v/>
      </c>
      <c r="Q2998">
        <f>IFERROR(1/(IF(Inputs!$B$38="pvp",15,MAX(0.1,Skills!D9-IF(Skills!E9=TRUE,2.5,0)))*(1-IF(AND(ArtifactsInput!$M$27,Inputs!$B$4="Chapter Hunt"),CHOOSE(ArtifactsInput!$N$27+1,20,24,28,32,36,40),0)/100)),0)</f>
        <v/>
      </c>
      <c r="R2998">
        <f>IF(AND(Inputs!$B$38&lt;&gt;"pvp",Inputs!$B$43&gt;0),IF(MAX(0,Inputs!$B$43-B3027)&lt;=0,0,(INT(MAX(0,Inputs!$B$43-B3027)/(IF(Inputs!$B$38="pvp",15,MAX(0.1,Skills!D9-IF(Skills!E9=TRUE,2.5,0)))*(1-IF(AND(ArtifactsInput!$M$27,Inputs!$B$4="Chapter Hunt"),CHOOSE(ArtifactsInput!$N$27+1,20,24,28,32,36,40),0)/100)))+1)),0)</f>
        <v/>
      </c>
      <c r="S2998">
        <f>IFERROR(O2998/N2998,0)</f>
        <v/>
      </c>
      <c r="T2998">
        <f>IF(C2998,(H2998*N2998*IF(AND(Inputs!$B$38&lt;&gt;"pvp",Inputs!$B$43&gt;0),((Skills!G9*((R2998-1)*IF(Skills!H9&gt;0,Skills!I9/Skills!H9,1)+IF(Skills!H9&gt;0,MIN(Skills!I9,MAX(0,MAX(0,Inputs!$B$43-B3027)-((R2998-1)*(IF(Inputs!$B$38="pvp",15,MAX(0.1,Skills!D9-IF(Skills!E9=TRUE,2.5,0)))*(1-IF(AND(ArtifactsInput!$M$27,Inputs!$B$4="Chapter Hunt"),CHOOSE(ArtifactsInput!$N$27+1,20,24,28,32,36,40),0)/100)))))/Skills!H9,1)))/Inputs!$B$43),G2998*Q2998)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2998*(1-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2998*(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2998*(1-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2998*(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8">
        <f>IF(C2998,(H2998*N2998*IF(AND(Inputs!$B$38&lt;&gt;"pvp",Inputs!$B$43&gt;0),((Skills!G9*((R2998-1)*IF(Skills!H9&gt;0,Skills!I9/Skills!H9,1)+IF(Skills!H9&gt;0,MIN(Skills!I9,MAX(0,MAX(0,Inputs!$B$43-B3027)-((R2998-1)*(IF(Inputs!$B$38="pvp",15,MAX(0.1,Skills!D9-IF(Skills!E9=TRUE,2.5,0)))*(1-IF(AND(ArtifactsInput!$M$27,Inputs!$B$4="Chapter Hunt"),CHOOSE(ArtifactsInput!$N$27+1,20,24,28,32,36,40),0)/100)))))/Skills!H9,1)))/Inputs!$B$43),G2998*Q2998))*IF(Inputs!$B$38="pvp",1,(1+(Inputs!$B$21+Skills!Q9+(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9">
      <c r="A2999">
        <f>Skills!A10</f>
        <v/>
      </c>
      <c r="B2999">
        <f>Skills!B10</f>
        <v/>
      </c>
      <c r="C2999">
        <f>Inputs!$B$3&gt;=113</f>
        <v/>
      </c>
      <c r="D2999">
        <f>IF(Skills!C10=1,60+Inputs!$B$25+Inputs!$B$29,IF(Skills!C10=2,90+Inputs!$B$26+Inputs!$B$29,IF(Skills!C10=3,120+Inputs!$B$27+Inputs!$B$29,MAX(0,(Inputs!$B$3-100)*3)+Inputs!$B$28+Inputs!$B$29)))</f>
        <v/>
      </c>
      <c r="E2999">
        <f>INDEX(FactorTable!$B$2:$Y$301, MATCH(ROUND(MIN(300,MAX(1,D2999)),0), FactorTable!$A$2:$A$301,0), Skills!M10+1)</f>
        <v/>
      </c>
      <c r="F2999">
        <f>IF(Skills!N10=TRUE,(Skills!L10/10)*(E2999/1000),Skills!L10/10)+Skills!O10</f>
        <v/>
      </c>
      <c r="G2999">
        <f>Skills!G10*IF(Skills!H10&gt;0,Skills!I10/Skills!H10,1)</f>
        <v/>
      </c>
      <c r="H2999">
        <f>1-(1-Skills!J10/100)^Skills!K10</f>
        <v/>
      </c>
      <c r="I2999" t="inlineStr">
        <is>
          <t>1</t>
        </is>
      </c>
      <c r="J2999">
        <f>((Inputs!$B$6*(1+Inputs!$B$7/100))+(((Inputs!$B$12*(1+Inputs!$B$13/100))-(Inputs!$B$12*(1+Inputs!$B$13/100)))+0.25*(Inputs!$B$14-Inputs!$B$14))*(1+Inputs!$B$7/100))*(F2999/100)</f>
        <v/>
      </c>
      <c r="K2999">
        <f>J2999*(1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2999)</f>
        <v/>
      </c>
      <c r="L2999">
        <f>K2999*(MIN(Inputs!$B$22+((C3011=TRUE)*(F3011-Calc!F22)),(Inputs!$B$23+0+(IF(ArtifactsInput!$M$15,CHOOSE(ArtifactsInput!$N$15+1,25,30,35,40,45,50)/100*(Inputs!$B$11-Inputs!$B$11),0))))/100+(Inputs!$B$23+0+(IF(ArtifactsInput!$M$15,CHOOSE(ArtifactsInput!$N$15+1,25,30,35,40,45,50)/100*(Inputs!$B$11-Inputs!$B$11),0)))/100)/2</f>
        <v/>
      </c>
      <c r="M2999">
        <f>L2999*(1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9">
        <f>L2999*(1-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2999*(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9">
        <f>(1-Summary!$B$11)*T2999+Summary!$B$11*V2999</f>
        <v/>
      </c>
      <c r="P2999">
        <f>IF(B3030=0,0,O2999/B3030)</f>
        <v/>
      </c>
      <c r="Q2999">
        <f>IFERROR(1/(IF(Inputs!$B$38="pvp",15,MAX(0.1,Skills!D10-IF(Skills!E10=TRUE,2.5,0)))*(1-IF(AND(ArtifactsInput!$M$27,Inputs!$B$4="Chapter Hunt"),CHOOSE(ArtifactsInput!$N$27+1,20,24,28,32,36,40),0)/100)),0)</f>
        <v/>
      </c>
      <c r="R2999">
        <f>IF(AND(Inputs!$B$38&lt;&gt;"pvp",Inputs!$B$43&gt;0),IF(MAX(0,Inputs!$B$43-B3027)&lt;=0,0,(INT(MAX(0,Inputs!$B$43-B3027)/(IF(Inputs!$B$38="pvp",15,MAX(0.1,Skills!D10-IF(Skills!E10=TRUE,2.5,0)))*(1-IF(AND(ArtifactsInput!$M$27,Inputs!$B$4="Chapter Hunt"),CHOOSE(ArtifactsInput!$N$27+1,20,24,28,32,36,40),0)/100)))+1)),0)</f>
        <v/>
      </c>
      <c r="S2999">
        <f>IFERROR(O2999/N2999,0)</f>
        <v/>
      </c>
      <c r="T2999">
        <f>IF(C2999,(H2999*N2999*IF(AND(Inputs!$B$38&lt;&gt;"pvp",Inputs!$B$43&gt;0),((Skills!G10*((R2999-1)*IF(Skills!H10&gt;0,Skills!I10/Skills!H10,1)+IF(Skills!H10&gt;0,MIN(Skills!I10,MAX(0,MAX(0,Inputs!$B$43-B3027)-((R2999-1)*(IF(Inputs!$B$38="pvp",15,MAX(0.1,Skills!D10-IF(Skills!E10=TRUE,2.5,0)))*(1-IF(AND(ArtifactsInput!$M$27,Inputs!$B$4="Chapter Hunt"),CHOOSE(ArtifactsInput!$N$27+1,20,24,28,32,36,40),0)/100)))))/Skills!H10,1)))/Inputs!$B$43),G2999*Q2999)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2999*(1-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2999*(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2999*(1-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2999*(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9">
        <f>IF(C2999,(H2999*N2999*IF(AND(Inputs!$B$38&lt;&gt;"pvp",Inputs!$B$43&gt;0),((Skills!G10*((R2999-1)*IF(Skills!H10&gt;0,Skills!I10/Skills!H10,1)+IF(Skills!H10&gt;0,MIN(Skills!I10,MAX(0,MAX(0,Inputs!$B$43-B3027)-((R2999-1)*(IF(Inputs!$B$38="pvp",15,MAX(0.1,Skills!D10-IF(Skills!E10=TRUE,2.5,0)))*(1-IF(AND(ArtifactsInput!$M$27,Inputs!$B$4="Chapter Hunt"),CHOOSE(ArtifactsInput!$N$27+1,20,24,28,32,36,40),0)/100)))))/Skills!H10,1)))/Inputs!$B$43),G2999*Q2999))*IF(Inputs!$B$38="pvp",1,(1+(Inputs!$B$21+Skills!Q10+(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0">
      <c r="A3000">
        <f>Skills!A11</f>
        <v/>
      </c>
      <c r="B3000">
        <f>Skills!B11</f>
        <v/>
      </c>
      <c r="C3000">
        <f>Inputs!$B$3&gt;=107</f>
        <v/>
      </c>
      <c r="D3000">
        <f>IF(Skills!C11=1,60+Inputs!$B$25+Inputs!$B$29,IF(Skills!C11=2,90+Inputs!$B$26+Inputs!$B$29,IF(Skills!C11=3,120+Inputs!$B$27+Inputs!$B$29,MAX(0,(Inputs!$B$3-100)*3)+Inputs!$B$28+Inputs!$B$29)))</f>
        <v/>
      </c>
      <c r="E3000">
        <f>INDEX(FactorTable!$B$2:$Y$301, MATCH(ROUND(MIN(300,MAX(1,D3000)),0), FactorTable!$A$2:$A$301,0), Skills!M11+1)</f>
        <v/>
      </c>
      <c r="F3000">
        <f>IF(Skills!N11=TRUE,(Skills!L11/10)*(E3000/1000),Skills!L11/10)+Skills!O11</f>
        <v/>
      </c>
      <c r="G3000">
        <f>Skills!G11*IF(Skills!H11&gt;0,Skills!I11/Skills!H11,1)</f>
        <v/>
      </c>
      <c r="H3000">
        <f>1-(1-Skills!J11/100)^Skills!K11</f>
        <v/>
      </c>
      <c r="I3000" t="inlineStr">
        <is>
          <t>1</t>
        </is>
      </c>
      <c r="J3000">
        <f>((Inputs!$B$6*(1+Inputs!$B$7/100))+(((Inputs!$B$12*(1+Inputs!$B$13/100))-(Inputs!$B$12*(1+Inputs!$B$13/100)))+0.25*(Inputs!$B$14-Inputs!$B$14))*(1+Inputs!$B$7/100))*(F3000/100)</f>
        <v/>
      </c>
      <c r="K3000">
        <f>J3000*(1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3000)</f>
        <v/>
      </c>
      <c r="L3000">
        <f>K3000*(MIN(Inputs!$B$22+((C3011=TRUE)*(F3011-Calc!F22)),(Inputs!$B$23+0+(IF(ArtifactsInput!$M$15,CHOOSE(ArtifactsInput!$N$15+1,25,30,35,40,45,50)/100*(Inputs!$B$11-Inputs!$B$11),0))))/100+(Inputs!$B$23+0+(IF(ArtifactsInput!$M$15,CHOOSE(ArtifactsInput!$N$15+1,25,30,35,40,45,50)/100*(Inputs!$B$11-Inputs!$B$11),0)))/100)/2</f>
        <v/>
      </c>
      <c r="M3000">
        <f>L3000*(1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0">
        <f>L3000*(1-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3000*(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0">
        <f>(1-Summary!$B$11)*T3000+Summary!$B$11*V3000</f>
        <v/>
      </c>
      <c r="P3000">
        <f>IF(B3030=0,0,O3000/B3030)</f>
        <v/>
      </c>
      <c r="Q3000">
        <f>IFERROR(1/(IF(Inputs!$B$38="pvp",15,MAX(0.1,Skills!D11-IF(Skills!E11=TRUE,2.5,0)))*(1-IF(AND(ArtifactsInput!$M$27,Inputs!$B$4="Chapter Hunt"),CHOOSE(ArtifactsInput!$N$27+1,20,24,28,32,36,40),0)/100)),0)</f>
        <v/>
      </c>
      <c r="R3000">
        <f>IF(AND(Inputs!$B$38&lt;&gt;"pvp",Inputs!$B$43&gt;0),IF(MAX(0,Inputs!$B$43-B3027)&lt;=0,0,(INT(MAX(0,Inputs!$B$43-B3027)/(IF(Inputs!$B$38="pvp",15,MAX(0.1,Skills!D11-IF(Skills!E11=TRUE,2.5,0)))*(1-IF(AND(ArtifactsInput!$M$27,Inputs!$B$4="Chapter Hunt"),CHOOSE(ArtifactsInput!$N$27+1,20,24,28,32,36,40),0)/100)))+1)),0)</f>
        <v/>
      </c>
      <c r="S3000">
        <f>IFERROR(O3000/N3000,0)</f>
        <v/>
      </c>
      <c r="T3000">
        <f>IF(C3000,(H3000*N3000*IF(AND(Inputs!$B$38&lt;&gt;"pvp",Inputs!$B$43&gt;0),((Skills!G11*((R3000-1)*IF(Skills!H11&gt;0,Skills!I11/Skills!H11,1)+IF(Skills!H11&gt;0,MIN(Skills!I11,MAX(0,MAX(0,Inputs!$B$43-B3027)-((R3000-1)*(IF(Inputs!$B$38="pvp",15,MAX(0.1,Skills!D11-IF(Skills!E11=TRUE,2.5,0)))*(1-IF(AND(ArtifactsInput!$M$27,Inputs!$B$4="Chapter Hunt"),CHOOSE(ArtifactsInput!$N$27+1,20,24,28,32,36,40),0)/100)))))/Skills!H11,1)))/Inputs!$B$43),G3000*Q3000)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3000*(1-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3000*(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3000*(1-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3000*(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0">
        <f>IF(C3000,(H3000*N3000*IF(AND(Inputs!$B$38&lt;&gt;"pvp",Inputs!$B$43&gt;0),((Skills!G11*((R3000-1)*IF(Skills!H11&gt;0,Skills!I11/Skills!H11,1)+IF(Skills!H11&gt;0,MIN(Skills!I11,MAX(0,MAX(0,Inputs!$B$43-B3027)-((R3000-1)*(IF(Inputs!$B$38="pvp",15,MAX(0.1,Skills!D11-IF(Skills!E11=TRUE,2.5,0)))*(1-IF(AND(ArtifactsInput!$M$27,Inputs!$B$4="Chapter Hunt"),CHOOSE(ArtifactsInput!$N$27+1,20,24,28,32,36,40),0)/100)))))/Skills!H11,1)))/Inputs!$B$43),G3000*Q3000))*IF(Inputs!$B$38="pvp",1,(1+(Inputs!$B$21+Skills!Q11+(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1">
      <c r="A3001">
        <f>Skills!A12</f>
        <v/>
      </c>
      <c r="B3001">
        <f>Skills!B12</f>
        <v/>
      </c>
      <c r="C3001">
        <f>Inputs!$B$3&gt;=110</f>
        <v/>
      </c>
      <c r="D3001">
        <f>IF(Skills!C12=1,60+Inputs!$B$25+Inputs!$B$29,IF(Skills!C12=2,90+Inputs!$B$26+Inputs!$B$29,IF(Skills!C12=3,120+Inputs!$B$27+Inputs!$B$29,MAX(0,(Inputs!$B$3-100)*3)+Inputs!$B$28+Inputs!$B$29)))</f>
        <v/>
      </c>
      <c r="E3001">
        <f>INDEX(FactorTable!$B$2:$Y$301, MATCH(ROUND(MIN(300,MAX(1,D3001)),0), FactorTable!$A$2:$A$301,0), Skills!M12+1)</f>
        <v/>
      </c>
      <c r="F3001">
        <f>IF(Skills!N12=TRUE,(Skills!L12/10)*(E3001/1000),Skills!L12/10)+Skills!O12</f>
        <v/>
      </c>
      <c r="G3001">
        <f>Skills!G12*IF(Skills!H12&gt;0,Skills!I12/Skills!H12,1)</f>
        <v/>
      </c>
      <c r="H3001">
        <f>1-(1-Skills!J12/100)^Skills!K12</f>
        <v/>
      </c>
      <c r="I3001" t="inlineStr">
        <is>
          <t>1</t>
        </is>
      </c>
      <c r="J3001">
        <f>((Inputs!$B$6*(1+Inputs!$B$7/100))+(((Inputs!$B$12*(1+Inputs!$B$13/100))-(Inputs!$B$12*(1+Inputs!$B$13/100)))+0.25*(Inputs!$B$14-Inputs!$B$14))*(1+Inputs!$B$7/100))*(F3001/100)</f>
        <v/>
      </c>
      <c r="K3001">
        <f>J3001*(1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3001)</f>
        <v/>
      </c>
      <c r="L3001">
        <f>K3001*(MIN(Inputs!$B$22+((C3011=TRUE)*(F3011-Calc!F22)),(Inputs!$B$23+0+(IF(ArtifactsInput!$M$15,CHOOSE(ArtifactsInput!$N$15+1,25,30,35,40,45,50)/100*(Inputs!$B$11-Inputs!$B$11),0))))/100+(Inputs!$B$23+0+(IF(ArtifactsInput!$M$15,CHOOSE(ArtifactsInput!$N$15+1,25,30,35,40,45,50)/100*(Inputs!$B$11-Inputs!$B$11),0)))/100)/2</f>
        <v/>
      </c>
      <c r="M3001">
        <f>L3001*(1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1">
        <f>L3001*(1-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1">
        <f>(1-Summary!$B$11)*T3001+Summary!$B$11*V3001</f>
        <v/>
      </c>
      <c r="P3001">
        <f>IF(B3030=0,0,O3001/B3030)</f>
        <v/>
      </c>
      <c r="Q3001">
        <f>IFERROR(1/(IF(Inputs!$B$38="pvp",15,MAX(0.1,Skills!D12-IF(Skills!E12=TRUE,2.5,0)))*(1-IF(AND(ArtifactsInput!$M$27,Inputs!$B$4="Chapter Hunt"),CHOOSE(ArtifactsInput!$N$27+1,20,24,28,32,36,40),0)/100)),0)</f>
        <v/>
      </c>
      <c r="R3001">
        <f>IF(AND(Inputs!$B$38&lt;&gt;"pvp",Inputs!$B$43&gt;0),IF(MAX(0,Inputs!$B$43-B3027)&lt;=0,0,(INT(MAX(0,Inputs!$B$43-B3027)/(IF(Inputs!$B$38="pvp",15,MAX(0.1,Skills!D12-IF(Skills!E12=TRUE,2.5,0)))*(1-IF(AND(ArtifactsInput!$M$27,Inputs!$B$4="Chapter Hunt"),CHOOSE(ArtifactsInput!$N$27+1,20,24,28,32,36,40),0)/100)))+1)),0)</f>
        <v/>
      </c>
      <c r="S3001">
        <f>IFERROR(O3001/N3001,0)</f>
        <v/>
      </c>
      <c r="T3001">
        <f>IF(C3001,(H3001*N3001*IF(AND(Inputs!$B$38&lt;&gt;"pvp",Inputs!$B$43&gt;0),((Skills!G12*((R3001-1)*IF(Skills!H12&gt;0,Skills!I12/Skills!H12,1)+IF(Skills!H12&gt;0,MIN(Skills!I12,MAX(0,MAX(0,Inputs!$B$43-B3027)-((R3001-1)*(IF(Inputs!$B$38="pvp",15,MAX(0.1,Skills!D12-IF(Skills!E12=TRUE,2.5,0)))*(1-IF(AND(ArtifactsInput!$M$27,Inputs!$B$4="Chapter Hunt"),CHOOSE(ArtifactsInput!$N$27+1,20,24,28,32,36,40),0)/100)))))/Skills!H12,1)))/Inputs!$B$43),G3001*Q3001)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3001*(1-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3001*(1-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1">
        <f>IF(C3001,(H3001*N3001*IF(AND(Inputs!$B$38&lt;&gt;"pvp",Inputs!$B$43&gt;0),((Skills!G12*((R3001-1)*IF(Skills!H12&gt;0,Skills!I12/Skills!H12,1)+IF(Skills!H12&gt;0,MIN(Skills!I12,MAX(0,MAX(0,Inputs!$B$43-B3027)-((R3001-1)*(IF(Inputs!$B$38="pvp",15,MAX(0.1,Skills!D12-IF(Skills!E12=TRUE,2.5,0)))*(1-IF(AND(ArtifactsInput!$M$27,Inputs!$B$4="Chapter Hunt"),CHOOSE(ArtifactsInput!$N$27+1,20,24,28,32,36,40),0)/100)))))/Skills!H12,1)))/Inputs!$B$43),G3001*Q3001))*IF(Inputs!$B$38="pvp",1,(1+(Inputs!$B$21+Skills!Q12+(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2">
      <c r="A3002">
        <f>Skills!A13</f>
        <v/>
      </c>
      <c r="B3002">
        <f>Skills!B13</f>
        <v/>
      </c>
      <c r="C3002">
        <f>Inputs!$B$3&gt;=110</f>
        <v/>
      </c>
      <c r="D3002">
        <f>IF(Skills!C13=1,60+Inputs!$B$25+Inputs!$B$29,IF(Skills!C13=2,90+Inputs!$B$26+Inputs!$B$29,IF(Skills!C13=3,120+Inputs!$B$27+Inputs!$B$29,MAX(0,(Inputs!$B$3-100)*3)+Inputs!$B$28+Inputs!$B$29)))</f>
        <v/>
      </c>
      <c r="E3002">
        <f>INDEX(FactorTable!$B$2:$Y$301, MATCH(ROUND(MIN(300,MAX(1,D3002)),0), FactorTable!$A$2:$A$301,0), Skills!M13+1)</f>
        <v/>
      </c>
      <c r="F3002">
        <f>IF(Skills!N13=TRUE,(Skills!L13/10)*(E3002/1000),Skills!L13/10)+Skills!O13</f>
        <v/>
      </c>
      <c r="G3002">
        <f>Skills!G13*IF(Skills!H13&gt;0,Skills!I13/Skills!H13,1)</f>
        <v/>
      </c>
      <c r="H3002">
        <f>1-(1-Skills!J13/100)^Skills!K13</f>
        <v/>
      </c>
      <c r="I3002" t="inlineStr">
        <is>
          <t>1</t>
        </is>
      </c>
      <c r="J3002">
        <f>((Inputs!$B$6*(1+Inputs!$B$7/100))+(((Inputs!$B$12*(1+Inputs!$B$13/100))-(Inputs!$B$12*(1+Inputs!$B$13/100)))+0.25*(Inputs!$B$14-Inputs!$B$14))*(1+Inputs!$B$7/100))*(F3002/100)</f>
        <v/>
      </c>
      <c r="K3002">
        <f>J3002*(1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3002)</f>
        <v/>
      </c>
      <c r="L3002">
        <f>K3002*(MIN(Inputs!$B$22+((C3011=TRUE)*(F3011-Calc!F22)),(Inputs!$B$23+0+(IF(ArtifactsInput!$M$15,CHOOSE(ArtifactsInput!$N$15+1,25,30,35,40,45,50)/100*(Inputs!$B$11-Inputs!$B$11),0))))/100+(Inputs!$B$23+0+(IF(ArtifactsInput!$M$15,CHOOSE(ArtifactsInput!$N$15+1,25,30,35,40,45,50)/100*(Inputs!$B$11-Inputs!$B$11),0)))/100)/2</f>
        <v/>
      </c>
      <c r="M3002">
        <f>L3002*(1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2">
        <f>L3002*(1-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3002*(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2">
        <f>(1-Summary!$B$11)*T3002+Summary!$B$11*V3002</f>
        <v/>
      </c>
      <c r="P3002">
        <f>IF(B3030=0,0,O3002/B3030)</f>
        <v/>
      </c>
      <c r="Q3002">
        <f>IFERROR(1/(IF(Inputs!$B$38="pvp",15,MAX(0.1,Skills!D13-IF(Skills!E13=TRUE,2.5,0)))*(1-IF(AND(ArtifactsInput!$M$27,Inputs!$B$4="Chapter Hunt"),CHOOSE(ArtifactsInput!$N$27+1,20,24,28,32,36,40),0)/100)),0)</f>
        <v/>
      </c>
      <c r="R3002">
        <f>IF(AND(Inputs!$B$38&lt;&gt;"pvp",Inputs!$B$43&gt;0),IF(MAX(0,Inputs!$B$43-B3027)&lt;=0,0,(INT(MAX(0,Inputs!$B$43-B3027)/(IF(Inputs!$B$38="pvp",15,MAX(0.1,Skills!D13-IF(Skills!E13=TRUE,2.5,0)))*(1-IF(AND(ArtifactsInput!$M$27,Inputs!$B$4="Chapter Hunt"),CHOOSE(ArtifactsInput!$N$27+1,20,24,28,32,36,40),0)/100)))+1)),0)</f>
        <v/>
      </c>
      <c r="S3002">
        <f>IFERROR(O3002/N3002,0)</f>
        <v/>
      </c>
      <c r="T3002">
        <f>IF(C3002,(H3002*N3002*IF(AND(Inputs!$B$38&lt;&gt;"pvp",Inputs!$B$43&gt;0),((Skills!G13*((R3002-1)*IF(Skills!H13&gt;0,Skills!I13/Skills!H13,1)+IF(Skills!H13&gt;0,MIN(Skills!I13,MAX(0,MAX(0,Inputs!$B$43-B3027)-((R3002-1)*(IF(Inputs!$B$38="pvp",15,MAX(0.1,Skills!D13-IF(Skills!E13=TRUE,2.5,0)))*(1-IF(AND(ArtifactsInput!$M$27,Inputs!$B$4="Chapter Hunt"),CHOOSE(ArtifactsInput!$N$27+1,20,24,28,32,36,40),0)/100)))))/Skills!H13,1)))/Inputs!$B$43),G3002*Q3002)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3002*(1-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3002*(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3002*(1-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3002*(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2">
        <f>IF(C3002,(H3002*N3002*IF(AND(Inputs!$B$38&lt;&gt;"pvp",Inputs!$B$43&gt;0),((Skills!G13*((R3002-1)*IF(Skills!H13&gt;0,Skills!I13/Skills!H13,1)+IF(Skills!H13&gt;0,MIN(Skills!I13,MAX(0,MAX(0,Inputs!$B$43-B3027)-((R3002-1)*(IF(Inputs!$B$38="pvp",15,MAX(0.1,Skills!D13-IF(Skills!E13=TRUE,2.5,0)))*(1-IF(AND(ArtifactsInput!$M$27,Inputs!$B$4="Chapter Hunt"),CHOOSE(ArtifactsInput!$N$27+1,20,24,28,32,36,40),0)/100)))))/Skills!H13,1)))/Inputs!$B$43),G3002*Q3002))*IF(Inputs!$B$38="pvp",1,(1+(Inputs!$B$21+Skills!Q13+(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3">
      <c r="A3003">
        <f>Skills!A14</f>
        <v/>
      </c>
      <c r="B3003">
        <f>Skills!B14</f>
        <v/>
      </c>
      <c r="C3003">
        <f>Inputs!$B$3&gt;=125</f>
        <v/>
      </c>
      <c r="D3003">
        <f>IF(Skills!C14=1,60+Inputs!$B$25+Inputs!$B$29,IF(Skills!C14=2,90+Inputs!$B$26+Inputs!$B$29,IF(Skills!C14=3,120+Inputs!$B$27+Inputs!$B$29,MAX(0,(Inputs!$B$3-100)*3)+Inputs!$B$28+Inputs!$B$29)))</f>
        <v/>
      </c>
      <c r="E3003">
        <f>INDEX(FactorTable!$B$2:$Y$301, MATCH(ROUND(MIN(300,MAX(1,D3003)),0), FactorTable!$A$2:$A$301,0), Skills!M14+1)</f>
        <v/>
      </c>
      <c r="F3003">
        <f>IF(Skills!N14=TRUE,(Skills!L14/10)*(E3003/1000),Skills!L14/10)+Skills!O14</f>
        <v/>
      </c>
      <c r="G3003">
        <f>Skills!G14*IF(Skills!H14&gt;0,Skills!I14/Skills!H14,1)</f>
        <v/>
      </c>
      <c r="H3003">
        <f>1-(1-Skills!J14/100)^Skills!K14</f>
        <v/>
      </c>
      <c r="I3003" t="inlineStr">
        <is>
          <t>1</t>
        </is>
      </c>
      <c r="J3003">
        <f>((Inputs!$B$6*(1+Inputs!$B$7/100))+(((Inputs!$B$12*(1+Inputs!$B$13/100))-(Inputs!$B$12*(1+Inputs!$B$13/100)))+0.25*(Inputs!$B$14-Inputs!$B$14))*(1+Inputs!$B$7/100))*(F3003/100)</f>
        <v/>
      </c>
      <c r="K3003">
        <f>J3003*(1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3003)</f>
        <v/>
      </c>
      <c r="L3003">
        <f>K3003*(MIN(Inputs!$B$22+((C3011=TRUE)*(F3011-Calc!F22)),(Inputs!$B$23+0+(IF(ArtifactsInput!$M$15,CHOOSE(ArtifactsInput!$N$15+1,25,30,35,40,45,50)/100*(Inputs!$B$11-Inputs!$B$11),0))))/100+(Inputs!$B$23+0+(IF(ArtifactsInput!$M$15,CHOOSE(ArtifactsInput!$N$15+1,25,30,35,40,45,50)/100*(Inputs!$B$11-Inputs!$B$11),0)))/100)/2</f>
        <v/>
      </c>
      <c r="M3003">
        <f>L3003*(1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3">
        <f>L3003*(1-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3003*(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3">
        <f>(1-Summary!$B$11)*T3003+Summary!$B$11*V3003</f>
        <v/>
      </c>
      <c r="P3003">
        <f>IF(B3030=0,0,O3003/B3030)</f>
        <v/>
      </c>
      <c r="Q3003" t="n">
        <v>0</v>
      </c>
      <c r="R3003" t="n">
        <v>0</v>
      </c>
      <c r="S3003">
        <f>IFERROR(O3003/N3003,0)</f>
        <v/>
      </c>
      <c r="T3003">
        <f>IF(C3003,(H3003*N3003*(B3024+IF(AND(Inputs!$B$38&lt;&gt;"pvp",Inputs!$B$43&gt;0),((Skills!G8*((R2997-1)*IF(Skills!H8&gt;0,Skills!I8/Skills!H8,1)+IF(Skills!H8&gt;0,MIN(Skills!I8,MAX(0,MAX(0,Inputs!$B$43-B3027)-((R2997-1)*(IF(Inputs!$B$38="pvp",15,MAX(0.1,Skills!D8-IF(Skills!E8=TRUE,2.5,0)))*(1-IF(AND(ArtifactsInput!$M$27,Inputs!$B$4="Chapter Hunt"),CHOOSE(ArtifactsInput!$N$27+1,20,24,28,32,36,40),0)/100)))))/Skills!H8,1)))/Inputs!$B$43),G2997*Q2997)+IF(AND(Inputs!$B$38&lt;&gt;"pvp",Inputs!$B$43&gt;0),((Skills!G11*((R3000-1)*IF(Skills!H11&gt;0,Skills!I11/Skills!H11,1)+IF(Skills!H11&gt;0,MIN(Skills!I11,MAX(0,MAX(0,Inputs!$B$43-B3027)-((R3000-1)*(IF(Inputs!$B$38="pvp",15,MAX(0.1,Skills!D11-IF(Skills!E11=TRUE,2.5,0)))*(1-IF(AND(ArtifactsInput!$M$27,Inputs!$B$4="Chapter Hunt"),CHOOSE(ArtifactsInput!$N$27+1,20,24,28,32,36,40),0)/100)))))/Skills!H11,1)))/Inputs!$B$43),G3000*Q3000)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3003*(1-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3003*(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3003*(1-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3003*(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3">
        <f>IF(C3003,(H3003*N3003*(B3024+IF(AND(Inputs!$B$38&lt;&gt;"pvp",Inputs!$B$43&gt;0),((Skills!G8*((R2997-1)*IF(Skills!H8&gt;0,Skills!I8/Skills!H8,1)+IF(Skills!H8&gt;0,MIN(Skills!I8,MAX(0,MAX(0,Inputs!$B$43-B3027)-((R2997-1)*(IF(Inputs!$B$38="pvp",15,MAX(0.1,Skills!D8-IF(Skills!E8=TRUE,2.5,0)))*(1-IF(AND(ArtifactsInput!$M$27,Inputs!$B$4="Chapter Hunt"),CHOOSE(ArtifactsInput!$N$27+1,20,24,28,32,36,40),0)/100)))))/Skills!H8,1)))/Inputs!$B$43),G2997*Q2997)+IF(AND(Inputs!$B$38&lt;&gt;"pvp",Inputs!$B$43&gt;0),((Skills!G11*((R3000-1)*IF(Skills!H11&gt;0,Skills!I11/Skills!H11,1)+IF(Skills!H11&gt;0,MIN(Skills!I11,MAX(0,MAX(0,Inputs!$B$43-B3027)-((R3000-1)*(IF(Inputs!$B$38="pvp",15,MAX(0.1,Skills!D11-IF(Skills!E11=TRUE,2.5,0)))*(1-IF(AND(ArtifactsInput!$M$27,Inputs!$B$4="Chapter Hunt"),CHOOSE(ArtifactsInput!$N$27+1,20,24,28,32,36,40),0)/100)))))/Skills!H11,1)))/Inputs!$B$43),G3000*Q3000)))*IF(Inputs!$B$38="pvp",1,(1+(Inputs!$B$21+Skills!Q14+(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4">
      <c r="A3004">
        <f>Skills!A15</f>
        <v/>
      </c>
      <c r="B3004">
        <f>Skills!B15</f>
        <v/>
      </c>
      <c r="C3004">
        <f>Inputs!$B$3&gt;=100</f>
        <v/>
      </c>
      <c r="D3004">
        <f>IF(Skills!C15=1,60+Inputs!$B$25+Inputs!$B$29,IF(Skills!C15=2,90+Inputs!$B$26+Inputs!$B$29,IF(Skills!C15=3,120+Inputs!$B$27+Inputs!$B$29,MAX(0,(Inputs!$B$3-100)*3)+Inputs!$B$28+Inputs!$B$29)))</f>
        <v/>
      </c>
      <c r="E3004">
        <f>INDEX(FactorTable!$B$2:$Y$301, MATCH(ROUND(MIN(300,MAX(1,D3004)),0), FactorTable!$A$2:$A$301,0), Skills!M15+1)</f>
        <v/>
      </c>
      <c r="F3004">
        <f>IF(Skills!N15=TRUE,(Skills!L15/10)*(E3004/1000),Skills!L15/10)+Skills!O15</f>
        <v/>
      </c>
      <c r="G3004" t="inlineStr"/>
      <c r="H3004" t="inlineStr"/>
      <c r="I3004" t="inlineStr">
        <is>
          <t>1</t>
        </is>
      </c>
      <c r="J3004" t="inlineStr"/>
      <c r="K3004" t="inlineStr"/>
      <c r="L3004" t="inlineStr"/>
      <c r="M3004" t="inlineStr"/>
      <c r="N3004" t="inlineStr"/>
      <c r="O3004" t="inlineStr"/>
      <c r="P3004" t="inlineStr"/>
      <c r="Q3004" t="inlineStr"/>
      <c r="R3004" t="inlineStr"/>
      <c r="S3004" t="inlineStr"/>
    </row>
    <row r="3005">
      <c r="A3005">
        <f>Skills!A16</f>
        <v/>
      </c>
      <c r="B3005">
        <f>Skills!B16</f>
        <v/>
      </c>
      <c r="C3005">
        <f>Inputs!$B$3&gt;=120</f>
        <v/>
      </c>
      <c r="D3005">
        <f>IF(Skills!C16=1,60+Inputs!$B$25+Inputs!$B$29,IF(Skills!C16=2,90+Inputs!$B$26+Inputs!$B$29,IF(Skills!C16=3,120+Inputs!$B$27+Inputs!$B$29,MAX(0,(Inputs!$B$3-100)*3)+Inputs!$B$28+Inputs!$B$29)))</f>
        <v/>
      </c>
      <c r="E3005">
        <f>INDEX(FactorTable!$B$2:$Y$301, MATCH(ROUND(MIN(300,MAX(1,D3005)),0), FactorTable!$A$2:$A$301,0), Skills!M16+1)</f>
        <v/>
      </c>
      <c r="F3005">
        <f>IF(Skills!N16=TRUE,(Skills!L16/10)*(E3005/1000),Skills!L16/10)+Skills!O16</f>
        <v/>
      </c>
      <c r="G3005" t="inlineStr"/>
      <c r="H3005" t="inlineStr"/>
      <c r="I3005" t="inlineStr">
        <is>
          <t>1</t>
        </is>
      </c>
      <c r="J3005" t="inlineStr"/>
      <c r="K3005" t="inlineStr"/>
      <c r="L3005" t="inlineStr"/>
      <c r="M3005" t="inlineStr"/>
      <c r="N3005" t="inlineStr"/>
      <c r="O3005" t="inlineStr"/>
      <c r="P3005" t="inlineStr"/>
      <c r="Q3005" t="inlineStr"/>
      <c r="R3005" t="inlineStr"/>
      <c r="S3005" t="inlineStr"/>
    </row>
    <row r="3006">
      <c r="A3006">
        <f>Skills!A17</f>
        <v/>
      </c>
      <c r="B3006">
        <f>Skills!B17</f>
        <v/>
      </c>
      <c r="C3006">
        <f>Inputs!$B$3&gt;=66</f>
        <v/>
      </c>
      <c r="D3006">
        <f>IF(Skills!C17=1,60+Inputs!$B$25+Inputs!$B$29,IF(Skills!C17=2,90+Inputs!$B$26+Inputs!$B$29,IF(Skills!C17=3,120+Inputs!$B$27+Inputs!$B$29,MAX(0,(Inputs!$B$3-100)*3)+Inputs!$B$28+Inputs!$B$29)))</f>
        <v/>
      </c>
      <c r="E3006">
        <f>INDEX(FactorTable!$B$2:$Y$301, MATCH(ROUND(MIN(300,MAX(1,D3006)),0), FactorTable!$A$2:$A$301,0), Skills!M17+1)</f>
        <v/>
      </c>
      <c r="F3006">
        <f>IF(Skills!N17=TRUE,(Skills!L17/10)*(E3006/1000),Skills!L17/10)+Skills!O17</f>
        <v/>
      </c>
      <c r="G3006">
        <f>Skills!G17*IF(Skills!H17&gt;0,Skills!I17/Skills!H17,1)</f>
        <v/>
      </c>
      <c r="H3006">
        <f>1-(1-Skills!J17/100)^Skills!K17</f>
        <v/>
      </c>
      <c r="I3006" t="inlineStr">
        <is>
          <t>1</t>
        </is>
      </c>
      <c r="J3006" t="inlineStr"/>
      <c r="K3006" t="inlineStr"/>
      <c r="L3006" t="inlineStr"/>
      <c r="M3006" t="inlineStr"/>
      <c r="N3006" t="inlineStr"/>
      <c r="O3006">
        <f>(1-Summary!$B$11)*T3006+Summary!$B$11*V3006</f>
        <v/>
      </c>
      <c r="P3006">
        <f>IF(B3030=0,0,O3006/B3030)</f>
        <v/>
      </c>
      <c r="Q3006" t="n">
        <v>0</v>
      </c>
      <c r="R3006" t="n">
        <v>0</v>
      </c>
      <c r="S3006">
        <f>IFERROR(O3006/N3006,0)</f>
        <v/>
      </c>
      <c r="T3006" t="n">
        <v>0</v>
      </c>
      <c r="V3006" t="n">
        <v>0</v>
      </c>
    </row>
    <row r="3007">
      <c r="A3007">
        <f>Skills!A18</f>
        <v/>
      </c>
      <c r="B3007">
        <f>Skills!B18</f>
        <v/>
      </c>
      <c r="C3007">
        <f>Inputs!$B$3&gt;=115</f>
        <v/>
      </c>
      <c r="D3007">
        <f>IF(Skills!C18=1,60+Inputs!$B$25+Inputs!$B$29,IF(Skills!C18=2,90+Inputs!$B$26+Inputs!$B$29,IF(Skills!C18=3,120+Inputs!$B$27+Inputs!$B$29,MAX(0,(Inputs!$B$3-100)*3)+Inputs!$B$28+Inputs!$B$29)))</f>
        <v/>
      </c>
      <c r="E3007">
        <f>INDEX(FactorTable!$B$2:$Y$301, MATCH(ROUND(MIN(300,MAX(1,D3007)),0), FactorTable!$A$2:$A$301,0), Skills!M18+1)</f>
        <v/>
      </c>
      <c r="F3007">
        <f>IF(Skills!N18=TRUE,(Skills!L18/10)*(E3007/1000),Skills!L18/10)+Skills!O18</f>
        <v/>
      </c>
      <c r="G3007">
        <f>Skills!G18*IF(Skills!H18&gt;0,Skills!I18/Skills!H18,1)</f>
        <v/>
      </c>
      <c r="H3007">
        <f>1-(1-Skills!J18/100)^Skills!K18</f>
        <v/>
      </c>
      <c r="I3007" t="inlineStr">
        <is>
          <t>1</t>
        </is>
      </c>
      <c r="J3007" t="inlineStr"/>
      <c r="K3007" t="inlineStr"/>
      <c r="L3007" t="inlineStr"/>
      <c r="M3007" t="inlineStr"/>
      <c r="N3007" t="inlineStr"/>
      <c r="O3007">
        <f>(1-Summary!$B$11)*T3007+Summary!$B$11*V3007</f>
        <v/>
      </c>
      <c r="P3007">
        <f>IF(B3030=0,0,O3007/B3030)</f>
        <v/>
      </c>
      <c r="Q3007">
        <f>IFERROR(1/(IF(Inputs!$B$38="pvp",15,MAX(0.1,Skills!D18-IF(Skills!E18=TRUE,2.5,0)))*(1-IF(AND(ArtifactsInput!$M$27,Inputs!$B$4="Chapter Hunt"),CHOOSE(ArtifactsInput!$N$27+1,20,24,28,32,36,40),0)/100)),0)</f>
        <v/>
      </c>
      <c r="R3007">
        <f>IF(AND(Inputs!$B$38&lt;&gt;"pvp",Inputs!$B$43&gt;0),IF(Inputs!$B$43&lt;=0,0,(INT(Inputs!$B$43/(IF(Inputs!$B$38="pvp",15,MAX(0.1,Skills!D18-IF(Skills!E18=TRUE,2.5,0)))*(1-IF(AND(ArtifactsInput!$M$27,Inputs!$B$4="Chapter Hunt"),CHOOSE(ArtifactsInput!$N$27+1,20,24,28,32,36,40),0)/100)))+1)),0)</f>
        <v/>
      </c>
      <c r="S3007">
        <f>IFERROR(O3007/N3007,0)</f>
        <v/>
      </c>
      <c r="T3007" t="n">
        <v>0</v>
      </c>
      <c r="V3007" t="n">
        <v>0</v>
      </c>
    </row>
    <row r="3008">
      <c r="A3008">
        <f>Skills!A19</f>
        <v/>
      </c>
      <c r="B3008">
        <f>Skills!B19</f>
        <v/>
      </c>
      <c r="C3008">
        <f>Inputs!$B$3&gt;=15</f>
        <v/>
      </c>
      <c r="D3008">
        <f>IF(Skills!C19=1,60+Inputs!$B$25+Inputs!$B$29,IF(Skills!C19=2,90+Inputs!$B$26+Inputs!$B$29,IF(Skills!C19=3,120+Inputs!$B$27+Inputs!$B$29,MAX(0,(Inputs!$B$3-100)*3)+Inputs!$B$28+Inputs!$B$29)))</f>
        <v/>
      </c>
      <c r="E3008">
        <f>INDEX(FactorTable!$B$2:$Y$301, MATCH(ROUND(MIN(300,MAX(1,D3008)),0), FactorTable!$A$2:$A$301,0), Skills!M19+1)</f>
        <v/>
      </c>
      <c r="F3008">
        <f>IF(Skills!N19=TRUE,(Skills!L19/10)*(E3008/1000),Skills!L19/10)+Skills!O19</f>
        <v/>
      </c>
      <c r="G3008">
        <f>Skills!G19*IF(Skills!H19&gt;0,Skills!I19/Skills!H19,1)</f>
        <v/>
      </c>
      <c r="H3008">
        <f>1-(1-Skills!J19/100)^Skills!K19</f>
        <v/>
      </c>
      <c r="I3008" t="inlineStr">
        <is>
          <t>1</t>
        </is>
      </c>
      <c r="J3008" t="inlineStr"/>
      <c r="K3008" t="inlineStr"/>
      <c r="L3008" t="inlineStr"/>
      <c r="M3008" t="inlineStr"/>
      <c r="N3008" t="inlineStr"/>
      <c r="O3008">
        <f>(1-Summary!$B$11)*T3008+Summary!$B$11*V3008</f>
        <v/>
      </c>
      <c r="P3008">
        <f>IF(B3030=0,0,O3008/B3030)</f>
        <v/>
      </c>
      <c r="Q3008" t="n">
        <v>0</v>
      </c>
      <c r="R3008" t="n">
        <v>0</v>
      </c>
      <c r="S3008">
        <f>IFERROR(O3008/N3008,0)</f>
        <v/>
      </c>
      <c r="T3008" t="n">
        <v>0</v>
      </c>
      <c r="V3008" t="n">
        <v>0</v>
      </c>
    </row>
    <row r="3009">
      <c r="A3009">
        <f>Skills!A20</f>
        <v/>
      </c>
      <c r="B3009">
        <f>Skills!B20</f>
        <v/>
      </c>
      <c r="C3009">
        <f>Inputs!$B$3&gt;=10</f>
        <v/>
      </c>
      <c r="D3009">
        <f>IF(Skills!C20=1,60+Inputs!$B$25+Inputs!$B$29,IF(Skills!C20=2,90+Inputs!$B$26+Inputs!$B$29,IF(Skills!C20=3,120+Inputs!$B$27+Inputs!$B$29,MAX(0,(Inputs!$B$3-100)*3)+Inputs!$B$28+Inputs!$B$29)))</f>
        <v/>
      </c>
      <c r="E3009">
        <f>INDEX(FactorTable!$B$2:$Y$301, MATCH(ROUND(MIN(300,MAX(1,D3009)),0), FactorTable!$A$2:$A$301,0), Skills!M20+1)</f>
        <v/>
      </c>
      <c r="F3009">
        <f>IF(Skills!N20=TRUE,(Skills!L20/10)*(E3009/1000),Skills!L20/10)+Skills!O20</f>
        <v/>
      </c>
      <c r="G3009">
        <f>Skills!G20*IF(Skills!H20&gt;0,Skills!I20/Skills!H20,1)</f>
        <v/>
      </c>
      <c r="H3009">
        <f>1-(1-Skills!J20/100)^Skills!K20</f>
        <v/>
      </c>
      <c r="I3009" t="inlineStr">
        <is>
          <t>1</t>
        </is>
      </c>
      <c r="J3009" t="inlineStr"/>
      <c r="K3009" t="inlineStr"/>
      <c r="L3009" t="inlineStr"/>
      <c r="M3009" t="inlineStr"/>
      <c r="N3009" t="inlineStr"/>
      <c r="O3009">
        <f>(1-Summary!$B$11)*T3009+Summary!$B$11*V3009</f>
        <v/>
      </c>
      <c r="P3009">
        <f>IF(B3030=0,0,O3009/B3030)</f>
        <v/>
      </c>
      <c r="Q3009" t="n">
        <v>0</v>
      </c>
      <c r="R3009" t="n">
        <v>0</v>
      </c>
      <c r="S3009">
        <f>IFERROR(O3009/N3009,0)</f>
        <v/>
      </c>
      <c r="T3009" t="n">
        <v>0</v>
      </c>
      <c r="V3009" t="n">
        <v>0</v>
      </c>
    </row>
    <row r="3010">
      <c r="A3010">
        <f>Skills!A21</f>
        <v/>
      </c>
      <c r="B3010">
        <f>Skills!B21</f>
        <v/>
      </c>
      <c r="C3010">
        <f>Inputs!$B$3&gt;=33</f>
        <v/>
      </c>
      <c r="D3010">
        <f>IF(Skills!C21=1,60+Inputs!$B$25+Inputs!$B$29,IF(Skills!C21=2,90+Inputs!$B$26+Inputs!$B$29,IF(Skills!C21=3,120+Inputs!$B$27+Inputs!$B$29,MAX(0,(Inputs!$B$3-100)*3)+Inputs!$B$28+Inputs!$B$29)))</f>
        <v/>
      </c>
      <c r="E3010">
        <f>INDEX(FactorTable!$B$2:$Y$301, MATCH(ROUND(MIN(300,MAX(1,D3010)),0), FactorTable!$A$2:$A$301,0), Skills!M21+1)</f>
        <v/>
      </c>
      <c r="F3010">
        <f>IF(Skills!N21=TRUE,(Skills!L21/10)*(E3010/1000),Skills!L21/10)+Skills!O21</f>
        <v/>
      </c>
      <c r="G3010">
        <f>Skills!G21*IF(Skills!H21&gt;0,Skills!I21/Skills!H21,1)</f>
        <v/>
      </c>
      <c r="H3010">
        <f>1-(1-Skills!J21/100)^Skills!K21</f>
        <v/>
      </c>
      <c r="I3010" t="inlineStr">
        <is>
          <t>1</t>
        </is>
      </c>
      <c r="J3010" t="inlineStr"/>
      <c r="K3010" t="inlineStr"/>
      <c r="L3010" t="inlineStr"/>
      <c r="M3010" t="inlineStr"/>
      <c r="N3010" t="inlineStr"/>
      <c r="O3010">
        <f>(1-Summary!$B$11)*T3010+Summary!$B$11*V3010</f>
        <v/>
      </c>
      <c r="P3010">
        <f>IF(B3030=0,0,O3010/B3030)</f>
        <v/>
      </c>
      <c r="Q3010" t="n">
        <v>0</v>
      </c>
      <c r="R3010" t="n">
        <v>0</v>
      </c>
      <c r="S3010">
        <f>IFERROR(O3010/N3010,0)</f>
        <v/>
      </c>
      <c r="T3010" t="n">
        <v>0</v>
      </c>
      <c r="V3010" t="n">
        <v>0</v>
      </c>
    </row>
    <row r="3011">
      <c r="A3011">
        <f>Skills!A22</f>
        <v/>
      </c>
      <c r="B3011">
        <f>Skills!B22</f>
        <v/>
      </c>
      <c r="C3011">
        <f>Inputs!$B$3&gt;=43</f>
        <v/>
      </c>
      <c r="D3011">
        <f>IF(Skills!C22=1,60+Inputs!$B$25+Inputs!$B$29,IF(Skills!C22=2,90+Inputs!$B$26+Inputs!$B$29,IF(Skills!C22=3,120+Inputs!$B$27+Inputs!$B$29,MAX(0,(Inputs!$B$3-100)*3)+Inputs!$B$28+Inputs!$B$29)))</f>
        <v/>
      </c>
      <c r="E3011">
        <f>INDEX(FactorTable!$B$2:$Y$301, MATCH(ROUND(MIN(300,MAX(1,D3011)),0), FactorTable!$A$2:$A$301,0), Skills!M22+1)</f>
        <v/>
      </c>
      <c r="F3011">
        <f>IF(Skills!N22=TRUE,(Skills!L22/10)*(E3011/1000),Skills!L22/10)+Skills!O22</f>
        <v/>
      </c>
      <c r="G3011">
        <f>Skills!G22*IF(Skills!H22&gt;0,Skills!I22/Skills!H22,1)</f>
        <v/>
      </c>
      <c r="H3011">
        <f>1-(1-Skills!J22/100)^Skills!K22</f>
        <v/>
      </c>
      <c r="I3011" t="inlineStr">
        <is>
          <t>1</t>
        </is>
      </c>
      <c r="J3011" t="inlineStr"/>
      <c r="K3011" t="inlineStr"/>
      <c r="L3011" t="inlineStr"/>
      <c r="M3011" t="inlineStr"/>
      <c r="N3011" t="inlineStr"/>
      <c r="O3011">
        <f>(1-Summary!$B$11)*T3011+Summary!$B$11*V3011</f>
        <v/>
      </c>
      <c r="P3011">
        <f>IF(B3030=0,0,O3011/B3030)</f>
        <v/>
      </c>
      <c r="Q3011" t="n">
        <v>0</v>
      </c>
      <c r="R3011" t="n">
        <v>0</v>
      </c>
      <c r="S3011">
        <f>IFERROR(O3011/N3011,0)</f>
        <v/>
      </c>
      <c r="T3011" t="n">
        <v>0</v>
      </c>
      <c r="V3011" t="n">
        <v>0</v>
      </c>
    </row>
    <row r="3012">
      <c r="A3012">
        <f>Skills!A23</f>
        <v/>
      </c>
      <c r="B3012">
        <f>Skills!B23</f>
        <v/>
      </c>
      <c r="C3012">
        <f>Inputs!$B$3&gt;=38</f>
        <v/>
      </c>
      <c r="D3012">
        <f>IF(Skills!C23=1,60+Inputs!$B$25+Inputs!$B$29,IF(Skills!C23=2,90+Inputs!$B$26+Inputs!$B$29,IF(Skills!C23=3,120+Inputs!$B$27+Inputs!$B$29,MAX(0,(Inputs!$B$3-100)*3)+Inputs!$B$28+Inputs!$B$29)))</f>
        <v/>
      </c>
      <c r="E3012">
        <f>INDEX(FactorTable!$B$2:$Y$301, MATCH(ROUND(MIN(300,MAX(1,D3012)),0), FactorTable!$A$2:$A$301,0), Skills!M23+1)</f>
        <v/>
      </c>
      <c r="F3012">
        <f>IF(Skills!N23=TRUE,(Skills!L23/10)*(E3012/1000),Skills!L23/10)+Skills!O23</f>
        <v/>
      </c>
      <c r="G3012">
        <f>Skills!G23*IF(Skills!H23&gt;0,Skills!I23/Skills!H23,1)</f>
        <v/>
      </c>
      <c r="H3012">
        <f>1-(1-Skills!J23/100)^Skills!K23</f>
        <v/>
      </c>
      <c r="I3012" t="inlineStr">
        <is>
          <t>1</t>
        </is>
      </c>
      <c r="J3012" t="inlineStr"/>
      <c r="K3012" t="inlineStr"/>
      <c r="L3012" t="inlineStr"/>
      <c r="M3012" t="inlineStr"/>
      <c r="N3012" t="inlineStr"/>
      <c r="O3012">
        <f>(1-Summary!$B$11)*T3012+Summary!$B$11*V3012</f>
        <v/>
      </c>
      <c r="P3012">
        <f>IF(B3030=0,0,O3012/B3030)</f>
        <v/>
      </c>
      <c r="Q3012" t="n">
        <v>0</v>
      </c>
      <c r="R3012" t="n">
        <v>0</v>
      </c>
      <c r="S3012">
        <f>IFERROR(O3012/N3012,0)</f>
        <v/>
      </c>
      <c r="T3012" t="n">
        <v>0</v>
      </c>
      <c r="V3012" t="n">
        <v>0</v>
      </c>
    </row>
    <row r="3013">
      <c r="A3013">
        <f>Skills!A24</f>
        <v/>
      </c>
      <c r="B3013">
        <f>Skills!B24</f>
        <v/>
      </c>
      <c r="C3013">
        <f>Inputs!$B$3&gt;=40</f>
        <v/>
      </c>
      <c r="D3013">
        <f>IF(Skills!C24=1,60+Inputs!$B$25+Inputs!$B$29,IF(Skills!C24=2,90+Inputs!$B$26+Inputs!$B$29,IF(Skills!C24=3,120+Inputs!$B$27+Inputs!$B$29,MAX(0,(Inputs!$B$3-100)*3)+Inputs!$B$28+Inputs!$B$29)))</f>
        <v/>
      </c>
      <c r="E3013">
        <f>INDEX(FactorTable!$B$2:$Y$301, MATCH(ROUND(MIN(300,MAX(1,D3013)),0), FactorTable!$A$2:$A$301,0), Skills!M24+1)</f>
        <v/>
      </c>
      <c r="F3013">
        <f>IF(Skills!N24=TRUE,(Skills!L24/10)*(E3013/1000),Skills!L24/10)+Skills!O24</f>
        <v/>
      </c>
      <c r="G3013">
        <f>Skills!G24*IF(Skills!H24&gt;0,Skills!I24/Skills!H24,1)</f>
        <v/>
      </c>
      <c r="H3013">
        <f>1-(1-Skills!J24/100)^Skills!K24</f>
        <v/>
      </c>
      <c r="I3013" t="inlineStr">
        <is>
          <t>1</t>
        </is>
      </c>
      <c r="J3013" t="inlineStr"/>
      <c r="K3013" t="inlineStr"/>
      <c r="L3013" t="inlineStr"/>
      <c r="M3013" t="inlineStr"/>
      <c r="N3013" t="inlineStr"/>
      <c r="O3013">
        <f>(1-Summary!$B$11)*T3013+Summary!$B$11*V3013</f>
        <v/>
      </c>
      <c r="P3013">
        <f>IF(B3030=0,0,O3013/B3030)</f>
        <v/>
      </c>
      <c r="Q3013" t="n">
        <v>0</v>
      </c>
      <c r="R3013" t="n">
        <v>0</v>
      </c>
      <c r="S3013">
        <f>IFERROR(O3013/N3013,0)</f>
        <v/>
      </c>
      <c r="T3013" t="n">
        <v>0</v>
      </c>
      <c r="V3013" t="n">
        <v>0</v>
      </c>
    </row>
    <row r="3014">
      <c r="A3014">
        <f>Skills!A25</f>
        <v/>
      </c>
      <c r="B3014">
        <f>Skills!B25</f>
        <v/>
      </c>
      <c r="C3014">
        <f>Inputs!$B$3&gt;=72</f>
        <v/>
      </c>
      <c r="D3014">
        <f>IF(Skills!C25=1,60+Inputs!$B$25+Inputs!$B$29,IF(Skills!C25=2,90+Inputs!$B$26+Inputs!$B$29,IF(Skills!C25=3,120+Inputs!$B$27+Inputs!$B$29,MAX(0,(Inputs!$B$3-100)*3)+Inputs!$B$28+Inputs!$B$29)))</f>
        <v/>
      </c>
      <c r="E3014">
        <f>INDEX(FactorTable!$B$2:$Y$301, MATCH(ROUND(MIN(300,MAX(1,D3014)),0), FactorTable!$A$2:$A$301,0), Skills!M25+1)</f>
        <v/>
      </c>
      <c r="F3014">
        <f>IF(Skills!N25=TRUE,(Skills!L25/10)*(E3014/1000),Skills!L25/10)+Skills!O25</f>
        <v/>
      </c>
      <c r="G3014">
        <f>Skills!G25*IF(Skills!H25&gt;0,Skills!I25/Skills!H25,1)</f>
        <v/>
      </c>
      <c r="H3014">
        <f>1-(1-Skills!J25/100)^Skills!K25</f>
        <v/>
      </c>
      <c r="I3014" t="inlineStr">
        <is>
          <t>1</t>
        </is>
      </c>
      <c r="J3014" t="inlineStr"/>
      <c r="K3014" t="inlineStr"/>
      <c r="L3014" t="inlineStr"/>
      <c r="M3014" t="inlineStr"/>
      <c r="N3014" t="inlineStr"/>
      <c r="O3014">
        <f>(1-Summary!$B$11)*T3014+Summary!$B$11*V3014</f>
        <v/>
      </c>
      <c r="P3014">
        <f>IF(B3030=0,0,O3014/B3030)</f>
        <v/>
      </c>
      <c r="Q3014" t="n">
        <v>0</v>
      </c>
      <c r="R3014" t="n">
        <v>0</v>
      </c>
      <c r="S3014">
        <f>IFERROR(O3014/N3014,0)</f>
        <v/>
      </c>
      <c r="T3014" t="n">
        <v>0</v>
      </c>
      <c r="V3014" t="n">
        <v>0</v>
      </c>
    </row>
    <row r="3015">
      <c r="A3015">
        <f>Skills!A26</f>
        <v/>
      </c>
      <c r="B3015">
        <f>Skills!B26</f>
        <v/>
      </c>
      <c r="C3015">
        <f>Inputs!$B$3&gt;=75</f>
        <v/>
      </c>
      <c r="D3015">
        <f>IF(Skills!C26=1,60+Inputs!$B$25+Inputs!$B$29,IF(Skills!C26=2,90+Inputs!$B$26+Inputs!$B$29,IF(Skills!C26=3,120+Inputs!$B$27+Inputs!$B$29,MAX(0,(Inputs!$B$3-100)*3)+Inputs!$B$28+Inputs!$B$29)))</f>
        <v/>
      </c>
      <c r="E3015">
        <f>INDEX(FactorTable!$B$2:$Y$301, MATCH(ROUND(MIN(300,MAX(1,D3015)),0), FactorTable!$A$2:$A$301,0), Skills!M26+1)</f>
        <v/>
      </c>
      <c r="F3015">
        <f>IF(Skills!N26=TRUE,(Skills!L26/10)*(E3015/1000),Skills!L26/10)+Skills!O26</f>
        <v/>
      </c>
      <c r="G3015">
        <f>Skills!G26*IF(Skills!H26&gt;0,Skills!I26/Skills!H26,1)</f>
        <v/>
      </c>
      <c r="H3015">
        <f>1-(1-Skills!J26/100)^Skills!K26</f>
        <v/>
      </c>
      <c r="I3015" t="inlineStr">
        <is>
          <t>1</t>
        </is>
      </c>
      <c r="J3015" t="inlineStr"/>
      <c r="K3015" t="inlineStr"/>
      <c r="L3015" t="inlineStr"/>
      <c r="M3015" t="inlineStr"/>
      <c r="N3015" t="inlineStr"/>
      <c r="O3015">
        <f>(1-Summary!$B$11)*T3015+Summary!$B$11*V3015</f>
        <v/>
      </c>
      <c r="P3015">
        <f>IF(B3030=0,0,O3015/B3030)</f>
        <v/>
      </c>
      <c r="Q3015" t="n">
        <v>0</v>
      </c>
      <c r="R3015" t="n">
        <v>0</v>
      </c>
      <c r="S3015">
        <f>IFERROR(O3015/N3015,0)</f>
        <v/>
      </c>
      <c r="T3015" t="n">
        <v>0</v>
      </c>
      <c r="V3015" t="n">
        <v>0</v>
      </c>
    </row>
    <row r="3016">
      <c r="A3016">
        <f>Skills!A27</f>
        <v/>
      </c>
      <c r="B3016">
        <f>Skills!B27</f>
        <v/>
      </c>
      <c r="C3016">
        <f>Inputs!$B$3&gt;=117</f>
        <v/>
      </c>
      <c r="D3016">
        <f>IF(Skills!C27=1,60+Inputs!$B$25+Inputs!$B$29,IF(Skills!C27=2,90+Inputs!$B$26+Inputs!$B$29,IF(Skills!C27=3,120+Inputs!$B$27+Inputs!$B$29,MAX(0,(Inputs!$B$3-100)*3)+Inputs!$B$28+Inputs!$B$29)))</f>
        <v/>
      </c>
      <c r="E3016">
        <f>INDEX(FactorTable!$B$2:$Y$301, MATCH(ROUND(MIN(300,MAX(1,D3016)),0), FactorTable!$A$2:$A$301,0), Skills!M27+1)</f>
        <v/>
      </c>
      <c r="F3016">
        <f>IF(Skills!N27=TRUE,(Skills!L27/10)*(E3016/1000),Skills!L27/10)+Skills!O27</f>
        <v/>
      </c>
      <c r="G3016">
        <f>Skills!G27*IF(Skills!H27&gt;0,Skills!I27/Skills!H27,1)</f>
        <v/>
      </c>
      <c r="H3016">
        <f>1-(1-Skills!J27/100)^Skills!K27</f>
        <v/>
      </c>
      <c r="I3016" t="inlineStr">
        <is>
          <t>1</t>
        </is>
      </c>
      <c r="J3016" t="inlineStr"/>
      <c r="K3016" t="inlineStr"/>
      <c r="L3016" t="inlineStr"/>
      <c r="M3016" t="inlineStr"/>
      <c r="N3016" t="inlineStr"/>
      <c r="O3016">
        <f>(1-Summary!$B$11)*T3016+Summary!$B$11*V3016</f>
        <v/>
      </c>
      <c r="P3016">
        <f>IF(B3030=0,0,O3016/B3030)</f>
        <v/>
      </c>
      <c r="Q3016" t="n">
        <v>0</v>
      </c>
      <c r="R3016" t="n">
        <v>0</v>
      </c>
      <c r="S3016">
        <f>IFERROR(O3016/N3016,0)</f>
        <v/>
      </c>
      <c r="T3016" t="n">
        <v>0</v>
      </c>
      <c r="V3016" t="n">
        <v>0</v>
      </c>
    </row>
    <row r="3017">
      <c r="A3017">
        <f>Skills!A28</f>
        <v/>
      </c>
      <c r="B3017">
        <f>Skills!B28</f>
        <v/>
      </c>
      <c r="C3017">
        <f>TRUE</f>
        <v/>
      </c>
      <c r="D3017">
        <f>IF(Skills!C28=1,60+Inputs!$B$25+Inputs!$B$29,IF(Skills!C28=2,90+Inputs!$B$26+Inputs!$B$29,IF(Skills!C28=3,120+Inputs!$B$27+Inputs!$B$29,MAX(0,(Inputs!$B$3-100)*3)+Inputs!$B$28+Inputs!$B$29)))</f>
        <v/>
      </c>
      <c r="E3017">
        <f>INDEX(FactorTable!$B$2:$Y$301, MATCH(ROUND(MIN(300,MAX(1,D3017)),0), FactorTable!$A$2:$A$301,0), Skills!M28+1)</f>
        <v/>
      </c>
      <c r="F3017">
        <f>IF(Skills!N28=TRUE,(Skills!L28/10)*(E3017/1000),Skills!L28/10)+Skills!O28</f>
        <v/>
      </c>
      <c r="G3017">
        <f>Skills!G28*IF(Skills!H28&gt;0,Skills!I28/Skills!H28,1)</f>
        <v/>
      </c>
      <c r="H3017">
        <f>1-(1-Skills!J28/100)^Skills!K28</f>
        <v/>
      </c>
      <c r="I3017" t="inlineStr">
        <is>
          <t>1</t>
        </is>
      </c>
      <c r="J3017" t="inlineStr"/>
      <c r="K3017" t="inlineStr"/>
      <c r="L3017" t="inlineStr"/>
      <c r="M3017" t="inlineStr"/>
      <c r="N3017" t="inlineStr"/>
      <c r="O3017">
        <f>(1-Summary!$B$11)*T3017+Summary!$B$11*V3017</f>
        <v/>
      </c>
      <c r="P3017">
        <f>IF(B3030=0,0,O3017/B3030)</f>
        <v/>
      </c>
      <c r="Q3017">
        <f>IFERROR(1/(IF(Inputs!$B$38="pvp",15,MAX(0.1,Skills!D28-IF(Skills!E28=TRUE,2.5,0)))*(1-IF(AND(ArtifactsInput!$M$27,Inputs!$B$4="Chapter Hunt"),CHOOSE(ArtifactsInput!$N$27+1,20,24,28,32,36,40),0)/100)),0)</f>
        <v/>
      </c>
      <c r="R3017">
        <f>IF(AND(Inputs!$B$38&lt;&gt;"pvp",Inputs!$B$43&gt;0),IF(Inputs!$B$43&lt;=0,0,(INT(Inputs!$B$43/(IF(Inputs!$B$38="pvp",15,MAX(0.1,Skills!D28-IF(Skills!E28=TRUE,2.5,0)))*(1-IF(AND(ArtifactsInput!$M$27,Inputs!$B$4="Chapter Hunt"),CHOOSE(ArtifactsInput!$N$27+1,20,24,28,32,36,40),0)/100)))+1)),0)</f>
        <v/>
      </c>
      <c r="S3017">
        <f>IFERROR(O3017/N3017,0)</f>
        <v/>
      </c>
      <c r="T3017" t="n">
        <v>0</v>
      </c>
      <c r="V3017" t="n">
        <v>0</v>
      </c>
    </row>
    <row r="3019">
      <c r="A3019" t="inlineStr">
        <is>
          <t>Attack% Bucket Multiplier</t>
        </is>
      </c>
      <c r="B3019">
        <f>(1+(((C3006=TRUE)*F3006*5/7)+((C3013=TRUE)*(F3013-Calc!F24))+(IF(ArtifactsInput!$M$21,CHOOSE(ArtifactsInput!$N$21+1,25,30,35,40,45,50)*(IF(OR(Inputs!$B$4="Chapter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20">
      <c r="A3020" t="inlineStr">
        <is>
          <t>Global Crit Rate Bonus %</t>
        </is>
      </c>
      <c r="B3020" t="n">
        <v>0</v>
      </c>
    </row>
    <row r="3021">
      <c r="A3021" t="inlineStr">
        <is>
          <t>Attack Speed Buff Bonus % (Nimble Feet, duty-cycle averaged)</t>
        </is>
      </c>
      <c r="B3021">
        <f>((C3017=TRUE)*F3017*IF(AND(Inputs!$B$38&lt;&gt;"pvp",Inputs!$B$43&gt;0),(((R3017-1)*(Skills!T28*(1+Inputs!$B$34/100))+MIN((Skills!T28*(1+Inputs!$B$34/100)),MAX(0,Inputs!$B$43-((R3017-1)*Skills!D28))))/Inputs!$B$43),IF(Inputs!$B$38="pvp",MIN((Skills!T28*(1+Inputs!$B$34/100)),15)/15,(Skills!T28*(1+Inputs!$B$34/100))/Skills!D28)))</f>
        <v/>
      </c>
    </row>
    <row r="3022">
      <c r="A3022" t="inlineStr">
        <is>
          <t>Actions Per Second</t>
        </is>
      </c>
      <c r="B3022">
        <f>1+MIN(150,150*(1-(1-(Inputs!$B$11+((C3009=TRUE)*(F3009-Calc!F20))+((C3010=TRUE)*(F3010-Calc!F21)))/150)*(1-B3021/150)))/100</f>
        <v/>
      </c>
    </row>
    <row r="3023">
      <c r="A3023" t="inlineStr">
        <is>
          <t>Skill + Buff Cast Rate</t>
        </is>
      </c>
      <c r="B3023">
        <f>IF(AND(Inputs!$B$38&lt;&gt;"pvp",Inputs!$B$43&gt;0),SUMPRODUCT((Skills!E2:E28=TRUE)*(C2991:C3017=TRUE)*R2991:R3017*Skills!F2:F28)/Inputs!$B$43,SUMPRODUCT((Skills!E2:E28=TRUE)*(C2991:C3017=TRUE)*Q2991:Q3017*Skills!F2:F28))</f>
        <v/>
      </c>
    </row>
    <row r="3024">
      <c r="A3024" t="inlineStr">
        <is>
          <t>Eight-Legs Easton Casts Per Second</t>
        </is>
      </c>
      <c r="B3024">
        <f>MAX(0,B3022-B3023)</f>
        <v/>
      </c>
    </row>
    <row r="3025">
      <c r="A3025" t="inlineStr">
        <is>
          <t>Global Critical Damage Bonus % (unused)</t>
        </is>
      </c>
      <c r="B3025" t="n">
        <v>0</v>
      </c>
    </row>
    <row r="3026">
      <c r="A3026" t="inlineStr">
        <is>
          <t>Global Final Damage Bonus % (Jolly Roger + Ahoy Mateys - Final Damage proc)</t>
        </is>
      </c>
      <c r="B3026">
        <f>((C3007=TRUE)*F3007*IF(AND(Inputs!$B$38&lt;&gt;"pvp",Inputs!$B$43&gt;0),(((R3007-1)*(Skills!T18*(1+Inputs!$B$34/100))+MIN((Skills!T18*(1+Inputs!$B$34/100)),MAX(0,Inputs!$B$43-((R3007-1)*Skills!D18))))/Inputs!$B$43),IF(Inputs!$B$38="pvp",MIN((Skills!T18*(1+Inputs!$B$34/100)),15)/15,(Skills!T18*(1+Inputs!$B$34/100))/Skills!D18)))+IF(Inputs!$B$3&gt;=122,20*IF(Inputs!$B$38="pvp",MIN((20*(1+Inputs!$B$34/100)),15)/15,(20*(1+Inputs!$B$34/100))/Skills!D4),0)</f>
        <v/>
      </c>
    </row>
    <row r="3027">
      <c r="A3027" t="inlineStr">
        <is>
          <t>Buff-Casting Startup Delay (s, fixed-duration only)</t>
        </is>
      </c>
      <c r="B3027">
        <f>IF(AND(Inputs!$B$38&lt;&gt;"pvp",Inputs!$B$43&gt;0),SUMPRODUCT((Skills!T2:T28&gt;0)*(Skills!E2:E28=TRUE)*(C2991:C3017=TRUE))/B3022,0)</f>
        <v/>
      </c>
    </row>
    <row r="3028">
      <c r="A3028" t="inlineStr">
        <is>
          <t>Boss-Only Total DPS (this block's swept value)</t>
        </is>
      </c>
      <c r="B3028">
        <f>SUM(T2991:T3017)</f>
        <v/>
      </c>
    </row>
    <row r="3029">
      <c r="A3029" t="inlineStr">
        <is>
          <t>Normal-Only Total DPS (this block's swept value)</t>
        </is>
      </c>
      <c r="B3029">
        <f>SUM(V2991:V3017)</f>
        <v/>
      </c>
    </row>
    <row r="3030">
      <c r="A3030" s="6" t="inlineStr">
        <is>
          <t>TOTAL DPS</t>
        </is>
      </c>
      <c r="B3030" s="6">
        <f>SUM(O2991:O3017)</f>
        <v/>
      </c>
    </row>
    <row r="3033">
      <c r="A3033" s="6" t="inlineStr">
        <is>
          <t>Stat: CDR = 3.0s</t>
        </is>
      </c>
    </row>
    <row r="3034">
      <c r="A3034" s="5" t="inlineStr">
        <is>
          <t>Key</t>
        </is>
      </c>
      <c r="B3034" s="5" t="inlineStr">
        <is>
          <t>Name</t>
        </is>
      </c>
      <c r="C3034" s="5" t="inlineStr">
        <is>
          <t>Unlocked</t>
        </is>
      </c>
      <c r="D3034" s="5" t="inlineStr">
        <is>
          <t>InputLevel</t>
        </is>
      </c>
      <c r="E3034" s="5" t="inlineStr">
        <is>
          <t>Factor</t>
        </is>
      </c>
      <c r="F3034" s="5" t="inlineStr">
        <is>
          <t>CoefficientPercent</t>
        </is>
      </c>
      <c r="G3034" s="5" t="inlineStr">
        <is>
          <t>EffectiveHits</t>
        </is>
      </c>
      <c r="H3034" s="5" t="inlineStr">
        <is>
          <t>ProcProbability</t>
        </is>
      </c>
      <c r="I3034" s="5" t="inlineStr">
        <is>
          <t>MapleHeroMultiplier</t>
        </is>
      </c>
      <c r="J3034" s="5" t="inlineStr">
        <is>
          <t>BaseDamage</t>
        </is>
      </c>
      <c r="K3034" s="5" t="inlineStr">
        <is>
          <t>BaseHitDamage</t>
        </is>
      </c>
      <c r="L3034" s="5" t="inlineStr">
        <is>
          <t>NonCritAvg</t>
        </is>
      </c>
      <c r="M3034" s="5" t="inlineStr">
        <is>
          <t>CritAvg</t>
        </is>
      </c>
      <c r="N3034" s="5" t="inlineStr">
        <is>
          <t>ExpectedDamage(perHit)</t>
        </is>
      </c>
      <c r="O3034" s="5" t="inlineStr">
        <is>
          <t>DPS</t>
        </is>
      </c>
      <c r="P3034" s="5" t="inlineStr">
        <is>
          <t>% of Total</t>
        </is>
      </c>
      <c r="Q3034" s="5" t="inlineStr">
        <is>
          <t>InvCooldown</t>
        </is>
      </c>
      <c r="R3034" s="5" t="inlineStr">
        <is>
          <t>CastsInFight</t>
        </is>
      </c>
      <c r="S3034" s="5" t="inlineStr">
        <is>
          <t>HitRate(perSec)</t>
        </is>
      </c>
      <c r="U3034" t="inlineStr">
        <is>
          <t>helpers</t>
        </is>
      </c>
    </row>
    <row r="3035">
      <c r="A3035">
        <f>Skills!A2</f>
        <v/>
      </c>
      <c r="B3035">
        <f>Skills!B2</f>
        <v/>
      </c>
      <c r="C3035">
        <f>Inputs!$B$3&gt;=100</f>
        <v/>
      </c>
      <c r="D3035" t="inlineStr"/>
      <c r="E3035" t="inlineStr"/>
      <c r="F3035">
        <f>U3037+Skills!O2</f>
        <v/>
      </c>
      <c r="G3035">
        <f>Skills!G2*IF(Skills!H2&gt;0,Skills!I2/Skills!H2,1)</f>
        <v/>
      </c>
      <c r="H3035">
        <f>1-(1-Skills!J2/100)^Skills!K2</f>
        <v/>
      </c>
      <c r="I3035" t="inlineStr">
        <is>
          <t>1</t>
        </is>
      </c>
      <c r="J3035">
        <f>((Inputs!$B$6*(1+Inputs!$B$7/100))+(((Inputs!$B$12*(1+Inputs!$B$13/100))-(Inputs!$B$12*(1+Inputs!$B$13/100)))+0.25*(Inputs!$B$14-Inputs!$B$14))*(1+Inputs!$B$7/100))*(F3035/100)</f>
        <v/>
      </c>
      <c r="K3035">
        <f>J3035*(1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3035)</f>
        <v/>
      </c>
      <c r="L3035">
        <f>K3035*(MIN(Inputs!$B$22+((C3055=TRUE)*(F3055-Calc!F22)),(Inputs!$B$23+0+(IF(ArtifactsInput!$M$15,CHOOSE(ArtifactsInput!$N$15+1,25,30,35,40,45,50)/100*(Inputs!$B$11-Inputs!$B$11),0))))/100+(Inputs!$B$23+0+(IF(ArtifactsInput!$M$15,CHOOSE(ArtifactsInput!$N$15+1,25,30,35,40,45,50)/100*(Inputs!$B$11-Inputs!$B$11),0)))/100)/2</f>
        <v/>
      </c>
      <c r="M3035">
        <f>L3035*(1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5">
        <f>L3035*(1-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3035*(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5">
        <f>(1-Summary!$B$11)*T3035+Summary!$B$11*V3035</f>
        <v/>
      </c>
      <c r="P3035">
        <f>IF(B3074=0,0,O3035/B3074)</f>
        <v/>
      </c>
      <c r="Q3035" t="n">
        <v>0</v>
      </c>
      <c r="R3035" t="n">
        <v>0</v>
      </c>
      <c r="S3035">
        <f>IFERROR(O3035/N3035,0)</f>
        <v/>
      </c>
      <c r="T3035">
        <f>IF(C3035,(Skills!G2*N3035*B3068)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3035*(1-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3035*(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3035*(1-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3035*(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35">
        <f>MAX(0,(Inputs!$B$3-100)*3)+Inputs!$B$28+Inputs!$B$29</f>
        <v/>
      </c>
      <c r="V3035">
        <f>IF(C3035,(Skills!G2*N3035*B3068)*IF(Inputs!$B$38="pvp",1,(1+(Inputs!$B$21+Skills!Q2+(IF(ArtifactsInput!$M$33,CHOOSE(ArtifactsInput!$N$33+1,30,36,42,48,54,60),0))+(IF(AND(ArtifactsInput!$M$35,Inputs!$B$4&lt;&gt;"Chapter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6">
      <c r="A3036">
        <f>Skills!A3</f>
        <v/>
      </c>
      <c r="B3036">
        <f>Skills!B3</f>
        <v/>
      </c>
      <c r="C3036">
        <f>Inputs!$B$3&gt;=35</f>
        <v/>
      </c>
      <c r="D3036">
        <f>IF(Skills!C3=1,60+Inputs!$B$25+Inputs!$B$29,IF(Skills!C3=2,90+Inputs!$B$26+Inputs!$B$29,IF(Skills!C3=3,120+Inputs!$B$27+Inputs!$B$29,MAX(0,(Inputs!$B$3-100)*3)+Inputs!$B$28+Inputs!$B$29)))</f>
        <v/>
      </c>
      <c r="E3036">
        <f>INDEX(FactorTable!$B$2:$Y$301, MATCH(ROUND(MIN(300,MAX(1,D3036)),0), FactorTable!$A$2:$A$301,0), Skills!M3+1)</f>
        <v/>
      </c>
      <c r="F3036">
        <f>IF(Skills!N3=TRUE,(Skills!L3/10)*(E3036/1000),Skills!L3/10)+Skills!O3</f>
        <v/>
      </c>
      <c r="G3036">
        <f>Skills!G3*IF(Skills!H3&gt;0,Skills!I3/Skills!H3,1)</f>
        <v/>
      </c>
      <c r="H3036">
        <f>1-(1-Skills!J3/100)^Skills!K3</f>
        <v/>
      </c>
      <c r="I3036" t="inlineStr">
        <is>
          <t>1</t>
        </is>
      </c>
      <c r="J3036">
        <f>((Inputs!$B$6*(1+Inputs!$B$7/100))+(((Inputs!$B$12*(1+Inputs!$B$13/100))-(Inputs!$B$12*(1+Inputs!$B$13/100)))+0.25*(Inputs!$B$14-Inputs!$B$14))*(1+Inputs!$B$7/100))*(F3036/100)</f>
        <v/>
      </c>
      <c r="K3036">
        <f>J3036*(1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3048=TRUE,F3048,0)/100)*(1+(IF(Skills!A3="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3036)</f>
        <v/>
      </c>
      <c r="L3036">
        <f>K3036*(MIN(Inputs!$B$22+((C3055=TRUE)*(F3055-Calc!F22)),(Inputs!$B$23+0+(IF(ArtifactsInput!$M$15,CHOOSE(ArtifactsInput!$N$15+1,25,30,35,40,45,50)/100*(Inputs!$B$11-Inputs!$B$11),0))))/100+(Inputs!$B$23+0+(IF(ArtifactsInput!$M$15,CHOOSE(ArtifactsInput!$N$15+1,25,30,35,40,45,50)/100*(Inputs!$B$11-Inputs!$B$11),0)))/100)/2</f>
        <v/>
      </c>
      <c r="M3036">
        <f>L3036*(1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6">
        <f>L3036*(1-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3036*(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6">
        <f>(1-Summary!$B$11)*T3036+Summary!$B$11*V3036</f>
        <v/>
      </c>
      <c r="P3036">
        <f>IF(B3074=0,0,O3036/B3074)</f>
        <v/>
      </c>
      <c r="Q3036">
        <f>IFERROR(1/(IF(Inputs!$B$38="pvp",15,MAX(0.1,Skills!D3-IF(Skills!E3=TRUE,3.0,0)))*(1-IF(AND(ArtifactsInput!$M$27,Inputs!$B$4="Chapter Hunt"),CHOOSE(ArtifactsInput!$N$27+1,20,24,28,32,36,40),0)/100)),0)</f>
        <v/>
      </c>
      <c r="R3036">
        <f>IF(AND(Inputs!$B$38&lt;&gt;"pvp",Inputs!$B$43&gt;0),IF(MAX(0,Inputs!$B$43-B3071)&lt;=0,0,(INT(MAX(0,Inputs!$B$43-B3071)/(IF(Inputs!$B$38="pvp",15,MAX(0.1,Skills!D3-IF(Skills!E3=TRUE,3.0,0)))*(1-IF(AND(ArtifactsInput!$M$27,Inputs!$B$4="Chapter Hunt"),CHOOSE(ArtifactsInput!$N$27+1,20,24,28,32,36,40),0)/100)))+1)),0)</f>
        <v/>
      </c>
      <c r="S3036">
        <f>IFERROR(O3036/N3036,0)</f>
        <v/>
      </c>
      <c r="T3036">
        <f>IF(C3036,(H3036*N3036*IF(AND(Inputs!$B$38&lt;&gt;"pvp",Inputs!$B$43&gt;0),((Skills!G3*((R3036-1)*IF(Skills!H3&gt;0,Skills!I3/Skills!H3,1)+IF(Skills!H3&gt;0,MIN(Skills!I3,MAX(0,MAX(0,Inputs!$B$43-B3071)-((R3036-1)*(IF(Inputs!$B$38="pvp",15,MAX(0.1,Skills!D3-IF(Skills!E3=TRUE,3.0,0)))*(1-IF(AND(ArtifactsInput!$M$27,Inputs!$B$4="Chapter Hunt"),CHOOSE(ArtifactsInput!$N$27+1,20,24,28,32,36,40),0)/100)))))/Skills!H3,1)))/Inputs!$B$43),G3036*Q3036)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3036*(1-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3036*(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3036*(1-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3036*(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36">
        <f>INDEX(FactorTable!$B$2:$Y$301, MATCH(ROUND(MIN(300,MAX(1,U3035)),0), FactorTable!$A$2:$A$301,0), 22)</f>
        <v/>
      </c>
      <c r="V3036">
        <f>IF(C3036,(H3036*N3036*IF(AND(Inputs!$B$38&lt;&gt;"pvp",Inputs!$B$43&gt;0),((Skills!G3*((R3036-1)*IF(Skills!H3&gt;0,Skills!I3/Skills!H3,1)+IF(Skills!H3&gt;0,MIN(Skills!I3,MAX(0,MAX(0,Inputs!$B$43-B3071)-((R3036-1)*(IF(Inputs!$B$38="pvp",15,MAX(0.1,Skills!D3-IF(Skills!E3=TRUE,3.0,0)))*(1-IF(AND(ArtifactsInput!$M$27,Inputs!$B$4="Chapter Hunt"),CHOOSE(ArtifactsInput!$N$27+1,20,24,28,32,36,40),0)/100)))))/Skills!H3,1)))/Inputs!$B$43),G3036*Q3036))*IF(Inputs!$B$38="pvp",1,(1+(Inputs!$B$21+Skills!Q3+(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7">
      <c r="A3037">
        <f>Skills!A4</f>
        <v/>
      </c>
      <c r="B3037">
        <f>Skills!B4</f>
        <v/>
      </c>
      <c r="C3037">
        <f>Inputs!$B$3&gt;=40</f>
        <v/>
      </c>
      <c r="D3037">
        <f>IF(Skills!C4=1,60+Inputs!$B$25+Inputs!$B$29,IF(Skills!C4=2,90+Inputs!$B$26+Inputs!$B$29,IF(Skills!C4=3,120+Inputs!$B$27+Inputs!$B$29,MAX(0,(Inputs!$B$3-100)*3)+Inputs!$B$28+Inputs!$B$29)))</f>
        <v/>
      </c>
      <c r="E3037">
        <f>INDEX(FactorTable!$B$2:$Y$301, MATCH(ROUND(MIN(300,MAX(1,D3037)),0), FactorTable!$A$2:$A$301,0), Skills!M4+1)</f>
        <v/>
      </c>
      <c r="F3037">
        <f>IF(Skills!N4=TRUE,(Skills!L4/10)*(E3037/1000),Skills!L4/10)+Skills!O4</f>
        <v/>
      </c>
      <c r="G3037">
        <f>Skills!G4*IF(Skills!H4&gt;0,Skills!I4/Skills!H4,1)</f>
        <v/>
      </c>
      <c r="H3037">
        <f>1-(1-Skills!J4/100)^Skills!K4</f>
        <v/>
      </c>
      <c r="I3037" t="inlineStr">
        <is>
          <t>1</t>
        </is>
      </c>
      <c r="J3037">
        <f>((Inputs!$B$6*(1+Inputs!$B$7/100))+(((Inputs!$B$12*(1+Inputs!$B$13/100))-(Inputs!$B$12*(1+Inputs!$B$13/100)))+0.25*(Inputs!$B$14-Inputs!$B$14))*(1+Inputs!$B$7/100))*(F3037/100)</f>
        <v/>
      </c>
      <c r="K3037">
        <f>J3037*(1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3049=TRUE,F3049,0)/100)*(1+(IF(Skills!A4="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3037)</f>
        <v/>
      </c>
      <c r="L3037">
        <f>K3037*(MIN(Inputs!$B$22+((C3055=TRUE)*(F3055-Calc!F22)),(Inputs!$B$23+0+(IF(ArtifactsInput!$M$15,CHOOSE(ArtifactsInput!$N$15+1,25,30,35,40,45,50)/100*(Inputs!$B$11-Inputs!$B$11),0))))/100+(Inputs!$B$23+0+(IF(ArtifactsInput!$M$15,CHOOSE(ArtifactsInput!$N$15+1,25,30,35,40,45,50)/100*(Inputs!$B$11-Inputs!$B$11),0)))/100)/2</f>
        <v/>
      </c>
      <c r="M3037">
        <f>L3037*(1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7">
        <f>L3037*(1-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3037*(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7">
        <f>(1-Summary!$B$11)*T3037+Summary!$B$11*V3037</f>
        <v/>
      </c>
      <c r="P3037">
        <f>IF(B3074=0,0,O3037/B3074)</f>
        <v/>
      </c>
      <c r="Q3037">
        <f>IFERROR(1/(IF(Inputs!$B$38="pvp",15,MAX(0.1,Skills!D4-IF(Skills!E4=TRUE,3.0,0)))*(1-IF(AND(ArtifactsInput!$M$27,Inputs!$B$4="Chapter Hunt"),CHOOSE(ArtifactsInput!$N$27+1,20,24,28,32,36,40),0)/100)),0)</f>
        <v/>
      </c>
      <c r="R3037">
        <f>IF(AND(Inputs!$B$38&lt;&gt;"pvp",Inputs!$B$43&gt;0),IF(MAX(0,Inputs!$B$43-B3071)&lt;=0,0,(INT(MAX(0,Inputs!$B$43-B3071)/(IF(Inputs!$B$38="pvp",15,MAX(0.1,Skills!D4-IF(Skills!E4=TRUE,3.0,0)))*(1-IF(AND(ArtifactsInput!$M$27,Inputs!$B$4="Chapter Hunt"),CHOOSE(ArtifactsInput!$N$27+1,20,24,28,32,36,40),0)/100)))+1)),0)</f>
        <v/>
      </c>
      <c r="S3037">
        <f>IFERROR(O3037/N3037,0)</f>
        <v/>
      </c>
      <c r="T3037">
        <f>IF(C3037,(H3037*N3037*IF(AND(Inputs!$B$38&lt;&gt;"pvp",Inputs!$B$43&gt;0),((Skills!G4*((R3037-1)*IF(Skills!H4&gt;0,Skills!I4/Skills!H4,1)+IF(Skills!H4&gt;0,MIN(Skills!I4,MAX(0,MAX(0,Inputs!$B$43-B3071)-((R3037-1)*(IF(Inputs!$B$38="pvp",15,MAX(0.1,Skills!D4-IF(Skills!E4=TRUE,3.0,0)))*(1-IF(AND(ArtifactsInput!$M$27,Inputs!$B$4="Chapter Hunt"),CHOOSE(ArtifactsInput!$N$27+1,20,24,28,32,36,40),0)/100)))))/Skills!H4,1)))/Inputs!$B$43),G3037*Q3037)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3037*(1-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3037*(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3037*(1-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3037*(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37">
        <f>290*U3036/1000</f>
        <v/>
      </c>
      <c r="V3037">
        <f>IF(C3037,(H3037*N3037*IF(AND(Inputs!$B$38&lt;&gt;"pvp",Inputs!$B$43&gt;0),((Skills!G4*((R3037-1)*IF(Skills!H4&gt;0,Skills!I4/Skills!H4,1)+IF(Skills!H4&gt;0,MIN(Skills!I4,MAX(0,MAX(0,Inputs!$B$43-B3071)-((R3037-1)*(IF(Inputs!$B$38="pvp",15,MAX(0.1,Skills!D4-IF(Skills!E4=TRUE,3.0,0)))*(1-IF(AND(ArtifactsInput!$M$27,Inputs!$B$4="Chapter Hunt"),CHOOSE(ArtifactsInput!$N$27+1,20,24,28,32,36,40),0)/100)))))/Skills!H4,1)))/Inputs!$B$43),G3037*Q3037))*IF(Inputs!$B$38="pvp",1,(1+(Inputs!$B$21+Skills!Q4+(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8">
      <c r="A3038">
        <f>Skills!A5</f>
        <v/>
      </c>
      <c r="B3038">
        <f>Skills!B5</f>
        <v/>
      </c>
      <c r="C3038">
        <f>Inputs!$B$3&gt;=45</f>
        <v/>
      </c>
      <c r="D3038">
        <f>IF(Skills!C5=1,60+Inputs!$B$25+Inputs!$B$29,IF(Skills!C5=2,90+Inputs!$B$26+Inputs!$B$29,IF(Skills!C5=3,120+Inputs!$B$27+Inputs!$B$29,MAX(0,(Inputs!$B$3-100)*3)+Inputs!$B$28+Inputs!$B$29)))</f>
        <v/>
      </c>
      <c r="E3038">
        <f>INDEX(FactorTable!$B$2:$Y$301, MATCH(ROUND(MIN(300,MAX(1,D3038)),0), FactorTable!$A$2:$A$301,0), Skills!M5+1)</f>
        <v/>
      </c>
      <c r="F3038">
        <f>IF(Skills!N5=TRUE,(Skills!L5/10)*(E3038/1000),Skills!L5/10)+Skills!O5</f>
        <v/>
      </c>
      <c r="G3038">
        <f>Skills!G5*IF(Skills!H5&gt;0,Skills!I5/Skills!H5,1)</f>
        <v/>
      </c>
      <c r="H3038">
        <f>1-(1-Skills!J5/100)^Skills!K5</f>
        <v/>
      </c>
      <c r="I3038" t="inlineStr">
        <is>
          <t>1</t>
        </is>
      </c>
      <c r="J3038">
        <f>((Inputs!$B$6*(1+Inputs!$B$7/100))+(((Inputs!$B$12*(1+Inputs!$B$13/100))-(Inputs!$B$12*(1+Inputs!$B$13/100)))+0.25*(Inputs!$B$14-Inputs!$B$14))*(1+Inputs!$B$7/100))*(F3038/100)</f>
        <v/>
      </c>
      <c r="K3038">
        <f>J3038*(1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3049=TRUE,F3049,0)/100)*(1+(IF(Skills!A5="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3038)</f>
        <v/>
      </c>
      <c r="L3038">
        <f>K3038*(MIN(Inputs!$B$22+((C3055=TRUE)*(F3055-Calc!F22)),(Inputs!$B$23+0+(IF(ArtifactsInput!$M$15,CHOOSE(ArtifactsInput!$N$15+1,25,30,35,40,45,50)/100*(Inputs!$B$11-Inputs!$B$11),0))))/100+(Inputs!$B$23+0+(IF(ArtifactsInput!$M$15,CHOOSE(ArtifactsInput!$N$15+1,25,30,35,40,45,50)/100*(Inputs!$B$11-Inputs!$B$11),0)))/100)/2</f>
        <v/>
      </c>
      <c r="M3038">
        <f>L3038*(1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8">
        <f>L3038*(1-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3038*(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8">
        <f>(1-Summary!$B$11)*T3038+Summary!$B$11*V3038</f>
        <v/>
      </c>
      <c r="P3038">
        <f>IF(B3074=0,0,O3038/B3074)</f>
        <v/>
      </c>
      <c r="Q3038">
        <f>IFERROR(1/(IF(Inputs!$B$38="pvp",15,MAX(0.1,Skills!D5-IF(Skills!E5=TRUE,3.0,0)))*(1-IF(AND(ArtifactsInput!$M$27,Inputs!$B$4="Chapter Hunt"),CHOOSE(ArtifactsInput!$N$27+1,20,24,28,32,36,40),0)/100)),0)</f>
        <v/>
      </c>
      <c r="R3038">
        <f>IF(AND(Inputs!$B$38&lt;&gt;"pvp",Inputs!$B$43&gt;0),IF(MAX(0,Inputs!$B$43-B3071)&lt;=0,0,(INT(MAX(0,Inputs!$B$43-B3071)/(IF(Inputs!$B$38="pvp",15,MAX(0.1,Skills!D5-IF(Skills!E5=TRUE,3.0,0)))*(1-IF(AND(ArtifactsInput!$M$27,Inputs!$B$4="Chapter Hunt"),CHOOSE(ArtifactsInput!$N$27+1,20,24,28,32,36,40),0)/100)))+1)),0)</f>
        <v/>
      </c>
      <c r="S3038">
        <f>IFERROR(O3038/N3038,0)</f>
        <v/>
      </c>
      <c r="T3038">
        <f>IF(C3038,(H3038*N3038*IF(AND(Inputs!$B$38&lt;&gt;"pvp",Inputs!$B$43&gt;0),((Skills!G5*((R3038-1)*IF(Skills!H5&gt;0,Skills!I5/Skills!H5,1)+IF(Skills!H5&gt;0,MIN(Skills!I5,MAX(0,MAX(0,Inputs!$B$43-B3071)-((R3038-1)*(IF(Inputs!$B$38="pvp",15,MAX(0.1,Skills!D5-IF(Skills!E5=TRUE,3.0,0)))*(1-IF(AND(ArtifactsInput!$M$27,Inputs!$B$4="Chapter Hunt"),CHOOSE(ArtifactsInput!$N$27+1,20,24,28,32,36,40),0)/100)))))/Skills!H5,1)))/Inputs!$B$43),G3038*Q3038)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3038*(1-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3038*(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3038*(1-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3038*(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8">
        <f>IF(C3038,(H3038*N3038*IF(AND(Inputs!$B$38&lt;&gt;"pvp",Inputs!$B$43&gt;0),((Skills!G5*((R3038-1)*IF(Skills!H5&gt;0,Skills!I5/Skills!H5,1)+IF(Skills!H5&gt;0,MIN(Skills!I5,MAX(0,MAX(0,Inputs!$B$43-B3071)-((R3038-1)*(IF(Inputs!$B$38="pvp",15,MAX(0.1,Skills!D5-IF(Skills!E5=TRUE,3.0,0)))*(1-IF(AND(ArtifactsInput!$M$27,Inputs!$B$4="Chapter Hunt"),CHOOSE(ArtifactsInput!$N$27+1,20,24,28,32,36,40),0)/100)))))/Skills!H5,1)))/Inputs!$B$43),G3038*Q3038))*IF(Inputs!$B$38="pvp",1,(1+(Inputs!$B$21+Skills!Q5+(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9">
      <c r="A3039">
        <f>Skills!A6</f>
        <v/>
      </c>
      <c r="B3039">
        <f>Skills!B6</f>
        <v/>
      </c>
      <c r="C3039">
        <f>Inputs!$B$3&gt;=63</f>
        <v/>
      </c>
      <c r="D3039">
        <f>IF(Skills!C6=1,60+Inputs!$B$25+Inputs!$B$29,IF(Skills!C6=2,90+Inputs!$B$26+Inputs!$B$29,IF(Skills!C6=3,120+Inputs!$B$27+Inputs!$B$29,MAX(0,(Inputs!$B$3-100)*3)+Inputs!$B$28+Inputs!$B$29)))</f>
        <v/>
      </c>
      <c r="E3039">
        <f>INDEX(FactorTable!$B$2:$Y$301, MATCH(ROUND(MIN(300,MAX(1,D3039)),0), FactorTable!$A$2:$A$301,0), Skills!M6+1)</f>
        <v/>
      </c>
      <c r="F3039">
        <f>IF(Skills!N6=TRUE,(Skills!L6/10)*(E3039/1000),Skills!L6/10)+Skills!O6</f>
        <v/>
      </c>
      <c r="G3039">
        <f>Skills!G6*IF(Skills!H6&gt;0,Skills!I6/Skills!H6,1)</f>
        <v/>
      </c>
      <c r="H3039">
        <f>1-(1-Skills!J6/100)^Skills!K6</f>
        <v/>
      </c>
      <c r="I3039" t="inlineStr">
        <is>
          <t>1</t>
        </is>
      </c>
      <c r="J3039">
        <f>((Inputs!$B$6*(1+Inputs!$B$7/100))+(((Inputs!$B$12*(1+Inputs!$B$13/100))-(Inputs!$B$12*(1+Inputs!$B$13/100)))+0.25*(Inputs!$B$14-Inputs!$B$14))*(1+Inputs!$B$7/100))*(F3039/100)</f>
        <v/>
      </c>
      <c r="K3039">
        <f>J3039*(1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3048=TRUE,F3048,0)/100)*(1+(IF(Skills!A6="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3039)</f>
        <v/>
      </c>
      <c r="L3039">
        <f>K3039*(MIN(Inputs!$B$22+((C3055=TRUE)*(F3055-Calc!F22)),(Inputs!$B$23+0+(IF(ArtifactsInput!$M$15,CHOOSE(ArtifactsInput!$N$15+1,25,30,35,40,45,50)/100*(Inputs!$B$11-Inputs!$B$11),0))))/100+(Inputs!$B$23+0+(IF(ArtifactsInput!$M$15,CHOOSE(ArtifactsInput!$N$15+1,25,30,35,40,45,50)/100*(Inputs!$B$11-Inputs!$B$11),0)))/100)/2</f>
        <v/>
      </c>
      <c r="M3039">
        <f>L3039*(1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9">
        <f>L3039*(1-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3039*(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9">
        <f>(1-Summary!$B$11)*T3039+Summary!$B$11*V3039</f>
        <v/>
      </c>
      <c r="P3039">
        <f>IF(B3074=0,0,O3039/B3074)</f>
        <v/>
      </c>
      <c r="Q3039">
        <f>IFERROR(1/(IF(Inputs!$B$38="pvp",15,MAX(0.1,Skills!D6-IF(Skills!E6=TRUE,3.0,0)))*(1-IF(AND(ArtifactsInput!$M$27,Inputs!$B$4="Chapter Hunt"),CHOOSE(ArtifactsInput!$N$27+1,20,24,28,32,36,40),0)/100)),0)</f>
        <v/>
      </c>
      <c r="R3039">
        <f>IF(AND(Inputs!$B$38&lt;&gt;"pvp",Inputs!$B$43&gt;0),IF(MAX(0,Inputs!$B$43-B3071)&lt;=0,0,(INT(MAX(0,Inputs!$B$43-B3071)/(IF(Inputs!$B$38="pvp",15,MAX(0.1,Skills!D6-IF(Skills!E6=TRUE,3.0,0)))*(1-IF(AND(ArtifactsInput!$M$27,Inputs!$B$4="Chapter Hunt"),CHOOSE(ArtifactsInput!$N$27+1,20,24,28,32,36,40),0)/100)))+1)),0)</f>
        <v/>
      </c>
      <c r="S3039">
        <f>IFERROR(O3039/N3039,0)</f>
        <v/>
      </c>
      <c r="T3039">
        <f>IF(C3039,(H3039*N3039*IF(AND(Inputs!$B$38&lt;&gt;"pvp",Inputs!$B$43&gt;0),((Skills!G6*((R3039-1)*IF(Skills!H6&gt;0,Skills!I6/Skills!H6,1)+IF(Skills!H6&gt;0,MIN(Skills!I6,MAX(0,MAX(0,Inputs!$B$43-B3071)-((R3039-1)*(IF(Inputs!$B$38="pvp",15,MAX(0.1,Skills!D6-IF(Skills!E6=TRUE,3.0,0)))*(1-IF(AND(ArtifactsInput!$M$27,Inputs!$B$4="Chapter Hunt"),CHOOSE(ArtifactsInput!$N$27+1,20,24,28,32,36,40),0)/100)))))/Skills!H6,1)))/Inputs!$B$43),G3039*Q3039)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3039*(1-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3039*(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3039*(1-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3039*(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9">
        <f>IF(C3039,(H3039*N3039*IF(AND(Inputs!$B$38&lt;&gt;"pvp",Inputs!$B$43&gt;0),((Skills!G6*((R3039-1)*IF(Skills!H6&gt;0,Skills!I6/Skills!H6,1)+IF(Skills!H6&gt;0,MIN(Skills!I6,MAX(0,MAX(0,Inputs!$B$43-B3071)-((R3039-1)*(IF(Inputs!$B$38="pvp",15,MAX(0.1,Skills!D6-IF(Skills!E6=TRUE,3.0,0)))*(1-IF(AND(ArtifactsInput!$M$27,Inputs!$B$4="Chapter Hunt"),CHOOSE(ArtifactsInput!$N$27+1,20,24,28,32,36,40),0)/100)))))/Skills!H6,1)))/Inputs!$B$43),G3039*Q3039))*IF(Inputs!$B$38="pvp",1,(1+(Inputs!$B$21+Skills!Q6+(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0">
      <c r="A3040">
        <f>Skills!A7</f>
        <v/>
      </c>
      <c r="B3040">
        <f>Skills!B7</f>
        <v/>
      </c>
      <c r="C3040">
        <f>Inputs!$B$3&gt;=66</f>
        <v/>
      </c>
      <c r="D3040">
        <f>IF(Skills!C7=1,60+Inputs!$B$25+Inputs!$B$29,IF(Skills!C7=2,90+Inputs!$B$26+Inputs!$B$29,IF(Skills!C7=3,120+Inputs!$B$27+Inputs!$B$29,MAX(0,(Inputs!$B$3-100)*3)+Inputs!$B$28+Inputs!$B$29)))</f>
        <v/>
      </c>
      <c r="E3040">
        <f>INDEX(FactorTable!$B$2:$Y$301, MATCH(ROUND(MIN(300,MAX(1,D3040)),0), FactorTable!$A$2:$A$301,0), Skills!M7+1)</f>
        <v/>
      </c>
      <c r="F3040">
        <f>IF(Skills!N7=TRUE,(Skills!L7/10)*(E3040/1000),Skills!L7/10)+Skills!O7</f>
        <v/>
      </c>
      <c r="G3040">
        <f>Skills!G7*IF(Skills!H7&gt;0,Skills!I7/Skills!H7,1)</f>
        <v/>
      </c>
      <c r="H3040">
        <f>1-(1-Skills!J7/100)^Skills!K7</f>
        <v/>
      </c>
      <c r="I3040" t="inlineStr">
        <is>
          <t>1</t>
        </is>
      </c>
      <c r="J3040">
        <f>((Inputs!$B$6*(1+Inputs!$B$7/100))+(((Inputs!$B$12*(1+Inputs!$B$13/100))-(Inputs!$B$12*(1+Inputs!$B$13/100)))+0.25*(Inputs!$B$14-Inputs!$B$14))*(1+Inputs!$B$7/100))*(F3040/100)</f>
        <v/>
      </c>
      <c r="K3040">
        <f>J3040*(1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3048=TRUE,F3048,0)/100)*(1+(IF(Skills!A7="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3040)</f>
        <v/>
      </c>
      <c r="L3040">
        <f>K3040*(MIN(Inputs!$B$22+((C3055=TRUE)*(F3055-Calc!F22)),(Inputs!$B$23+0+(IF(ArtifactsInput!$M$15,CHOOSE(ArtifactsInput!$N$15+1,25,30,35,40,45,50)/100*(Inputs!$B$11-Inputs!$B$11),0))))/100+(Inputs!$B$23+0+(IF(ArtifactsInput!$M$15,CHOOSE(ArtifactsInput!$N$15+1,25,30,35,40,45,50)/100*(Inputs!$B$11-Inputs!$B$11),0)))/100)/2</f>
        <v/>
      </c>
      <c r="M3040">
        <f>L3040*(1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0">
        <f>L3040*(1-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3040*(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0">
        <f>(1-Summary!$B$11)*T3040+Summary!$B$11*V3040</f>
        <v/>
      </c>
      <c r="P3040">
        <f>IF(B3074=0,0,O3040/B3074)</f>
        <v/>
      </c>
      <c r="Q3040">
        <f>IFERROR(1/(IF(Inputs!$B$38="pvp",15,MAX(0.1,Skills!D7-IF(Skills!E7=TRUE,3.0,0)))*(1-IF(AND(ArtifactsInput!$M$27,Inputs!$B$4="Chapter Hunt"),CHOOSE(ArtifactsInput!$N$27+1,20,24,28,32,36,40),0)/100)),0)</f>
        <v/>
      </c>
      <c r="R3040">
        <f>IF(AND(Inputs!$B$38&lt;&gt;"pvp",Inputs!$B$43&gt;0),IF(MAX(0,Inputs!$B$43-B3071)&lt;=0,0,(INT(MAX(0,Inputs!$B$43-B3071)/(IF(Inputs!$B$38="pvp",15,MAX(0.1,Skills!D7-IF(Skills!E7=TRUE,3.0,0)))*(1-IF(AND(ArtifactsInput!$M$27,Inputs!$B$4="Chapter Hunt"),CHOOSE(ArtifactsInput!$N$27+1,20,24,28,32,36,40),0)/100)))+1)),0)</f>
        <v/>
      </c>
      <c r="S3040">
        <f>IFERROR(O3040/N3040,0)</f>
        <v/>
      </c>
      <c r="T3040">
        <f>IF(C3040,(H3040*N3040*IF(AND(Inputs!$B$38&lt;&gt;"pvp",Inputs!$B$43&gt;0),((Skills!G7*((R3040-1)*IF(Skills!H7&gt;0,Skills!I7/Skills!H7,1)+IF(Skills!H7&gt;0,MIN(Skills!I7,MAX(0,MAX(0,Inputs!$B$43-B3071)-((R3040-1)*(IF(Inputs!$B$38="pvp",15,MAX(0.1,Skills!D7-IF(Skills!E7=TRUE,3.0,0)))*(1-IF(AND(ArtifactsInput!$M$27,Inputs!$B$4="Chapter Hunt"),CHOOSE(ArtifactsInput!$N$27+1,20,24,28,32,36,40),0)/100)))))/Skills!H7,1)))/Inputs!$B$43),G3040*Q3040)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3040*(1-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3040*(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3040*(1-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3040*(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0">
        <f>IF(C3040,(H3040*N3040*IF(AND(Inputs!$B$38&lt;&gt;"pvp",Inputs!$B$43&gt;0),((Skills!G7*((R3040-1)*IF(Skills!H7&gt;0,Skills!I7/Skills!H7,1)+IF(Skills!H7&gt;0,MIN(Skills!I7,MAX(0,MAX(0,Inputs!$B$43-B3071)-((R3040-1)*(IF(Inputs!$B$38="pvp",15,MAX(0.1,Skills!D7-IF(Skills!E7=TRUE,3.0,0)))*(1-IF(AND(ArtifactsInput!$M$27,Inputs!$B$4="Chapter Hunt"),CHOOSE(ArtifactsInput!$N$27+1,20,24,28,32,36,40),0)/100)))))/Skills!H7,1)))/Inputs!$B$43),G3040*Q3040))*IF(Inputs!$B$38="pvp",1,(1+(Inputs!$B$21+Skills!Q7+(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1">
      <c r="A3041">
        <f>Skills!A8</f>
        <v/>
      </c>
      <c r="B3041">
        <f>Skills!B8</f>
        <v/>
      </c>
      <c r="C3041">
        <f>Inputs!$B$3&gt;=100</f>
        <v/>
      </c>
      <c r="D3041">
        <f>IF(Skills!C8=1,60+Inputs!$B$25+Inputs!$B$29,IF(Skills!C8=2,90+Inputs!$B$26+Inputs!$B$29,IF(Skills!C8=3,120+Inputs!$B$27+Inputs!$B$29,MAX(0,(Inputs!$B$3-100)*3)+Inputs!$B$28+Inputs!$B$29)))</f>
        <v/>
      </c>
      <c r="E3041">
        <f>INDEX(FactorTable!$B$2:$Y$301, MATCH(ROUND(MIN(300,MAX(1,D3041)),0), FactorTable!$A$2:$A$301,0), Skills!M8+1)</f>
        <v/>
      </c>
      <c r="F3041">
        <f>IF(Skills!N8=TRUE,(Skills!L8/10)*(E3041/1000),Skills!L8/10)+Skills!O8</f>
        <v/>
      </c>
      <c r="G3041">
        <f>Skills!G8*IF(Skills!H8&gt;0,Skills!I8/Skills!H8,1)</f>
        <v/>
      </c>
      <c r="H3041">
        <f>1-(1-Skills!J8/100)^Skills!K8</f>
        <v/>
      </c>
      <c r="I3041" t="inlineStr">
        <is>
          <t>1</t>
        </is>
      </c>
      <c r="J3041">
        <f>((Inputs!$B$6*(1+Inputs!$B$7/100))+(((Inputs!$B$12*(1+Inputs!$B$13/100))-(Inputs!$B$12*(1+Inputs!$B$13/100)))+0.25*(Inputs!$B$14-Inputs!$B$14))*(1+Inputs!$B$7/100))*(F3041/100)</f>
        <v/>
      </c>
      <c r="K3041">
        <f>J3041*(1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3041)</f>
        <v/>
      </c>
      <c r="L3041">
        <f>K3041*(MIN(Inputs!$B$22+((C3055=TRUE)*(F3055-Calc!F22)),(Inputs!$B$23+0+(IF(ArtifactsInput!$M$15,CHOOSE(ArtifactsInput!$N$15+1,25,30,35,40,45,50)/100*(Inputs!$B$11-Inputs!$B$11),0))))/100+(Inputs!$B$23+0+(IF(ArtifactsInput!$M$15,CHOOSE(ArtifactsInput!$N$15+1,25,30,35,40,45,50)/100*(Inputs!$B$11-Inputs!$B$11),0)))/100)/2</f>
        <v/>
      </c>
      <c r="M3041">
        <f>L3041*(1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1">
        <f>L3041*(1-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1">
        <f>(1-Summary!$B$11)*T3041+Summary!$B$11*V3041</f>
        <v/>
      </c>
      <c r="P3041">
        <f>IF(B3074=0,0,O3041/B3074)</f>
        <v/>
      </c>
      <c r="Q3041">
        <f>IFERROR(1/(IF(Inputs!$B$38="pvp",15,MAX(0.1,Skills!D8-IF(Skills!E8=TRUE,3.0,0)))*(1-IF(AND(ArtifactsInput!$M$27,Inputs!$B$4="Chapter Hunt"),CHOOSE(ArtifactsInput!$N$27+1,20,24,28,32,36,40),0)/100)),0)</f>
        <v/>
      </c>
      <c r="R3041">
        <f>IF(AND(Inputs!$B$38&lt;&gt;"pvp",Inputs!$B$43&gt;0),IF(MAX(0,Inputs!$B$43-B3071)&lt;=0,0,(INT(MAX(0,Inputs!$B$43-B3071)/(IF(Inputs!$B$38="pvp",15,MAX(0.1,Skills!D8-IF(Skills!E8=TRUE,3.0,0)))*(1-IF(AND(ArtifactsInput!$M$27,Inputs!$B$4="Chapter Hunt"),CHOOSE(ArtifactsInput!$N$27+1,20,24,28,32,36,40),0)/100)))+1)),0)</f>
        <v/>
      </c>
      <c r="S3041">
        <f>IFERROR(O3041/N3041,0)</f>
        <v/>
      </c>
      <c r="T3041">
        <f>IF(C3041,(H3041*N3041*IF(AND(Inputs!$B$38&lt;&gt;"pvp",Inputs!$B$43&gt;0),((Skills!G8*((R3041-1)*IF(Skills!H8&gt;0,Skills!I8/Skills!H8,1)+IF(Skills!H8&gt;0,MIN(Skills!I8,MAX(0,MAX(0,Inputs!$B$43-B3071)-((R3041-1)*(IF(Inputs!$B$38="pvp",15,MAX(0.1,Skills!D8-IF(Skills!E8=TRUE,3.0,0)))*(1-IF(AND(ArtifactsInput!$M$27,Inputs!$B$4="Chapter Hunt"),CHOOSE(ArtifactsInput!$N$27+1,20,24,28,32,36,40),0)/100)))))/Skills!H8,1)))/Inputs!$B$43),G3041*Q3041)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3041*(1-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3041*(1-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1">
        <f>IF(C3041,(H3041*N3041*IF(AND(Inputs!$B$38&lt;&gt;"pvp",Inputs!$B$43&gt;0),((Skills!G8*((R3041-1)*IF(Skills!H8&gt;0,Skills!I8/Skills!H8,1)+IF(Skills!H8&gt;0,MIN(Skills!I8,MAX(0,MAX(0,Inputs!$B$43-B3071)-((R3041-1)*(IF(Inputs!$B$38="pvp",15,MAX(0.1,Skills!D8-IF(Skills!E8=TRUE,3.0,0)))*(1-IF(AND(ArtifactsInput!$M$27,Inputs!$B$4="Chapter Hunt"),CHOOSE(ArtifactsInput!$N$27+1,20,24,28,32,36,40),0)/100)))))/Skills!H8,1)))/Inputs!$B$43),G3041*Q3041))*IF(Inputs!$B$38="pvp",1,(1+(Inputs!$B$21+Skills!Q8+(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2">
      <c r="A3042">
        <f>Skills!A9</f>
        <v/>
      </c>
      <c r="B3042">
        <f>Skills!B9</f>
        <v/>
      </c>
      <c r="C3042">
        <f>Inputs!$B$3&gt;=103</f>
        <v/>
      </c>
      <c r="D3042">
        <f>IF(Skills!C9=1,60+Inputs!$B$25+Inputs!$B$29,IF(Skills!C9=2,90+Inputs!$B$26+Inputs!$B$29,IF(Skills!C9=3,120+Inputs!$B$27+Inputs!$B$29,MAX(0,(Inputs!$B$3-100)*3)+Inputs!$B$28+Inputs!$B$29)))</f>
        <v/>
      </c>
      <c r="E3042">
        <f>INDEX(FactorTable!$B$2:$Y$301, MATCH(ROUND(MIN(300,MAX(1,D3042)),0), FactorTable!$A$2:$A$301,0), Skills!M9+1)</f>
        <v/>
      </c>
      <c r="F3042">
        <f>IF(Skills!N9=TRUE,(Skills!L9/10)*(E3042/1000),Skills!L9/10)+Skills!O9</f>
        <v/>
      </c>
      <c r="G3042">
        <f>Skills!G9*IF(Skills!H9&gt;0,Skills!I9/Skills!H9,1)</f>
        <v/>
      </c>
      <c r="H3042">
        <f>1-(1-Skills!J9/100)^Skills!K9</f>
        <v/>
      </c>
      <c r="I3042" t="inlineStr">
        <is>
          <t>1</t>
        </is>
      </c>
      <c r="J3042">
        <f>((Inputs!$B$6*(1+Inputs!$B$7/100))+(((Inputs!$B$12*(1+Inputs!$B$13/100))-(Inputs!$B$12*(1+Inputs!$B$13/100)))+0.25*(Inputs!$B$14-Inputs!$B$14))*(1+Inputs!$B$7/100))*(F3042/100)</f>
        <v/>
      </c>
      <c r="K3042">
        <f>J3042*(1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3042)</f>
        <v/>
      </c>
      <c r="L3042">
        <f>K3042*(MIN(Inputs!$B$22+((C3055=TRUE)*(F3055-Calc!F22)),(Inputs!$B$23+0+(IF(ArtifactsInput!$M$15,CHOOSE(ArtifactsInput!$N$15+1,25,30,35,40,45,50)/100*(Inputs!$B$11-Inputs!$B$11),0))))/100+(Inputs!$B$23+0+(IF(ArtifactsInput!$M$15,CHOOSE(ArtifactsInput!$N$15+1,25,30,35,40,45,50)/100*(Inputs!$B$11-Inputs!$B$11),0)))/100)/2</f>
        <v/>
      </c>
      <c r="M3042">
        <f>L3042*(1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2">
        <f>L3042*(1-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3042*(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2">
        <f>(1-Summary!$B$11)*T3042+Summary!$B$11*V3042</f>
        <v/>
      </c>
      <c r="P3042">
        <f>IF(B3074=0,0,O3042/B3074)</f>
        <v/>
      </c>
      <c r="Q3042">
        <f>IFERROR(1/(IF(Inputs!$B$38="pvp",15,MAX(0.1,Skills!D9-IF(Skills!E9=TRUE,3.0,0)))*(1-IF(AND(ArtifactsInput!$M$27,Inputs!$B$4="Chapter Hunt"),CHOOSE(ArtifactsInput!$N$27+1,20,24,28,32,36,40),0)/100)),0)</f>
        <v/>
      </c>
      <c r="R3042">
        <f>IF(AND(Inputs!$B$38&lt;&gt;"pvp",Inputs!$B$43&gt;0),IF(MAX(0,Inputs!$B$43-B3071)&lt;=0,0,(INT(MAX(0,Inputs!$B$43-B3071)/(IF(Inputs!$B$38="pvp",15,MAX(0.1,Skills!D9-IF(Skills!E9=TRUE,3.0,0)))*(1-IF(AND(ArtifactsInput!$M$27,Inputs!$B$4="Chapter Hunt"),CHOOSE(ArtifactsInput!$N$27+1,20,24,28,32,36,40),0)/100)))+1)),0)</f>
        <v/>
      </c>
      <c r="S3042">
        <f>IFERROR(O3042/N3042,0)</f>
        <v/>
      </c>
      <c r="T3042">
        <f>IF(C3042,(H3042*N3042*IF(AND(Inputs!$B$38&lt;&gt;"pvp",Inputs!$B$43&gt;0),((Skills!G9*((R3042-1)*IF(Skills!H9&gt;0,Skills!I9/Skills!H9,1)+IF(Skills!H9&gt;0,MIN(Skills!I9,MAX(0,MAX(0,Inputs!$B$43-B3071)-((R3042-1)*(IF(Inputs!$B$38="pvp",15,MAX(0.1,Skills!D9-IF(Skills!E9=TRUE,3.0,0)))*(1-IF(AND(ArtifactsInput!$M$27,Inputs!$B$4="Chapter Hunt"),CHOOSE(ArtifactsInput!$N$27+1,20,24,28,32,36,40),0)/100)))))/Skills!H9,1)))/Inputs!$B$43),G3042*Q3042)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3042*(1-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3042*(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3042*(1-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3042*(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2">
        <f>IF(C3042,(H3042*N3042*IF(AND(Inputs!$B$38&lt;&gt;"pvp",Inputs!$B$43&gt;0),((Skills!G9*((R3042-1)*IF(Skills!H9&gt;0,Skills!I9/Skills!H9,1)+IF(Skills!H9&gt;0,MIN(Skills!I9,MAX(0,MAX(0,Inputs!$B$43-B3071)-((R3042-1)*(IF(Inputs!$B$38="pvp",15,MAX(0.1,Skills!D9-IF(Skills!E9=TRUE,3.0,0)))*(1-IF(AND(ArtifactsInput!$M$27,Inputs!$B$4="Chapter Hunt"),CHOOSE(ArtifactsInput!$N$27+1,20,24,28,32,36,40),0)/100)))))/Skills!H9,1)))/Inputs!$B$43),G3042*Q3042))*IF(Inputs!$B$38="pvp",1,(1+(Inputs!$B$21+Skills!Q9+(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3">
      <c r="A3043">
        <f>Skills!A10</f>
        <v/>
      </c>
      <c r="B3043">
        <f>Skills!B10</f>
        <v/>
      </c>
      <c r="C3043">
        <f>Inputs!$B$3&gt;=113</f>
        <v/>
      </c>
      <c r="D3043">
        <f>IF(Skills!C10=1,60+Inputs!$B$25+Inputs!$B$29,IF(Skills!C10=2,90+Inputs!$B$26+Inputs!$B$29,IF(Skills!C10=3,120+Inputs!$B$27+Inputs!$B$29,MAX(0,(Inputs!$B$3-100)*3)+Inputs!$B$28+Inputs!$B$29)))</f>
        <v/>
      </c>
      <c r="E3043">
        <f>INDEX(FactorTable!$B$2:$Y$301, MATCH(ROUND(MIN(300,MAX(1,D3043)),0), FactorTable!$A$2:$A$301,0), Skills!M10+1)</f>
        <v/>
      </c>
      <c r="F3043">
        <f>IF(Skills!N10=TRUE,(Skills!L10/10)*(E3043/1000),Skills!L10/10)+Skills!O10</f>
        <v/>
      </c>
      <c r="G3043">
        <f>Skills!G10*IF(Skills!H10&gt;0,Skills!I10/Skills!H10,1)</f>
        <v/>
      </c>
      <c r="H3043">
        <f>1-(1-Skills!J10/100)^Skills!K10</f>
        <v/>
      </c>
      <c r="I3043" t="inlineStr">
        <is>
          <t>1</t>
        </is>
      </c>
      <c r="J3043">
        <f>((Inputs!$B$6*(1+Inputs!$B$7/100))+(((Inputs!$B$12*(1+Inputs!$B$13/100))-(Inputs!$B$12*(1+Inputs!$B$13/100)))+0.25*(Inputs!$B$14-Inputs!$B$14))*(1+Inputs!$B$7/100))*(F3043/100)</f>
        <v/>
      </c>
      <c r="K3043">
        <f>J3043*(1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3043)</f>
        <v/>
      </c>
      <c r="L3043">
        <f>K3043*(MIN(Inputs!$B$22+((C3055=TRUE)*(F3055-Calc!F22)),(Inputs!$B$23+0+(IF(ArtifactsInput!$M$15,CHOOSE(ArtifactsInput!$N$15+1,25,30,35,40,45,50)/100*(Inputs!$B$11-Inputs!$B$11),0))))/100+(Inputs!$B$23+0+(IF(ArtifactsInput!$M$15,CHOOSE(ArtifactsInput!$N$15+1,25,30,35,40,45,50)/100*(Inputs!$B$11-Inputs!$B$11),0)))/100)/2</f>
        <v/>
      </c>
      <c r="M3043">
        <f>L3043*(1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3">
        <f>L3043*(1-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3043*(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3">
        <f>(1-Summary!$B$11)*T3043+Summary!$B$11*V3043</f>
        <v/>
      </c>
      <c r="P3043">
        <f>IF(B3074=0,0,O3043/B3074)</f>
        <v/>
      </c>
      <c r="Q3043">
        <f>IFERROR(1/(IF(Inputs!$B$38="pvp",15,MAX(0.1,Skills!D10-IF(Skills!E10=TRUE,3.0,0)))*(1-IF(AND(ArtifactsInput!$M$27,Inputs!$B$4="Chapter Hunt"),CHOOSE(ArtifactsInput!$N$27+1,20,24,28,32,36,40),0)/100)),0)</f>
        <v/>
      </c>
      <c r="R3043">
        <f>IF(AND(Inputs!$B$38&lt;&gt;"pvp",Inputs!$B$43&gt;0),IF(MAX(0,Inputs!$B$43-B3071)&lt;=0,0,(INT(MAX(0,Inputs!$B$43-B3071)/(IF(Inputs!$B$38="pvp",15,MAX(0.1,Skills!D10-IF(Skills!E10=TRUE,3.0,0)))*(1-IF(AND(ArtifactsInput!$M$27,Inputs!$B$4="Chapter Hunt"),CHOOSE(ArtifactsInput!$N$27+1,20,24,28,32,36,40),0)/100)))+1)),0)</f>
        <v/>
      </c>
      <c r="S3043">
        <f>IFERROR(O3043/N3043,0)</f>
        <v/>
      </c>
      <c r="T3043">
        <f>IF(C3043,(H3043*N3043*IF(AND(Inputs!$B$38&lt;&gt;"pvp",Inputs!$B$43&gt;0),((Skills!G10*((R3043-1)*IF(Skills!H10&gt;0,Skills!I10/Skills!H10,1)+IF(Skills!H10&gt;0,MIN(Skills!I10,MAX(0,MAX(0,Inputs!$B$43-B3071)-((R3043-1)*(IF(Inputs!$B$38="pvp",15,MAX(0.1,Skills!D10-IF(Skills!E10=TRUE,3.0,0)))*(1-IF(AND(ArtifactsInput!$M$27,Inputs!$B$4="Chapter Hunt"),CHOOSE(ArtifactsInput!$N$27+1,20,24,28,32,36,40),0)/100)))))/Skills!H10,1)))/Inputs!$B$43),G3043*Q3043)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3043*(1-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3043*(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3043*(1-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3043*(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3">
        <f>IF(C3043,(H3043*N3043*IF(AND(Inputs!$B$38&lt;&gt;"pvp",Inputs!$B$43&gt;0),((Skills!G10*((R3043-1)*IF(Skills!H10&gt;0,Skills!I10/Skills!H10,1)+IF(Skills!H10&gt;0,MIN(Skills!I10,MAX(0,MAX(0,Inputs!$B$43-B3071)-((R3043-1)*(IF(Inputs!$B$38="pvp",15,MAX(0.1,Skills!D10-IF(Skills!E10=TRUE,3.0,0)))*(1-IF(AND(ArtifactsInput!$M$27,Inputs!$B$4="Chapter Hunt"),CHOOSE(ArtifactsInput!$N$27+1,20,24,28,32,36,40),0)/100)))))/Skills!H10,1)))/Inputs!$B$43),G3043*Q3043))*IF(Inputs!$B$38="pvp",1,(1+(Inputs!$B$21+Skills!Q10+(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4">
      <c r="A3044">
        <f>Skills!A11</f>
        <v/>
      </c>
      <c r="B3044">
        <f>Skills!B11</f>
        <v/>
      </c>
      <c r="C3044">
        <f>Inputs!$B$3&gt;=107</f>
        <v/>
      </c>
      <c r="D3044">
        <f>IF(Skills!C11=1,60+Inputs!$B$25+Inputs!$B$29,IF(Skills!C11=2,90+Inputs!$B$26+Inputs!$B$29,IF(Skills!C11=3,120+Inputs!$B$27+Inputs!$B$29,MAX(0,(Inputs!$B$3-100)*3)+Inputs!$B$28+Inputs!$B$29)))</f>
        <v/>
      </c>
      <c r="E3044">
        <f>INDEX(FactorTable!$B$2:$Y$301, MATCH(ROUND(MIN(300,MAX(1,D3044)),0), FactorTable!$A$2:$A$301,0), Skills!M11+1)</f>
        <v/>
      </c>
      <c r="F3044">
        <f>IF(Skills!N11=TRUE,(Skills!L11/10)*(E3044/1000),Skills!L11/10)+Skills!O11</f>
        <v/>
      </c>
      <c r="G3044">
        <f>Skills!G11*IF(Skills!H11&gt;0,Skills!I11/Skills!H11,1)</f>
        <v/>
      </c>
      <c r="H3044">
        <f>1-(1-Skills!J11/100)^Skills!K11</f>
        <v/>
      </c>
      <c r="I3044" t="inlineStr">
        <is>
          <t>1</t>
        </is>
      </c>
      <c r="J3044">
        <f>((Inputs!$B$6*(1+Inputs!$B$7/100))+(((Inputs!$B$12*(1+Inputs!$B$13/100))-(Inputs!$B$12*(1+Inputs!$B$13/100)))+0.25*(Inputs!$B$14-Inputs!$B$14))*(1+Inputs!$B$7/100))*(F3044/100)</f>
        <v/>
      </c>
      <c r="K3044">
        <f>J3044*(1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3044)</f>
        <v/>
      </c>
      <c r="L3044">
        <f>K3044*(MIN(Inputs!$B$22+((C3055=TRUE)*(F3055-Calc!F22)),(Inputs!$B$23+0+(IF(ArtifactsInput!$M$15,CHOOSE(ArtifactsInput!$N$15+1,25,30,35,40,45,50)/100*(Inputs!$B$11-Inputs!$B$11),0))))/100+(Inputs!$B$23+0+(IF(ArtifactsInput!$M$15,CHOOSE(ArtifactsInput!$N$15+1,25,30,35,40,45,50)/100*(Inputs!$B$11-Inputs!$B$11),0)))/100)/2</f>
        <v/>
      </c>
      <c r="M3044">
        <f>L3044*(1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4">
        <f>L3044*(1-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3044*(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4">
        <f>(1-Summary!$B$11)*T3044+Summary!$B$11*V3044</f>
        <v/>
      </c>
      <c r="P3044">
        <f>IF(B3074=0,0,O3044/B3074)</f>
        <v/>
      </c>
      <c r="Q3044">
        <f>IFERROR(1/(IF(Inputs!$B$38="pvp",15,MAX(0.1,Skills!D11-IF(Skills!E11=TRUE,3.0,0)))*(1-IF(AND(ArtifactsInput!$M$27,Inputs!$B$4="Chapter Hunt"),CHOOSE(ArtifactsInput!$N$27+1,20,24,28,32,36,40),0)/100)),0)</f>
        <v/>
      </c>
      <c r="R3044">
        <f>IF(AND(Inputs!$B$38&lt;&gt;"pvp",Inputs!$B$43&gt;0),IF(MAX(0,Inputs!$B$43-B3071)&lt;=0,0,(INT(MAX(0,Inputs!$B$43-B3071)/(IF(Inputs!$B$38="pvp",15,MAX(0.1,Skills!D11-IF(Skills!E11=TRUE,3.0,0)))*(1-IF(AND(ArtifactsInput!$M$27,Inputs!$B$4="Chapter Hunt"),CHOOSE(ArtifactsInput!$N$27+1,20,24,28,32,36,40),0)/100)))+1)),0)</f>
        <v/>
      </c>
      <c r="S3044">
        <f>IFERROR(O3044/N3044,0)</f>
        <v/>
      </c>
      <c r="T3044">
        <f>IF(C3044,(H3044*N3044*IF(AND(Inputs!$B$38&lt;&gt;"pvp",Inputs!$B$43&gt;0),((Skills!G11*((R3044-1)*IF(Skills!H11&gt;0,Skills!I11/Skills!H11,1)+IF(Skills!H11&gt;0,MIN(Skills!I11,MAX(0,MAX(0,Inputs!$B$43-B3071)-((R3044-1)*(IF(Inputs!$B$38="pvp",15,MAX(0.1,Skills!D11-IF(Skills!E11=TRUE,3.0,0)))*(1-IF(AND(ArtifactsInput!$M$27,Inputs!$B$4="Chapter Hunt"),CHOOSE(ArtifactsInput!$N$27+1,20,24,28,32,36,40),0)/100)))))/Skills!H11,1)))/Inputs!$B$43),G3044*Q3044)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3044*(1-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3044*(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3044*(1-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3044*(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4">
        <f>IF(C3044,(H3044*N3044*IF(AND(Inputs!$B$38&lt;&gt;"pvp",Inputs!$B$43&gt;0),((Skills!G11*((R3044-1)*IF(Skills!H11&gt;0,Skills!I11/Skills!H11,1)+IF(Skills!H11&gt;0,MIN(Skills!I11,MAX(0,MAX(0,Inputs!$B$43-B3071)-((R3044-1)*(IF(Inputs!$B$38="pvp",15,MAX(0.1,Skills!D11-IF(Skills!E11=TRUE,3.0,0)))*(1-IF(AND(ArtifactsInput!$M$27,Inputs!$B$4="Chapter Hunt"),CHOOSE(ArtifactsInput!$N$27+1,20,24,28,32,36,40),0)/100)))))/Skills!H11,1)))/Inputs!$B$43),G3044*Q3044))*IF(Inputs!$B$38="pvp",1,(1+(Inputs!$B$21+Skills!Q11+(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5">
      <c r="A3045">
        <f>Skills!A12</f>
        <v/>
      </c>
      <c r="B3045">
        <f>Skills!B12</f>
        <v/>
      </c>
      <c r="C3045">
        <f>Inputs!$B$3&gt;=110</f>
        <v/>
      </c>
      <c r="D3045">
        <f>IF(Skills!C12=1,60+Inputs!$B$25+Inputs!$B$29,IF(Skills!C12=2,90+Inputs!$B$26+Inputs!$B$29,IF(Skills!C12=3,120+Inputs!$B$27+Inputs!$B$29,MAX(0,(Inputs!$B$3-100)*3)+Inputs!$B$28+Inputs!$B$29)))</f>
        <v/>
      </c>
      <c r="E3045">
        <f>INDEX(FactorTable!$B$2:$Y$301, MATCH(ROUND(MIN(300,MAX(1,D3045)),0), FactorTable!$A$2:$A$301,0), Skills!M12+1)</f>
        <v/>
      </c>
      <c r="F3045">
        <f>IF(Skills!N12=TRUE,(Skills!L12/10)*(E3045/1000),Skills!L12/10)+Skills!O12</f>
        <v/>
      </c>
      <c r="G3045">
        <f>Skills!G12*IF(Skills!H12&gt;0,Skills!I12/Skills!H12,1)</f>
        <v/>
      </c>
      <c r="H3045">
        <f>1-(1-Skills!J12/100)^Skills!K12</f>
        <v/>
      </c>
      <c r="I3045" t="inlineStr">
        <is>
          <t>1</t>
        </is>
      </c>
      <c r="J3045">
        <f>((Inputs!$B$6*(1+Inputs!$B$7/100))+(((Inputs!$B$12*(1+Inputs!$B$13/100))-(Inputs!$B$12*(1+Inputs!$B$13/100)))+0.25*(Inputs!$B$14-Inputs!$B$14))*(1+Inputs!$B$7/100))*(F3045/100)</f>
        <v/>
      </c>
      <c r="K3045">
        <f>J3045*(1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3045)</f>
        <v/>
      </c>
      <c r="L3045">
        <f>K3045*(MIN(Inputs!$B$22+((C3055=TRUE)*(F3055-Calc!F22)),(Inputs!$B$23+0+(IF(ArtifactsInput!$M$15,CHOOSE(ArtifactsInput!$N$15+1,25,30,35,40,45,50)/100*(Inputs!$B$11-Inputs!$B$11),0))))/100+(Inputs!$B$23+0+(IF(ArtifactsInput!$M$15,CHOOSE(ArtifactsInput!$N$15+1,25,30,35,40,45,50)/100*(Inputs!$B$11-Inputs!$B$11),0)))/100)/2</f>
        <v/>
      </c>
      <c r="M3045">
        <f>L3045*(1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5">
        <f>L3045*(1-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3045*(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5">
        <f>(1-Summary!$B$11)*T3045+Summary!$B$11*V3045</f>
        <v/>
      </c>
      <c r="P3045">
        <f>IF(B3074=0,0,O3045/B3074)</f>
        <v/>
      </c>
      <c r="Q3045">
        <f>IFERROR(1/(IF(Inputs!$B$38="pvp",15,MAX(0.1,Skills!D12-IF(Skills!E12=TRUE,3.0,0)))*(1-IF(AND(ArtifactsInput!$M$27,Inputs!$B$4="Chapter Hunt"),CHOOSE(ArtifactsInput!$N$27+1,20,24,28,32,36,40),0)/100)),0)</f>
        <v/>
      </c>
      <c r="R3045">
        <f>IF(AND(Inputs!$B$38&lt;&gt;"pvp",Inputs!$B$43&gt;0),IF(MAX(0,Inputs!$B$43-B3071)&lt;=0,0,(INT(MAX(0,Inputs!$B$43-B3071)/(IF(Inputs!$B$38="pvp",15,MAX(0.1,Skills!D12-IF(Skills!E12=TRUE,3.0,0)))*(1-IF(AND(ArtifactsInput!$M$27,Inputs!$B$4="Chapter Hunt"),CHOOSE(ArtifactsInput!$N$27+1,20,24,28,32,36,40),0)/100)))+1)),0)</f>
        <v/>
      </c>
      <c r="S3045">
        <f>IFERROR(O3045/N3045,0)</f>
        <v/>
      </c>
      <c r="T3045">
        <f>IF(C3045,(H3045*N3045*IF(AND(Inputs!$B$38&lt;&gt;"pvp",Inputs!$B$43&gt;0),((Skills!G12*((R3045-1)*IF(Skills!H12&gt;0,Skills!I12/Skills!H12,1)+IF(Skills!H12&gt;0,MIN(Skills!I12,MAX(0,MAX(0,Inputs!$B$43-B3071)-((R3045-1)*(IF(Inputs!$B$38="pvp",15,MAX(0.1,Skills!D12-IF(Skills!E12=TRUE,3.0,0)))*(1-IF(AND(ArtifactsInput!$M$27,Inputs!$B$4="Chapter Hunt"),CHOOSE(ArtifactsInput!$N$27+1,20,24,28,32,36,40),0)/100)))))/Skills!H12,1)))/Inputs!$B$43),G3045*Q3045)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3045*(1-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3045*(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3045*(1-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3045*(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5">
        <f>IF(C3045,(H3045*N3045*IF(AND(Inputs!$B$38&lt;&gt;"pvp",Inputs!$B$43&gt;0),((Skills!G12*((R3045-1)*IF(Skills!H12&gt;0,Skills!I12/Skills!H12,1)+IF(Skills!H12&gt;0,MIN(Skills!I12,MAX(0,MAX(0,Inputs!$B$43-B3071)-((R3045-1)*(IF(Inputs!$B$38="pvp",15,MAX(0.1,Skills!D12-IF(Skills!E12=TRUE,3.0,0)))*(1-IF(AND(ArtifactsInput!$M$27,Inputs!$B$4="Chapter Hunt"),CHOOSE(ArtifactsInput!$N$27+1,20,24,28,32,36,40),0)/100)))))/Skills!H12,1)))/Inputs!$B$43),G3045*Q3045))*IF(Inputs!$B$38="pvp",1,(1+(Inputs!$B$21+Skills!Q12+(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6">
      <c r="A3046">
        <f>Skills!A13</f>
        <v/>
      </c>
      <c r="B3046">
        <f>Skills!B13</f>
        <v/>
      </c>
      <c r="C3046">
        <f>Inputs!$B$3&gt;=110</f>
        <v/>
      </c>
      <c r="D3046">
        <f>IF(Skills!C13=1,60+Inputs!$B$25+Inputs!$B$29,IF(Skills!C13=2,90+Inputs!$B$26+Inputs!$B$29,IF(Skills!C13=3,120+Inputs!$B$27+Inputs!$B$29,MAX(0,(Inputs!$B$3-100)*3)+Inputs!$B$28+Inputs!$B$29)))</f>
        <v/>
      </c>
      <c r="E3046">
        <f>INDEX(FactorTable!$B$2:$Y$301, MATCH(ROUND(MIN(300,MAX(1,D3046)),0), FactorTable!$A$2:$A$301,0), Skills!M13+1)</f>
        <v/>
      </c>
      <c r="F3046">
        <f>IF(Skills!N13=TRUE,(Skills!L13/10)*(E3046/1000),Skills!L13/10)+Skills!O13</f>
        <v/>
      </c>
      <c r="G3046">
        <f>Skills!G13*IF(Skills!H13&gt;0,Skills!I13/Skills!H13,1)</f>
        <v/>
      </c>
      <c r="H3046">
        <f>1-(1-Skills!J13/100)^Skills!K13</f>
        <v/>
      </c>
      <c r="I3046" t="inlineStr">
        <is>
          <t>1</t>
        </is>
      </c>
      <c r="J3046">
        <f>((Inputs!$B$6*(1+Inputs!$B$7/100))+(((Inputs!$B$12*(1+Inputs!$B$13/100))-(Inputs!$B$12*(1+Inputs!$B$13/100)))+0.25*(Inputs!$B$14-Inputs!$B$14))*(1+Inputs!$B$7/100))*(F3046/100)</f>
        <v/>
      </c>
      <c r="K3046">
        <f>J3046*(1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3046)</f>
        <v/>
      </c>
      <c r="L3046">
        <f>K3046*(MIN(Inputs!$B$22+((C3055=TRUE)*(F3055-Calc!F22)),(Inputs!$B$23+0+(IF(ArtifactsInput!$M$15,CHOOSE(ArtifactsInput!$N$15+1,25,30,35,40,45,50)/100*(Inputs!$B$11-Inputs!$B$11),0))))/100+(Inputs!$B$23+0+(IF(ArtifactsInput!$M$15,CHOOSE(ArtifactsInput!$N$15+1,25,30,35,40,45,50)/100*(Inputs!$B$11-Inputs!$B$11),0)))/100)/2</f>
        <v/>
      </c>
      <c r="M3046">
        <f>L3046*(1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6">
        <f>L3046*(1-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3046*(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6">
        <f>(1-Summary!$B$11)*T3046+Summary!$B$11*V3046</f>
        <v/>
      </c>
      <c r="P3046">
        <f>IF(B3074=0,0,O3046/B3074)</f>
        <v/>
      </c>
      <c r="Q3046">
        <f>IFERROR(1/(IF(Inputs!$B$38="pvp",15,MAX(0.1,Skills!D13-IF(Skills!E13=TRUE,3.0,0)))*(1-IF(AND(ArtifactsInput!$M$27,Inputs!$B$4="Chapter Hunt"),CHOOSE(ArtifactsInput!$N$27+1,20,24,28,32,36,40),0)/100)),0)</f>
        <v/>
      </c>
      <c r="R3046">
        <f>IF(AND(Inputs!$B$38&lt;&gt;"pvp",Inputs!$B$43&gt;0),IF(MAX(0,Inputs!$B$43-B3071)&lt;=0,0,(INT(MAX(0,Inputs!$B$43-B3071)/(IF(Inputs!$B$38="pvp",15,MAX(0.1,Skills!D13-IF(Skills!E13=TRUE,3.0,0)))*(1-IF(AND(ArtifactsInput!$M$27,Inputs!$B$4="Chapter Hunt"),CHOOSE(ArtifactsInput!$N$27+1,20,24,28,32,36,40),0)/100)))+1)),0)</f>
        <v/>
      </c>
      <c r="S3046">
        <f>IFERROR(O3046/N3046,0)</f>
        <v/>
      </c>
      <c r="T3046">
        <f>IF(C3046,(H3046*N3046*IF(AND(Inputs!$B$38&lt;&gt;"pvp",Inputs!$B$43&gt;0),((Skills!G13*((R3046-1)*IF(Skills!H13&gt;0,Skills!I13/Skills!H13,1)+IF(Skills!H13&gt;0,MIN(Skills!I13,MAX(0,MAX(0,Inputs!$B$43-B3071)-((R3046-1)*(IF(Inputs!$B$38="pvp",15,MAX(0.1,Skills!D13-IF(Skills!E13=TRUE,3.0,0)))*(1-IF(AND(ArtifactsInput!$M$27,Inputs!$B$4="Chapter Hunt"),CHOOSE(ArtifactsInput!$N$27+1,20,24,28,32,36,40),0)/100)))))/Skills!H13,1)))/Inputs!$B$43),G3046*Q3046)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3046*(1-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3046*(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3046*(1-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3046*(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6">
        <f>IF(C3046,(H3046*N3046*IF(AND(Inputs!$B$38&lt;&gt;"pvp",Inputs!$B$43&gt;0),((Skills!G13*((R3046-1)*IF(Skills!H13&gt;0,Skills!I13/Skills!H13,1)+IF(Skills!H13&gt;0,MIN(Skills!I13,MAX(0,MAX(0,Inputs!$B$43-B3071)-((R3046-1)*(IF(Inputs!$B$38="pvp",15,MAX(0.1,Skills!D13-IF(Skills!E13=TRUE,3.0,0)))*(1-IF(AND(ArtifactsInput!$M$27,Inputs!$B$4="Chapter Hunt"),CHOOSE(ArtifactsInput!$N$27+1,20,24,28,32,36,40),0)/100)))))/Skills!H13,1)))/Inputs!$B$43),G3046*Q3046))*IF(Inputs!$B$38="pvp",1,(1+(Inputs!$B$21+Skills!Q13+(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7">
      <c r="A3047">
        <f>Skills!A14</f>
        <v/>
      </c>
      <c r="B3047">
        <f>Skills!B14</f>
        <v/>
      </c>
      <c r="C3047">
        <f>Inputs!$B$3&gt;=125</f>
        <v/>
      </c>
      <c r="D3047">
        <f>IF(Skills!C14=1,60+Inputs!$B$25+Inputs!$B$29,IF(Skills!C14=2,90+Inputs!$B$26+Inputs!$B$29,IF(Skills!C14=3,120+Inputs!$B$27+Inputs!$B$29,MAX(0,(Inputs!$B$3-100)*3)+Inputs!$B$28+Inputs!$B$29)))</f>
        <v/>
      </c>
      <c r="E3047">
        <f>INDEX(FactorTable!$B$2:$Y$301, MATCH(ROUND(MIN(300,MAX(1,D3047)),0), FactorTable!$A$2:$A$301,0), Skills!M14+1)</f>
        <v/>
      </c>
      <c r="F3047">
        <f>IF(Skills!N14=TRUE,(Skills!L14/10)*(E3047/1000),Skills!L14/10)+Skills!O14</f>
        <v/>
      </c>
      <c r="G3047">
        <f>Skills!G14*IF(Skills!H14&gt;0,Skills!I14/Skills!H14,1)</f>
        <v/>
      </c>
      <c r="H3047">
        <f>1-(1-Skills!J14/100)^Skills!K14</f>
        <v/>
      </c>
      <c r="I3047" t="inlineStr">
        <is>
          <t>1</t>
        </is>
      </c>
      <c r="J3047">
        <f>((Inputs!$B$6*(1+Inputs!$B$7/100))+(((Inputs!$B$12*(1+Inputs!$B$13/100))-(Inputs!$B$12*(1+Inputs!$B$13/100)))+0.25*(Inputs!$B$14-Inputs!$B$14))*(1+Inputs!$B$7/100))*(F3047/100)</f>
        <v/>
      </c>
      <c r="K3047">
        <f>J3047*(1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3047)</f>
        <v/>
      </c>
      <c r="L3047">
        <f>K3047*(MIN(Inputs!$B$22+((C3055=TRUE)*(F3055-Calc!F22)),(Inputs!$B$23+0+(IF(ArtifactsInput!$M$15,CHOOSE(ArtifactsInput!$N$15+1,25,30,35,40,45,50)/100*(Inputs!$B$11-Inputs!$B$11),0))))/100+(Inputs!$B$23+0+(IF(ArtifactsInput!$M$15,CHOOSE(ArtifactsInput!$N$15+1,25,30,35,40,45,50)/100*(Inputs!$B$11-Inputs!$B$11),0)))/100)/2</f>
        <v/>
      </c>
      <c r="M3047">
        <f>L3047*(1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7">
        <f>L3047*(1-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3047*(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7">
        <f>(1-Summary!$B$11)*T3047+Summary!$B$11*V3047</f>
        <v/>
      </c>
      <c r="P3047">
        <f>IF(B3074=0,0,O3047/B3074)</f>
        <v/>
      </c>
      <c r="Q3047" t="n">
        <v>0</v>
      </c>
      <c r="R3047" t="n">
        <v>0</v>
      </c>
      <c r="S3047">
        <f>IFERROR(O3047/N3047,0)</f>
        <v/>
      </c>
      <c r="T3047">
        <f>IF(C3047,(H3047*N3047*(B3068+IF(AND(Inputs!$B$38&lt;&gt;"pvp",Inputs!$B$43&gt;0),((Skills!G8*((R3041-1)*IF(Skills!H8&gt;0,Skills!I8/Skills!H8,1)+IF(Skills!H8&gt;0,MIN(Skills!I8,MAX(0,MAX(0,Inputs!$B$43-B3071)-((R3041-1)*(IF(Inputs!$B$38="pvp",15,MAX(0.1,Skills!D8-IF(Skills!E8=TRUE,3.0,0)))*(1-IF(AND(ArtifactsInput!$M$27,Inputs!$B$4="Chapter Hunt"),CHOOSE(ArtifactsInput!$N$27+1,20,24,28,32,36,40),0)/100)))))/Skills!H8,1)))/Inputs!$B$43),G3041*Q3041)+IF(AND(Inputs!$B$38&lt;&gt;"pvp",Inputs!$B$43&gt;0),((Skills!G11*((R3044-1)*IF(Skills!H11&gt;0,Skills!I11/Skills!H11,1)+IF(Skills!H11&gt;0,MIN(Skills!I11,MAX(0,MAX(0,Inputs!$B$43-B3071)-((R3044-1)*(IF(Inputs!$B$38="pvp",15,MAX(0.1,Skills!D11-IF(Skills!E11=TRUE,3.0,0)))*(1-IF(AND(ArtifactsInput!$M$27,Inputs!$B$4="Chapter Hunt"),CHOOSE(ArtifactsInput!$N$27+1,20,24,28,32,36,40),0)/100)))))/Skills!H11,1)))/Inputs!$B$43),G3044*Q3044)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3047*(1-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3047*(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3047*(1-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3047*(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7">
        <f>IF(C3047,(H3047*N3047*(B3068+IF(AND(Inputs!$B$38&lt;&gt;"pvp",Inputs!$B$43&gt;0),((Skills!G8*((R3041-1)*IF(Skills!H8&gt;0,Skills!I8/Skills!H8,1)+IF(Skills!H8&gt;0,MIN(Skills!I8,MAX(0,MAX(0,Inputs!$B$43-B3071)-((R3041-1)*(IF(Inputs!$B$38="pvp",15,MAX(0.1,Skills!D8-IF(Skills!E8=TRUE,3.0,0)))*(1-IF(AND(ArtifactsInput!$M$27,Inputs!$B$4="Chapter Hunt"),CHOOSE(ArtifactsInput!$N$27+1,20,24,28,32,36,40),0)/100)))))/Skills!H8,1)))/Inputs!$B$43),G3041*Q3041)+IF(AND(Inputs!$B$38&lt;&gt;"pvp",Inputs!$B$43&gt;0),((Skills!G11*((R3044-1)*IF(Skills!H11&gt;0,Skills!I11/Skills!H11,1)+IF(Skills!H11&gt;0,MIN(Skills!I11,MAX(0,MAX(0,Inputs!$B$43-B3071)-((R3044-1)*(IF(Inputs!$B$38="pvp",15,MAX(0.1,Skills!D11-IF(Skills!E11=TRUE,3.0,0)))*(1-IF(AND(ArtifactsInput!$M$27,Inputs!$B$4="Chapter Hunt"),CHOOSE(ArtifactsInput!$N$27+1,20,24,28,32,36,40),0)/100)))))/Skills!H11,1)))/Inputs!$B$43),G3044*Q3044)))*IF(Inputs!$B$38="pvp",1,(1+(Inputs!$B$21+Skills!Q14+(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8">
      <c r="A3048">
        <f>Skills!A15</f>
        <v/>
      </c>
      <c r="B3048">
        <f>Skills!B15</f>
        <v/>
      </c>
      <c r="C3048">
        <f>Inputs!$B$3&gt;=100</f>
        <v/>
      </c>
      <c r="D3048">
        <f>IF(Skills!C15=1,60+Inputs!$B$25+Inputs!$B$29,IF(Skills!C15=2,90+Inputs!$B$26+Inputs!$B$29,IF(Skills!C15=3,120+Inputs!$B$27+Inputs!$B$29,MAX(0,(Inputs!$B$3-100)*3)+Inputs!$B$28+Inputs!$B$29)))</f>
        <v/>
      </c>
      <c r="E3048">
        <f>INDEX(FactorTable!$B$2:$Y$301, MATCH(ROUND(MIN(300,MAX(1,D3048)),0), FactorTable!$A$2:$A$301,0), Skills!M15+1)</f>
        <v/>
      </c>
      <c r="F3048">
        <f>IF(Skills!N15=TRUE,(Skills!L15/10)*(E3048/1000),Skills!L15/10)+Skills!O15</f>
        <v/>
      </c>
      <c r="G3048" t="inlineStr"/>
      <c r="H3048" t="inlineStr"/>
      <c r="I3048" t="inlineStr">
        <is>
          <t>1</t>
        </is>
      </c>
      <c r="J3048" t="inlineStr"/>
      <c r="K3048" t="inlineStr"/>
      <c r="L3048" t="inlineStr"/>
      <c r="M3048" t="inlineStr"/>
      <c r="N3048" t="inlineStr"/>
      <c r="O3048" t="inlineStr"/>
      <c r="P3048" t="inlineStr"/>
      <c r="Q3048" t="inlineStr"/>
      <c r="R3048" t="inlineStr"/>
      <c r="S3048" t="inlineStr"/>
    </row>
    <row r="3049">
      <c r="A3049">
        <f>Skills!A16</f>
        <v/>
      </c>
      <c r="B3049">
        <f>Skills!B16</f>
        <v/>
      </c>
      <c r="C3049">
        <f>Inputs!$B$3&gt;=120</f>
        <v/>
      </c>
      <c r="D3049">
        <f>IF(Skills!C16=1,60+Inputs!$B$25+Inputs!$B$29,IF(Skills!C16=2,90+Inputs!$B$26+Inputs!$B$29,IF(Skills!C16=3,120+Inputs!$B$27+Inputs!$B$29,MAX(0,(Inputs!$B$3-100)*3)+Inputs!$B$28+Inputs!$B$29)))</f>
        <v/>
      </c>
      <c r="E3049">
        <f>INDEX(FactorTable!$B$2:$Y$301, MATCH(ROUND(MIN(300,MAX(1,D3049)),0), FactorTable!$A$2:$A$301,0), Skills!M16+1)</f>
        <v/>
      </c>
      <c r="F3049">
        <f>IF(Skills!N16=TRUE,(Skills!L16/10)*(E3049/1000),Skills!L16/10)+Skills!O16</f>
        <v/>
      </c>
      <c r="G3049" t="inlineStr"/>
      <c r="H3049" t="inlineStr"/>
      <c r="I3049" t="inlineStr">
        <is>
          <t>1</t>
        </is>
      </c>
      <c r="J3049" t="inlineStr"/>
      <c r="K3049" t="inlineStr"/>
      <c r="L3049" t="inlineStr"/>
      <c r="M3049" t="inlineStr"/>
      <c r="N3049" t="inlineStr"/>
      <c r="O3049" t="inlineStr"/>
      <c r="P3049" t="inlineStr"/>
      <c r="Q3049" t="inlineStr"/>
      <c r="R3049" t="inlineStr"/>
      <c r="S3049" t="inlineStr"/>
    </row>
    <row r="3050">
      <c r="A3050">
        <f>Skills!A17</f>
        <v/>
      </c>
      <c r="B3050">
        <f>Skills!B17</f>
        <v/>
      </c>
      <c r="C3050">
        <f>Inputs!$B$3&gt;=66</f>
        <v/>
      </c>
      <c r="D3050">
        <f>IF(Skills!C17=1,60+Inputs!$B$25+Inputs!$B$29,IF(Skills!C17=2,90+Inputs!$B$26+Inputs!$B$29,IF(Skills!C17=3,120+Inputs!$B$27+Inputs!$B$29,MAX(0,(Inputs!$B$3-100)*3)+Inputs!$B$28+Inputs!$B$29)))</f>
        <v/>
      </c>
      <c r="E3050">
        <f>INDEX(FactorTable!$B$2:$Y$301, MATCH(ROUND(MIN(300,MAX(1,D3050)),0), FactorTable!$A$2:$A$301,0), Skills!M17+1)</f>
        <v/>
      </c>
      <c r="F3050">
        <f>IF(Skills!N17=TRUE,(Skills!L17/10)*(E3050/1000),Skills!L17/10)+Skills!O17</f>
        <v/>
      </c>
      <c r="G3050">
        <f>Skills!G17*IF(Skills!H17&gt;0,Skills!I17/Skills!H17,1)</f>
        <v/>
      </c>
      <c r="H3050">
        <f>1-(1-Skills!J17/100)^Skills!K17</f>
        <v/>
      </c>
      <c r="I3050" t="inlineStr">
        <is>
          <t>1</t>
        </is>
      </c>
      <c r="J3050" t="inlineStr"/>
      <c r="K3050" t="inlineStr"/>
      <c r="L3050" t="inlineStr"/>
      <c r="M3050" t="inlineStr"/>
      <c r="N3050" t="inlineStr"/>
      <c r="O3050">
        <f>(1-Summary!$B$11)*T3050+Summary!$B$11*V3050</f>
        <v/>
      </c>
      <c r="P3050">
        <f>IF(B3074=0,0,O3050/B3074)</f>
        <v/>
      </c>
      <c r="Q3050" t="n">
        <v>0</v>
      </c>
      <c r="R3050" t="n">
        <v>0</v>
      </c>
      <c r="S3050">
        <f>IFERROR(O3050/N3050,0)</f>
        <v/>
      </c>
      <c r="T3050" t="n">
        <v>0</v>
      </c>
      <c r="V3050" t="n">
        <v>0</v>
      </c>
    </row>
    <row r="3051">
      <c r="A3051">
        <f>Skills!A18</f>
        <v/>
      </c>
      <c r="B3051">
        <f>Skills!B18</f>
        <v/>
      </c>
      <c r="C3051">
        <f>Inputs!$B$3&gt;=115</f>
        <v/>
      </c>
      <c r="D3051">
        <f>IF(Skills!C18=1,60+Inputs!$B$25+Inputs!$B$29,IF(Skills!C18=2,90+Inputs!$B$26+Inputs!$B$29,IF(Skills!C18=3,120+Inputs!$B$27+Inputs!$B$29,MAX(0,(Inputs!$B$3-100)*3)+Inputs!$B$28+Inputs!$B$29)))</f>
        <v/>
      </c>
      <c r="E3051">
        <f>INDEX(FactorTable!$B$2:$Y$301, MATCH(ROUND(MIN(300,MAX(1,D3051)),0), FactorTable!$A$2:$A$301,0), Skills!M18+1)</f>
        <v/>
      </c>
      <c r="F3051">
        <f>IF(Skills!N18=TRUE,(Skills!L18/10)*(E3051/1000),Skills!L18/10)+Skills!O18</f>
        <v/>
      </c>
      <c r="G3051">
        <f>Skills!G18*IF(Skills!H18&gt;0,Skills!I18/Skills!H18,1)</f>
        <v/>
      </c>
      <c r="H3051">
        <f>1-(1-Skills!J18/100)^Skills!K18</f>
        <v/>
      </c>
      <c r="I3051" t="inlineStr">
        <is>
          <t>1</t>
        </is>
      </c>
      <c r="J3051" t="inlineStr"/>
      <c r="K3051" t="inlineStr"/>
      <c r="L3051" t="inlineStr"/>
      <c r="M3051" t="inlineStr"/>
      <c r="N3051" t="inlineStr"/>
      <c r="O3051">
        <f>(1-Summary!$B$11)*T3051+Summary!$B$11*V3051</f>
        <v/>
      </c>
      <c r="P3051">
        <f>IF(B3074=0,0,O3051/B3074)</f>
        <v/>
      </c>
      <c r="Q3051">
        <f>IFERROR(1/(IF(Inputs!$B$38="pvp",15,MAX(0.1,Skills!D18-IF(Skills!E18=TRUE,3.0,0)))*(1-IF(AND(ArtifactsInput!$M$27,Inputs!$B$4="Chapter Hunt"),CHOOSE(ArtifactsInput!$N$27+1,20,24,28,32,36,40),0)/100)),0)</f>
        <v/>
      </c>
      <c r="R3051">
        <f>IF(AND(Inputs!$B$38&lt;&gt;"pvp",Inputs!$B$43&gt;0),IF(Inputs!$B$43&lt;=0,0,(INT(Inputs!$B$43/(IF(Inputs!$B$38="pvp",15,MAX(0.1,Skills!D18-IF(Skills!E18=TRUE,3.0,0)))*(1-IF(AND(ArtifactsInput!$M$27,Inputs!$B$4="Chapter Hunt"),CHOOSE(ArtifactsInput!$N$27+1,20,24,28,32,36,40),0)/100)))+1)),0)</f>
        <v/>
      </c>
      <c r="S3051">
        <f>IFERROR(O3051/N3051,0)</f>
        <v/>
      </c>
      <c r="T3051" t="n">
        <v>0</v>
      </c>
      <c r="V3051" t="n">
        <v>0</v>
      </c>
    </row>
    <row r="3052">
      <c r="A3052">
        <f>Skills!A19</f>
        <v/>
      </c>
      <c r="B3052">
        <f>Skills!B19</f>
        <v/>
      </c>
      <c r="C3052">
        <f>Inputs!$B$3&gt;=15</f>
        <v/>
      </c>
      <c r="D3052">
        <f>IF(Skills!C19=1,60+Inputs!$B$25+Inputs!$B$29,IF(Skills!C19=2,90+Inputs!$B$26+Inputs!$B$29,IF(Skills!C19=3,120+Inputs!$B$27+Inputs!$B$29,MAX(0,(Inputs!$B$3-100)*3)+Inputs!$B$28+Inputs!$B$29)))</f>
        <v/>
      </c>
      <c r="E3052">
        <f>INDEX(FactorTable!$B$2:$Y$301, MATCH(ROUND(MIN(300,MAX(1,D3052)),0), FactorTable!$A$2:$A$301,0), Skills!M19+1)</f>
        <v/>
      </c>
      <c r="F3052">
        <f>IF(Skills!N19=TRUE,(Skills!L19/10)*(E3052/1000),Skills!L19/10)+Skills!O19</f>
        <v/>
      </c>
      <c r="G3052">
        <f>Skills!G19*IF(Skills!H19&gt;0,Skills!I19/Skills!H19,1)</f>
        <v/>
      </c>
      <c r="H3052">
        <f>1-(1-Skills!J19/100)^Skills!K19</f>
        <v/>
      </c>
      <c r="I3052" t="inlineStr">
        <is>
          <t>1</t>
        </is>
      </c>
      <c r="J3052" t="inlineStr"/>
      <c r="K3052" t="inlineStr"/>
      <c r="L3052" t="inlineStr"/>
      <c r="M3052" t="inlineStr"/>
      <c r="N3052" t="inlineStr"/>
      <c r="O3052">
        <f>(1-Summary!$B$11)*T3052+Summary!$B$11*V3052</f>
        <v/>
      </c>
      <c r="P3052">
        <f>IF(B3074=0,0,O3052/B3074)</f>
        <v/>
      </c>
      <c r="Q3052" t="n">
        <v>0</v>
      </c>
      <c r="R3052" t="n">
        <v>0</v>
      </c>
      <c r="S3052">
        <f>IFERROR(O3052/N3052,0)</f>
        <v/>
      </c>
      <c r="T3052" t="n">
        <v>0</v>
      </c>
      <c r="V3052" t="n">
        <v>0</v>
      </c>
    </row>
    <row r="3053">
      <c r="A3053">
        <f>Skills!A20</f>
        <v/>
      </c>
      <c r="B3053">
        <f>Skills!B20</f>
        <v/>
      </c>
      <c r="C3053">
        <f>Inputs!$B$3&gt;=10</f>
        <v/>
      </c>
      <c r="D3053">
        <f>IF(Skills!C20=1,60+Inputs!$B$25+Inputs!$B$29,IF(Skills!C20=2,90+Inputs!$B$26+Inputs!$B$29,IF(Skills!C20=3,120+Inputs!$B$27+Inputs!$B$29,MAX(0,(Inputs!$B$3-100)*3)+Inputs!$B$28+Inputs!$B$29)))</f>
        <v/>
      </c>
      <c r="E3053">
        <f>INDEX(FactorTable!$B$2:$Y$301, MATCH(ROUND(MIN(300,MAX(1,D3053)),0), FactorTable!$A$2:$A$301,0), Skills!M20+1)</f>
        <v/>
      </c>
      <c r="F3053">
        <f>IF(Skills!N20=TRUE,(Skills!L20/10)*(E3053/1000),Skills!L20/10)+Skills!O20</f>
        <v/>
      </c>
      <c r="G3053">
        <f>Skills!G20*IF(Skills!H20&gt;0,Skills!I20/Skills!H20,1)</f>
        <v/>
      </c>
      <c r="H3053">
        <f>1-(1-Skills!J20/100)^Skills!K20</f>
        <v/>
      </c>
      <c r="I3053" t="inlineStr">
        <is>
          <t>1</t>
        </is>
      </c>
      <c r="J3053" t="inlineStr"/>
      <c r="K3053" t="inlineStr"/>
      <c r="L3053" t="inlineStr"/>
      <c r="M3053" t="inlineStr"/>
      <c r="N3053" t="inlineStr"/>
      <c r="O3053">
        <f>(1-Summary!$B$11)*T3053+Summary!$B$11*V3053</f>
        <v/>
      </c>
      <c r="P3053">
        <f>IF(B3074=0,0,O3053/B3074)</f>
        <v/>
      </c>
      <c r="Q3053" t="n">
        <v>0</v>
      </c>
      <c r="R3053" t="n">
        <v>0</v>
      </c>
      <c r="S3053">
        <f>IFERROR(O3053/N3053,0)</f>
        <v/>
      </c>
      <c r="T3053" t="n">
        <v>0</v>
      </c>
      <c r="V3053" t="n">
        <v>0</v>
      </c>
    </row>
    <row r="3054">
      <c r="A3054">
        <f>Skills!A21</f>
        <v/>
      </c>
      <c r="B3054">
        <f>Skills!B21</f>
        <v/>
      </c>
      <c r="C3054">
        <f>Inputs!$B$3&gt;=33</f>
        <v/>
      </c>
      <c r="D3054">
        <f>IF(Skills!C21=1,60+Inputs!$B$25+Inputs!$B$29,IF(Skills!C21=2,90+Inputs!$B$26+Inputs!$B$29,IF(Skills!C21=3,120+Inputs!$B$27+Inputs!$B$29,MAX(0,(Inputs!$B$3-100)*3)+Inputs!$B$28+Inputs!$B$29)))</f>
        <v/>
      </c>
      <c r="E3054">
        <f>INDEX(FactorTable!$B$2:$Y$301, MATCH(ROUND(MIN(300,MAX(1,D3054)),0), FactorTable!$A$2:$A$301,0), Skills!M21+1)</f>
        <v/>
      </c>
      <c r="F3054">
        <f>IF(Skills!N21=TRUE,(Skills!L21/10)*(E3054/1000),Skills!L21/10)+Skills!O21</f>
        <v/>
      </c>
      <c r="G3054">
        <f>Skills!G21*IF(Skills!H21&gt;0,Skills!I21/Skills!H21,1)</f>
        <v/>
      </c>
      <c r="H3054">
        <f>1-(1-Skills!J21/100)^Skills!K21</f>
        <v/>
      </c>
      <c r="I3054" t="inlineStr">
        <is>
          <t>1</t>
        </is>
      </c>
      <c r="J3054" t="inlineStr"/>
      <c r="K3054" t="inlineStr"/>
      <c r="L3054" t="inlineStr"/>
      <c r="M3054" t="inlineStr"/>
      <c r="N3054" t="inlineStr"/>
      <c r="O3054">
        <f>(1-Summary!$B$11)*T3054+Summary!$B$11*V3054</f>
        <v/>
      </c>
      <c r="P3054">
        <f>IF(B3074=0,0,O3054/B3074)</f>
        <v/>
      </c>
      <c r="Q3054" t="n">
        <v>0</v>
      </c>
      <c r="R3054" t="n">
        <v>0</v>
      </c>
      <c r="S3054">
        <f>IFERROR(O3054/N3054,0)</f>
        <v/>
      </c>
      <c r="T3054" t="n">
        <v>0</v>
      </c>
      <c r="V3054" t="n">
        <v>0</v>
      </c>
    </row>
    <row r="3055">
      <c r="A3055">
        <f>Skills!A22</f>
        <v/>
      </c>
      <c r="B3055">
        <f>Skills!B22</f>
        <v/>
      </c>
      <c r="C3055">
        <f>Inputs!$B$3&gt;=43</f>
        <v/>
      </c>
      <c r="D3055">
        <f>IF(Skills!C22=1,60+Inputs!$B$25+Inputs!$B$29,IF(Skills!C22=2,90+Inputs!$B$26+Inputs!$B$29,IF(Skills!C22=3,120+Inputs!$B$27+Inputs!$B$29,MAX(0,(Inputs!$B$3-100)*3)+Inputs!$B$28+Inputs!$B$29)))</f>
        <v/>
      </c>
      <c r="E3055">
        <f>INDEX(FactorTable!$B$2:$Y$301, MATCH(ROUND(MIN(300,MAX(1,D3055)),0), FactorTable!$A$2:$A$301,0), Skills!M22+1)</f>
        <v/>
      </c>
      <c r="F3055">
        <f>IF(Skills!N22=TRUE,(Skills!L22/10)*(E3055/1000),Skills!L22/10)+Skills!O22</f>
        <v/>
      </c>
      <c r="G3055">
        <f>Skills!G22*IF(Skills!H22&gt;0,Skills!I22/Skills!H22,1)</f>
        <v/>
      </c>
      <c r="H3055">
        <f>1-(1-Skills!J22/100)^Skills!K22</f>
        <v/>
      </c>
      <c r="I3055" t="inlineStr">
        <is>
          <t>1</t>
        </is>
      </c>
      <c r="J3055" t="inlineStr"/>
      <c r="K3055" t="inlineStr"/>
      <c r="L3055" t="inlineStr"/>
      <c r="M3055" t="inlineStr"/>
      <c r="N3055" t="inlineStr"/>
      <c r="O3055">
        <f>(1-Summary!$B$11)*T3055+Summary!$B$11*V3055</f>
        <v/>
      </c>
      <c r="P3055">
        <f>IF(B3074=0,0,O3055/B3074)</f>
        <v/>
      </c>
      <c r="Q3055" t="n">
        <v>0</v>
      </c>
      <c r="R3055" t="n">
        <v>0</v>
      </c>
      <c r="S3055">
        <f>IFERROR(O3055/N3055,0)</f>
        <v/>
      </c>
      <c r="T3055" t="n">
        <v>0</v>
      </c>
      <c r="V3055" t="n">
        <v>0</v>
      </c>
    </row>
    <row r="3056">
      <c r="A3056">
        <f>Skills!A23</f>
        <v/>
      </c>
      <c r="B3056">
        <f>Skills!B23</f>
        <v/>
      </c>
      <c r="C3056">
        <f>Inputs!$B$3&gt;=38</f>
        <v/>
      </c>
      <c r="D3056">
        <f>IF(Skills!C23=1,60+Inputs!$B$25+Inputs!$B$29,IF(Skills!C23=2,90+Inputs!$B$26+Inputs!$B$29,IF(Skills!C23=3,120+Inputs!$B$27+Inputs!$B$29,MAX(0,(Inputs!$B$3-100)*3)+Inputs!$B$28+Inputs!$B$29)))</f>
        <v/>
      </c>
      <c r="E3056">
        <f>INDEX(FactorTable!$B$2:$Y$301, MATCH(ROUND(MIN(300,MAX(1,D3056)),0), FactorTable!$A$2:$A$301,0), Skills!M23+1)</f>
        <v/>
      </c>
      <c r="F3056">
        <f>IF(Skills!N23=TRUE,(Skills!L23/10)*(E3056/1000),Skills!L23/10)+Skills!O23</f>
        <v/>
      </c>
      <c r="G3056">
        <f>Skills!G23*IF(Skills!H23&gt;0,Skills!I23/Skills!H23,1)</f>
        <v/>
      </c>
      <c r="H3056">
        <f>1-(1-Skills!J23/100)^Skills!K23</f>
        <v/>
      </c>
      <c r="I3056" t="inlineStr">
        <is>
          <t>1</t>
        </is>
      </c>
      <c r="J3056" t="inlineStr"/>
      <c r="K3056" t="inlineStr"/>
      <c r="L3056" t="inlineStr"/>
      <c r="M3056" t="inlineStr"/>
      <c r="N3056" t="inlineStr"/>
      <c r="O3056">
        <f>(1-Summary!$B$11)*T3056+Summary!$B$11*V3056</f>
        <v/>
      </c>
      <c r="P3056">
        <f>IF(B3074=0,0,O3056/B3074)</f>
        <v/>
      </c>
      <c r="Q3056" t="n">
        <v>0</v>
      </c>
      <c r="R3056" t="n">
        <v>0</v>
      </c>
      <c r="S3056">
        <f>IFERROR(O3056/N3056,0)</f>
        <v/>
      </c>
      <c r="T3056" t="n">
        <v>0</v>
      </c>
      <c r="V3056" t="n">
        <v>0</v>
      </c>
    </row>
    <row r="3057">
      <c r="A3057">
        <f>Skills!A24</f>
        <v/>
      </c>
      <c r="B3057">
        <f>Skills!B24</f>
        <v/>
      </c>
      <c r="C3057">
        <f>Inputs!$B$3&gt;=40</f>
        <v/>
      </c>
      <c r="D3057">
        <f>IF(Skills!C24=1,60+Inputs!$B$25+Inputs!$B$29,IF(Skills!C24=2,90+Inputs!$B$26+Inputs!$B$29,IF(Skills!C24=3,120+Inputs!$B$27+Inputs!$B$29,MAX(0,(Inputs!$B$3-100)*3)+Inputs!$B$28+Inputs!$B$29)))</f>
        <v/>
      </c>
      <c r="E3057">
        <f>INDEX(FactorTable!$B$2:$Y$301, MATCH(ROUND(MIN(300,MAX(1,D3057)),0), FactorTable!$A$2:$A$301,0), Skills!M24+1)</f>
        <v/>
      </c>
      <c r="F3057">
        <f>IF(Skills!N24=TRUE,(Skills!L24/10)*(E3057/1000),Skills!L24/10)+Skills!O24</f>
        <v/>
      </c>
      <c r="G3057">
        <f>Skills!G24*IF(Skills!H24&gt;0,Skills!I24/Skills!H24,1)</f>
        <v/>
      </c>
      <c r="H3057">
        <f>1-(1-Skills!J24/100)^Skills!K24</f>
        <v/>
      </c>
      <c r="I3057" t="inlineStr">
        <is>
          <t>1</t>
        </is>
      </c>
      <c r="J3057" t="inlineStr"/>
      <c r="K3057" t="inlineStr"/>
      <c r="L3057" t="inlineStr"/>
      <c r="M3057" t="inlineStr"/>
      <c r="N3057" t="inlineStr"/>
      <c r="O3057">
        <f>(1-Summary!$B$11)*T3057+Summary!$B$11*V3057</f>
        <v/>
      </c>
      <c r="P3057">
        <f>IF(B3074=0,0,O3057/B3074)</f>
        <v/>
      </c>
      <c r="Q3057" t="n">
        <v>0</v>
      </c>
      <c r="R3057" t="n">
        <v>0</v>
      </c>
      <c r="S3057">
        <f>IFERROR(O3057/N3057,0)</f>
        <v/>
      </c>
      <c r="T3057" t="n">
        <v>0</v>
      </c>
      <c r="V3057" t="n">
        <v>0</v>
      </c>
    </row>
    <row r="3058">
      <c r="A3058">
        <f>Skills!A25</f>
        <v/>
      </c>
      <c r="B3058">
        <f>Skills!B25</f>
        <v/>
      </c>
      <c r="C3058">
        <f>Inputs!$B$3&gt;=72</f>
        <v/>
      </c>
      <c r="D3058">
        <f>IF(Skills!C25=1,60+Inputs!$B$25+Inputs!$B$29,IF(Skills!C25=2,90+Inputs!$B$26+Inputs!$B$29,IF(Skills!C25=3,120+Inputs!$B$27+Inputs!$B$29,MAX(0,(Inputs!$B$3-100)*3)+Inputs!$B$28+Inputs!$B$29)))</f>
        <v/>
      </c>
      <c r="E3058">
        <f>INDEX(FactorTable!$B$2:$Y$301, MATCH(ROUND(MIN(300,MAX(1,D3058)),0), FactorTable!$A$2:$A$301,0), Skills!M25+1)</f>
        <v/>
      </c>
      <c r="F3058">
        <f>IF(Skills!N25=TRUE,(Skills!L25/10)*(E3058/1000),Skills!L25/10)+Skills!O25</f>
        <v/>
      </c>
      <c r="G3058">
        <f>Skills!G25*IF(Skills!H25&gt;0,Skills!I25/Skills!H25,1)</f>
        <v/>
      </c>
      <c r="H3058">
        <f>1-(1-Skills!J25/100)^Skills!K25</f>
        <v/>
      </c>
      <c r="I3058" t="inlineStr">
        <is>
          <t>1</t>
        </is>
      </c>
      <c r="J3058" t="inlineStr"/>
      <c r="K3058" t="inlineStr"/>
      <c r="L3058" t="inlineStr"/>
      <c r="M3058" t="inlineStr"/>
      <c r="N3058" t="inlineStr"/>
      <c r="O3058">
        <f>(1-Summary!$B$11)*T3058+Summary!$B$11*V3058</f>
        <v/>
      </c>
      <c r="P3058">
        <f>IF(B3074=0,0,O3058/B3074)</f>
        <v/>
      </c>
      <c r="Q3058" t="n">
        <v>0</v>
      </c>
      <c r="R3058" t="n">
        <v>0</v>
      </c>
      <c r="S3058">
        <f>IFERROR(O3058/N3058,0)</f>
        <v/>
      </c>
      <c r="T3058" t="n">
        <v>0</v>
      </c>
      <c r="V3058" t="n">
        <v>0</v>
      </c>
    </row>
    <row r="3059">
      <c r="A3059">
        <f>Skills!A26</f>
        <v/>
      </c>
      <c r="B3059">
        <f>Skills!B26</f>
        <v/>
      </c>
      <c r="C3059">
        <f>Inputs!$B$3&gt;=75</f>
        <v/>
      </c>
      <c r="D3059">
        <f>IF(Skills!C26=1,60+Inputs!$B$25+Inputs!$B$29,IF(Skills!C26=2,90+Inputs!$B$26+Inputs!$B$29,IF(Skills!C26=3,120+Inputs!$B$27+Inputs!$B$29,MAX(0,(Inputs!$B$3-100)*3)+Inputs!$B$28+Inputs!$B$29)))</f>
        <v/>
      </c>
      <c r="E3059">
        <f>INDEX(FactorTable!$B$2:$Y$301, MATCH(ROUND(MIN(300,MAX(1,D3059)),0), FactorTable!$A$2:$A$301,0), Skills!M26+1)</f>
        <v/>
      </c>
      <c r="F3059">
        <f>IF(Skills!N26=TRUE,(Skills!L26/10)*(E3059/1000),Skills!L26/10)+Skills!O26</f>
        <v/>
      </c>
      <c r="G3059">
        <f>Skills!G26*IF(Skills!H26&gt;0,Skills!I26/Skills!H26,1)</f>
        <v/>
      </c>
      <c r="H3059">
        <f>1-(1-Skills!J26/100)^Skills!K26</f>
        <v/>
      </c>
      <c r="I3059" t="inlineStr">
        <is>
          <t>1</t>
        </is>
      </c>
      <c r="J3059" t="inlineStr"/>
      <c r="K3059" t="inlineStr"/>
      <c r="L3059" t="inlineStr"/>
      <c r="M3059" t="inlineStr"/>
      <c r="N3059" t="inlineStr"/>
      <c r="O3059">
        <f>(1-Summary!$B$11)*T3059+Summary!$B$11*V3059</f>
        <v/>
      </c>
      <c r="P3059">
        <f>IF(B3074=0,0,O3059/B3074)</f>
        <v/>
      </c>
      <c r="Q3059" t="n">
        <v>0</v>
      </c>
      <c r="R3059" t="n">
        <v>0</v>
      </c>
      <c r="S3059">
        <f>IFERROR(O3059/N3059,0)</f>
        <v/>
      </c>
      <c r="T3059" t="n">
        <v>0</v>
      </c>
      <c r="V3059" t="n">
        <v>0</v>
      </c>
    </row>
    <row r="3060">
      <c r="A3060">
        <f>Skills!A27</f>
        <v/>
      </c>
      <c r="B3060">
        <f>Skills!B27</f>
        <v/>
      </c>
      <c r="C3060">
        <f>Inputs!$B$3&gt;=117</f>
        <v/>
      </c>
      <c r="D3060">
        <f>IF(Skills!C27=1,60+Inputs!$B$25+Inputs!$B$29,IF(Skills!C27=2,90+Inputs!$B$26+Inputs!$B$29,IF(Skills!C27=3,120+Inputs!$B$27+Inputs!$B$29,MAX(0,(Inputs!$B$3-100)*3)+Inputs!$B$28+Inputs!$B$29)))</f>
        <v/>
      </c>
      <c r="E3060">
        <f>INDEX(FactorTable!$B$2:$Y$301, MATCH(ROUND(MIN(300,MAX(1,D3060)),0), FactorTable!$A$2:$A$301,0), Skills!M27+1)</f>
        <v/>
      </c>
      <c r="F3060">
        <f>IF(Skills!N27=TRUE,(Skills!L27/10)*(E3060/1000),Skills!L27/10)+Skills!O27</f>
        <v/>
      </c>
      <c r="G3060">
        <f>Skills!G27*IF(Skills!H27&gt;0,Skills!I27/Skills!H27,1)</f>
        <v/>
      </c>
      <c r="H3060">
        <f>1-(1-Skills!J27/100)^Skills!K27</f>
        <v/>
      </c>
      <c r="I3060" t="inlineStr">
        <is>
          <t>1</t>
        </is>
      </c>
      <c r="J3060" t="inlineStr"/>
      <c r="K3060" t="inlineStr"/>
      <c r="L3060" t="inlineStr"/>
      <c r="M3060" t="inlineStr"/>
      <c r="N3060" t="inlineStr"/>
      <c r="O3060">
        <f>(1-Summary!$B$11)*T3060+Summary!$B$11*V3060</f>
        <v/>
      </c>
      <c r="P3060">
        <f>IF(B3074=0,0,O3060/B3074)</f>
        <v/>
      </c>
      <c r="Q3060" t="n">
        <v>0</v>
      </c>
      <c r="R3060" t="n">
        <v>0</v>
      </c>
      <c r="S3060">
        <f>IFERROR(O3060/N3060,0)</f>
        <v/>
      </c>
      <c r="T3060" t="n">
        <v>0</v>
      </c>
      <c r="V3060" t="n">
        <v>0</v>
      </c>
    </row>
    <row r="3061">
      <c r="A3061">
        <f>Skills!A28</f>
        <v/>
      </c>
      <c r="B3061">
        <f>Skills!B28</f>
        <v/>
      </c>
      <c r="C3061">
        <f>TRUE</f>
        <v/>
      </c>
      <c r="D3061">
        <f>IF(Skills!C28=1,60+Inputs!$B$25+Inputs!$B$29,IF(Skills!C28=2,90+Inputs!$B$26+Inputs!$B$29,IF(Skills!C28=3,120+Inputs!$B$27+Inputs!$B$29,MAX(0,(Inputs!$B$3-100)*3)+Inputs!$B$28+Inputs!$B$29)))</f>
        <v/>
      </c>
      <c r="E3061">
        <f>INDEX(FactorTable!$B$2:$Y$301, MATCH(ROUND(MIN(300,MAX(1,D3061)),0), FactorTable!$A$2:$A$301,0), Skills!M28+1)</f>
        <v/>
      </c>
      <c r="F3061">
        <f>IF(Skills!N28=TRUE,(Skills!L28/10)*(E3061/1000),Skills!L28/10)+Skills!O28</f>
        <v/>
      </c>
      <c r="G3061">
        <f>Skills!G28*IF(Skills!H28&gt;0,Skills!I28/Skills!H28,1)</f>
        <v/>
      </c>
      <c r="H3061">
        <f>1-(1-Skills!J28/100)^Skills!K28</f>
        <v/>
      </c>
      <c r="I3061" t="inlineStr">
        <is>
          <t>1</t>
        </is>
      </c>
      <c r="J3061" t="inlineStr"/>
      <c r="K3061" t="inlineStr"/>
      <c r="L3061" t="inlineStr"/>
      <c r="M3061" t="inlineStr"/>
      <c r="N3061" t="inlineStr"/>
      <c r="O3061">
        <f>(1-Summary!$B$11)*T3061+Summary!$B$11*V3061</f>
        <v/>
      </c>
      <c r="P3061">
        <f>IF(B3074=0,0,O3061/B3074)</f>
        <v/>
      </c>
      <c r="Q3061">
        <f>IFERROR(1/(IF(Inputs!$B$38="pvp",15,MAX(0.1,Skills!D28-IF(Skills!E28=TRUE,3.0,0)))*(1-IF(AND(ArtifactsInput!$M$27,Inputs!$B$4="Chapter Hunt"),CHOOSE(ArtifactsInput!$N$27+1,20,24,28,32,36,40),0)/100)),0)</f>
        <v/>
      </c>
      <c r="R3061">
        <f>IF(AND(Inputs!$B$38&lt;&gt;"pvp",Inputs!$B$43&gt;0),IF(Inputs!$B$43&lt;=0,0,(INT(Inputs!$B$43/(IF(Inputs!$B$38="pvp",15,MAX(0.1,Skills!D28-IF(Skills!E28=TRUE,3.0,0)))*(1-IF(AND(ArtifactsInput!$M$27,Inputs!$B$4="Chapter Hunt"),CHOOSE(ArtifactsInput!$N$27+1,20,24,28,32,36,40),0)/100)))+1)),0)</f>
        <v/>
      </c>
      <c r="S3061">
        <f>IFERROR(O3061/N3061,0)</f>
        <v/>
      </c>
      <c r="T3061" t="n">
        <v>0</v>
      </c>
      <c r="V3061" t="n">
        <v>0</v>
      </c>
    </row>
    <row r="3063">
      <c r="A3063" t="inlineStr">
        <is>
          <t>Attack% Bucket Multiplier</t>
        </is>
      </c>
      <c r="B3063">
        <f>(1+(((C3050=TRUE)*F3050*5/7)+((C3057=TRUE)*(F3057-Calc!F24))+(IF(ArtifactsInput!$M$21,CHOOSE(ArtifactsInput!$N$21+1,25,30,35,40,45,50)*(IF(OR(Inputs!$B$4="Chapter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64">
      <c r="A3064" t="inlineStr">
        <is>
          <t>Global Crit Rate Bonus %</t>
        </is>
      </c>
      <c r="B3064" t="n">
        <v>0</v>
      </c>
    </row>
    <row r="3065">
      <c r="A3065" t="inlineStr">
        <is>
          <t>Attack Speed Buff Bonus % (Nimble Feet, duty-cycle averaged)</t>
        </is>
      </c>
      <c r="B3065">
        <f>((C3061=TRUE)*F3061*IF(AND(Inputs!$B$38&lt;&gt;"pvp",Inputs!$B$43&gt;0),(((R3061-1)*(Skills!T28*(1+Inputs!$B$34/100))+MIN((Skills!T28*(1+Inputs!$B$34/100)),MAX(0,Inputs!$B$43-((R3061-1)*Skills!D28))))/Inputs!$B$43),IF(Inputs!$B$38="pvp",MIN((Skills!T28*(1+Inputs!$B$34/100)),15)/15,(Skills!T28*(1+Inputs!$B$34/100))/Skills!D28)))</f>
        <v/>
      </c>
    </row>
    <row r="3066">
      <c r="A3066" t="inlineStr">
        <is>
          <t>Actions Per Second</t>
        </is>
      </c>
      <c r="B3066">
        <f>1+MIN(150,150*(1-(1-(Inputs!$B$11+((C3053=TRUE)*(F3053-Calc!F20))+((C3054=TRUE)*(F3054-Calc!F21)))/150)*(1-B3065/150)))/100</f>
        <v/>
      </c>
    </row>
    <row r="3067">
      <c r="A3067" t="inlineStr">
        <is>
          <t>Skill + Buff Cast Rate</t>
        </is>
      </c>
      <c r="B3067">
        <f>IF(AND(Inputs!$B$38&lt;&gt;"pvp",Inputs!$B$43&gt;0),SUMPRODUCT((Skills!E2:E28=TRUE)*(C3035:C3061=TRUE)*R3035:R3061*Skills!F2:F28)/Inputs!$B$43,SUMPRODUCT((Skills!E2:E28=TRUE)*(C3035:C3061=TRUE)*Q3035:Q3061*Skills!F2:F28))</f>
        <v/>
      </c>
    </row>
    <row r="3068">
      <c r="A3068" t="inlineStr">
        <is>
          <t>Eight-Legs Easton Casts Per Second</t>
        </is>
      </c>
      <c r="B3068">
        <f>MAX(0,B3066-B3067)</f>
        <v/>
      </c>
    </row>
    <row r="3069">
      <c r="A3069" t="inlineStr">
        <is>
          <t>Global Critical Damage Bonus % (unused)</t>
        </is>
      </c>
      <c r="B3069" t="n">
        <v>0</v>
      </c>
    </row>
    <row r="3070">
      <c r="A3070" t="inlineStr">
        <is>
          <t>Global Final Damage Bonus % (Jolly Roger + Ahoy Mateys - Final Damage proc)</t>
        </is>
      </c>
      <c r="B3070">
        <f>((C3051=TRUE)*F3051*IF(AND(Inputs!$B$38&lt;&gt;"pvp",Inputs!$B$43&gt;0),(((R3051-1)*(Skills!T18*(1+Inputs!$B$34/100))+MIN((Skills!T18*(1+Inputs!$B$34/100)),MAX(0,Inputs!$B$43-((R3051-1)*Skills!D18))))/Inputs!$B$43),IF(Inputs!$B$38="pvp",MIN((Skills!T18*(1+Inputs!$B$34/100)),15)/15,(Skills!T18*(1+Inputs!$B$34/100))/Skills!D18)))+IF(Inputs!$B$3&gt;=122,20*IF(Inputs!$B$38="pvp",MIN((20*(1+Inputs!$B$34/100)),15)/15,(20*(1+Inputs!$B$34/100))/Skills!D4),0)</f>
        <v/>
      </c>
    </row>
    <row r="3071">
      <c r="A3071" t="inlineStr">
        <is>
          <t>Buff-Casting Startup Delay (s, fixed-duration only)</t>
        </is>
      </c>
      <c r="B3071">
        <f>IF(AND(Inputs!$B$38&lt;&gt;"pvp",Inputs!$B$43&gt;0),SUMPRODUCT((Skills!T2:T28&gt;0)*(Skills!E2:E28=TRUE)*(C3035:C3061=TRUE))/B3066,0)</f>
        <v/>
      </c>
    </row>
    <row r="3072">
      <c r="A3072" t="inlineStr">
        <is>
          <t>Boss-Only Total DPS (this block's swept value)</t>
        </is>
      </c>
      <c r="B3072">
        <f>SUM(T3035:T3061)</f>
        <v/>
      </c>
    </row>
    <row r="3073">
      <c r="A3073" t="inlineStr">
        <is>
          <t>Normal-Only Total DPS (this block's swept value)</t>
        </is>
      </c>
      <c r="B3073">
        <f>SUM(V3035:V3061)</f>
        <v/>
      </c>
    </row>
    <row r="3074">
      <c r="A3074" s="6" t="inlineStr">
        <is>
          <t>TOTAL DPS</t>
        </is>
      </c>
      <c r="B3074" s="6">
        <f>SUM(O3035:O3061)</f>
        <v/>
      </c>
    </row>
    <row r="3077">
      <c r="A3077" s="6" t="inlineStr">
        <is>
          <t>Stat: CDR = 3.5s</t>
        </is>
      </c>
    </row>
    <row r="3078">
      <c r="A3078" s="5" t="inlineStr">
        <is>
          <t>Key</t>
        </is>
      </c>
      <c r="B3078" s="5" t="inlineStr">
        <is>
          <t>Name</t>
        </is>
      </c>
      <c r="C3078" s="5" t="inlineStr">
        <is>
          <t>Unlocked</t>
        </is>
      </c>
      <c r="D3078" s="5" t="inlineStr">
        <is>
          <t>InputLevel</t>
        </is>
      </c>
      <c r="E3078" s="5" t="inlineStr">
        <is>
          <t>Factor</t>
        </is>
      </c>
      <c r="F3078" s="5" t="inlineStr">
        <is>
          <t>CoefficientPercent</t>
        </is>
      </c>
      <c r="G3078" s="5" t="inlineStr">
        <is>
          <t>EffectiveHits</t>
        </is>
      </c>
      <c r="H3078" s="5" t="inlineStr">
        <is>
          <t>ProcProbability</t>
        </is>
      </c>
      <c r="I3078" s="5" t="inlineStr">
        <is>
          <t>MapleHeroMultiplier</t>
        </is>
      </c>
      <c r="J3078" s="5" t="inlineStr">
        <is>
          <t>BaseDamage</t>
        </is>
      </c>
      <c r="K3078" s="5" t="inlineStr">
        <is>
          <t>BaseHitDamage</t>
        </is>
      </c>
      <c r="L3078" s="5" t="inlineStr">
        <is>
          <t>NonCritAvg</t>
        </is>
      </c>
      <c r="M3078" s="5" t="inlineStr">
        <is>
          <t>CritAvg</t>
        </is>
      </c>
      <c r="N3078" s="5" t="inlineStr">
        <is>
          <t>ExpectedDamage(perHit)</t>
        </is>
      </c>
      <c r="O3078" s="5" t="inlineStr">
        <is>
          <t>DPS</t>
        </is>
      </c>
      <c r="P3078" s="5" t="inlineStr">
        <is>
          <t>% of Total</t>
        </is>
      </c>
      <c r="Q3078" s="5" t="inlineStr">
        <is>
          <t>InvCooldown</t>
        </is>
      </c>
      <c r="R3078" s="5" t="inlineStr">
        <is>
          <t>CastsInFight</t>
        </is>
      </c>
      <c r="S3078" s="5" t="inlineStr">
        <is>
          <t>HitRate(perSec)</t>
        </is>
      </c>
      <c r="U3078" t="inlineStr">
        <is>
          <t>helpers</t>
        </is>
      </c>
    </row>
    <row r="3079">
      <c r="A3079">
        <f>Skills!A2</f>
        <v/>
      </c>
      <c r="B3079">
        <f>Skills!B2</f>
        <v/>
      </c>
      <c r="C3079">
        <f>Inputs!$B$3&gt;=100</f>
        <v/>
      </c>
      <c r="D3079" t="inlineStr"/>
      <c r="E3079" t="inlineStr"/>
      <c r="F3079">
        <f>U3081+Skills!O2</f>
        <v/>
      </c>
      <c r="G3079">
        <f>Skills!G2*IF(Skills!H2&gt;0,Skills!I2/Skills!H2,1)</f>
        <v/>
      </c>
      <c r="H3079">
        <f>1-(1-Skills!J2/100)^Skills!K2</f>
        <v/>
      </c>
      <c r="I3079" t="inlineStr">
        <is>
          <t>1</t>
        </is>
      </c>
      <c r="J3079">
        <f>((Inputs!$B$6*(1+Inputs!$B$7/100))+(((Inputs!$B$12*(1+Inputs!$B$13/100))-(Inputs!$B$12*(1+Inputs!$B$13/100)))+0.25*(Inputs!$B$14-Inputs!$B$14))*(1+Inputs!$B$7/100))*(F3079/100)</f>
        <v/>
      </c>
      <c r="K3079">
        <f>J3079*(1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3079)</f>
        <v/>
      </c>
      <c r="L3079">
        <f>K3079*(MIN(Inputs!$B$22+((C3099=TRUE)*(F3099-Calc!F22)),(Inputs!$B$23+0+(IF(ArtifactsInput!$M$15,CHOOSE(ArtifactsInput!$N$15+1,25,30,35,40,45,50)/100*(Inputs!$B$11-Inputs!$B$11),0))))/100+(Inputs!$B$23+0+(IF(ArtifactsInput!$M$15,CHOOSE(ArtifactsInput!$N$15+1,25,30,35,40,45,50)/100*(Inputs!$B$11-Inputs!$B$11),0)))/100)/2</f>
        <v/>
      </c>
      <c r="M3079">
        <f>L3079*(1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9">
        <f>L3079*(1-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3079*(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9">
        <f>(1-Summary!$B$11)*T3079+Summary!$B$11*V3079</f>
        <v/>
      </c>
      <c r="P3079">
        <f>IF(B3118=0,0,O3079/B3118)</f>
        <v/>
      </c>
      <c r="Q3079" t="n">
        <v>0</v>
      </c>
      <c r="R3079" t="n">
        <v>0</v>
      </c>
      <c r="S3079">
        <f>IFERROR(O3079/N3079,0)</f>
        <v/>
      </c>
      <c r="T3079">
        <f>IF(C3079,(Skills!G2*N3079*B3112)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3079*(1-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3079*(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3079*(1-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3079*(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79">
        <f>MAX(0,(Inputs!$B$3-100)*3)+Inputs!$B$28+Inputs!$B$29</f>
        <v/>
      </c>
      <c r="V3079">
        <f>IF(C3079,(Skills!G2*N3079*B3112)*IF(Inputs!$B$38="pvp",1,(1+(Inputs!$B$21+Skills!Q2+(IF(ArtifactsInput!$M$33,CHOOSE(ArtifactsInput!$N$33+1,30,36,42,48,54,60),0))+(IF(AND(ArtifactsInput!$M$35,Inputs!$B$4&lt;&gt;"Chapter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0">
      <c r="A3080">
        <f>Skills!A3</f>
        <v/>
      </c>
      <c r="B3080">
        <f>Skills!B3</f>
        <v/>
      </c>
      <c r="C3080">
        <f>Inputs!$B$3&gt;=35</f>
        <v/>
      </c>
      <c r="D3080">
        <f>IF(Skills!C3=1,60+Inputs!$B$25+Inputs!$B$29,IF(Skills!C3=2,90+Inputs!$B$26+Inputs!$B$29,IF(Skills!C3=3,120+Inputs!$B$27+Inputs!$B$29,MAX(0,(Inputs!$B$3-100)*3)+Inputs!$B$28+Inputs!$B$29)))</f>
        <v/>
      </c>
      <c r="E3080">
        <f>INDEX(FactorTable!$B$2:$Y$301, MATCH(ROUND(MIN(300,MAX(1,D3080)),0), FactorTable!$A$2:$A$301,0), Skills!M3+1)</f>
        <v/>
      </c>
      <c r="F3080">
        <f>IF(Skills!N3=TRUE,(Skills!L3/10)*(E3080/1000),Skills!L3/10)+Skills!O3</f>
        <v/>
      </c>
      <c r="G3080">
        <f>Skills!G3*IF(Skills!H3&gt;0,Skills!I3/Skills!H3,1)</f>
        <v/>
      </c>
      <c r="H3080">
        <f>1-(1-Skills!J3/100)^Skills!K3</f>
        <v/>
      </c>
      <c r="I3080" t="inlineStr">
        <is>
          <t>1</t>
        </is>
      </c>
      <c r="J3080">
        <f>((Inputs!$B$6*(1+Inputs!$B$7/100))+(((Inputs!$B$12*(1+Inputs!$B$13/100))-(Inputs!$B$12*(1+Inputs!$B$13/100)))+0.25*(Inputs!$B$14-Inputs!$B$14))*(1+Inputs!$B$7/100))*(F3080/100)</f>
        <v/>
      </c>
      <c r="K3080">
        <f>J3080*(1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3092=TRUE,F3092,0)/100)*(1+(IF(Skills!A3="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3080)</f>
        <v/>
      </c>
      <c r="L3080">
        <f>K3080*(MIN(Inputs!$B$22+((C3099=TRUE)*(F3099-Calc!F22)),(Inputs!$B$23+0+(IF(ArtifactsInput!$M$15,CHOOSE(ArtifactsInput!$N$15+1,25,30,35,40,45,50)/100*(Inputs!$B$11-Inputs!$B$11),0))))/100+(Inputs!$B$23+0+(IF(ArtifactsInput!$M$15,CHOOSE(ArtifactsInput!$N$15+1,25,30,35,40,45,50)/100*(Inputs!$B$11-Inputs!$B$11),0)))/100)/2</f>
        <v/>
      </c>
      <c r="M3080">
        <f>L3080*(1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0">
        <f>L3080*(1-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3080*(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0">
        <f>(1-Summary!$B$11)*T3080+Summary!$B$11*V3080</f>
        <v/>
      </c>
      <c r="P3080">
        <f>IF(B3118=0,0,O3080/B3118)</f>
        <v/>
      </c>
      <c r="Q3080">
        <f>IFERROR(1/(IF(Inputs!$B$38="pvp",15,MAX(0.1,Skills!D3-IF(Skills!E3=TRUE,3.5,0)))*(1-IF(AND(ArtifactsInput!$M$27,Inputs!$B$4="Chapter Hunt"),CHOOSE(ArtifactsInput!$N$27+1,20,24,28,32,36,40),0)/100)),0)</f>
        <v/>
      </c>
      <c r="R3080">
        <f>IF(AND(Inputs!$B$38&lt;&gt;"pvp",Inputs!$B$43&gt;0),IF(MAX(0,Inputs!$B$43-B3115)&lt;=0,0,(INT(MAX(0,Inputs!$B$43-B3115)/(IF(Inputs!$B$38="pvp",15,MAX(0.1,Skills!D3-IF(Skills!E3=TRUE,3.5,0)))*(1-IF(AND(ArtifactsInput!$M$27,Inputs!$B$4="Chapter Hunt"),CHOOSE(ArtifactsInput!$N$27+1,20,24,28,32,36,40),0)/100)))+1)),0)</f>
        <v/>
      </c>
      <c r="S3080">
        <f>IFERROR(O3080/N3080,0)</f>
        <v/>
      </c>
      <c r="T3080">
        <f>IF(C3080,(H3080*N3080*IF(AND(Inputs!$B$38&lt;&gt;"pvp",Inputs!$B$43&gt;0),((Skills!G3*((R3080-1)*IF(Skills!H3&gt;0,Skills!I3/Skills!H3,1)+IF(Skills!H3&gt;0,MIN(Skills!I3,MAX(0,MAX(0,Inputs!$B$43-B3115)-((R3080-1)*(IF(Inputs!$B$38="pvp",15,MAX(0.1,Skills!D3-IF(Skills!E3=TRUE,3.5,0)))*(1-IF(AND(ArtifactsInput!$M$27,Inputs!$B$4="Chapter Hunt"),CHOOSE(ArtifactsInput!$N$27+1,20,24,28,32,36,40),0)/100)))))/Skills!H3,1)))/Inputs!$B$43),G3080*Q3080)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3080*(1-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3080*(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3080*(1-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3080*(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0">
        <f>INDEX(FactorTable!$B$2:$Y$301, MATCH(ROUND(MIN(300,MAX(1,U3079)),0), FactorTable!$A$2:$A$301,0), 22)</f>
        <v/>
      </c>
      <c r="V3080">
        <f>IF(C3080,(H3080*N3080*IF(AND(Inputs!$B$38&lt;&gt;"pvp",Inputs!$B$43&gt;0),((Skills!G3*((R3080-1)*IF(Skills!H3&gt;0,Skills!I3/Skills!H3,1)+IF(Skills!H3&gt;0,MIN(Skills!I3,MAX(0,MAX(0,Inputs!$B$43-B3115)-((R3080-1)*(IF(Inputs!$B$38="pvp",15,MAX(0.1,Skills!D3-IF(Skills!E3=TRUE,3.5,0)))*(1-IF(AND(ArtifactsInput!$M$27,Inputs!$B$4="Chapter Hunt"),CHOOSE(ArtifactsInput!$N$27+1,20,24,28,32,36,40),0)/100)))))/Skills!H3,1)))/Inputs!$B$43),G3080*Q3080))*IF(Inputs!$B$38="pvp",1,(1+(Inputs!$B$21+Skills!Q3+(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1">
      <c r="A3081">
        <f>Skills!A4</f>
        <v/>
      </c>
      <c r="B3081">
        <f>Skills!B4</f>
        <v/>
      </c>
      <c r="C3081">
        <f>Inputs!$B$3&gt;=40</f>
        <v/>
      </c>
      <c r="D3081">
        <f>IF(Skills!C4=1,60+Inputs!$B$25+Inputs!$B$29,IF(Skills!C4=2,90+Inputs!$B$26+Inputs!$B$29,IF(Skills!C4=3,120+Inputs!$B$27+Inputs!$B$29,MAX(0,(Inputs!$B$3-100)*3)+Inputs!$B$28+Inputs!$B$29)))</f>
        <v/>
      </c>
      <c r="E3081">
        <f>INDEX(FactorTable!$B$2:$Y$301, MATCH(ROUND(MIN(300,MAX(1,D3081)),0), FactorTable!$A$2:$A$301,0), Skills!M4+1)</f>
        <v/>
      </c>
      <c r="F3081">
        <f>IF(Skills!N4=TRUE,(Skills!L4/10)*(E3081/1000),Skills!L4/10)+Skills!O4</f>
        <v/>
      </c>
      <c r="G3081">
        <f>Skills!G4*IF(Skills!H4&gt;0,Skills!I4/Skills!H4,1)</f>
        <v/>
      </c>
      <c r="H3081">
        <f>1-(1-Skills!J4/100)^Skills!K4</f>
        <v/>
      </c>
      <c r="I3081" t="inlineStr">
        <is>
          <t>1</t>
        </is>
      </c>
      <c r="J3081">
        <f>((Inputs!$B$6*(1+Inputs!$B$7/100))+(((Inputs!$B$12*(1+Inputs!$B$13/100))-(Inputs!$B$12*(1+Inputs!$B$13/100)))+0.25*(Inputs!$B$14-Inputs!$B$14))*(1+Inputs!$B$7/100))*(F3081/100)</f>
        <v/>
      </c>
      <c r="K3081">
        <f>J3081*(1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3093=TRUE,F3093,0)/100)*(1+(IF(Skills!A4="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3081)</f>
        <v/>
      </c>
      <c r="L3081">
        <f>K3081*(MIN(Inputs!$B$22+((C3099=TRUE)*(F3099-Calc!F22)),(Inputs!$B$23+0+(IF(ArtifactsInput!$M$15,CHOOSE(ArtifactsInput!$N$15+1,25,30,35,40,45,50)/100*(Inputs!$B$11-Inputs!$B$11),0))))/100+(Inputs!$B$23+0+(IF(ArtifactsInput!$M$15,CHOOSE(ArtifactsInput!$N$15+1,25,30,35,40,45,50)/100*(Inputs!$B$11-Inputs!$B$11),0)))/100)/2</f>
        <v/>
      </c>
      <c r="M3081">
        <f>L3081*(1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1">
        <f>L3081*(1-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1">
        <f>(1-Summary!$B$11)*T3081+Summary!$B$11*V3081</f>
        <v/>
      </c>
      <c r="P3081">
        <f>IF(B3118=0,0,O3081/B3118)</f>
        <v/>
      </c>
      <c r="Q3081">
        <f>IFERROR(1/(IF(Inputs!$B$38="pvp",15,MAX(0.1,Skills!D4-IF(Skills!E4=TRUE,3.5,0)))*(1-IF(AND(ArtifactsInput!$M$27,Inputs!$B$4="Chapter Hunt"),CHOOSE(ArtifactsInput!$N$27+1,20,24,28,32,36,40),0)/100)),0)</f>
        <v/>
      </c>
      <c r="R3081">
        <f>IF(AND(Inputs!$B$38&lt;&gt;"pvp",Inputs!$B$43&gt;0),IF(MAX(0,Inputs!$B$43-B3115)&lt;=0,0,(INT(MAX(0,Inputs!$B$43-B3115)/(IF(Inputs!$B$38="pvp",15,MAX(0.1,Skills!D4-IF(Skills!E4=TRUE,3.5,0)))*(1-IF(AND(ArtifactsInput!$M$27,Inputs!$B$4="Chapter Hunt"),CHOOSE(ArtifactsInput!$N$27+1,20,24,28,32,36,40),0)/100)))+1)),0)</f>
        <v/>
      </c>
      <c r="S3081">
        <f>IFERROR(O3081/N3081,0)</f>
        <v/>
      </c>
      <c r="T3081">
        <f>IF(C3081,(H3081*N3081*IF(AND(Inputs!$B$38&lt;&gt;"pvp",Inputs!$B$43&gt;0),((Skills!G4*((R3081-1)*IF(Skills!H4&gt;0,Skills!I4/Skills!H4,1)+IF(Skills!H4&gt;0,MIN(Skills!I4,MAX(0,MAX(0,Inputs!$B$43-B3115)-((R3081-1)*(IF(Inputs!$B$38="pvp",15,MAX(0.1,Skills!D4-IF(Skills!E4=TRUE,3.5,0)))*(1-IF(AND(ArtifactsInput!$M$27,Inputs!$B$4="Chapter Hunt"),CHOOSE(ArtifactsInput!$N$27+1,20,24,28,32,36,40),0)/100)))))/Skills!H4,1)))/Inputs!$B$43),G3081*Q3081)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3081*(1-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3081*(1-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1">
        <f>290*U3080/1000</f>
        <v/>
      </c>
      <c r="V3081">
        <f>IF(C3081,(H3081*N3081*IF(AND(Inputs!$B$38&lt;&gt;"pvp",Inputs!$B$43&gt;0),((Skills!G4*((R3081-1)*IF(Skills!H4&gt;0,Skills!I4/Skills!H4,1)+IF(Skills!H4&gt;0,MIN(Skills!I4,MAX(0,MAX(0,Inputs!$B$43-B3115)-((R3081-1)*(IF(Inputs!$B$38="pvp",15,MAX(0.1,Skills!D4-IF(Skills!E4=TRUE,3.5,0)))*(1-IF(AND(ArtifactsInput!$M$27,Inputs!$B$4="Chapter Hunt"),CHOOSE(ArtifactsInput!$N$27+1,20,24,28,32,36,40),0)/100)))))/Skills!H4,1)))/Inputs!$B$43),G3081*Q3081))*IF(Inputs!$B$38="pvp",1,(1+(Inputs!$B$21+Skills!Q4+(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2">
      <c r="A3082">
        <f>Skills!A5</f>
        <v/>
      </c>
      <c r="B3082">
        <f>Skills!B5</f>
        <v/>
      </c>
      <c r="C3082">
        <f>Inputs!$B$3&gt;=45</f>
        <v/>
      </c>
      <c r="D3082">
        <f>IF(Skills!C5=1,60+Inputs!$B$25+Inputs!$B$29,IF(Skills!C5=2,90+Inputs!$B$26+Inputs!$B$29,IF(Skills!C5=3,120+Inputs!$B$27+Inputs!$B$29,MAX(0,(Inputs!$B$3-100)*3)+Inputs!$B$28+Inputs!$B$29)))</f>
        <v/>
      </c>
      <c r="E3082">
        <f>INDEX(FactorTable!$B$2:$Y$301, MATCH(ROUND(MIN(300,MAX(1,D3082)),0), FactorTable!$A$2:$A$301,0), Skills!M5+1)</f>
        <v/>
      </c>
      <c r="F3082">
        <f>IF(Skills!N5=TRUE,(Skills!L5/10)*(E3082/1000),Skills!L5/10)+Skills!O5</f>
        <v/>
      </c>
      <c r="G3082">
        <f>Skills!G5*IF(Skills!H5&gt;0,Skills!I5/Skills!H5,1)</f>
        <v/>
      </c>
      <c r="H3082">
        <f>1-(1-Skills!J5/100)^Skills!K5</f>
        <v/>
      </c>
      <c r="I3082" t="inlineStr">
        <is>
          <t>1</t>
        </is>
      </c>
      <c r="J3082">
        <f>((Inputs!$B$6*(1+Inputs!$B$7/100))+(((Inputs!$B$12*(1+Inputs!$B$13/100))-(Inputs!$B$12*(1+Inputs!$B$13/100)))+0.25*(Inputs!$B$14-Inputs!$B$14))*(1+Inputs!$B$7/100))*(F3082/100)</f>
        <v/>
      </c>
      <c r="K3082">
        <f>J3082*(1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3093=TRUE,F3093,0)/100)*(1+(IF(Skills!A5="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3082)</f>
        <v/>
      </c>
      <c r="L3082">
        <f>K3082*(MIN(Inputs!$B$22+((C3099=TRUE)*(F3099-Calc!F22)),(Inputs!$B$23+0+(IF(ArtifactsInput!$M$15,CHOOSE(ArtifactsInput!$N$15+1,25,30,35,40,45,50)/100*(Inputs!$B$11-Inputs!$B$11),0))))/100+(Inputs!$B$23+0+(IF(ArtifactsInput!$M$15,CHOOSE(ArtifactsInput!$N$15+1,25,30,35,40,45,50)/100*(Inputs!$B$11-Inputs!$B$11),0)))/100)/2</f>
        <v/>
      </c>
      <c r="M3082">
        <f>L3082*(1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2">
        <f>L3082*(1-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3082*(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2">
        <f>(1-Summary!$B$11)*T3082+Summary!$B$11*V3082</f>
        <v/>
      </c>
      <c r="P3082">
        <f>IF(B3118=0,0,O3082/B3118)</f>
        <v/>
      </c>
      <c r="Q3082">
        <f>IFERROR(1/(IF(Inputs!$B$38="pvp",15,MAX(0.1,Skills!D5-IF(Skills!E5=TRUE,3.5,0)))*(1-IF(AND(ArtifactsInput!$M$27,Inputs!$B$4="Chapter Hunt"),CHOOSE(ArtifactsInput!$N$27+1,20,24,28,32,36,40),0)/100)),0)</f>
        <v/>
      </c>
      <c r="R3082">
        <f>IF(AND(Inputs!$B$38&lt;&gt;"pvp",Inputs!$B$43&gt;0),IF(MAX(0,Inputs!$B$43-B3115)&lt;=0,0,(INT(MAX(0,Inputs!$B$43-B3115)/(IF(Inputs!$B$38="pvp",15,MAX(0.1,Skills!D5-IF(Skills!E5=TRUE,3.5,0)))*(1-IF(AND(ArtifactsInput!$M$27,Inputs!$B$4="Chapter Hunt"),CHOOSE(ArtifactsInput!$N$27+1,20,24,28,32,36,40),0)/100)))+1)),0)</f>
        <v/>
      </c>
      <c r="S3082">
        <f>IFERROR(O3082/N3082,0)</f>
        <v/>
      </c>
      <c r="T3082">
        <f>IF(C3082,(H3082*N3082*IF(AND(Inputs!$B$38&lt;&gt;"pvp",Inputs!$B$43&gt;0),((Skills!G5*((R3082-1)*IF(Skills!H5&gt;0,Skills!I5/Skills!H5,1)+IF(Skills!H5&gt;0,MIN(Skills!I5,MAX(0,MAX(0,Inputs!$B$43-B3115)-((R3082-1)*(IF(Inputs!$B$38="pvp",15,MAX(0.1,Skills!D5-IF(Skills!E5=TRUE,3.5,0)))*(1-IF(AND(ArtifactsInput!$M$27,Inputs!$B$4="Chapter Hunt"),CHOOSE(ArtifactsInput!$N$27+1,20,24,28,32,36,40),0)/100)))))/Skills!H5,1)))/Inputs!$B$43),G3082*Q3082)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3082*(1-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3082*(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3082*(1-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3082*(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2">
        <f>IF(C3082,(H3082*N3082*IF(AND(Inputs!$B$38&lt;&gt;"pvp",Inputs!$B$43&gt;0),((Skills!G5*((R3082-1)*IF(Skills!H5&gt;0,Skills!I5/Skills!H5,1)+IF(Skills!H5&gt;0,MIN(Skills!I5,MAX(0,MAX(0,Inputs!$B$43-B3115)-((R3082-1)*(IF(Inputs!$B$38="pvp",15,MAX(0.1,Skills!D5-IF(Skills!E5=TRUE,3.5,0)))*(1-IF(AND(ArtifactsInput!$M$27,Inputs!$B$4="Chapter Hunt"),CHOOSE(ArtifactsInput!$N$27+1,20,24,28,32,36,40),0)/100)))))/Skills!H5,1)))/Inputs!$B$43),G3082*Q3082))*IF(Inputs!$B$38="pvp",1,(1+(Inputs!$B$21+Skills!Q5+(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3">
      <c r="A3083">
        <f>Skills!A6</f>
        <v/>
      </c>
      <c r="B3083">
        <f>Skills!B6</f>
        <v/>
      </c>
      <c r="C3083">
        <f>Inputs!$B$3&gt;=63</f>
        <v/>
      </c>
      <c r="D3083">
        <f>IF(Skills!C6=1,60+Inputs!$B$25+Inputs!$B$29,IF(Skills!C6=2,90+Inputs!$B$26+Inputs!$B$29,IF(Skills!C6=3,120+Inputs!$B$27+Inputs!$B$29,MAX(0,(Inputs!$B$3-100)*3)+Inputs!$B$28+Inputs!$B$29)))</f>
        <v/>
      </c>
      <c r="E3083">
        <f>INDEX(FactorTable!$B$2:$Y$301, MATCH(ROUND(MIN(300,MAX(1,D3083)),0), FactorTable!$A$2:$A$301,0), Skills!M6+1)</f>
        <v/>
      </c>
      <c r="F3083">
        <f>IF(Skills!N6=TRUE,(Skills!L6/10)*(E3083/1000),Skills!L6/10)+Skills!O6</f>
        <v/>
      </c>
      <c r="G3083">
        <f>Skills!G6*IF(Skills!H6&gt;0,Skills!I6/Skills!H6,1)</f>
        <v/>
      </c>
      <c r="H3083">
        <f>1-(1-Skills!J6/100)^Skills!K6</f>
        <v/>
      </c>
      <c r="I3083" t="inlineStr">
        <is>
          <t>1</t>
        </is>
      </c>
      <c r="J3083">
        <f>((Inputs!$B$6*(1+Inputs!$B$7/100))+(((Inputs!$B$12*(1+Inputs!$B$13/100))-(Inputs!$B$12*(1+Inputs!$B$13/100)))+0.25*(Inputs!$B$14-Inputs!$B$14))*(1+Inputs!$B$7/100))*(F3083/100)</f>
        <v/>
      </c>
      <c r="K3083">
        <f>J3083*(1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3092=TRUE,F3092,0)/100)*(1+(IF(Skills!A6="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3083)</f>
        <v/>
      </c>
      <c r="L3083">
        <f>K3083*(MIN(Inputs!$B$22+((C3099=TRUE)*(F3099-Calc!F22)),(Inputs!$B$23+0+(IF(ArtifactsInput!$M$15,CHOOSE(ArtifactsInput!$N$15+1,25,30,35,40,45,50)/100*(Inputs!$B$11-Inputs!$B$11),0))))/100+(Inputs!$B$23+0+(IF(ArtifactsInput!$M$15,CHOOSE(ArtifactsInput!$N$15+1,25,30,35,40,45,50)/100*(Inputs!$B$11-Inputs!$B$11),0)))/100)/2</f>
        <v/>
      </c>
      <c r="M3083">
        <f>L3083*(1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3">
        <f>L3083*(1-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3083*(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3">
        <f>(1-Summary!$B$11)*T3083+Summary!$B$11*V3083</f>
        <v/>
      </c>
      <c r="P3083">
        <f>IF(B3118=0,0,O3083/B3118)</f>
        <v/>
      </c>
      <c r="Q3083">
        <f>IFERROR(1/(IF(Inputs!$B$38="pvp",15,MAX(0.1,Skills!D6-IF(Skills!E6=TRUE,3.5,0)))*(1-IF(AND(ArtifactsInput!$M$27,Inputs!$B$4="Chapter Hunt"),CHOOSE(ArtifactsInput!$N$27+1,20,24,28,32,36,40),0)/100)),0)</f>
        <v/>
      </c>
      <c r="R3083">
        <f>IF(AND(Inputs!$B$38&lt;&gt;"pvp",Inputs!$B$43&gt;0),IF(MAX(0,Inputs!$B$43-B3115)&lt;=0,0,(INT(MAX(0,Inputs!$B$43-B3115)/(IF(Inputs!$B$38="pvp",15,MAX(0.1,Skills!D6-IF(Skills!E6=TRUE,3.5,0)))*(1-IF(AND(ArtifactsInput!$M$27,Inputs!$B$4="Chapter Hunt"),CHOOSE(ArtifactsInput!$N$27+1,20,24,28,32,36,40),0)/100)))+1)),0)</f>
        <v/>
      </c>
      <c r="S3083">
        <f>IFERROR(O3083/N3083,0)</f>
        <v/>
      </c>
      <c r="T3083">
        <f>IF(C3083,(H3083*N3083*IF(AND(Inputs!$B$38&lt;&gt;"pvp",Inputs!$B$43&gt;0),((Skills!G6*((R3083-1)*IF(Skills!H6&gt;0,Skills!I6/Skills!H6,1)+IF(Skills!H6&gt;0,MIN(Skills!I6,MAX(0,MAX(0,Inputs!$B$43-B3115)-((R3083-1)*(IF(Inputs!$B$38="pvp",15,MAX(0.1,Skills!D6-IF(Skills!E6=TRUE,3.5,0)))*(1-IF(AND(ArtifactsInput!$M$27,Inputs!$B$4="Chapter Hunt"),CHOOSE(ArtifactsInput!$N$27+1,20,24,28,32,36,40),0)/100)))))/Skills!H6,1)))/Inputs!$B$43),G3083*Q3083)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3083*(1-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3083*(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3083*(1-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3083*(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3">
        <f>IF(C3083,(H3083*N3083*IF(AND(Inputs!$B$38&lt;&gt;"pvp",Inputs!$B$43&gt;0),((Skills!G6*((R3083-1)*IF(Skills!H6&gt;0,Skills!I6/Skills!H6,1)+IF(Skills!H6&gt;0,MIN(Skills!I6,MAX(0,MAX(0,Inputs!$B$43-B3115)-((R3083-1)*(IF(Inputs!$B$38="pvp",15,MAX(0.1,Skills!D6-IF(Skills!E6=TRUE,3.5,0)))*(1-IF(AND(ArtifactsInput!$M$27,Inputs!$B$4="Chapter Hunt"),CHOOSE(ArtifactsInput!$N$27+1,20,24,28,32,36,40),0)/100)))))/Skills!H6,1)))/Inputs!$B$43),G3083*Q3083))*IF(Inputs!$B$38="pvp",1,(1+(Inputs!$B$21+Skills!Q6+(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4">
      <c r="A3084">
        <f>Skills!A7</f>
        <v/>
      </c>
      <c r="B3084">
        <f>Skills!B7</f>
        <v/>
      </c>
      <c r="C3084">
        <f>Inputs!$B$3&gt;=66</f>
        <v/>
      </c>
      <c r="D3084">
        <f>IF(Skills!C7=1,60+Inputs!$B$25+Inputs!$B$29,IF(Skills!C7=2,90+Inputs!$B$26+Inputs!$B$29,IF(Skills!C7=3,120+Inputs!$B$27+Inputs!$B$29,MAX(0,(Inputs!$B$3-100)*3)+Inputs!$B$28+Inputs!$B$29)))</f>
        <v/>
      </c>
      <c r="E3084">
        <f>INDEX(FactorTable!$B$2:$Y$301, MATCH(ROUND(MIN(300,MAX(1,D3084)),0), FactorTable!$A$2:$A$301,0), Skills!M7+1)</f>
        <v/>
      </c>
      <c r="F3084">
        <f>IF(Skills!N7=TRUE,(Skills!L7/10)*(E3084/1000),Skills!L7/10)+Skills!O7</f>
        <v/>
      </c>
      <c r="G3084">
        <f>Skills!G7*IF(Skills!H7&gt;0,Skills!I7/Skills!H7,1)</f>
        <v/>
      </c>
      <c r="H3084">
        <f>1-(1-Skills!J7/100)^Skills!K7</f>
        <v/>
      </c>
      <c r="I3084" t="inlineStr">
        <is>
          <t>1</t>
        </is>
      </c>
      <c r="J3084">
        <f>((Inputs!$B$6*(1+Inputs!$B$7/100))+(((Inputs!$B$12*(1+Inputs!$B$13/100))-(Inputs!$B$12*(1+Inputs!$B$13/100)))+0.25*(Inputs!$B$14-Inputs!$B$14))*(1+Inputs!$B$7/100))*(F3084/100)</f>
        <v/>
      </c>
      <c r="K3084">
        <f>J3084*(1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3092=TRUE,F3092,0)/100)*(1+(IF(Skills!A7="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3084)</f>
        <v/>
      </c>
      <c r="L3084">
        <f>K3084*(MIN(Inputs!$B$22+((C3099=TRUE)*(F3099-Calc!F22)),(Inputs!$B$23+0+(IF(ArtifactsInput!$M$15,CHOOSE(ArtifactsInput!$N$15+1,25,30,35,40,45,50)/100*(Inputs!$B$11-Inputs!$B$11),0))))/100+(Inputs!$B$23+0+(IF(ArtifactsInput!$M$15,CHOOSE(ArtifactsInput!$N$15+1,25,30,35,40,45,50)/100*(Inputs!$B$11-Inputs!$B$11),0)))/100)/2</f>
        <v/>
      </c>
      <c r="M3084">
        <f>L3084*(1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4">
        <f>L3084*(1-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3084*(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4">
        <f>(1-Summary!$B$11)*T3084+Summary!$B$11*V3084</f>
        <v/>
      </c>
      <c r="P3084">
        <f>IF(B3118=0,0,O3084/B3118)</f>
        <v/>
      </c>
      <c r="Q3084">
        <f>IFERROR(1/(IF(Inputs!$B$38="pvp",15,MAX(0.1,Skills!D7-IF(Skills!E7=TRUE,3.5,0)))*(1-IF(AND(ArtifactsInput!$M$27,Inputs!$B$4="Chapter Hunt"),CHOOSE(ArtifactsInput!$N$27+1,20,24,28,32,36,40),0)/100)),0)</f>
        <v/>
      </c>
      <c r="R3084">
        <f>IF(AND(Inputs!$B$38&lt;&gt;"pvp",Inputs!$B$43&gt;0),IF(MAX(0,Inputs!$B$43-B3115)&lt;=0,0,(INT(MAX(0,Inputs!$B$43-B3115)/(IF(Inputs!$B$38="pvp",15,MAX(0.1,Skills!D7-IF(Skills!E7=TRUE,3.5,0)))*(1-IF(AND(ArtifactsInput!$M$27,Inputs!$B$4="Chapter Hunt"),CHOOSE(ArtifactsInput!$N$27+1,20,24,28,32,36,40),0)/100)))+1)),0)</f>
        <v/>
      </c>
      <c r="S3084">
        <f>IFERROR(O3084/N3084,0)</f>
        <v/>
      </c>
      <c r="T3084">
        <f>IF(C3084,(H3084*N3084*IF(AND(Inputs!$B$38&lt;&gt;"pvp",Inputs!$B$43&gt;0),((Skills!G7*((R3084-1)*IF(Skills!H7&gt;0,Skills!I7/Skills!H7,1)+IF(Skills!H7&gt;0,MIN(Skills!I7,MAX(0,MAX(0,Inputs!$B$43-B3115)-((R3084-1)*(IF(Inputs!$B$38="pvp",15,MAX(0.1,Skills!D7-IF(Skills!E7=TRUE,3.5,0)))*(1-IF(AND(ArtifactsInput!$M$27,Inputs!$B$4="Chapter Hunt"),CHOOSE(ArtifactsInput!$N$27+1,20,24,28,32,36,40),0)/100)))))/Skills!H7,1)))/Inputs!$B$43),G3084*Q3084)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3084*(1-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3084*(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3084*(1-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3084*(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4">
        <f>IF(C3084,(H3084*N3084*IF(AND(Inputs!$B$38&lt;&gt;"pvp",Inputs!$B$43&gt;0),((Skills!G7*((R3084-1)*IF(Skills!H7&gt;0,Skills!I7/Skills!H7,1)+IF(Skills!H7&gt;0,MIN(Skills!I7,MAX(0,MAX(0,Inputs!$B$43-B3115)-((R3084-1)*(IF(Inputs!$B$38="pvp",15,MAX(0.1,Skills!D7-IF(Skills!E7=TRUE,3.5,0)))*(1-IF(AND(ArtifactsInput!$M$27,Inputs!$B$4="Chapter Hunt"),CHOOSE(ArtifactsInput!$N$27+1,20,24,28,32,36,40),0)/100)))))/Skills!H7,1)))/Inputs!$B$43),G3084*Q3084))*IF(Inputs!$B$38="pvp",1,(1+(Inputs!$B$21+Skills!Q7+(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5">
      <c r="A3085">
        <f>Skills!A8</f>
        <v/>
      </c>
      <c r="B3085">
        <f>Skills!B8</f>
        <v/>
      </c>
      <c r="C3085">
        <f>Inputs!$B$3&gt;=100</f>
        <v/>
      </c>
      <c r="D3085">
        <f>IF(Skills!C8=1,60+Inputs!$B$25+Inputs!$B$29,IF(Skills!C8=2,90+Inputs!$B$26+Inputs!$B$29,IF(Skills!C8=3,120+Inputs!$B$27+Inputs!$B$29,MAX(0,(Inputs!$B$3-100)*3)+Inputs!$B$28+Inputs!$B$29)))</f>
        <v/>
      </c>
      <c r="E3085">
        <f>INDEX(FactorTable!$B$2:$Y$301, MATCH(ROUND(MIN(300,MAX(1,D3085)),0), FactorTable!$A$2:$A$301,0), Skills!M8+1)</f>
        <v/>
      </c>
      <c r="F3085">
        <f>IF(Skills!N8=TRUE,(Skills!L8/10)*(E3085/1000),Skills!L8/10)+Skills!O8</f>
        <v/>
      </c>
      <c r="G3085">
        <f>Skills!G8*IF(Skills!H8&gt;0,Skills!I8/Skills!H8,1)</f>
        <v/>
      </c>
      <c r="H3085">
        <f>1-(1-Skills!J8/100)^Skills!K8</f>
        <v/>
      </c>
      <c r="I3085" t="inlineStr">
        <is>
          <t>1</t>
        </is>
      </c>
      <c r="J3085">
        <f>((Inputs!$B$6*(1+Inputs!$B$7/100))+(((Inputs!$B$12*(1+Inputs!$B$13/100))-(Inputs!$B$12*(1+Inputs!$B$13/100)))+0.25*(Inputs!$B$14-Inputs!$B$14))*(1+Inputs!$B$7/100))*(F3085/100)</f>
        <v/>
      </c>
      <c r="K3085">
        <f>J3085*(1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3085)</f>
        <v/>
      </c>
      <c r="L3085">
        <f>K3085*(MIN(Inputs!$B$22+((C3099=TRUE)*(F3099-Calc!F22)),(Inputs!$B$23+0+(IF(ArtifactsInput!$M$15,CHOOSE(ArtifactsInput!$N$15+1,25,30,35,40,45,50)/100*(Inputs!$B$11-Inputs!$B$11),0))))/100+(Inputs!$B$23+0+(IF(ArtifactsInput!$M$15,CHOOSE(ArtifactsInput!$N$15+1,25,30,35,40,45,50)/100*(Inputs!$B$11-Inputs!$B$11),0)))/100)/2</f>
        <v/>
      </c>
      <c r="M3085">
        <f>L3085*(1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5">
        <f>L3085*(1-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3085*(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5">
        <f>(1-Summary!$B$11)*T3085+Summary!$B$11*V3085</f>
        <v/>
      </c>
      <c r="P3085">
        <f>IF(B3118=0,0,O3085/B3118)</f>
        <v/>
      </c>
      <c r="Q3085">
        <f>IFERROR(1/(IF(Inputs!$B$38="pvp",15,MAX(0.1,Skills!D8-IF(Skills!E8=TRUE,3.5,0)))*(1-IF(AND(ArtifactsInput!$M$27,Inputs!$B$4="Chapter Hunt"),CHOOSE(ArtifactsInput!$N$27+1,20,24,28,32,36,40),0)/100)),0)</f>
        <v/>
      </c>
      <c r="R3085">
        <f>IF(AND(Inputs!$B$38&lt;&gt;"pvp",Inputs!$B$43&gt;0),IF(MAX(0,Inputs!$B$43-B3115)&lt;=0,0,(INT(MAX(0,Inputs!$B$43-B3115)/(IF(Inputs!$B$38="pvp",15,MAX(0.1,Skills!D8-IF(Skills!E8=TRUE,3.5,0)))*(1-IF(AND(ArtifactsInput!$M$27,Inputs!$B$4="Chapter Hunt"),CHOOSE(ArtifactsInput!$N$27+1,20,24,28,32,36,40),0)/100)))+1)),0)</f>
        <v/>
      </c>
      <c r="S3085">
        <f>IFERROR(O3085/N3085,0)</f>
        <v/>
      </c>
      <c r="T3085">
        <f>IF(C3085,(H3085*N3085*IF(AND(Inputs!$B$38&lt;&gt;"pvp",Inputs!$B$43&gt;0),((Skills!G8*((R3085-1)*IF(Skills!H8&gt;0,Skills!I8/Skills!H8,1)+IF(Skills!H8&gt;0,MIN(Skills!I8,MAX(0,MAX(0,Inputs!$B$43-B3115)-((R3085-1)*(IF(Inputs!$B$38="pvp",15,MAX(0.1,Skills!D8-IF(Skills!E8=TRUE,3.5,0)))*(1-IF(AND(ArtifactsInput!$M$27,Inputs!$B$4="Chapter Hunt"),CHOOSE(ArtifactsInput!$N$27+1,20,24,28,32,36,40),0)/100)))))/Skills!H8,1)))/Inputs!$B$43),G3085*Q3085)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3085*(1-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3085*(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3085*(1-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3085*(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5">
        <f>IF(C3085,(H3085*N3085*IF(AND(Inputs!$B$38&lt;&gt;"pvp",Inputs!$B$43&gt;0),((Skills!G8*((R3085-1)*IF(Skills!H8&gt;0,Skills!I8/Skills!H8,1)+IF(Skills!H8&gt;0,MIN(Skills!I8,MAX(0,MAX(0,Inputs!$B$43-B3115)-((R3085-1)*(IF(Inputs!$B$38="pvp",15,MAX(0.1,Skills!D8-IF(Skills!E8=TRUE,3.5,0)))*(1-IF(AND(ArtifactsInput!$M$27,Inputs!$B$4="Chapter Hunt"),CHOOSE(ArtifactsInput!$N$27+1,20,24,28,32,36,40),0)/100)))))/Skills!H8,1)))/Inputs!$B$43),G3085*Q3085))*IF(Inputs!$B$38="pvp",1,(1+(Inputs!$B$21+Skills!Q8+(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6">
      <c r="A3086">
        <f>Skills!A9</f>
        <v/>
      </c>
      <c r="B3086">
        <f>Skills!B9</f>
        <v/>
      </c>
      <c r="C3086">
        <f>Inputs!$B$3&gt;=103</f>
        <v/>
      </c>
      <c r="D3086">
        <f>IF(Skills!C9=1,60+Inputs!$B$25+Inputs!$B$29,IF(Skills!C9=2,90+Inputs!$B$26+Inputs!$B$29,IF(Skills!C9=3,120+Inputs!$B$27+Inputs!$B$29,MAX(0,(Inputs!$B$3-100)*3)+Inputs!$B$28+Inputs!$B$29)))</f>
        <v/>
      </c>
      <c r="E3086">
        <f>INDEX(FactorTable!$B$2:$Y$301, MATCH(ROUND(MIN(300,MAX(1,D3086)),0), FactorTable!$A$2:$A$301,0), Skills!M9+1)</f>
        <v/>
      </c>
      <c r="F3086">
        <f>IF(Skills!N9=TRUE,(Skills!L9/10)*(E3086/1000),Skills!L9/10)+Skills!O9</f>
        <v/>
      </c>
      <c r="G3086">
        <f>Skills!G9*IF(Skills!H9&gt;0,Skills!I9/Skills!H9,1)</f>
        <v/>
      </c>
      <c r="H3086">
        <f>1-(1-Skills!J9/100)^Skills!K9</f>
        <v/>
      </c>
      <c r="I3086" t="inlineStr">
        <is>
          <t>1</t>
        </is>
      </c>
      <c r="J3086">
        <f>((Inputs!$B$6*(1+Inputs!$B$7/100))+(((Inputs!$B$12*(1+Inputs!$B$13/100))-(Inputs!$B$12*(1+Inputs!$B$13/100)))+0.25*(Inputs!$B$14-Inputs!$B$14))*(1+Inputs!$B$7/100))*(F3086/100)</f>
        <v/>
      </c>
      <c r="K3086">
        <f>J3086*(1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3086)</f>
        <v/>
      </c>
      <c r="L3086">
        <f>K3086*(MIN(Inputs!$B$22+((C3099=TRUE)*(F3099-Calc!F22)),(Inputs!$B$23+0+(IF(ArtifactsInput!$M$15,CHOOSE(ArtifactsInput!$N$15+1,25,30,35,40,45,50)/100*(Inputs!$B$11-Inputs!$B$11),0))))/100+(Inputs!$B$23+0+(IF(ArtifactsInput!$M$15,CHOOSE(ArtifactsInput!$N$15+1,25,30,35,40,45,50)/100*(Inputs!$B$11-Inputs!$B$11),0)))/100)/2</f>
        <v/>
      </c>
      <c r="M3086">
        <f>L3086*(1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6">
        <f>L3086*(1-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3086*(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6">
        <f>(1-Summary!$B$11)*T3086+Summary!$B$11*V3086</f>
        <v/>
      </c>
      <c r="P3086">
        <f>IF(B3118=0,0,O3086/B3118)</f>
        <v/>
      </c>
      <c r="Q3086">
        <f>IFERROR(1/(IF(Inputs!$B$38="pvp",15,MAX(0.1,Skills!D9-IF(Skills!E9=TRUE,3.5,0)))*(1-IF(AND(ArtifactsInput!$M$27,Inputs!$B$4="Chapter Hunt"),CHOOSE(ArtifactsInput!$N$27+1,20,24,28,32,36,40),0)/100)),0)</f>
        <v/>
      </c>
      <c r="R3086">
        <f>IF(AND(Inputs!$B$38&lt;&gt;"pvp",Inputs!$B$43&gt;0),IF(MAX(0,Inputs!$B$43-B3115)&lt;=0,0,(INT(MAX(0,Inputs!$B$43-B3115)/(IF(Inputs!$B$38="pvp",15,MAX(0.1,Skills!D9-IF(Skills!E9=TRUE,3.5,0)))*(1-IF(AND(ArtifactsInput!$M$27,Inputs!$B$4="Chapter Hunt"),CHOOSE(ArtifactsInput!$N$27+1,20,24,28,32,36,40),0)/100)))+1)),0)</f>
        <v/>
      </c>
      <c r="S3086">
        <f>IFERROR(O3086/N3086,0)</f>
        <v/>
      </c>
      <c r="T3086">
        <f>IF(C3086,(H3086*N3086*IF(AND(Inputs!$B$38&lt;&gt;"pvp",Inputs!$B$43&gt;0),((Skills!G9*((R3086-1)*IF(Skills!H9&gt;0,Skills!I9/Skills!H9,1)+IF(Skills!H9&gt;0,MIN(Skills!I9,MAX(0,MAX(0,Inputs!$B$43-B3115)-((R3086-1)*(IF(Inputs!$B$38="pvp",15,MAX(0.1,Skills!D9-IF(Skills!E9=TRUE,3.5,0)))*(1-IF(AND(ArtifactsInput!$M$27,Inputs!$B$4="Chapter Hunt"),CHOOSE(ArtifactsInput!$N$27+1,20,24,28,32,36,40),0)/100)))))/Skills!H9,1)))/Inputs!$B$43),G3086*Q3086)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3086*(1-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3086*(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3086*(1-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3086*(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6">
        <f>IF(C3086,(H3086*N3086*IF(AND(Inputs!$B$38&lt;&gt;"pvp",Inputs!$B$43&gt;0),((Skills!G9*((R3086-1)*IF(Skills!H9&gt;0,Skills!I9/Skills!H9,1)+IF(Skills!H9&gt;0,MIN(Skills!I9,MAX(0,MAX(0,Inputs!$B$43-B3115)-((R3086-1)*(IF(Inputs!$B$38="pvp",15,MAX(0.1,Skills!D9-IF(Skills!E9=TRUE,3.5,0)))*(1-IF(AND(ArtifactsInput!$M$27,Inputs!$B$4="Chapter Hunt"),CHOOSE(ArtifactsInput!$N$27+1,20,24,28,32,36,40),0)/100)))))/Skills!H9,1)))/Inputs!$B$43),G3086*Q3086))*IF(Inputs!$B$38="pvp",1,(1+(Inputs!$B$21+Skills!Q9+(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7">
      <c r="A3087">
        <f>Skills!A10</f>
        <v/>
      </c>
      <c r="B3087">
        <f>Skills!B10</f>
        <v/>
      </c>
      <c r="C3087">
        <f>Inputs!$B$3&gt;=113</f>
        <v/>
      </c>
      <c r="D3087">
        <f>IF(Skills!C10=1,60+Inputs!$B$25+Inputs!$B$29,IF(Skills!C10=2,90+Inputs!$B$26+Inputs!$B$29,IF(Skills!C10=3,120+Inputs!$B$27+Inputs!$B$29,MAX(0,(Inputs!$B$3-100)*3)+Inputs!$B$28+Inputs!$B$29)))</f>
        <v/>
      </c>
      <c r="E3087">
        <f>INDEX(FactorTable!$B$2:$Y$301, MATCH(ROUND(MIN(300,MAX(1,D3087)),0), FactorTable!$A$2:$A$301,0), Skills!M10+1)</f>
        <v/>
      </c>
      <c r="F3087">
        <f>IF(Skills!N10=TRUE,(Skills!L10/10)*(E3087/1000),Skills!L10/10)+Skills!O10</f>
        <v/>
      </c>
      <c r="G3087">
        <f>Skills!G10*IF(Skills!H10&gt;0,Skills!I10/Skills!H10,1)</f>
        <v/>
      </c>
      <c r="H3087">
        <f>1-(1-Skills!J10/100)^Skills!K10</f>
        <v/>
      </c>
      <c r="I3087" t="inlineStr">
        <is>
          <t>1</t>
        </is>
      </c>
      <c r="J3087">
        <f>((Inputs!$B$6*(1+Inputs!$B$7/100))+(((Inputs!$B$12*(1+Inputs!$B$13/100))-(Inputs!$B$12*(1+Inputs!$B$13/100)))+0.25*(Inputs!$B$14-Inputs!$B$14))*(1+Inputs!$B$7/100))*(F3087/100)</f>
        <v/>
      </c>
      <c r="K3087">
        <f>J3087*(1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3087)</f>
        <v/>
      </c>
      <c r="L3087">
        <f>K3087*(MIN(Inputs!$B$22+((C3099=TRUE)*(F3099-Calc!F22)),(Inputs!$B$23+0+(IF(ArtifactsInput!$M$15,CHOOSE(ArtifactsInput!$N$15+1,25,30,35,40,45,50)/100*(Inputs!$B$11-Inputs!$B$11),0))))/100+(Inputs!$B$23+0+(IF(ArtifactsInput!$M$15,CHOOSE(ArtifactsInput!$N$15+1,25,30,35,40,45,50)/100*(Inputs!$B$11-Inputs!$B$11),0)))/100)/2</f>
        <v/>
      </c>
      <c r="M3087">
        <f>L3087*(1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7">
        <f>L3087*(1-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3087*(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7">
        <f>(1-Summary!$B$11)*T3087+Summary!$B$11*V3087</f>
        <v/>
      </c>
      <c r="P3087">
        <f>IF(B3118=0,0,O3087/B3118)</f>
        <v/>
      </c>
      <c r="Q3087">
        <f>IFERROR(1/(IF(Inputs!$B$38="pvp",15,MAX(0.1,Skills!D10-IF(Skills!E10=TRUE,3.5,0)))*(1-IF(AND(ArtifactsInput!$M$27,Inputs!$B$4="Chapter Hunt"),CHOOSE(ArtifactsInput!$N$27+1,20,24,28,32,36,40),0)/100)),0)</f>
        <v/>
      </c>
      <c r="R3087">
        <f>IF(AND(Inputs!$B$38&lt;&gt;"pvp",Inputs!$B$43&gt;0),IF(MAX(0,Inputs!$B$43-B3115)&lt;=0,0,(INT(MAX(0,Inputs!$B$43-B3115)/(IF(Inputs!$B$38="pvp",15,MAX(0.1,Skills!D10-IF(Skills!E10=TRUE,3.5,0)))*(1-IF(AND(ArtifactsInput!$M$27,Inputs!$B$4="Chapter Hunt"),CHOOSE(ArtifactsInput!$N$27+1,20,24,28,32,36,40),0)/100)))+1)),0)</f>
        <v/>
      </c>
      <c r="S3087">
        <f>IFERROR(O3087/N3087,0)</f>
        <v/>
      </c>
      <c r="T3087">
        <f>IF(C3087,(H3087*N3087*IF(AND(Inputs!$B$38&lt;&gt;"pvp",Inputs!$B$43&gt;0),((Skills!G10*((R3087-1)*IF(Skills!H10&gt;0,Skills!I10/Skills!H10,1)+IF(Skills!H10&gt;0,MIN(Skills!I10,MAX(0,MAX(0,Inputs!$B$43-B3115)-((R3087-1)*(IF(Inputs!$B$38="pvp",15,MAX(0.1,Skills!D10-IF(Skills!E10=TRUE,3.5,0)))*(1-IF(AND(ArtifactsInput!$M$27,Inputs!$B$4="Chapter Hunt"),CHOOSE(ArtifactsInput!$N$27+1,20,24,28,32,36,40),0)/100)))))/Skills!H10,1)))/Inputs!$B$43),G3087*Q3087)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3087*(1-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3087*(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3087*(1-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3087*(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7">
        <f>IF(C3087,(H3087*N3087*IF(AND(Inputs!$B$38&lt;&gt;"pvp",Inputs!$B$43&gt;0),((Skills!G10*((R3087-1)*IF(Skills!H10&gt;0,Skills!I10/Skills!H10,1)+IF(Skills!H10&gt;0,MIN(Skills!I10,MAX(0,MAX(0,Inputs!$B$43-B3115)-((R3087-1)*(IF(Inputs!$B$38="pvp",15,MAX(0.1,Skills!D10-IF(Skills!E10=TRUE,3.5,0)))*(1-IF(AND(ArtifactsInput!$M$27,Inputs!$B$4="Chapter Hunt"),CHOOSE(ArtifactsInput!$N$27+1,20,24,28,32,36,40),0)/100)))))/Skills!H10,1)))/Inputs!$B$43),G3087*Q3087))*IF(Inputs!$B$38="pvp",1,(1+(Inputs!$B$21+Skills!Q10+(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8">
      <c r="A3088">
        <f>Skills!A11</f>
        <v/>
      </c>
      <c r="B3088">
        <f>Skills!B11</f>
        <v/>
      </c>
      <c r="C3088">
        <f>Inputs!$B$3&gt;=107</f>
        <v/>
      </c>
      <c r="D3088">
        <f>IF(Skills!C11=1,60+Inputs!$B$25+Inputs!$B$29,IF(Skills!C11=2,90+Inputs!$B$26+Inputs!$B$29,IF(Skills!C11=3,120+Inputs!$B$27+Inputs!$B$29,MAX(0,(Inputs!$B$3-100)*3)+Inputs!$B$28+Inputs!$B$29)))</f>
        <v/>
      </c>
      <c r="E3088">
        <f>INDEX(FactorTable!$B$2:$Y$301, MATCH(ROUND(MIN(300,MAX(1,D3088)),0), FactorTable!$A$2:$A$301,0), Skills!M11+1)</f>
        <v/>
      </c>
      <c r="F3088">
        <f>IF(Skills!N11=TRUE,(Skills!L11/10)*(E3088/1000),Skills!L11/10)+Skills!O11</f>
        <v/>
      </c>
      <c r="G3088">
        <f>Skills!G11*IF(Skills!H11&gt;0,Skills!I11/Skills!H11,1)</f>
        <v/>
      </c>
      <c r="H3088">
        <f>1-(1-Skills!J11/100)^Skills!K11</f>
        <v/>
      </c>
      <c r="I3088" t="inlineStr">
        <is>
          <t>1</t>
        </is>
      </c>
      <c r="J3088">
        <f>((Inputs!$B$6*(1+Inputs!$B$7/100))+(((Inputs!$B$12*(1+Inputs!$B$13/100))-(Inputs!$B$12*(1+Inputs!$B$13/100)))+0.25*(Inputs!$B$14-Inputs!$B$14))*(1+Inputs!$B$7/100))*(F3088/100)</f>
        <v/>
      </c>
      <c r="K3088">
        <f>J3088*(1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3088)</f>
        <v/>
      </c>
      <c r="L3088">
        <f>K3088*(MIN(Inputs!$B$22+((C3099=TRUE)*(F3099-Calc!F22)),(Inputs!$B$23+0+(IF(ArtifactsInput!$M$15,CHOOSE(ArtifactsInput!$N$15+1,25,30,35,40,45,50)/100*(Inputs!$B$11-Inputs!$B$11),0))))/100+(Inputs!$B$23+0+(IF(ArtifactsInput!$M$15,CHOOSE(ArtifactsInput!$N$15+1,25,30,35,40,45,50)/100*(Inputs!$B$11-Inputs!$B$11),0)))/100)/2</f>
        <v/>
      </c>
      <c r="M3088">
        <f>L3088*(1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8">
        <f>L3088*(1-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3088*(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8">
        <f>(1-Summary!$B$11)*T3088+Summary!$B$11*V3088</f>
        <v/>
      </c>
      <c r="P3088">
        <f>IF(B3118=0,0,O3088/B3118)</f>
        <v/>
      </c>
      <c r="Q3088">
        <f>IFERROR(1/(IF(Inputs!$B$38="pvp",15,MAX(0.1,Skills!D11-IF(Skills!E11=TRUE,3.5,0)))*(1-IF(AND(ArtifactsInput!$M$27,Inputs!$B$4="Chapter Hunt"),CHOOSE(ArtifactsInput!$N$27+1,20,24,28,32,36,40),0)/100)),0)</f>
        <v/>
      </c>
      <c r="R3088">
        <f>IF(AND(Inputs!$B$38&lt;&gt;"pvp",Inputs!$B$43&gt;0),IF(MAX(0,Inputs!$B$43-B3115)&lt;=0,0,(INT(MAX(0,Inputs!$B$43-B3115)/(IF(Inputs!$B$38="pvp",15,MAX(0.1,Skills!D11-IF(Skills!E11=TRUE,3.5,0)))*(1-IF(AND(ArtifactsInput!$M$27,Inputs!$B$4="Chapter Hunt"),CHOOSE(ArtifactsInput!$N$27+1,20,24,28,32,36,40),0)/100)))+1)),0)</f>
        <v/>
      </c>
      <c r="S3088">
        <f>IFERROR(O3088/N3088,0)</f>
        <v/>
      </c>
      <c r="T3088">
        <f>IF(C3088,(H3088*N3088*IF(AND(Inputs!$B$38&lt;&gt;"pvp",Inputs!$B$43&gt;0),((Skills!G11*((R3088-1)*IF(Skills!H11&gt;0,Skills!I11/Skills!H11,1)+IF(Skills!H11&gt;0,MIN(Skills!I11,MAX(0,MAX(0,Inputs!$B$43-B3115)-((R3088-1)*(IF(Inputs!$B$38="pvp",15,MAX(0.1,Skills!D11-IF(Skills!E11=TRUE,3.5,0)))*(1-IF(AND(ArtifactsInput!$M$27,Inputs!$B$4="Chapter Hunt"),CHOOSE(ArtifactsInput!$N$27+1,20,24,28,32,36,40),0)/100)))))/Skills!H11,1)))/Inputs!$B$43),G3088*Q3088)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3088*(1-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3088*(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3088*(1-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3088*(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8">
        <f>IF(C3088,(H3088*N3088*IF(AND(Inputs!$B$38&lt;&gt;"pvp",Inputs!$B$43&gt;0),((Skills!G11*((R3088-1)*IF(Skills!H11&gt;0,Skills!I11/Skills!H11,1)+IF(Skills!H11&gt;0,MIN(Skills!I11,MAX(0,MAX(0,Inputs!$B$43-B3115)-((R3088-1)*(IF(Inputs!$B$38="pvp",15,MAX(0.1,Skills!D11-IF(Skills!E11=TRUE,3.5,0)))*(1-IF(AND(ArtifactsInput!$M$27,Inputs!$B$4="Chapter Hunt"),CHOOSE(ArtifactsInput!$N$27+1,20,24,28,32,36,40),0)/100)))))/Skills!H11,1)))/Inputs!$B$43),G3088*Q3088))*IF(Inputs!$B$38="pvp",1,(1+(Inputs!$B$21+Skills!Q11+(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9">
      <c r="A3089">
        <f>Skills!A12</f>
        <v/>
      </c>
      <c r="B3089">
        <f>Skills!B12</f>
        <v/>
      </c>
      <c r="C3089">
        <f>Inputs!$B$3&gt;=110</f>
        <v/>
      </c>
      <c r="D3089">
        <f>IF(Skills!C12=1,60+Inputs!$B$25+Inputs!$B$29,IF(Skills!C12=2,90+Inputs!$B$26+Inputs!$B$29,IF(Skills!C12=3,120+Inputs!$B$27+Inputs!$B$29,MAX(0,(Inputs!$B$3-100)*3)+Inputs!$B$28+Inputs!$B$29)))</f>
        <v/>
      </c>
      <c r="E3089">
        <f>INDEX(FactorTable!$B$2:$Y$301, MATCH(ROUND(MIN(300,MAX(1,D3089)),0), FactorTable!$A$2:$A$301,0), Skills!M12+1)</f>
        <v/>
      </c>
      <c r="F3089">
        <f>IF(Skills!N12=TRUE,(Skills!L12/10)*(E3089/1000),Skills!L12/10)+Skills!O12</f>
        <v/>
      </c>
      <c r="G3089">
        <f>Skills!G12*IF(Skills!H12&gt;0,Skills!I12/Skills!H12,1)</f>
        <v/>
      </c>
      <c r="H3089">
        <f>1-(1-Skills!J12/100)^Skills!K12</f>
        <v/>
      </c>
      <c r="I3089" t="inlineStr">
        <is>
          <t>1</t>
        </is>
      </c>
      <c r="J3089">
        <f>((Inputs!$B$6*(1+Inputs!$B$7/100))+(((Inputs!$B$12*(1+Inputs!$B$13/100))-(Inputs!$B$12*(1+Inputs!$B$13/100)))+0.25*(Inputs!$B$14-Inputs!$B$14))*(1+Inputs!$B$7/100))*(F3089/100)</f>
        <v/>
      </c>
      <c r="K3089">
        <f>J3089*(1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3089)</f>
        <v/>
      </c>
      <c r="L3089">
        <f>K3089*(MIN(Inputs!$B$22+((C3099=TRUE)*(F3099-Calc!F22)),(Inputs!$B$23+0+(IF(ArtifactsInput!$M$15,CHOOSE(ArtifactsInput!$N$15+1,25,30,35,40,45,50)/100*(Inputs!$B$11-Inputs!$B$11),0))))/100+(Inputs!$B$23+0+(IF(ArtifactsInput!$M$15,CHOOSE(ArtifactsInput!$N$15+1,25,30,35,40,45,50)/100*(Inputs!$B$11-Inputs!$B$11),0)))/100)/2</f>
        <v/>
      </c>
      <c r="M3089">
        <f>L3089*(1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9">
        <f>L3089*(1-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3089*(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9">
        <f>(1-Summary!$B$11)*T3089+Summary!$B$11*V3089</f>
        <v/>
      </c>
      <c r="P3089">
        <f>IF(B3118=0,0,O3089/B3118)</f>
        <v/>
      </c>
      <c r="Q3089">
        <f>IFERROR(1/(IF(Inputs!$B$38="pvp",15,MAX(0.1,Skills!D12-IF(Skills!E12=TRUE,3.5,0)))*(1-IF(AND(ArtifactsInput!$M$27,Inputs!$B$4="Chapter Hunt"),CHOOSE(ArtifactsInput!$N$27+1,20,24,28,32,36,40),0)/100)),0)</f>
        <v/>
      </c>
      <c r="R3089">
        <f>IF(AND(Inputs!$B$38&lt;&gt;"pvp",Inputs!$B$43&gt;0),IF(MAX(0,Inputs!$B$43-B3115)&lt;=0,0,(INT(MAX(0,Inputs!$B$43-B3115)/(IF(Inputs!$B$38="pvp",15,MAX(0.1,Skills!D12-IF(Skills!E12=TRUE,3.5,0)))*(1-IF(AND(ArtifactsInput!$M$27,Inputs!$B$4="Chapter Hunt"),CHOOSE(ArtifactsInput!$N$27+1,20,24,28,32,36,40),0)/100)))+1)),0)</f>
        <v/>
      </c>
      <c r="S3089">
        <f>IFERROR(O3089/N3089,0)</f>
        <v/>
      </c>
      <c r="T3089">
        <f>IF(C3089,(H3089*N3089*IF(AND(Inputs!$B$38&lt;&gt;"pvp",Inputs!$B$43&gt;0),((Skills!G12*((R3089-1)*IF(Skills!H12&gt;0,Skills!I12/Skills!H12,1)+IF(Skills!H12&gt;0,MIN(Skills!I12,MAX(0,MAX(0,Inputs!$B$43-B3115)-((R3089-1)*(IF(Inputs!$B$38="pvp",15,MAX(0.1,Skills!D12-IF(Skills!E12=TRUE,3.5,0)))*(1-IF(AND(ArtifactsInput!$M$27,Inputs!$B$4="Chapter Hunt"),CHOOSE(ArtifactsInput!$N$27+1,20,24,28,32,36,40),0)/100)))))/Skills!H12,1)))/Inputs!$B$43),G3089*Q3089)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3089*(1-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3089*(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3089*(1-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3089*(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9">
        <f>IF(C3089,(H3089*N3089*IF(AND(Inputs!$B$38&lt;&gt;"pvp",Inputs!$B$43&gt;0),((Skills!G12*((R3089-1)*IF(Skills!H12&gt;0,Skills!I12/Skills!H12,1)+IF(Skills!H12&gt;0,MIN(Skills!I12,MAX(0,MAX(0,Inputs!$B$43-B3115)-((R3089-1)*(IF(Inputs!$B$38="pvp",15,MAX(0.1,Skills!D12-IF(Skills!E12=TRUE,3.5,0)))*(1-IF(AND(ArtifactsInput!$M$27,Inputs!$B$4="Chapter Hunt"),CHOOSE(ArtifactsInput!$N$27+1,20,24,28,32,36,40),0)/100)))))/Skills!H12,1)))/Inputs!$B$43),G3089*Q3089))*IF(Inputs!$B$38="pvp",1,(1+(Inputs!$B$21+Skills!Q12+(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0">
      <c r="A3090">
        <f>Skills!A13</f>
        <v/>
      </c>
      <c r="B3090">
        <f>Skills!B13</f>
        <v/>
      </c>
      <c r="C3090">
        <f>Inputs!$B$3&gt;=110</f>
        <v/>
      </c>
      <c r="D3090">
        <f>IF(Skills!C13=1,60+Inputs!$B$25+Inputs!$B$29,IF(Skills!C13=2,90+Inputs!$B$26+Inputs!$B$29,IF(Skills!C13=3,120+Inputs!$B$27+Inputs!$B$29,MAX(0,(Inputs!$B$3-100)*3)+Inputs!$B$28+Inputs!$B$29)))</f>
        <v/>
      </c>
      <c r="E3090">
        <f>INDEX(FactorTable!$B$2:$Y$301, MATCH(ROUND(MIN(300,MAX(1,D3090)),0), FactorTable!$A$2:$A$301,0), Skills!M13+1)</f>
        <v/>
      </c>
      <c r="F3090">
        <f>IF(Skills!N13=TRUE,(Skills!L13/10)*(E3090/1000),Skills!L13/10)+Skills!O13</f>
        <v/>
      </c>
      <c r="G3090">
        <f>Skills!G13*IF(Skills!H13&gt;0,Skills!I13/Skills!H13,1)</f>
        <v/>
      </c>
      <c r="H3090">
        <f>1-(1-Skills!J13/100)^Skills!K13</f>
        <v/>
      </c>
      <c r="I3090" t="inlineStr">
        <is>
          <t>1</t>
        </is>
      </c>
      <c r="J3090">
        <f>((Inputs!$B$6*(1+Inputs!$B$7/100))+(((Inputs!$B$12*(1+Inputs!$B$13/100))-(Inputs!$B$12*(1+Inputs!$B$13/100)))+0.25*(Inputs!$B$14-Inputs!$B$14))*(1+Inputs!$B$7/100))*(F3090/100)</f>
        <v/>
      </c>
      <c r="K3090">
        <f>J3090*(1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3090)</f>
        <v/>
      </c>
      <c r="L3090">
        <f>K3090*(MIN(Inputs!$B$22+((C3099=TRUE)*(F3099-Calc!F22)),(Inputs!$B$23+0+(IF(ArtifactsInput!$M$15,CHOOSE(ArtifactsInput!$N$15+1,25,30,35,40,45,50)/100*(Inputs!$B$11-Inputs!$B$11),0))))/100+(Inputs!$B$23+0+(IF(ArtifactsInput!$M$15,CHOOSE(ArtifactsInput!$N$15+1,25,30,35,40,45,50)/100*(Inputs!$B$11-Inputs!$B$11),0)))/100)/2</f>
        <v/>
      </c>
      <c r="M3090">
        <f>L3090*(1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0">
        <f>L3090*(1-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3090*(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0">
        <f>(1-Summary!$B$11)*T3090+Summary!$B$11*V3090</f>
        <v/>
      </c>
      <c r="P3090">
        <f>IF(B3118=0,0,O3090/B3118)</f>
        <v/>
      </c>
      <c r="Q3090">
        <f>IFERROR(1/(IF(Inputs!$B$38="pvp",15,MAX(0.1,Skills!D13-IF(Skills!E13=TRUE,3.5,0)))*(1-IF(AND(ArtifactsInput!$M$27,Inputs!$B$4="Chapter Hunt"),CHOOSE(ArtifactsInput!$N$27+1,20,24,28,32,36,40),0)/100)),0)</f>
        <v/>
      </c>
      <c r="R3090">
        <f>IF(AND(Inputs!$B$38&lt;&gt;"pvp",Inputs!$B$43&gt;0),IF(MAX(0,Inputs!$B$43-B3115)&lt;=0,0,(INT(MAX(0,Inputs!$B$43-B3115)/(IF(Inputs!$B$38="pvp",15,MAX(0.1,Skills!D13-IF(Skills!E13=TRUE,3.5,0)))*(1-IF(AND(ArtifactsInput!$M$27,Inputs!$B$4="Chapter Hunt"),CHOOSE(ArtifactsInput!$N$27+1,20,24,28,32,36,40),0)/100)))+1)),0)</f>
        <v/>
      </c>
      <c r="S3090">
        <f>IFERROR(O3090/N3090,0)</f>
        <v/>
      </c>
      <c r="T3090">
        <f>IF(C3090,(H3090*N3090*IF(AND(Inputs!$B$38&lt;&gt;"pvp",Inputs!$B$43&gt;0),((Skills!G13*((R3090-1)*IF(Skills!H13&gt;0,Skills!I13/Skills!H13,1)+IF(Skills!H13&gt;0,MIN(Skills!I13,MAX(0,MAX(0,Inputs!$B$43-B3115)-((R3090-1)*(IF(Inputs!$B$38="pvp",15,MAX(0.1,Skills!D13-IF(Skills!E13=TRUE,3.5,0)))*(1-IF(AND(ArtifactsInput!$M$27,Inputs!$B$4="Chapter Hunt"),CHOOSE(ArtifactsInput!$N$27+1,20,24,28,32,36,40),0)/100)))))/Skills!H13,1)))/Inputs!$B$43),G3090*Q3090)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3090*(1-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3090*(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3090*(1-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3090*(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90">
        <f>IF(C3090,(H3090*N3090*IF(AND(Inputs!$B$38&lt;&gt;"pvp",Inputs!$B$43&gt;0),((Skills!G13*((R3090-1)*IF(Skills!H13&gt;0,Skills!I13/Skills!H13,1)+IF(Skills!H13&gt;0,MIN(Skills!I13,MAX(0,MAX(0,Inputs!$B$43-B3115)-((R3090-1)*(IF(Inputs!$B$38="pvp",15,MAX(0.1,Skills!D13-IF(Skills!E13=TRUE,3.5,0)))*(1-IF(AND(ArtifactsInput!$M$27,Inputs!$B$4="Chapter Hunt"),CHOOSE(ArtifactsInput!$N$27+1,20,24,28,32,36,40),0)/100)))))/Skills!H13,1)))/Inputs!$B$43),G3090*Q3090))*IF(Inputs!$B$38="pvp",1,(1+(Inputs!$B$21+Skills!Q13+(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1">
      <c r="A3091">
        <f>Skills!A14</f>
        <v/>
      </c>
      <c r="B3091">
        <f>Skills!B14</f>
        <v/>
      </c>
      <c r="C3091">
        <f>Inputs!$B$3&gt;=125</f>
        <v/>
      </c>
      <c r="D3091">
        <f>IF(Skills!C14=1,60+Inputs!$B$25+Inputs!$B$29,IF(Skills!C14=2,90+Inputs!$B$26+Inputs!$B$29,IF(Skills!C14=3,120+Inputs!$B$27+Inputs!$B$29,MAX(0,(Inputs!$B$3-100)*3)+Inputs!$B$28+Inputs!$B$29)))</f>
        <v/>
      </c>
      <c r="E3091">
        <f>INDEX(FactorTable!$B$2:$Y$301, MATCH(ROUND(MIN(300,MAX(1,D3091)),0), FactorTable!$A$2:$A$301,0), Skills!M14+1)</f>
        <v/>
      </c>
      <c r="F3091">
        <f>IF(Skills!N14=TRUE,(Skills!L14/10)*(E3091/1000),Skills!L14/10)+Skills!O14</f>
        <v/>
      </c>
      <c r="G3091">
        <f>Skills!G14*IF(Skills!H14&gt;0,Skills!I14/Skills!H14,1)</f>
        <v/>
      </c>
      <c r="H3091">
        <f>1-(1-Skills!J14/100)^Skills!K14</f>
        <v/>
      </c>
      <c r="I3091" t="inlineStr">
        <is>
          <t>1</t>
        </is>
      </c>
      <c r="J3091">
        <f>((Inputs!$B$6*(1+Inputs!$B$7/100))+(((Inputs!$B$12*(1+Inputs!$B$13/100))-(Inputs!$B$12*(1+Inputs!$B$13/100)))+0.25*(Inputs!$B$14-Inputs!$B$14))*(1+Inputs!$B$7/100))*(F3091/100)</f>
        <v/>
      </c>
      <c r="K3091">
        <f>J3091*(1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3091)</f>
        <v/>
      </c>
      <c r="L3091">
        <f>K3091*(MIN(Inputs!$B$22+((C3099=TRUE)*(F3099-Calc!F22)),(Inputs!$B$23+0+(IF(ArtifactsInput!$M$15,CHOOSE(ArtifactsInput!$N$15+1,25,30,35,40,45,50)/100*(Inputs!$B$11-Inputs!$B$11),0))))/100+(Inputs!$B$23+0+(IF(ArtifactsInput!$M$15,CHOOSE(ArtifactsInput!$N$15+1,25,30,35,40,45,50)/100*(Inputs!$B$11-Inputs!$B$11),0)))/100)/2</f>
        <v/>
      </c>
      <c r="M3091">
        <f>L3091*(1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1">
        <f>L3091*(1-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1">
        <f>(1-Summary!$B$11)*T3091+Summary!$B$11*V3091</f>
        <v/>
      </c>
      <c r="P3091">
        <f>IF(B3118=0,0,O3091/B3118)</f>
        <v/>
      </c>
      <c r="Q3091" t="n">
        <v>0</v>
      </c>
      <c r="R3091" t="n">
        <v>0</v>
      </c>
      <c r="S3091">
        <f>IFERROR(O3091/N3091,0)</f>
        <v/>
      </c>
      <c r="T3091">
        <f>IF(C3091,(H3091*N3091*(B3112+IF(AND(Inputs!$B$38&lt;&gt;"pvp",Inputs!$B$43&gt;0),((Skills!G8*((R3085-1)*IF(Skills!H8&gt;0,Skills!I8/Skills!H8,1)+IF(Skills!H8&gt;0,MIN(Skills!I8,MAX(0,MAX(0,Inputs!$B$43-B3115)-((R3085-1)*(IF(Inputs!$B$38="pvp",15,MAX(0.1,Skills!D8-IF(Skills!E8=TRUE,3.5,0)))*(1-IF(AND(ArtifactsInput!$M$27,Inputs!$B$4="Chapter Hunt"),CHOOSE(ArtifactsInput!$N$27+1,20,24,28,32,36,40),0)/100)))))/Skills!H8,1)))/Inputs!$B$43),G3085*Q3085)+IF(AND(Inputs!$B$38&lt;&gt;"pvp",Inputs!$B$43&gt;0),((Skills!G11*((R3088-1)*IF(Skills!H11&gt;0,Skills!I11/Skills!H11,1)+IF(Skills!H11&gt;0,MIN(Skills!I11,MAX(0,MAX(0,Inputs!$B$43-B3115)-((R3088-1)*(IF(Inputs!$B$38="pvp",15,MAX(0.1,Skills!D11-IF(Skills!E11=TRUE,3.5,0)))*(1-IF(AND(ArtifactsInput!$M$27,Inputs!$B$4="Chapter Hunt"),CHOOSE(ArtifactsInput!$N$27+1,20,24,28,32,36,40),0)/100)))))/Skills!H11,1)))/Inputs!$B$43),G3088*Q3088)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3091*(1-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3091*(1-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91">
        <f>IF(C3091,(H3091*N3091*(B3112+IF(AND(Inputs!$B$38&lt;&gt;"pvp",Inputs!$B$43&gt;0),((Skills!G8*((R3085-1)*IF(Skills!H8&gt;0,Skills!I8/Skills!H8,1)+IF(Skills!H8&gt;0,MIN(Skills!I8,MAX(0,MAX(0,Inputs!$B$43-B3115)-((R3085-1)*(IF(Inputs!$B$38="pvp",15,MAX(0.1,Skills!D8-IF(Skills!E8=TRUE,3.5,0)))*(1-IF(AND(ArtifactsInput!$M$27,Inputs!$B$4="Chapter Hunt"),CHOOSE(ArtifactsInput!$N$27+1,20,24,28,32,36,40),0)/100)))))/Skills!H8,1)))/Inputs!$B$43),G3085*Q3085)+IF(AND(Inputs!$B$38&lt;&gt;"pvp",Inputs!$B$43&gt;0),((Skills!G11*((R3088-1)*IF(Skills!H11&gt;0,Skills!I11/Skills!H11,1)+IF(Skills!H11&gt;0,MIN(Skills!I11,MAX(0,MAX(0,Inputs!$B$43-B3115)-((R3088-1)*(IF(Inputs!$B$38="pvp",15,MAX(0.1,Skills!D11-IF(Skills!E11=TRUE,3.5,0)))*(1-IF(AND(ArtifactsInput!$M$27,Inputs!$B$4="Chapter Hunt"),CHOOSE(ArtifactsInput!$N$27+1,20,24,28,32,36,40),0)/100)))))/Skills!H11,1)))/Inputs!$B$43),G3088*Q3088)))*IF(Inputs!$B$38="pvp",1,(1+(Inputs!$B$21+Skills!Q14+(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2">
      <c r="A3092">
        <f>Skills!A15</f>
        <v/>
      </c>
      <c r="B3092">
        <f>Skills!B15</f>
        <v/>
      </c>
      <c r="C3092">
        <f>Inputs!$B$3&gt;=100</f>
        <v/>
      </c>
      <c r="D3092">
        <f>IF(Skills!C15=1,60+Inputs!$B$25+Inputs!$B$29,IF(Skills!C15=2,90+Inputs!$B$26+Inputs!$B$29,IF(Skills!C15=3,120+Inputs!$B$27+Inputs!$B$29,MAX(0,(Inputs!$B$3-100)*3)+Inputs!$B$28+Inputs!$B$29)))</f>
        <v/>
      </c>
      <c r="E3092">
        <f>INDEX(FactorTable!$B$2:$Y$301, MATCH(ROUND(MIN(300,MAX(1,D3092)),0), FactorTable!$A$2:$A$301,0), Skills!M15+1)</f>
        <v/>
      </c>
      <c r="F3092">
        <f>IF(Skills!N15=TRUE,(Skills!L15/10)*(E3092/1000),Skills!L15/10)+Skills!O15</f>
        <v/>
      </c>
      <c r="G3092" t="inlineStr"/>
      <c r="H3092" t="inlineStr"/>
      <c r="I3092" t="inlineStr">
        <is>
          <t>1</t>
        </is>
      </c>
      <c r="J3092" t="inlineStr"/>
      <c r="K3092" t="inlineStr"/>
      <c r="L3092" t="inlineStr"/>
      <c r="M3092" t="inlineStr"/>
      <c r="N3092" t="inlineStr"/>
      <c r="O3092" t="inlineStr"/>
      <c r="P3092" t="inlineStr"/>
      <c r="Q3092" t="inlineStr"/>
      <c r="R3092" t="inlineStr"/>
      <c r="S3092" t="inlineStr"/>
    </row>
    <row r="3093">
      <c r="A3093">
        <f>Skills!A16</f>
        <v/>
      </c>
      <c r="B3093">
        <f>Skills!B16</f>
        <v/>
      </c>
      <c r="C3093">
        <f>Inputs!$B$3&gt;=120</f>
        <v/>
      </c>
      <c r="D3093">
        <f>IF(Skills!C16=1,60+Inputs!$B$25+Inputs!$B$29,IF(Skills!C16=2,90+Inputs!$B$26+Inputs!$B$29,IF(Skills!C16=3,120+Inputs!$B$27+Inputs!$B$29,MAX(0,(Inputs!$B$3-100)*3)+Inputs!$B$28+Inputs!$B$29)))</f>
        <v/>
      </c>
      <c r="E3093">
        <f>INDEX(FactorTable!$B$2:$Y$301, MATCH(ROUND(MIN(300,MAX(1,D3093)),0), FactorTable!$A$2:$A$301,0), Skills!M16+1)</f>
        <v/>
      </c>
      <c r="F3093">
        <f>IF(Skills!N16=TRUE,(Skills!L16/10)*(E3093/1000),Skills!L16/10)+Skills!O16</f>
        <v/>
      </c>
      <c r="G3093" t="inlineStr"/>
      <c r="H3093" t="inlineStr"/>
      <c r="I3093" t="inlineStr">
        <is>
          <t>1</t>
        </is>
      </c>
      <c r="J3093" t="inlineStr"/>
      <c r="K3093" t="inlineStr"/>
      <c r="L3093" t="inlineStr"/>
      <c r="M3093" t="inlineStr"/>
      <c r="N3093" t="inlineStr"/>
      <c r="O3093" t="inlineStr"/>
      <c r="P3093" t="inlineStr"/>
      <c r="Q3093" t="inlineStr"/>
      <c r="R3093" t="inlineStr"/>
      <c r="S3093" t="inlineStr"/>
    </row>
    <row r="3094">
      <c r="A3094">
        <f>Skills!A17</f>
        <v/>
      </c>
      <c r="B3094">
        <f>Skills!B17</f>
        <v/>
      </c>
      <c r="C3094">
        <f>Inputs!$B$3&gt;=66</f>
        <v/>
      </c>
      <c r="D3094">
        <f>IF(Skills!C17=1,60+Inputs!$B$25+Inputs!$B$29,IF(Skills!C17=2,90+Inputs!$B$26+Inputs!$B$29,IF(Skills!C17=3,120+Inputs!$B$27+Inputs!$B$29,MAX(0,(Inputs!$B$3-100)*3)+Inputs!$B$28+Inputs!$B$29)))</f>
        <v/>
      </c>
      <c r="E3094">
        <f>INDEX(FactorTable!$B$2:$Y$301, MATCH(ROUND(MIN(300,MAX(1,D3094)),0), FactorTable!$A$2:$A$301,0), Skills!M17+1)</f>
        <v/>
      </c>
      <c r="F3094">
        <f>IF(Skills!N17=TRUE,(Skills!L17/10)*(E3094/1000),Skills!L17/10)+Skills!O17</f>
        <v/>
      </c>
      <c r="G3094">
        <f>Skills!G17*IF(Skills!H17&gt;0,Skills!I17/Skills!H17,1)</f>
        <v/>
      </c>
      <c r="H3094">
        <f>1-(1-Skills!J17/100)^Skills!K17</f>
        <v/>
      </c>
      <c r="I3094" t="inlineStr">
        <is>
          <t>1</t>
        </is>
      </c>
      <c r="J3094" t="inlineStr"/>
      <c r="K3094" t="inlineStr"/>
      <c r="L3094" t="inlineStr"/>
      <c r="M3094" t="inlineStr"/>
      <c r="N3094" t="inlineStr"/>
      <c r="O3094">
        <f>(1-Summary!$B$11)*T3094+Summary!$B$11*V3094</f>
        <v/>
      </c>
      <c r="P3094">
        <f>IF(B3118=0,0,O3094/B3118)</f>
        <v/>
      </c>
      <c r="Q3094" t="n">
        <v>0</v>
      </c>
      <c r="R3094" t="n">
        <v>0</v>
      </c>
      <c r="S3094">
        <f>IFERROR(O3094/N3094,0)</f>
        <v/>
      </c>
      <c r="T3094" t="n">
        <v>0</v>
      </c>
      <c r="V3094" t="n">
        <v>0</v>
      </c>
    </row>
    <row r="3095">
      <c r="A3095">
        <f>Skills!A18</f>
        <v/>
      </c>
      <c r="B3095">
        <f>Skills!B18</f>
        <v/>
      </c>
      <c r="C3095">
        <f>Inputs!$B$3&gt;=115</f>
        <v/>
      </c>
      <c r="D3095">
        <f>IF(Skills!C18=1,60+Inputs!$B$25+Inputs!$B$29,IF(Skills!C18=2,90+Inputs!$B$26+Inputs!$B$29,IF(Skills!C18=3,120+Inputs!$B$27+Inputs!$B$29,MAX(0,(Inputs!$B$3-100)*3)+Inputs!$B$28+Inputs!$B$29)))</f>
        <v/>
      </c>
      <c r="E3095">
        <f>INDEX(FactorTable!$B$2:$Y$301, MATCH(ROUND(MIN(300,MAX(1,D3095)),0), FactorTable!$A$2:$A$301,0), Skills!M18+1)</f>
        <v/>
      </c>
      <c r="F3095">
        <f>IF(Skills!N18=TRUE,(Skills!L18/10)*(E3095/1000),Skills!L18/10)+Skills!O18</f>
        <v/>
      </c>
      <c r="G3095">
        <f>Skills!G18*IF(Skills!H18&gt;0,Skills!I18/Skills!H18,1)</f>
        <v/>
      </c>
      <c r="H3095">
        <f>1-(1-Skills!J18/100)^Skills!K18</f>
        <v/>
      </c>
      <c r="I3095" t="inlineStr">
        <is>
          <t>1</t>
        </is>
      </c>
      <c r="J3095" t="inlineStr"/>
      <c r="K3095" t="inlineStr"/>
      <c r="L3095" t="inlineStr"/>
      <c r="M3095" t="inlineStr"/>
      <c r="N3095" t="inlineStr"/>
      <c r="O3095">
        <f>(1-Summary!$B$11)*T3095+Summary!$B$11*V3095</f>
        <v/>
      </c>
      <c r="P3095">
        <f>IF(B3118=0,0,O3095/B3118)</f>
        <v/>
      </c>
      <c r="Q3095">
        <f>IFERROR(1/(IF(Inputs!$B$38="pvp",15,MAX(0.1,Skills!D18-IF(Skills!E18=TRUE,3.5,0)))*(1-IF(AND(ArtifactsInput!$M$27,Inputs!$B$4="Chapter Hunt"),CHOOSE(ArtifactsInput!$N$27+1,20,24,28,32,36,40),0)/100)),0)</f>
        <v/>
      </c>
      <c r="R3095">
        <f>IF(AND(Inputs!$B$38&lt;&gt;"pvp",Inputs!$B$43&gt;0),IF(Inputs!$B$43&lt;=0,0,(INT(Inputs!$B$43/(IF(Inputs!$B$38="pvp",15,MAX(0.1,Skills!D18-IF(Skills!E18=TRUE,3.5,0)))*(1-IF(AND(ArtifactsInput!$M$27,Inputs!$B$4="Chapter Hunt"),CHOOSE(ArtifactsInput!$N$27+1,20,24,28,32,36,40),0)/100)))+1)),0)</f>
        <v/>
      </c>
      <c r="S3095">
        <f>IFERROR(O3095/N3095,0)</f>
        <v/>
      </c>
      <c r="T3095" t="n">
        <v>0</v>
      </c>
      <c r="V3095" t="n">
        <v>0</v>
      </c>
    </row>
    <row r="3096">
      <c r="A3096">
        <f>Skills!A19</f>
        <v/>
      </c>
      <c r="B3096">
        <f>Skills!B19</f>
        <v/>
      </c>
      <c r="C3096">
        <f>Inputs!$B$3&gt;=15</f>
        <v/>
      </c>
      <c r="D3096">
        <f>IF(Skills!C19=1,60+Inputs!$B$25+Inputs!$B$29,IF(Skills!C19=2,90+Inputs!$B$26+Inputs!$B$29,IF(Skills!C19=3,120+Inputs!$B$27+Inputs!$B$29,MAX(0,(Inputs!$B$3-100)*3)+Inputs!$B$28+Inputs!$B$29)))</f>
        <v/>
      </c>
      <c r="E3096">
        <f>INDEX(FactorTable!$B$2:$Y$301, MATCH(ROUND(MIN(300,MAX(1,D3096)),0), FactorTable!$A$2:$A$301,0), Skills!M19+1)</f>
        <v/>
      </c>
      <c r="F3096">
        <f>IF(Skills!N19=TRUE,(Skills!L19/10)*(E3096/1000),Skills!L19/10)+Skills!O19</f>
        <v/>
      </c>
      <c r="G3096">
        <f>Skills!G19*IF(Skills!H19&gt;0,Skills!I19/Skills!H19,1)</f>
        <v/>
      </c>
      <c r="H3096">
        <f>1-(1-Skills!J19/100)^Skills!K19</f>
        <v/>
      </c>
      <c r="I3096" t="inlineStr">
        <is>
          <t>1</t>
        </is>
      </c>
      <c r="J3096" t="inlineStr"/>
      <c r="K3096" t="inlineStr"/>
      <c r="L3096" t="inlineStr"/>
      <c r="M3096" t="inlineStr"/>
      <c r="N3096" t="inlineStr"/>
      <c r="O3096">
        <f>(1-Summary!$B$11)*T3096+Summary!$B$11*V3096</f>
        <v/>
      </c>
      <c r="P3096">
        <f>IF(B3118=0,0,O3096/B3118)</f>
        <v/>
      </c>
      <c r="Q3096" t="n">
        <v>0</v>
      </c>
      <c r="R3096" t="n">
        <v>0</v>
      </c>
      <c r="S3096">
        <f>IFERROR(O3096/N3096,0)</f>
        <v/>
      </c>
      <c r="T3096" t="n">
        <v>0</v>
      </c>
      <c r="V3096" t="n">
        <v>0</v>
      </c>
    </row>
    <row r="3097">
      <c r="A3097">
        <f>Skills!A20</f>
        <v/>
      </c>
      <c r="B3097">
        <f>Skills!B20</f>
        <v/>
      </c>
      <c r="C3097">
        <f>Inputs!$B$3&gt;=10</f>
        <v/>
      </c>
      <c r="D3097">
        <f>IF(Skills!C20=1,60+Inputs!$B$25+Inputs!$B$29,IF(Skills!C20=2,90+Inputs!$B$26+Inputs!$B$29,IF(Skills!C20=3,120+Inputs!$B$27+Inputs!$B$29,MAX(0,(Inputs!$B$3-100)*3)+Inputs!$B$28+Inputs!$B$29)))</f>
        <v/>
      </c>
      <c r="E3097">
        <f>INDEX(FactorTable!$B$2:$Y$301, MATCH(ROUND(MIN(300,MAX(1,D3097)),0), FactorTable!$A$2:$A$301,0), Skills!M20+1)</f>
        <v/>
      </c>
      <c r="F3097">
        <f>IF(Skills!N20=TRUE,(Skills!L20/10)*(E3097/1000),Skills!L20/10)+Skills!O20</f>
        <v/>
      </c>
      <c r="G3097">
        <f>Skills!G20*IF(Skills!H20&gt;0,Skills!I20/Skills!H20,1)</f>
        <v/>
      </c>
      <c r="H3097">
        <f>1-(1-Skills!J20/100)^Skills!K20</f>
        <v/>
      </c>
      <c r="I3097" t="inlineStr">
        <is>
          <t>1</t>
        </is>
      </c>
      <c r="J3097" t="inlineStr"/>
      <c r="K3097" t="inlineStr"/>
      <c r="L3097" t="inlineStr"/>
      <c r="M3097" t="inlineStr"/>
      <c r="N3097" t="inlineStr"/>
      <c r="O3097">
        <f>(1-Summary!$B$11)*T3097+Summary!$B$11*V3097</f>
        <v/>
      </c>
      <c r="P3097">
        <f>IF(B3118=0,0,O3097/B3118)</f>
        <v/>
      </c>
      <c r="Q3097" t="n">
        <v>0</v>
      </c>
      <c r="R3097" t="n">
        <v>0</v>
      </c>
      <c r="S3097">
        <f>IFERROR(O3097/N3097,0)</f>
        <v/>
      </c>
      <c r="T3097" t="n">
        <v>0</v>
      </c>
      <c r="V3097" t="n">
        <v>0</v>
      </c>
    </row>
    <row r="3098">
      <c r="A3098">
        <f>Skills!A21</f>
        <v/>
      </c>
      <c r="B3098">
        <f>Skills!B21</f>
        <v/>
      </c>
      <c r="C3098">
        <f>Inputs!$B$3&gt;=33</f>
        <v/>
      </c>
      <c r="D3098">
        <f>IF(Skills!C21=1,60+Inputs!$B$25+Inputs!$B$29,IF(Skills!C21=2,90+Inputs!$B$26+Inputs!$B$29,IF(Skills!C21=3,120+Inputs!$B$27+Inputs!$B$29,MAX(0,(Inputs!$B$3-100)*3)+Inputs!$B$28+Inputs!$B$29)))</f>
        <v/>
      </c>
      <c r="E3098">
        <f>INDEX(FactorTable!$B$2:$Y$301, MATCH(ROUND(MIN(300,MAX(1,D3098)),0), FactorTable!$A$2:$A$301,0), Skills!M21+1)</f>
        <v/>
      </c>
      <c r="F3098">
        <f>IF(Skills!N21=TRUE,(Skills!L21/10)*(E3098/1000),Skills!L21/10)+Skills!O21</f>
        <v/>
      </c>
      <c r="G3098">
        <f>Skills!G21*IF(Skills!H21&gt;0,Skills!I21/Skills!H21,1)</f>
        <v/>
      </c>
      <c r="H3098">
        <f>1-(1-Skills!J21/100)^Skills!K21</f>
        <v/>
      </c>
      <c r="I3098" t="inlineStr">
        <is>
          <t>1</t>
        </is>
      </c>
      <c r="J3098" t="inlineStr"/>
      <c r="K3098" t="inlineStr"/>
      <c r="L3098" t="inlineStr"/>
      <c r="M3098" t="inlineStr"/>
      <c r="N3098" t="inlineStr"/>
      <c r="O3098">
        <f>(1-Summary!$B$11)*T3098+Summary!$B$11*V3098</f>
        <v/>
      </c>
      <c r="P3098">
        <f>IF(B3118=0,0,O3098/B3118)</f>
        <v/>
      </c>
      <c r="Q3098" t="n">
        <v>0</v>
      </c>
      <c r="R3098" t="n">
        <v>0</v>
      </c>
      <c r="S3098">
        <f>IFERROR(O3098/N3098,0)</f>
        <v/>
      </c>
      <c r="T3098" t="n">
        <v>0</v>
      </c>
      <c r="V3098" t="n">
        <v>0</v>
      </c>
    </row>
    <row r="3099">
      <c r="A3099">
        <f>Skills!A22</f>
        <v/>
      </c>
      <c r="B3099">
        <f>Skills!B22</f>
        <v/>
      </c>
      <c r="C3099">
        <f>Inputs!$B$3&gt;=43</f>
        <v/>
      </c>
      <c r="D3099">
        <f>IF(Skills!C22=1,60+Inputs!$B$25+Inputs!$B$29,IF(Skills!C22=2,90+Inputs!$B$26+Inputs!$B$29,IF(Skills!C22=3,120+Inputs!$B$27+Inputs!$B$29,MAX(0,(Inputs!$B$3-100)*3)+Inputs!$B$28+Inputs!$B$29)))</f>
        <v/>
      </c>
      <c r="E3099">
        <f>INDEX(FactorTable!$B$2:$Y$301, MATCH(ROUND(MIN(300,MAX(1,D3099)),0), FactorTable!$A$2:$A$301,0), Skills!M22+1)</f>
        <v/>
      </c>
      <c r="F3099">
        <f>IF(Skills!N22=TRUE,(Skills!L22/10)*(E3099/1000),Skills!L22/10)+Skills!O22</f>
        <v/>
      </c>
      <c r="G3099">
        <f>Skills!G22*IF(Skills!H22&gt;0,Skills!I22/Skills!H22,1)</f>
        <v/>
      </c>
      <c r="H3099">
        <f>1-(1-Skills!J22/100)^Skills!K22</f>
        <v/>
      </c>
      <c r="I3099" t="inlineStr">
        <is>
          <t>1</t>
        </is>
      </c>
      <c r="J3099" t="inlineStr"/>
      <c r="K3099" t="inlineStr"/>
      <c r="L3099" t="inlineStr"/>
      <c r="M3099" t="inlineStr"/>
      <c r="N3099" t="inlineStr"/>
      <c r="O3099">
        <f>(1-Summary!$B$11)*T3099+Summary!$B$11*V3099</f>
        <v/>
      </c>
      <c r="P3099">
        <f>IF(B3118=0,0,O3099/B3118)</f>
        <v/>
      </c>
      <c r="Q3099" t="n">
        <v>0</v>
      </c>
      <c r="R3099" t="n">
        <v>0</v>
      </c>
      <c r="S3099">
        <f>IFERROR(O3099/N3099,0)</f>
        <v/>
      </c>
      <c r="T3099" t="n">
        <v>0</v>
      </c>
      <c r="V3099" t="n">
        <v>0</v>
      </c>
    </row>
    <row r="3100">
      <c r="A3100">
        <f>Skills!A23</f>
        <v/>
      </c>
      <c r="B3100">
        <f>Skills!B23</f>
        <v/>
      </c>
      <c r="C3100">
        <f>Inputs!$B$3&gt;=38</f>
        <v/>
      </c>
      <c r="D3100">
        <f>IF(Skills!C23=1,60+Inputs!$B$25+Inputs!$B$29,IF(Skills!C23=2,90+Inputs!$B$26+Inputs!$B$29,IF(Skills!C23=3,120+Inputs!$B$27+Inputs!$B$29,MAX(0,(Inputs!$B$3-100)*3)+Inputs!$B$28+Inputs!$B$29)))</f>
        <v/>
      </c>
      <c r="E3100">
        <f>INDEX(FactorTable!$B$2:$Y$301, MATCH(ROUND(MIN(300,MAX(1,D3100)),0), FactorTable!$A$2:$A$301,0), Skills!M23+1)</f>
        <v/>
      </c>
      <c r="F3100">
        <f>IF(Skills!N23=TRUE,(Skills!L23/10)*(E3100/1000),Skills!L23/10)+Skills!O23</f>
        <v/>
      </c>
      <c r="G3100">
        <f>Skills!G23*IF(Skills!H23&gt;0,Skills!I23/Skills!H23,1)</f>
        <v/>
      </c>
      <c r="H3100">
        <f>1-(1-Skills!J23/100)^Skills!K23</f>
        <v/>
      </c>
      <c r="I3100" t="inlineStr">
        <is>
          <t>1</t>
        </is>
      </c>
      <c r="J3100" t="inlineStr"/>
      <c r="K3100" t="inlineStr"/>
      <c r="L3100" t="inlineStr"/>
      <c r="M3100" t="inlineStr"/>
      <c r="N3100" t="inlineStr"/>
      <c r="O3100">
        <f>(1-Summary!$B$11)*T3100+Summary!$B$11*V3100</f>
        <v/>
      </c>
      <c r="P3100">
        <f>IF(B3118=0,0,O3100/B3118)</f>
        <v/>
      </c>
      <c r="Q3100" t="n">
        <v>0</v>
      </c>
      <c r="R3100" t="n">
        <v>0</v>
      </c>
      <c r="S3100">
        <f>IFERROR(O3100/N3100,0)</f>
        <v/>
      </c>
      <c r="T3100" t="n">
        <v>0</v>
      </c>
      <c r="V3100" t="n">
        <v>0</v>
      </c>
    </row>
    <row r="3101">
      <c r="A3101">
        <f>Skills!A24</f>
        <v/>
      </c>
      <c r="B3101">
        <f>Skills!B24</f>
        <v/>
      </c>
      <c r="C3101">
        <f>Inputs!$B$3&gt;=40</f>
        <v/>
      </c>
      <c r="D3101">
        <f>IF(Skills!C24=1,60+Inputs!$B$25+Inputs!$B$29,IF(Skills!C24=2,90+Inputs!$B$26+Inputs!$B$29,IF(Skills!C24=3,120+Inputs!$B$27+Inputs!$B$29,MAX(0,(Inputs!$B$3-100)*3)+Inputs!$B$28+Inputs!$B$29)))</f>
        <v/>
      </c>
      <c r="E3101">
        <f>INDEX(FactorTable!$B$2:$Y$301, MATCH(ROUND(MIN(300,MAX(1,D3101)),0), FactorTable!$A$2:$A$301,0), Skills!M24+1)</f>
        <v/>
      </c>
      <c r="F3101">
        <f>IF(Skills!N24=TRUE,(Skills!L24/10)*(E3101/1000),Skills!L24/10)+Skills!O24</f>
        <v/>
      </c>
      <c r="G3101">
        <f>Skills!G24*IF(Skills!H24&gt;0,Skills!I24/Skills!H24,1)</f>
        <v/>
      </c>
      <c r="H3101">
        <f>1-(1-Skills!J24/100)^Skills!K24</f>
        <v/>
      </c>
      <c r="I3101" t="inlineStr">
        <is>
          <t>1</t>
        </is>
      </c>
      <c r="J3101" t="inlineStr"/>
      <c r="K3101" t="inlineStr"/>
      <c r="L3101" t="inlineStr"/>
      <c r="M3101" t="inlineStr"/>
      <c r="N3101" t="inlineStr"/>
      <c r="O3101">
        <f>(1-Summary!$B$11)*T3101+Summary!$B$11*V3101</f>
        <v/>
      </c>
      <c r="P3101">
        <f>IF(B3118=0,0,O3101/B3118)</f>
        <v/>
      </c>
      <c r="Q3101" t="n">
        <v>0</v>
      </c>
      <c r="R3101" t="n">
        <v>0</v>
      </c>
      <c r="S3101">
        <f>IFERROR(O3101/N3101,0)</f>
        <v/>
      </c>
      <c r="T3101" t="n">
        <v>0</v>
      </c>
      <c r="V3101" t="n">
        <v>0</v>
      </c>
    </row>
    <row r="3102">
      <c r="A3102">
        <f>Skills!A25</f>
        <v/>
      </c>
      <c r="B3102">
        <f>Skills!B25</f>
        <v/>
      </c>
      <c r="C3102">
        <f>Inputs!$B$3&gt;=72</f>
        <v/>
      </c>
      <c r="D3102">
        <f>IF(Skills!C25=1,60+Inputs!$B$25+Inputs!$B$29,IF(Skills!C25=2,90+Inputs!$B$26+Inputs!$B$29,IF(Skills!C25=3,120+Inputs!$B$27+Inputs!$B$29,MAX(0,(Inputs!$B$3-100)*3)+Inputs!$B$28+Inputs!$B$29)))</f>
        <v/>
      </c>
      <c r="E3102">
        <f>INDEX(FactorTable!$B$2:$Y$301, MATCH(ROUND(MIN(300,MAX(1,D3102)),0), FactorTable!$A$2:$A$301,0), Skills!M25+1)</f>
        <v/>
      </c>
      <c r="F3102">
        <f>IF(Skills!N25=TRUE,(Skills!L25/10)*(E3102/1000),Skills!L25/10)+Skills!O25</f>
        <v/>
      </c>
      <c r="G3102">
        <f>Skills!G25*IF(Skills!H25&gt;0,Skills!I25/Skills!H25,1)</f>
        <v/>
      </c>
      <c r="H3102">
        <f>1-(1-Skills!J25/100)^Skills!K25</f>
        <v/>
      </c>
      <c r="I3102" t="inlineStr">
        <is>
          <t>1</t>
        </is>
      </c>
      <c r="J3102" t="inlineStr"/>
      <c r="K3102" t="inlineStr"/>
      <c r="L3102" t="inlineStr"/>
      <c r="M3102" t="inlineStr"/>
      <c r="N3102" t="inlineStr"/>
      <c r="O3102">
        <f>(1-Summary!$B$11)*T3102+Summary!$B$11*V3102</f>
        <v/>
      </c>
      <c r="P3102">
        <f>IF(B3118=0,0,O3102/B3118)</f>
        <v/>
      </c>
      <c r="Q3102" t="n">
        <v>0</v>
      </c>
      <c r="R3102" t="n">
        <v>0</v>
      </c>
      <c r="S3102">
        <f>IFERROR(O3102/N3102,0)</f>
        <v/>
      </c>
      <c r="T3102" t="n">
        <v>0</v>
      </c>
      <c r="V3102" t="n">
        <v>0</v>
      </c>
    </row>
    <row r="3103">
      <c r="A3103">
        <f>Skills!A26</f>
        <v/>
      </c>
      <c r="B3103">
        <f>Skills!B26</f>
        <v/>
      </c>
      <c r="C3103">
        <f>Inputs!$B$3&gt;=75</f>
        <v/>
      </c>
      <c r="D3103">
        <f>IF(Skills!C26=1,60+Inputs!$B$25+Inputs!$B$29,IF(Skills!C26=2,90+Inputs!$B$26+Inputs!$B$29,IF(Skills!C26=3,120+Inputs!$B$27+Inputs!$B$29,MAX(0,(Inputs!$B$3-100)*3)+Inputs!$B$28+Inputs!$B$29)))</f>
        <v/>
      </c>
      <c r="E3103">
        <f>INDEX(FactorTable!$B$2:$Y$301, MATCH(ROUND(MIN(300,MAX(1,D3103)),0), FactorTable!$A$2:$A$301,0), Skills!M26+1)</f>
        <v/>
      </c>
      <c r="F3103">
        <f>IF(Skills!N26=TRUE,(Skills!L26/10)*(E3103/1000),Skills!L26/10)+Skills!O26</f>
        <v/>
      </c>
      <c r="G3103">
        <f>Skills!G26*IF(Skills!H26&gt;0,Skills!I26/Skills!H26,1)</f>
        <v/>
      </c>
      <c r="H3103">
        <f>1-(1-Skills!J26/100)^Skills!K26</f>
        <v/>
      </c>
      <c r="I3103" t="inlineStr">
        <is>
          <t>1</t>
        </is>
      </c>
      <c r="J3103" t="inlineStr"/>
      <c r="K3103" t="inlineStr"/>
      <c r="L3103" t="inlineStr"/>
      <c r="M3103" t="inlineStr"/>
      <c r="N3103" t="inlineStr"/>
      <c r="O3103">
        <f>(1-Summary!$B$11)*T3103+Summary!$B$11*V3103</f>
        <v/>
      </c>
      <c r="P3103">
        <f>IF(B3118=0,0,O3103/B3118)</f>
        <v/>
      </c>
      <c r="Q3103" t="n">
        <v>0</v>
      </c>
      <c r="R3103" t="n">
        <v>0</v>
      </c>
      <c r="S3103">
        <f>IFERROR(O3103/N3103,0)</f>
        <v/>
      </c>
      <c r="T3103" t="n">
        <v>0</v>
      </c>
      <c r="V3103" t="n">
        <v>0</v>
      </c>
    </row>
    <row r="3104">
      <c r="A3104">
        <f>Skills!A27</f>
        <v/>
      </c>
      <c r="B3104">
        <f>Skills!B27</f>
        <v/>
      </c>
      <c r="C3104">
        <f>Inputs!$B$3&gt;=117</f>
        <v/>
      </c>
      <c r="D3104">
        <f>IF(Skills!C27=1,60+Inputs!$B$25+Inputs!$B$29,IF(Skills!C27=2,90+Inputs!$B$26+Inputs!$B$29,IF(Skills!C27=3,120+Inputs!$B$27+Inputs!$B$29,MAX(0,(Inputs!$B$3-100)*3)+Inputs!$B$28+Inputs!$B$29)))</f>
        <v/>
      </c>
      <c r="E3104">
        <f>INDEX(FactorTable!$B$2:$Y$301, MATCH(ROUND(MIN(300,MAX(1,D3104)),0), FactorTable!$A$2:$A$301,0), Skills!M27+1)</f>
        <v/>
      </c>
      <c r="F3104">
        <f>IF(Skills!N27=TRUE,(Skills!L27/10)*(E3104/1000),Skills!L27/10)+Skills!O27</f>
        <v/>
      </c>
      <c r="G3104">
        <f>Skills!G27*IF(Skills!H27&gt;0,Skills!I27/Skills!H27,1)</f>
        <v/>
      </c>
      <c r="H3104">
        <f>1-(1-Skills!J27/100)^Skills!K27</f>
        <v/>
      </c>
      <c r="I3104" t="inlineStr">
        <is>
          <t>1</t>
        </is>
      </c>
      <c r="J3104" t="inlineStr"/>
      <c r="K3104" t="inlineStr"/>
      <c r="L3104" t="inlineStr"/>
      <c r="M3104" t="inlineStr"/>
      <c r="N3104" t="inlineStr"/>
      <c r="O3104">
        <f>(1-Summary!$B$11)*T3104+Summary!$B$11*V3104</f>
        <v/>
      </c>
      <c r="P3104">
        <f>IF(B3118=0,0,O3104/B3118)</f>
        <v/>
      </c>
      <c r="Q3104" t="n">
        <v>0</v>
      </c>
      <c r="R3104" t="n">
        <v>0</v>
      </c>
      <c r="S3104">
        <f>IFERROR(O3104/N3104,0)</f>
        <v/>
      </c>
      <c r="T3104" t="n">
        <v>0</v>
      </c>
      <c r="V3104" t="n">
        <v>0</v>
      </c>
    </row>
    <row r="3105">
      <c r="A3105">
        <f>Skills!A28</f>
        <v/>
      </c>
      <c r="B3105">
        <f>Skills!B28</f>
        <v/>
      </c>
      <c r="C3105">
        <f>TRUE</f>
        <v/>
      </c>
      <c r="D3105">
        <f>IF(Skills!C28=1,60+Inputs!$B$25+Inputs!$B$29,IF(Skills!C28=2,90+Inputs!$B$26+Inputs!$B$29,IF(Skills!C28=3,120+Inputs!$B$27+Inputs!$B$29,MAX(0,(Inputs!$B$3-100)*3)+Inputs!$B$28+Inputs!$B$29)))</f>
        <v/>
      </c>
      <c r="E3105">
        <f>INDEX(FactorTable!$B$2:$Y$301, MATCH(ROUND(MIN(300,MAX(1,D3105)),0), FactorTable!$A$2:$A$301,0), Skills!M28+1)</f>
        <v/>
      </c>
      <c r="F3105">
        <f>IF(Skills!N28=TRUE,(Skills!L28/10)*(E3105/1000),Skills!L28/10)+Skills!O28</f>
        <v/>
      </c>
      <c r="G3105">
        <f>Skills!G28*IF(Skills!H28&gt;0,Skills!I28/Skills!H28,1)</f>
        <v/>
      </c>
      <c r="H3105">
        <f>1-(1-Skills!J28/100)^Skills!K28</f>
        <v/>
      </c>
      <c r="I3105" t="inlineStr">
        <is>
          <t>1</t>
        </is>
      </c>
      <c r="J3105" t="inlineStr"/>
      <c r="K3105" t="inlineStr"/>
      <c r="L3105" t="inlineStr"/>
      <c r="M3105" t="inlineStr"/>
      <c r="N3105" t="inlineStr"/>
      <c r="O3105">
        <f>(1-Summary!$B$11)*T3105+Summary!$B$11*V3105</f>
        <v/>
      </c>
      <c r="P3105">
        <f>IF(B3118=0,0,O3105/B3118)</f>
        <v/>
      </c>
      <c r="Q3105">
        <f>IFERROR(1/(IF(Inputs!$B$38="pvp",15,MAX(0.1,Skills!D28-IF(Skills!E28=TRUE,3.5,0)))*(1-IF(AND(ArtifactsInput!$M$27,Inputs!$B$4="Chapter Hunt"),CHOOSE(ArtifactsInput!$N$27+1,20,24,28,32,36,40),0)/100)),0)</f>
        <v/>
      </c>
      <c r="R3105">
        <f>IF(AND(Inputs!$B$38&lt;&gt;"pvp",Inputs!$B$43&gt;0),IF(Inputs!$B$43&lt;=0,0,(INT(Inputs!$B$43/(IF(Inputs!$B$38="pvp",15,MAX(0.1,Skills!D28-IF(Skills!E28=TRUE,3.5,0)))*(1-IF(AND(ArtifactsInput!$M$27,Inputs!$B$4="Chapter Hunt"),CHOOSE(ArtifactsInput!$N$27+1,20,24,28,32,36,40),0)/100)))+1)),0)</f>
        <v/>
      </c>
      <c r="S3105">
        <f>IFERROR(O3105/N3105,0)</f>
        <v/>
      </c>
      <c r="T3105" t="n">
        <v>0</v>
      </c>
      <c r="V3105" t="n">
        <v>0</v>
      </c>
    </row>
    <row r="3107">
      <c r="A3107" t="inlineStr">
        <is>
          <t>Attack% Bucket Multiplier</t>
        </is>
      </c>
      <c r="B3107">
        <f>(1+(((C3094=TRUE)*F3094*5/7)+((C3101=TRUE)*(F3101-Calc!F24))+(IF(ArtifactsInput!$M$21,CHOOSE(ArtifactsInput!$N$21+1,25,30,35,40,45,50)*(IF(OR(Inputs!$B$4="Chapter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08">
      <c r="A3108" t="inlineStr">
        <is>
          <t>Global Crit Rate Bonus %</t>
        </is>
      </c>
      <c r="B3108" t="n">
        <v>0</v>
      </c>
    </row>
    <row r="3109">
      <c r="A3109" t="inlineStr">
        <is>
          <t>Attack Speed Buff Bonus % (Nimble Feet, duty-cycle averaged)</t>
        </is>
      </c>
      <c r="B3109">
        <f>((C3105=TRUE)*F3105*IF(AND(Inputs!$B$38&lt;&gt;"pvp",Inputs!$B$43&gt;0),(((R3105-1)*(Skills!T28*(1+Inputs!$B$34/100))+MIN((Skills!T28*(1+Inputs!$B$34/100)),MAX(0,Inputs!$B$43-((R3105-1)*Skills!D28))))/Inputs!$B$43),IF(Inputs!$B$38="pvp",MIN((Skills!T28*(1+Inputs!$B$34/100)),15)/15,(Skills!T28*(1+Inputs!$B$34/100))/Skills!D28)))</f>
        <v/>
      </c>
    </row>
    <row r="3110">
      <c r="A3110" t="inlineStr">
        <is>
          <t>Actions Per Second</t>
        </is>
      </c>
      <c r="B3110">
        <f>1+MIN(150,150*(1-(1-(Inputs!$B$11+((C3097=TRUE)*(F3097-Calc!F20))+((C3098=TRUE)*(F3098-Calc!F21)))/150)*(1-B3109/150)))/100</f>
        <v/>
      </c>
    </row>
    <row r="3111">
      <c r="A3111" t="inlineStr">
        <is>
          <t>Skill + Buff Cast Rate</t>
        </is>
      </c>
      <c r="B3111">
        <f>IF(AND(Inputs!$B$38&lt;&gt;"pvp",Inputs!$B$43&gt;0),SUMPRODUCT((Skills!E2:E28=TRUE)*(C3079:C3105=TRUE)*R3079:R3105*Skills!F2:F28)/Inputs!$B$43,SUMPRODUCT((Skills!E2:E28=TRUE)*(C3079:C3105=TRUE)*Q3079:Q3105*Skills!F2:F28))</f>
        <v/>
      </c>
    </row>
    <row r="3112">
      <c r="A3112" t="inlineStr">
        <is>
          <t>Eight-Legs Easton Casts Per Second</t>
        </is>
      </c>
      <c r="B3112">
        <f>MAX(0,B3110-B3111)</f>
        <v/>
      </c>
    </row>
    <row r="3113">
      <c r="A3113" t="inlineStr">
        <is>
          <t>Global Critical Damage Bonus % (unused)</t>
        </is>
      </c>
      <c r="B3113" t="n">
        <v>0</v>
      </c>
    </row>
    <row r="3114">
      <c r="A3114" t="inlineStr">
        <is>
          <t>Global Final Damage Bonus % (Jolly Roger + Ahoy Mateys - Final Damage proc)</t>
        </is>
      </c>
      <c r="B3114">
        <f>((C3095=TRUE)*F3095*IF(AND(Inputs!$B$38&lt;&gt;"pvp",Inputs!$B$43&gt;0),(((R3095-1)*(Skills!T18*(1+Inputs!$B$34/100))+MIN((Skills!T18*(1+Inputs!$B$34/100)),MAX(0,Inputs!$B$43-((R3095-1)*Skills!D18))))/Inputs!$B$43),IF(Inputs!$B$38="pvp",MIN((Skills!T18*(1+Inputs!$B$34/100)),15)/15,(Skills!T18*(1+Inputs!$B$34/100))/Skills!D18)))+IF(Inputs!$B$3&gt;=122,20*IF(Inputs!$B$38="pvp",MIN((20*(1+Inputs!$B$34/100)),15)/15,(20*(1+Inputs!$B$34/100))/Skills!D4),0)</f>
        <v/>
      </c>
    </row>
    <row r="3115">
      <c r="A3115" t="inlineStr">
        <is>
          <t>Buff-Casting Startup Delay (s, fixed-duration only)</t>
        </is>
      </c>
      <c r="B3115">
        <f>IF(AND(Inputs!$B$38&lt;&gt;"pvp",Inputs!$B$43&gt;0),SUMPRODUCT((Skills!T2:T28&gt;0)*(Skills!E2:E28=TRUE)*(C3079:C3105=TRUE))/B3110,0)</f>
        <v/>
      </c>
    </row>
    <row r="3116">
      <c r="A3116" t="inlineStr">
        <is>
          <t>Boss-Only Total DPS (this block's swept value)</t>
        </is>
      </c>
      <c r="B3116">
        <f>SUM(T3079:T3105)</f>
        <v/>
      </c>
    </row>
    <row r="3117">
      <c r="A3117" t="inlineStr">
        <is>
          <t>Normal-Only Total DPS (this block's swept value)</t>
        </is>
      </c>
      <c r="B3117">
        <f>SUM(V3079:V3105)</f>
        <v/>
      </c>
    </row>
    <row r="3118">
      <c r="A3118" s="6" t="inlineStr">
        <is>
          <t>TOTAL DPS</t>
        </is>
      </c>
      <c r="B3118" s="6">
        <f>SUM(O3079:O3105)</f>
        <v/>
      </c>
    </row>
    <row r="3121">
      <c r="A3121" s="6" t="inlineStr">
        <is>
          <t>Stat: CDR = 4.0s</t>
        </is>
      </c>
    </row>
    <row r="3122">
      <c r="A3122" s="5" t="inlineStr">
        <is>
          <t>Key</t>
        </is>
      </c>
      <c r="B3122" s="5" t="inlineStr">
        <is>
          <t>Name</t>
        </is>
      </c>
      <c r="C3122" s="5" t="inlineStr">
        <is>
          <t>Unlocked</t>
        </is>
      </c>
      <c r="D3122" s="5" t="inlineStr">
        <is>
          <t>InputLevel</t>
        </is>
      </c>
      <c r="E3122" s="5" t="inlineStr">
        <is>
          <t>Factor</t>
        </is>
      </c>
      <c r="F3122" s="5" t="inlineStr">
        <is>
          <t>CoefficientPercent</t>
        </is>
      </c>
      <c r="G3122" s="5" t="inlineStr">
        <is>
          <t>EffectiveHits</t>
        </is>
      </c>
      <c r="H3122" s="5" t="inlineStr">
        <is>
          <t>ProcProbability</t>
        </is>
      </c>
      <c r="I3122" s="5" t="inlineStr">
        <is>
          <t>MapleHeroMultiplier</t>
        </is>
      </c>
      <c r="J3122" s="5" t="inlineStr">
        <is>
          <t>BaseDamage</t>
        </is>
      </c>
      <c r="K3122" s="5" t="inlineStr">
        <is>
          <t>BaseHitDamage</t>
        </is>
      </c>
      <c r="L3122" s="5" t="inlineStr">
        <is>
          <t>NonCritAvg</t>
        </is>
      </c>
      <c r="M3122" s="5" t="inlineStr">
        <is>
          <t>CritAvg</t>
        </is>
      </c>
      <c r="N3122" s="5" t="inlineStr">
        <is>
          <t>ExpectedDamage(perHit)</t>
        </is>
      </c>
      <c r="O3122" s="5" t="inlineStr">
        <is>
          <t>DPS</t>
        </is>
      </c>
      <c r="P3122" s="5" t="inlineStr">
        <is>
          <t>% of Total</t>
        </is>
      </c>
      <c r="Q3122" s="5" t="inlineStr">
        <is>
          <t>InvCooldown</t>
        </is>
      </c>
      <c r="R3122" s="5" t="inlineStr">
        <is>
          <t>CastsInFight</t>
        </is>
      </c>
      <c r="S3122" s="5" t="inlineStr">
        <is>
          <t>HitRate(perSec)</t>
        </is>
      </c>
      <c r="U3122" t="inlineStr">
        <is>
          <t>helpers</t>
        </is>
      </c>
    </row>
    <row r="3123">
      <c r="A3123">
        <f>Skills!A2</f>
        <v/>
      </c>
      <c r="B3123">
        <f>Skills!B2</f>
        <v/>
      </c>
      <c r="C3123">
        <f>Inputs!$B$3&gt;=100</f>
        <v/>
      </c>
      <c r="D3123" t="inlineStr"/>
      <c r="E3123" t="inlineStr"/>
      <c r="F3123">
        <f>U3125+Skills!O2</f>
        <v/>
      </c>
      <c r="G3123">
        <f>Skills!G2*IF(Skills!H2&gt;0,Skills!I2/Skills!H2,1)</f>
        <v/>
      </c>
      <c r="H3123">
        <f>1-(1-Skills!J2/100)^Skills!K2</f>
        <v/>
      </c>
      <c r="I3123" t="inlineStr">
        <is>
          <t>1</t>
        </is>
      </c>
      <c r="J3123">
        <f>((Inputs!$B$6*(1+Inputs!$B$7/100))+(((Inputs!$B$12*(1+Inputs!$B$13/100))-(Inputs!$B$12*(1+Inputs!$B$13/100)))+0.25*(Inputs!$B$14-Inputs!$B$14))*(1+Inputs!$B$7/100))*(F3123/100)</f>
        <v/>
      </c>
      <c r="K3123">
        <f>J3123*(1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3123)</f>
        <v/>
      </c>
      <c r="L3123">
        <f>K3123*(MIN(Inputs!$B$22+((C3143=TRUE)*(F3143-Calc!F22)),(Inputs!$B$23+0+(IF(ArtifactsInput!$M$15,CHOOSE(ArtifactsInput!$N$15+1,25,30,35,40,45,50)/100*(Inputs!$B$11-Inputs!$B$11),0))))/100+(Inputs!$B$23+0+(IF(ArtifactsInput!$M$15,CHOOSE(ArtifactsInput!$N$15+1,25,30,35,40,45,50)/100*(Inputs!$B$11-Inputs!$B$11),0)))/100)/2</f>
        <v/>
      </c>
      <c r="M3123">
        <f>L3123*(1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3">
        <f>L3123*(1-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3123*(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3">
        <f>(1-Summary!$B$11)*T3123+Summary!$B$11*V3123</f>
        <v/>
      </c>
      <c r="P3123">
        <f>IF(B3162=0,0,O3123/B3162)</f>
        <v/>
      </c>
      <c r="Q3123" t="n">
        <v>0</v>
      </c>
      <c r="R3123" t="n">
        <v>0</v>
      </c>
      <c r="S3123">
        <f>IFERROR(O3123/N3123,0)</f>
        <v/>
      </c>
      <c r="T3123">
        <f>IF(C3123,(Skills!G2*N3123*B3156)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3123*(1-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3123*(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3123*(1-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3123*(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3">
        <f>MAX(0,(Inputs!$B$3-100)*3)+Inputs!$B$28+Inputs!$B$29</f>
        <v/>
      </c>
      <c r="V3123">
        <f>IF(C3123,(Skills!G2*N3123*B3156)*IF(Inputs!$B$38="pvp",1,(1+(Inputs!$B$21+Skills!Q2+(IF(ArtifactsInput!$M$33,CHOOSE(ArtifactsInput!$N$33+1,30,36,42,48,54,60),0))+(IF(AND(ArtifactsInput!$M$35,Inputs!$B$4&lt;&gt;"Chapter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4">
      <c r="A3124">
        <f>Skills!A3</f>
        <v/>
      </c>
      <c r="B3124">
        <f>Skills!B3</f>
        <v/>
      </c>
      <c r="C3124">
        <f>Inputs!$B$3&gt;=35</f>
        <v/>
      </c>
      <c r="D3124">
        <f>IF(Skills!C3=1,60+Inputs!$B$25+Inputs!$B$29,IF(Skills!C3=2,90+Inputs!$B$26+Inputs!$B$29,IF(Skills!C3=3,120+Inputs!$B$27+Inputs!$B$29,MAX(0,(Inputs!$B$3-100)*3)+Inputs!$B$28+Inputs!$B$29)))</f>
        <v/>
      </c>
      <c r="E3124">
        <f>INDEX(FactorTable!$B$2:$Y$301, MATCH(ROUND(MIN(300,MAX(1,D3124)),0), FactorTable!$A$2:$A$301,0), Skills!M3+1)</f>
        <v/>
      </c>
      <c r="F3124">
        <f>IF(Skills!N3=TRUE,(Skills!L3/10)*(E3124/1000),Skills!L3/10)+Skills!O3</f>
        <v/>
      </c>
      <c r="G3124">
        <f>Skills!G3*IF(Skills!H3&gt;0,Skills!I3/Skills!H3,1)</f>
        <v/>
      </c>
      <c r="H3124">
        <f>1-(1-Skills!J3/100)^Skills!K3</f>
        <v/>
      </c>
      <c r="I3124" t="inlineStr">
        <is>
          <t>1</t>
        </is>
      </c>
      <c r="J3124">
        <f>((Inputs!$B$6*(1+Inputs!$B$7/100))+(((Inputs!$B$12*(1+Inputs!$B$13/100))-(Inputs!$B$12*(1+Inputs!$B$13/100)))+0.25*(Inputs!$B$14-Inputs!$B$14))*(1+Inputs!$B$7/100))*(F3124/100)</f>
        <v/>
      </c>
      <c r="K3124">
        <f>J3124*(1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3136=TRUE,F3136,0)/100)*(1+(IF(Skills!A3="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3124)</f>
        <v/>
      </c>
      <c r="L3124">
        <f>K3124*(MIN(Inputs!$B$22+((C3143=TRUE)*(F3143-Calc!F22)),(Inputs!$B$23+0+(IF(ArtifactsInput!$M$15,CHOOSE(ArtifactsInput!$N$15+1,25,30,35,40,45,50)/100*(Inputs!$B$11-Inputs!$B$11),0))))/100+(Inputs!$B$23+0+(IF(ArtifactsInput!$M$15,CHOOSE(ArtifactsInput!$N$15+1,25,30,35,40,45,50)/100*(Inputs!$B$11-Inputs!$B$11),0)))/100)/2</f>
        <v/>
      </c>
      <c r="M3124">
        <f>L3124*(1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4">
        <f>L3124*(1-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3124*(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4">
        <f>(1-Summary!$B$11)*T3124+Summary!$B$11*V3124</f>
        <v/>
      </c>
      <c r="P3124">
        <f>IF(B3162=0,0,O3124/B3162)</f>
        <v/>
      </c>
      <c r="Q3124">
        <f>IFERROR(1/(IF(Inputs!$B$38="pvp",15,MAX(0.1,Skills!D3-IF(Skills!E3=TRUE,4.0,0)))*(1-IF(AND(ArtifactsInput!$M$27,Inputs!$B$4="Chapter Hunt"),CHOOSE(ArtifactsInput!$N$27+1,20,24,28,32,36,40),0)/100)),0)</f>
        <v/>
      </c>
      <c r="R3124">
        <f>IF(AND(Inputs!$B$38&lt;&gt;"pvp",Inputs!$B$43&gt;0),IF(MAX(0,Inputs!$B$43-B3159)&lt;=0,0,(INT(MAX(0,Inputs!$B$43-B3159)/(IF(Inputs!$B$38="pvp",15,MAX(0.1,Skills!D3-IF(Skills!E3=TRUE,4.0,0)))*(1-IF(AND(ArtifactsInput!$M$27,Inputs!$B$4="Chapter Hunt"),CHOOSE(ArtifactsInput!$N$27+1,20,24,28,32,36,40),0)/100)))+1)),0)</f>
        <v/>
      </c>
      <c r="S3124">
        <f>IFERROR(O3124/N3124,0)</f>
        <v/>
      </c>
      <c r="T3124">
        <f>IF(C3124,(H3124*N3124*IF(AND(Inputs!$B$38&lt;&gt;"pvp",Inputs!$B$43&gt;0),((Skills!G3*((R3124-1)*IF(Skills!H3&gt;0,Skills!I3/Skills!H3,1)+IF(Skills!H3&gt;0,MIN(Skills!I3,MAX(0,MAX(0,Inputs!$B$43-B3159)-((R3124-1)*(IF(Inputs!$B$38="pvp",15,MAX(0.1,Skills!D3-IF(Skills!E3=TRUE,4.0,0)))*(1-IF(AND(ArtifactsInput!$M$27,Inputs!$B$4="Chapter Hunt"),CHOOSE(ArtifactsInput!$N$27+1,20,24,28,32,36,40),0)/100)))))/Skills!H3,1)))/Inputs!$B$43),G3124*Q3124)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3124*(1-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3124*(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3124*(1-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3124*(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4">
        <f>INDEX(FactorTable!$B$2:$Y$301, MATCH(ROUND(MIN(300,MAX(1,U3123)),0), FactorTable!$A$2:$A$301,0), 22)</f>
        <v/>
      </c>
      <c r="V3124">
        <f>IF(C3124,(H3124*N3124*IF(AND(Inputs!$B$38&lt;&gt;"pvp",Inputs!$B$43&gt;0),((Skills!G3*((R3124-1)*IF(Skills!H3&gt;0,Skills!I3/Skills!H3,1)+IF(Skills!H3&gt;0,MIN(Skills!I3,MAX(0,MAX(0,Inputs!$B$43-B3159)-((R3124-1)*(IF(Inputs!$B$38="pvp",15,MAX(0.1,Skills!D3-IF(Skills!E3=TRUE,4.0,0)))*(1-IF(AND(ArtifactsInput!$M$27,Inputs!$B$4="Chapter Hunt"),CHOOSE(ArtifactsInput!$N$27+1,20,24,28,32,36,40),0)/100)))))/Skills!H3,1)))/Inputs!$B$43),G3124*Q3124))*IF(Inputs!$B$38="pvp",1,(1+(Inputs!$B$21+Skills!Q3+(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5">
      <c r="A3125">
        <f>Skills!A4</f>
        <v/>
      </c>
      <c r="B3125">
        <f>Skills!B4</f>
        <v/>
      </c>
      <c r="C3125">
        <f>Inputs!$B$3&gt;=40</f>
        <v/>
      </c>
      <c r="D3125">
        <f>IF(Skills!C4=1,60+Inputs!$B$25+Inputs!$B$29,IF(Skills!C4=2,90+Inputs!$B$26+Inputs!$B$29,IF(Skills!C4=3,120+Inputs!$B$27+Inputs!$B$29,MAX(0,(Inputs!$B$3-100)*3)+Inputs!$B$28+Inputs!$B$29)))</f>
        <v/>
      </c>
      <c r="E3125">
        <f>INDEX(FactorTable!$B$2:$Y$301, MATCH(ROUND(MIN(300,MAX(1,D3125)),0), FactorTable!$A$2:$A$301,0), Skills!M4+1)</f>
        <v/>
      </c>
      <c r="F3125">
        <f>IF(Skills!N4=TRUE,(Skills!L4/10)*(E3125/1000),Skills!L4/10)+Skills!O4</f>
        <v/>
      </c>
      <c r="G3125">
        <f>Skills!G4*IF(Skills!H4&gt;0,Skills!I4/Skills!H4,1)</f>
        <v/>
      </c>
      <c r="H3125">
        <f>1-(1-Skills!J4/100)^Skills!K4</f>
        <v/>
      </c>
      <c r="I3125" t="inlineStr">
        <is>
          <t>1</t>
        </is>
      </c>
      <c r="J3125">
        <f>((Inputs!$B$6*(1+Inputs!$B$7/100))+(((Inputs!$B$12*(1+Inputs!$B$13/100))-(Inputs!$B$12*(1+Inputs!$B$13/100)))+0.25*(Inputs!$B$14-Inputs!$B$14))*(1+Inputs!$B$7/100))*(F3125/100)</f>
        <v/>
      </c>
      <c r="K3125">
        <f>J3125*(1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3137=TRUE,F3137,0)/100)*(1+(IF(Skills!A4="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3125)</f>
        <v/>
      </c>
      <c r="L3125">
        <f>K3125*(MIN(Inputs!$B$22+((C3143=TRUE)*(F3143-Calc!F22)),(Inputs!$B$23+0+(IF(ArtifactsInput!$M$15,CHOOSE(ArtifactsInput!$N$15+1,25,30,35,40,45,50)/100*(Inputs!$B$11-Inputs!$B$11),0))))/100+(Inputs!$B$23+0+(IF(ArtifactsInput!$M$15,CHOOSE(ArtifactsInput!$N$15+1,25,30,35,40,45,50)/100*(Inputs!$B$11-Inputs!$B$11),0)))/100)/2</f>
        <v/>
      </c>
      <c r="M3125">
        <f>L3125*(1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5">
        <f>L3125*(1-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3125*(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5">
        <f>(1-Summary!$B$11)*T3125+Summary!$B$11*V3125</f>
        <v/>
      </c>
      <c r="P3125">
        <f>IF(B3162=0,0,O3125/B3162)</f>
        <v/>
      </c>
      <c r="Q3125">
        <f>IFERROR(1/(IF(Inputs!$B$38="pvp",15,MAX(0.1,Skills!D4-IF(Skills!E4=TRUE,4.0,0)))*(1-IF(AND(ArtifactsInput!$M$27,Inputs!$B$4="Chapter Hunt"),CHOOSE(ArtifactsInput!$N$27+1,20,24,28,32,36,40),0)/100)),0)</f>
        <v/>
      </c>
      <c r="R3125">
        <f>IF(AND(Inputs!$B$38&lt;&gt;"pvp",Inputs!$B$43&gt;0),IF(MAX(0,Inputs!$B$43-B3159)&lt;=0,0,(INT(MAX(0,Inputs!$B$43-B3159)/(IF(Inputs!$B$38="pvp",15,MAX(0.1,Skills!D4-IF(Skills!E4=TRUE,4.0,0)))*(1-IF(AND(ArtifactsInput!$M$27,Inputs!$B$4="Chapter Hunt"),CHOOSE(ArtifactsInput!$N$27+1,20,24,28,32,36,40),0)/100)))+1)),0)</f>
        <v/>
      </c>
      <c r="S3125">
        <f>IFERROR(O3125/N3125,0)</f>
        <v/>
      </c>
      <c r="T3125">
        <f>IF(C3125,(H3125*N3125*IF(AND(Inputs!$B$38&lt;&gt;"pvp",Inputs!$B$43&gt;0),((Skills!G4*((R3125-1)*IF(Skills!H4&gt;0,Skills!I4/Skills!H4,1)+IF(Skills!H4&gt;0,MIN(Skills!I4,MAX(0,MAX(0,Inputs!$B$43-B3159)-((R3125-1)*(IF(Inputs!$B$38="pvp",15,MAX(0.1,Skills!D4-IF(Skills!E4=TRUE,4.0,0)))*(1-IF(AND(ArtifactsInput!$M$27,Inputs!$B$4="Chapter Hunt"),CHOOSE(ArtifactsInput!$N$27+1,20,24,28,32,36,40),0)/100)))))/Skills!H4,1)))/Inputs!$B$43),G3125*Q3125)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3125*(1-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3125*(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3125*(1-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3125*(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5">
        <f>290*U3124/1000</f>
        <v/>
      </c>
      <c r="V3125">
        <f>IF(C3125,(H3125*N3125*IF(AND(Inputs!$B$38&lt;&gt;"pvp",Inputs!$B$43&gt;0),((Skills!G4*((R3125-1)*IF(Skills!H4&gt;0,Skills!I4/Skills!H4,1)+IF(Skills!H4&gt;0,MIN(Skills!I4,MAX(0,MAX(0,Inputs!$B$43-B3159)-((R3125-1)*(IF(Inputs!$B$38="pvp",15,MAX(0.1,Skills!D4-IF(Skills!E4=TRUE,4.0,0)))*(1-IF(AND(ArtifactsInput!$M$27,Inputs!$B$4="Chapter Hunt"),CHOOSE(ArtifactsInput!$N$27+1,20,24,28,32,36,40),0)/100)))))/Skills!H4,1)))/Inputs!$B$43),G3125*Q3125))*IF(Inputs!$B$38="pvp",1,(1+(Inputs!$B$21+Skills!Q4+(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6">
      <c r="A3126">
        <f>Skills!A5</f>
        <v/>
      </c>
      <c r="B3126">
        <f>Skills!B5</f>
        <v/>
      </c>
      <c r="C3126">
        <f>Inputs!$B$3&gt;=45</f>
        <v/>
      </c>
      <c r="D3126">
        <f>IF(Skills!C5=1,60+Inputs!$B$25+Inputs!$B$29,IF(Skills!C5=2,90+Inputs!$B$26+Inputs!$B$29,IF(Skills!C5=3,120+Inputs!$B$27+Inputs!$B$29,MAX(0,(Inputs!$B$3-100)*3)+Inputs!$B$28+Inputs!$B$29)))</f>
        <v/>
      </c>
      <c r="E3126">
        <f>INDEX(FactorTable!$B$2:$Y$301, MATCH(ROUND(MIN(300,MAX(1,D3126)),0), FactorTable!$A$2:$A$301,0), Skills!M5+1)</f>
        <v/>
      </c>
      <c r="F3126">
        <f>IF(Skills!N5=TRUE,(Skills!L5/10)*(E3126/1000),Skills!L5/10)+Skills!O5</f>
        <v/>
      </c>
      <c r="G3126">
        <f>Skills!G5*IF(Skills!H5&gt;0,Skills!I5/Skills!H5,1)</f>
        <v/>
      </c>
      <c r="H3126">
        <f>1-(1-Skills!J5/100)^Skills!K5</f>
        <v/>
      </c>
      <c r="I3126" t="inlineStr">
        <is>
          <t>1</t>
        </is>
      </c>
      <c r="J3126">
        <f>((Inputs!$B$6*(1+Inputs!$B$7/100))+(((Inputs!$B$12*(1+Inputs!$B$13/100))-(Inputs!$B$12*(1+Inputs!$B$13/100)))+0.25*(Inputs!$B$14-Inputs!$B$14))*(1+Inputs!$B$7/100))*(F3126/100)</f>
        <v/>
      </c>
      <c r="K3126">
        <f>J3126*(1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3137=TRUE,F3137,0)/100)*(1+(IF(Skills!A5="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3126)</f>
        <v/>
      </c>
      <c r="L3126">
        <f>K3126*(MIN(Inputs!$B$22+((C3143=TRUE)*(F3143-Calc!F22)),(Inputs!$B$23+0+(IF(ArtifactsInput!$M$15,CHOOSE(ArtifactsInput!$N$15+1,25,30,35,40,45,50)/100*(Inputs!$B$11-Inputs!$B$11),0))))/100+(Inputs!$B$23+0+(IF(ArtifactsInput!$M$15,CHOOSE(ArtifactsInput!$N$15+1,25,30,35,40,45,50)/100*(Inputs!$B$11-Inputs!$B$11),0)))/100)/2</f>
        <v/>
      </c>
      <c r="M3126">
        <f>L3126*(1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6">
        <f>L3126*(1-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3126*(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6">
        <f>(1-Summary!$B$11)*T3126+Summary!$B$11*V3126</f>
        <v/>
      </c>
      <c r="P3126">
        <f>IF(B3162=0,0,O3126/B3162)</f>
        <v/>
      </c>
      <c r="Q3126">
        <f>IFERROR(1/(IF(Inputs!$B$38="pvp",15,MAX(0.1,Skills!D5-IF(Skills!E5=TRUE,4.0,0)))*(1-IF(AND(ArtifactsInput!$M$27,Inputs!$B$4="Chapter Hunt"),CHOOSE(ArtifactsInput!$N$27+1,20,24,28,32,36,40),0)/100)),0)</f>
        <v/>
      </c>
      <c r="R3126">
        <f>IF(AND(Inputs!$B$38&lt;&gt;"pvp",Inputs!$B$43&gt;0),IF(MAX(0,Inputs!$B$43-B3159)&lt;=0,0,(INT(MAX(0,Inputs!$B$43-B3159)/(IF(Inputs!$B$38="pvp",15,MAX(0.1,Skills!D5-IF(Skills!E5=TRUE,4.0,0)))*(1-IF(AND(ArtifactsInput!$M$27,Inputs!$B$4="Chapter Hunt"),CHOOSE(ArtifactsInput!$N$27+1,20,24,28,32,36,40),0)/100)))+1)),0)</f>
        <v/>
      </c>
      <c r="S3126">
        <f>IFERROR(O3126/N3126,0)</f>
        <v/>
      </c>
      <c r="T3126">
        <f>IF(C3126,(H3126*N3126*IF(AND(Inputs!$B$38&lt;&gt;"pvp",Inputs!$B$43&gt;0),((Skills!G5*((R3126-1)*IF(Skills!H5&gt;0,Skills!I5/Skills!H5,1)+IF(Skills!H5&gt;0,MIN(Skills!I5,MAX(0,MAX(0,Inputs!$B$43-B3159)-((R3126-1)*(IF(Inputs!$B$38="pvp",15,MAX(0.1,Skills!D5-IF(Skills!E5=TRUE,4.0,0)))*(1-IF(AND(ArtifactsInput!$M$27,Inputs!$B$4="Chapter Hunt"),CHOOSE(ArtifactsInput!$N$27+1,20,24,28,32,36,40),0)/100)))))/Skills!H5,1)))/Inputs!$B$43),G3126*Q3126)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3126*(1-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3126*(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3126*(1-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3126*(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6">
        <f>IF(C3126,(H3126*N3126*IF(AND(Inputs!$B$38&lt;&gt;"pvp",Inputs!$B$43&gt;0),((Skills!G5*((R3126-1)*IF(Skills!H5&gt;0,Skills!I5/Skills!H5,1)+IF(Skills!H5&gt;0,MIN(Skills!I5,MAX(0,MAX(0,Inputs!$B$43-B3159)-((R3126-1)*(IF(Inputs!$B$38="pvp",15,MAX(0.1,Skills!D5-IF(Skills!E5=TRUE,4.0,0)))*(1-IF(AND(ArtifactsInput!$M$27,Inputs!$B$4="Chapter Hunt"),CHOOSE(ArtifactsInput!$N$27+1,20,24,28,32,36,40),0)/100)))))/Skills!H5,1)))/Inputs!$B$43),G3126*Q3126))*IF(Inputs!$B$38="pvp",1,(1+(Inputs!$B$21+Skills!Q5+(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7">
      <c r="A3127">
        <f>Skills!A6</f>
        <v/>
      </c>
      <c r="B3127">
        <f>Skills!B6</f>
        <v/>
      </c>
      <c r="C3127">
        <f>Inputs!$B$3&gt;=63</f>
        <v/>
      </c>
      <c r="D3127">
        <f>IF(Skills!C6=1,60+Inputs!$B$25+Inputs!$B$29,IF(Skills!C6=2,90+Inputs!$B$26+Inputs!$B$29,IF(Skills!C6=3,120+Inputs!$B$27+Inputs!$B$29,MAX(0,(Inputs!$B$3-100)*3)+Inputs!$B$28+Inputs!$B$29)))</f>
        <v/>
      </c>
      <c r="E3127">
        <f>INDEX(FactorTable!$B$2:$Y$301, MATCH(ROUND(MIN(300,MAX(1,D3127)),0), FactorTable!$A$2:$A$301,0), Skills!M6+1)</f>
        <v/>
      </c>
      <c r="F3127">
        <f>IF(Skills!N6=TRUE,(Skills!L6/10)*(E3127/1000),Skills!L6/10)+Skills!O6</f>
        <v/>
      </c>
      <c r="G3127">
        <f>Skills!G6*IF(Skills!H6&gt;0,Skills!I6/Skills!H6,1)</f>
        <v/>
      </c>
      <c r="H3127">
        <f>1-(1-Skills!J6/100)^Skills!K6</f>
        <v/>
      </c>
      <c r="I3127" t="inlineStr">
        <is>
          <t>1</t>
        </is>
      </c>
      <c r="J3127">
        <f>((Inputs!$B$6*(1+Inputs!$B$7/100))+(((Inputs!$B$12*(1+Inputs!$B$13/100))-(Inputs!$B$12*(1+Inputs!$B$13/100)))+0.25*(Inputs!$B$14-Inputs!$B$14))*(1+Inputs!$B$7/100))*(F3127/100)</f>
        <v/>
      </c>
      <c r="K3127">
        <f>J3127*(1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3136=TRUE,F3136,0)/100)*(1+(IF(Skills!A6="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3127)</f>
        <v/>
      </c>
      <c r="L3127">
        <f>K3127*(MIN(Inputs!$B$22+((C3143=TRUE)*(F3143-Calc!F22)),(Inputs!$B$23+0+(IF(ArtifactsInput!$M$15,CHOOSE(ArtifactsInput!$N$15+1,25,30,35,40,45,50)/100*(Inputs!$B$11-Inputs!$B$11),0))))/100+(Inputs!$B$23+0+(IF(ArtifactsInput!$M$15,CHOOSE(ArtifactsInput!$N$15+1,25,30,35,40,45,50)/100*(Inputs!$B$11-Inputs!$B$11),0)))/100)/2</f>
        <v/>
      </c>
      <c r="M3127">
        <f>L3127*(1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7">
        <f>L3127*(1-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3127*(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7">
        <f>(1-Summary!$B$11)*T3127+Summary!$B$11*V3127</f>
        <v/>
      </c>
      <c r="P3127">
        <f>IF(B3162=0,0,O3127/B3162)</f>
        <v/>
      </c>
      <c r="Q3127">
        <f>IFERROR(1/(IF(Inputs!$B$38="pvp",15,MAX(0.1,Skills!D6-IF(Skills!E6=TRUE,4.0,0)))*(1-IF(AND(ArtifactsInput!$M$27,Inputs!$B$4="Chapter Hunt"),CHOOSE(ArtifactsInput!$N$27+1,20,24,28,32,36,40),0)/100)),0)</f>
        <v/>
      </c>
      <c r="R3127">
        <f>IF(AND(Inputs!$B$38&lt;&gt;"pvp",Inputs!$B$43&gt;0),IF(MAX(0,Inputs!$B$43-B3159)&lt;=0,0,(INT(MAX(0,Inputs!$B$43-B3159)/(IF(Inputs!$B$38="pvp",15,MAX(0.1,Skills!D6-IF(Skills!E6=TRUE,4.0,0)))*(1-IF(AND(ArtifactsInput!$M$27,Inputs!$B$4="Chapter Hunt"),CHOOSE(ArtifactsInput!$N$27+1,20,24,28,32,36,40),0)/100)))+1)),0)</f>
        <v/>
      </c>
      <c r="S3127">
        <f>IFERROR(O3127/N3127,0)</f>
        <v/>
      </c>
      <c r="T3127">
        <f>IF(C3127,(H3127*N3127*IF(AND(Inputs!$B$38&lt;&gt;"pvp",Inputs!$B$43&gt;0),((Skills!G6*((R3127-1)*IF(Skills!H6&gt;0,Skills!I6/Skills!H6,1)+IF(Skills!H6&gt;0,MIN(Skills!I6,MAX(0,MAX(0,Inputs!$B$43-B3159)-((R3127-1)*(IF(Inputs!$B$38="pvp",15,MAX(0.1,Skills!D6-IF(Skills!E6=TRUE,4.0,0)))*(1-IF(AND(ArtifactsInput!$M$27,Inputs!$B$4="Chapter Hunt"),CHOOSE(ArtifactsInput!$N$27+1,20,24,28,32,36,40),0)/100)))))/Skills!H6,1)))/Inputs!$B$43),G3127*Q3127)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3127*(1-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3127*(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3127*(1-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3127*(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7">
        <f>IF(C3127,(H3127*N3127*IF(AND(Inputs!$B$38&lt;&gt;"pvp",Inputs!$B$43&gt;0),((Skills!G6*((R3127-1)*IF(Skills!H6&gt;0,Skills!I6/Skills!H6,1)+IF(Skills!H6&gt;0,MIN(Skills!I6,MAX(0,MAX(0,Inputs!$B$43-B3159)-((R3127-1)*(IF(Inputs!$B$38="pvp",15,MAX(0.1,Skills!D6-IF(Skills!E6=TRUE,4.0,0)))*(1-IF(AND(ArtifactsInput!$M$27,Inputs!$B$4="Chapter Hunt"),CHOOSE(ArtifactsInput!$N$27+1,20,24,28,32,36,40),0)/100)))))/Skills!H6,1)))/Inputs!$B$43),G3127*Q3127))*IF(Inputs!$B$38="pvp",1,(1+(Inputs!$B$21+Skills!Q6+(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8">
      <c r="A3128">
        <f>Skills!A7</f>
        <v/>
      </c>
      <c r="B3128">
        <f>Skills!B7</f>
        <v/>
      </c>
      <c r="C3128">
        <f>Inputs!$B$3&gt;=66</f>
        <v/>
      </c>
      <c r="D3128">
        <f>IF(Skills!C7=1,60+Inputs!$B$25+Inputs!$B$29,IF(Skills!C7=2,90+Inputs!$B$26+Inputs!$B$29,IF(Skills!C7=3,120+Inputs!$B$27+Inputs!$B$29,MAX(0,(Inputs!$B$3-100)*3)+Inputs!$B$28+Inputs!$B$29)))</f>
        <v/>
      </c>
      <c r="E3128">
        <f>INDEX(FactorTable!$B$2:$Y$301, MATCH(ROUND(MIN(300,MAX(1,D3128)),0), FactorTable!$A$2:$A$301,0), Skills!M7+1)</f>
        <v/>
      </c>
      <c r="F3128">
        <f>IF(Skills!N7=TRUE,(Skills!L7/10)*(E3128/1000),Skills!L7/10)+Skills!O7</f>
        <v/>
      </c>
      <c r="G3128">
        <f>Skills!G7*IF(Skills!H7&gt;0,Skills!I7/Skills!H7,1)</f>
        <v/>
      </c>
      <c r="H3128">
        <f>1-(1-Skills!J7/100)^Skills!K7</f>
        <v/>
      </c>
      <c r="I3128" t="inlineStr">
        <is>
          <t>1</t>
        </is>
      </c>
      <c r="J3128">
        <f>((Inputs!$B$6*(1+Inputs!$B$7/100))+(((Inputs!$B$12*(1+Inputs!$B$13/100))-(Inputs!$B$12*(1+Inputs!$B$13/100)))+0.25*(Inputs!$B$14-Inputs!$B$14))*(1+Inputs!$B$7/100))*(F3128/100)</f>
        <v/>
      </c>
      <c r="K3128">
        <f>J3128*(1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3136=TRUE,F3136,0)/100)*(1+(IF(Skills!A7="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3128)</f>
        <v/>
      </c>
      <c r="L3128">
        <f>K3128*(MIN(Inputs!$B$22+((C3143=TRUE)*(F3143-Calc!F22)),(Inputs!$B$23+0+(IF(ArtifactsInput!$M$15,CHOOSE(ArtifactsInput!$N$15+1,25,30,35,40,45,50)/100*(Inputs!$B$11-Inputs!$B$11),0))))/100+(Inputs!$B$23+0+(IF(ArtifactsInput!$M$15,CHOOSE(ArtifactsInput!$N$15+1,25,30,35,40,45,50)/100*(Inputs!$B$11-Inputs!$B$11),0)))/100)/2</f>
        <v/>
      </c>
      <c r="M3128">
        <f>L3128*(1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8">
        <f>L3128*(1-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3128*(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8">
        <f>(1-Summary!$B$11)*T3128+Summary!$B$11*V3128</f>
        <v/>
      </c>
      <c r="P3128">
        <f>IF(B3162=0,0,O3128/B3162)</f>
        <v/>
      </c>
      <c r="Q3128">
        <f>IFERROR(1/(IF(Inputs!$B$38="pvp",15,MAX(0.1,Skills!D7-IF(Skills!E7=TRUE,4.0,0)))*(1-IF(AND(ArtifactsInput!$M$27,Inputs!$B$4="Chapter Hunt"),CHOOSE(ArtifactsInput!$N$27+1,20,24,28,32,36,40),0)/100)),0)</f>
        <v/>
      </c>
      <c r="R3128">
        <f>IF(AND(Inputs!$B$38&lt;&gt;"pvp",Inputs!$B$43&gt;0),IF(MAX(0,Inputs!$B$43-B3159)&lt;=0,0,(INT(MAX(0,Inputs!$B$43-B3159)/(IF(Inputs!$B$38="pvp",15,MAX(0.1,Skills!D7-IF(Skills!E7=TRUE,4.0,0)))*(1-IF(AND(ArtifactsInput!$M$27,Inputs!$B$4="Chapter Hunt"),CHOOSE(ArtifactsInput!$N$27+1,20,24,28,32,36,40),0)/100)))+1)),0)</f>
        <v/>
      </c>
      <c r="S3128">
        <f>IFERROR(O3128/N3128,0)</f>
        <v/>
      </c>
      <c r="T3128">
        <f>IF(C3128,(H3128*N3128*IF(AND(Inputs!$B$38&lt;&gt;"pvp",Inputs!$B$43&gt;0),((Skills!G7*((R3128-1)*IF(Skills!H7&gt;0,Skills!I7/Skills!H7,1)+IF(Skills!H7&gt;0,MIN(Skills!I7,MAX(0,MAX(0,Inputs!$B$43-B3159)-((R3128-1)*(IF(Inputs!$B$38="pvp",15,MAX(0.1,Skills!D7-IF(Skills!E7=TRUE,4.0,0)))*(1-IF(AND(ArtifactsInput!$M$27,Inputs!$B$4="Chapter Hunt"),CHOOSE(ArtifactsInput!$N$27+1,20,24,28,32,36,40),0)/100)))))/Skills!H7,1)))/Inputs!$B$43),G3128*Q3128)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3128*(1-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3128*(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3128*(1-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3128*(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8">
        <f>IF(C3128,(H3128*N3128*IF(AND(Inputs!$B$38&lt;&gt;"pvp",Inputs!$B$43&gt;0),((Skills!G7*((R3128-1)*IF(Skills!H7&gt;0,Skills!I7/Skills!H7,1)+IF(Skills!H7&gt;0,MIN(Skills!I7,MAX(0,MAX(0,Inputs!$B$43-B3159)-((R3128-1)*(IF(Inputs!$B$38="pvp",15,MAX(0.1,Skills!D7-IF(Skills!E7=TRUE,4.0,0)))*(1-IF(AND(ArtifactsInput!$M$27,Inputs!$B$4="Chapter Hunt"),CHOOSE(ArtifactsInput!$N$27+1,20,24,28,32,36,40),0)/100)))))/Skills!H7,1)))/Inputs!$B$43),G3128*Q3128))*IF(Inputs!$B$38="pvp",1,(1+(Inputs!$B$21+Skills!Q7+(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9">
      <c r="A3129">
        <f>Skills!A8</f>
        <v/>
      </c>
      <c r="B3129">
        <f>Skills!B8</f>
        <v/>
      </c>
      <c r="C3129">
        <f>Inputs!$B$3&gt;=100</f>
        <v/>
      </c>
      <c r="D3129">
        <f>IF(Skills!C8=1,60+Inputs!$B$25+Inputs!$B$29,IF(Skills!C8=2,90+Inputs!$B$26+Inputs!$B$29,IF(Skills!C8=3,120+Inputs!$B$27+Inputs!$B$29,MAX(0,(Inputs!$B$3-100)*3)+Inputs!$B$28+Inputs!$B$29)))</f>
        <v/>
      </c>
      <c r="E3129">
        <f>INDEX(FactorTable!$B$2:$Y$301, MATCH(ROUND(MIN(300,MAX(1,D3129)),0), FactorTable!$A$2:$A$301,0), Skills!M8+1)</f>
        <v/>
      </c>
      <c r="F3129">
        <f>IF(Skills!N8=TRUE,(Skills!L8/10)*(E3129/1000),Skills!L8/10)+Skills!O8</f>
        <v/>
      </c>
      <c r="G3129">
        <f>Skills!G8*IF(Skills!H8&gt;0,Skills!I8/Skills!H8,1)</f>
        <v/>
      </c>
      <c r="H3129">
        <f>1-(1-Skills!J8/100)^Skills!K8</f>
        <v/>
      </c>
      <c r="I3129" t="inlineStr">
        <is>
          <t>1</t>
        </is>
      </c>
      <c r="J3129">
        <f>((Inputs!$B$6*(1+Inputs!$B$7/100))+(((Inputs!$B$12*(1+Inputs!$B$13/100))-(Inputs!$B$12*(1+Inputs!$B$13/100)))+0.25*(Inputs!$B$14-Inputs!$B$14))*(1+Inputs!$B$7/100))*(F3129/100)</f>
        <v/>
      </c>
      <c r="K3129">
        <f>J3129*(1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3129)</f>
        <v/>
      </c>
      <c r="L3129">
        <f>K3129*(MIN(Inputs!$B$22+((C3143=TRUE)*(F3143-Calc!F22)),(Inputs!$B$23+0+(IF(ArtifactsInput!$M$15,CHOOSE(ArtifactsInput!$N$15+1,25,30,35,40,45,50)/100*(Inputs!$B$11-Inputs!$B$11),0))))/100+(Inputs!$B$23+0+(IF(ArtifactsInput!$M$15,CHOOSE(ArtifactsInput!$N$15+1,25,30,35,40,45,50)/100*(Inputs!$B$11-Inputs!$B$11),0)))/100)/2</f>
        <v/>
      </c>
      <c r="M3129">
        <f>L3129*(1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9">
        <f>L3129*(1-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3129*(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9">
        <f>(1-Summary!$B$11)*T3129+Summary!$B$11*V3129</f>
        <v/>
      </c>
      <c r="P3129">
        <f>IF(B3162=0,0,O3129/B3162)</f>
        <v/>
      </c>
      <c r="Q3129">
        <f>IFERROR(1/(IF(Inputs!$B$38="pvp",15,MAX(0.1,Skills!D8-IF(Skills!E8=TRUE,4.0,0)))*(1-IF(AND(ArtifactsInput!$M$27,Inputs!$B$4="Chapter Hunt"),CHOOSE(ArtifactsInput!$N$27+1,20,24,28,32,36,40),0)/100)),0)</f>
        <v/>
      </c>
      <c r="R3129">
        <f>IF(AND(Inputs!$B$38&lt;&gt;"pvp",Inputs!$B$43&gt;0),IF(MAX(0,Inputs!$B$43-B3159)&lt;=0,0,(INT(MAX(0,Inputs!$B$43-B3159)/(IF(Inputs!$B$38="pvp",15,MAX(0.1,Skills!D8-IF(Skills!E8=TRUE,4.0,0)))*(1-IF(AND(ArtifactsInput!$M$27,Inputs!$B$4="Chapter Hunt"),CHOOSE(ArtifactsInput!$N$27+1,20,24,28,32,36,40),0)/100)))+1)),0)</f>
        <v/>
      </c>
      <c r="S3129">
        <f>IFERROR(O3129/N3129,0)</f>
        <v/>
      </c>
      <c r="T3129">
        <f>IF(C3129,(H3129*N3129*IF(AND(Inputs!$B$38&lt;&gt;"pvp",Inputs!$B$43&gt;0),((Skills!G8*((R3129-1)*IF(Skills!H8&gt;0,Skills!I8/Skills!H8,1)+IF(Skills!H8&gt;0,MIN(Skills!I8,MAX(0,MAX(0,Inputs!$B$43-B3159)-((R3129-1)*(IF(Inputs!$B$38="pvp",15,MAX(0.1,Skills!D8-IF(Skills!E8=TRUE,4.0,0)))*(1-IF(AND(ArtifactsInput!$M$27,Inputs!$B$4="Chapter Hunt"),CHOOSE(ArtifactsInput!$N$27+1,20,24,28,32,36,40),0)/100)))))/Skills!H8,1)))/Inputs!$B$43),G3129*Q3129)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3129*(1-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3129*(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3129*(1-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3129*(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9">
        <f>IF(C3129,(H3129*N3129*IF(AND(Inputs!$B$38&lt;&gt;"pvp",Inputs!$B$43&gt;0),((Skills!G8*((R3129-1)*IF(Skills!H8&gt;0,Skills!I8/Skills!H8,1)+IF(Skills!H8&gt;0,MIN(Skills!I8,MAX(0,MAX(0,Inputs!$B$43-B3159)-((R3129-1)*(IF(Inputs!$B$38="pvp",15,MAX(0.1,Skills!D8-IF(Skills!E8=TRUE,4.0,0)))*(1-IF(AND(ArtifactsInput!$M$27,Inputs!$B$4="Chapter Hunt"),CHOOSE(ArtifactsInput!$N$27+1,20,24,28,32,36,40),0)/100)))))/Skills!H8,1)))/Inputs!$B$43),G3129*Q3129))*IF(Inputs!$B$38="pvp",1,(1+(Inputs!$B$21+Skills!Q8+(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0">
      <c r="A3130">
        <f>Skills!A9</f>
        <v/>
      </c>
      <c r="B3130">
        <f>Skills!B9</f>
        <v/>
      </c>
      <c r="C3130">
        <f>Inputs!$B$3&gt;=103</f>
        <v/>
      </c>
      <c r="D3130">
        <f>IF(Skills!C9=1,60+Inputs!$B$25+Inputs!$B$29,IF(Skills!C9=2,90+Inputs!$B$26+Inputs!$B$29,IF(Skills!C9=3,120+Inputs!$B$27+Inputs!$B$29,MAX(0,(Inputs!$B$3-100)*3)+Inputs!$B$28+Inputs!$B$29)))</f>
        <v/>
      </c>
      <c r="E3130">
        <f>INDEX(FactorTable!$B$2:$Y$301, MATCH(ROUND(MIN(300,MAX(1,D3130)),0), FactorTable!$A$2:$A$301,0), Skills!M9+1)</f>
        <v/>
      </c>
      <c r="F3130">
        <f>IF(Skills!N9=TRUE,(Skills!L9/10)*(E3130/1000),Skills!L9/10)+Skills!O9</f>
        <v/>
      </c>
      <c r="G3130">
        <f>Skills!G9*IF(Skills!H9&gt;0,Skills!I9/Skills!H9,1)</f>
        <v/>
      </c>
      <c r="H3130">
        <f>1-(1-Skills!J9/100)^Skills!K9</f>
        <v/>
      </c>
      <c r="I3130" t="inlineStr">
        <is>
          <t>1</t>
        </is>
      </c>
      <c r="J3130">
        <f>((Inputs!$B$6*(1+Inputs!$B$7/100))+(((Inputs!$B$12*(1+Inputs!$B$13/100))-(Inputs!$B$12*(1+Inputs!$B$13/100)))+0.25*(Inputs!$B$14-Inputs!$B$14))*(1+Inputs!$B$7/100))*(F3130/100)</f>
        <v/>
      </c>
      <c r="K3130">
        <f>J3130*(1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3130)</f>
        <v/>
      </c>
      <c r="L3130">
        <f>K3130*(MIN(Inputs!$B$22+((C3143=TRUE)*(F3143-Calc!F22)),(Inputs!$B$23+0+(IF(ArtifactsInput!$M$15,CHOOSE(ArtifactsInput!$N$15+1,25,30,35,40,45,50)/100*(Inputs!$B$11-Inputs!$B$11),0))))/100+(Inputs!$B$23+0+(IF(ArtifactsInput!$M$15,CHOOSE(ArtifactsInput!$N$15+1,25,30,35,40,45,50)/100*(Inputs!$B$11-Inputs!$B$11),0)))/100)/2</f>
        <v/>
      </c>
      <c r="M3130">
        <f>L3130*(1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0">
        <f>L3130*(1-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3130*(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0">
        <f>(1-Summary!$B$11)*T3130+Summary!$B$11*V3130</f>
        <v/>
      </c>
      <c r="P3130">
        <f>IF(B3162=0,0,O3130/B3162)</f>
        <v/>
      </c>
      <c r="Q3130">
        <f>IFERROR(1/(IF(Inputs!$B$38="pvp",15,MAX(0.1,Skills!D9-IF(Skills!E9=TRUE,4.0,0)))*(1-IF(AND(ArtifactsInput!$M$27,Inputs!$B$4="Chapter Hunt"),CHOOSE(ArtifactsInput!$N$27+1,20,24,28,32,36,40),0)/100)),0)</f>
        <v/>
      </c>
      <c r="R3130">
        <f>IF(AND(Inputs!$B$38&lt;&gt;"pvp",Inputs!$B$43&gt;0),IF(MAX(0,Inputs!$B$43-B3159)&lt;=0,0,(INT(MAX(0,Inputs!$B$43-B3159)/(IF(Inputs!$B$38="pvp",15,MAX(0.1,Skills!D9-IF(Skills!E9=TRUE,4.0,0)))*(1-IF(AND(ArtifactsInput!$M$27,Inputs!$B$4="Chapter Hunt"),CHOOSE(ArtifactsInput!$N$27+1,20,24,28,32,36,40),0)/100)))+1)),0)</f>
        <v/>
      </c>
      <c r="S3130">
        <f>IFERROR(O3130/N3130,0)</f>
        <v/>
      </c>
      <c r="T3130">
        <f>IF(C3130,(H3130*N3130*IF(AND(Inputs!$B$38&lt;&gt;"pvp",Inputs!$B$43&gt;0),((Skills!G9*((R3130-1)*IF(Skills!H9&gt;0,Skills!I9/Skills!H9,1)+IF(Skills!H9&gt;0,MIN(Skills!I9,MAX(0,MAX(0,Inputs!$B$43-B3159)-((R3130-1)*(IF(Inputs!$B$38="pvp",15,MAX(0.1,Skills!D9-IF(Skills!E9=TRUE,4.0,0)))*(1-IF(AND(ArtifactsInput!$M$27,Inputs!$B$4="Chapter Hunt"),CHOOSE(ArtifactsInput!$N$27+1,20,24,28,32,36,40),0)/100)))))/Skills!H9,1)))/Inputs!$B$43),G3130*Q3130)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3130*(1-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3130*(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3130*(1-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3130*(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0">
        <f>IF(C3130,(H3130*N3130*IF(AND(Inputs!$B$38&lt;&gt;"pvp",Inputs!$B$43&gt;0),((Skills!G9*((R3130-1)*IF(Skills!H9&gt;0,Skills!I9/Skills!H9,1)+IF(Skills!H9&gt;0,MIN(Skills!I9,MAX(0,MAX(0,Inputs!$B$43-B3159)-((R3130-1)*(IF(Inputs!$B$38="pvp",15,MAX(0.1,Skills!D9-IF(Skills!E9=TRUE,4.0,0)))*(1-IF(AND(ArtifactsInput!$M$27,Inputs!$B$4="Chapter Hunt"),CHOOSE(ArtifactsInput!$N$27+1,20,24,28,32,36,40),0)/100)))))/Skills!H9,1)))/Inputs!$B$43),G3130*Q3130))*IF(Inputs!$B$38="pvp",1,(1+(Inputs!$B$21+Skills!Q9+(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1">
      <c r="A3131">
        <f>Skills!A10</f>
        <v/>
      </c>
      <c r="B3131">
        <f>Skills!B10</f>
        <v/>
      </c>
      <c r="C3131">
        <f>Inputs!$B$3&gt;=113</f>
        <v/>
      </c>
      <c r="D3131">
        <f>IF(Skills!C10=1,60+Inputs!$B$25+Inputs!$B$29,IF(Skills!C10=2,90+Inputs!$B$26+Inputs!$B$29,IF(Skills!C10=3,120+Inputs!$B$27+Inputs!$B$29,MAX(0,(Inputs!$B$3-100)*3)+Inputs!$B$28+Inputs!$B$29)))</f>
        <v/>
      </c>
      <c r="E3131">
        <f>INDEX(FactorTable!$B$2:$Y$301, MATCH(ROUND(MIN(300,MAX(1,D3131)),0), FactorTable!$A$2:$A$301,0), Skills!M10+1)</f>
        <v/>
      </c>
      <c r="F3131">
        <f>IF(Skills!N10=TRUE,(Skills!L10/10)*(E3131/1000),Skills!L10/10)+Skills!O10</f>
        <v/>
      </c>
      <c r="G3131">
        <f>Skills!G10*IF(Skills!H10&gt;0,Skills!I10/Skills!H10,1)</f>
        <v/>
      </c>
      <c r="H3131">
        <f>1-(1-Skills!J10/100)^Skills!K10</f>
        <v/>
      </c>
      <c r="I3131" t="inlineStr">
        <is>
          <t>1</t>
        </is>
      </c>
      <c r="J3131">
        <f>((Inputs!$B$6*(1+Inputs!$B$7/100))+(((Inputs!$B$12*(1+Inputs!$B$13/100))-(Inputs!$B$12*(1+Inputs!$B$13/100)))+0.25*(Inputs!$B$14-Inputs!$B$14))*(1+Inputs!$B$7/100))*(F3131/100)</f>
        <v/>
      </c>
      <c r="K3131">
        <f>J3131*(1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3131)</f>
        <v/>
      </c>
      <c r="L3131">
        <f>K3131*(MIN(Inputs!$B$22+((C3143=TRUE)*(F3143-Calc!F22)),(Inputs!$B$23+0+(IF(ArtifactsInput!$M$15,CHOOSE(ArtifactsInput!$N$15+1,25,30,35,40,45,50)/100*(Inputs!$B$11-Inputs!$B$11),0))))/100+(Inputs!$B$23+0+(IF(ArtifactsInput!$M$15,CHOOSE(ArtifactsInput!$N$15+1,25,30,35,40,45,50)/100*(Inputs!$B$11-Inputs!$B$11),0)))/100)/2</f>
        <v/>
      </c>
      <c r="M3131">
        <f>L3131*(1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1">
        <f>L3131*(1-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1">
        <f>(1-Summary!$B$11)*T3131+Summary!$B$11*V3131</f>
        <v/>
      </c>
      <c r="P3131">
        <f>IF(B3162=0,0,O3131/B3162)</f>
        <v/>
      </c>
      <c r="Q3131">
        <f>IFERROR(1/(IF(Inputs!$B$38="pvp",15,MAX(0.1,Skills!D10-IF(Skills!E10=TRUE,4.0,0)))*(1-IF(AND(ArtifactsInput!$M$27,Inputs!$B$4="Chapter Hunt"),CHOOSE(ArtifactsInput!$N$27+1,20,24,28,32,36,40),0)/100)),0)</f>
        <v/>
      </c>
      <c r="R3131">
        <f>IF(AND(Inputs!$B$38&lt;&gt;"pvp",Inputs!$B$43&gt;0),IF(MAX(0,Inputs!$B$43-B3159)&lt;=0,0,(INT(MAX(0,Inputs!$B$43-B3159)/(IF(Inputs!$B$38="pvp",15,MAX(0.1,Skills!D10-IF(Skills!E10=TRUE,4.0,0)))*(1-IF(AND(ArtifactsInput!$M$27,Inputs!$B$4="Chapter Hunt"),CHOOSE(ArtifactsInput!$N$27+1,20,24,28,32,36,40),0)/100)))+1)),0)</f>
        <v/>
      </c>
      <c r="S3131">
        <f>IFERROR(O3131/N3131,0)</f>
        <v/>
      </c>
      <c r="T3131">
        <f>IF(C3131,(H3131*N3131*IF(AND(Inputs!$B$38&lt;&gt;"pvp",Inputs!$B$43&gt;0),((Skills!G10*((R3131-1)*IF(Skills!H10&gt;0,Skills!I10/Skills!H10,1)+IF(Skills!H10&gt;0,MIN(Skills!I10,MAX(0,MAX(0,Inputs!$B$43-B3159)-((R3131-1)*(IF(Inputs!$B$38="pvp",15,MAX(0.1,Skills!D10-IF(Skills!E10=TRUE,4.0,0)))*(1-IF(AND(ArtifactsInput!$M$27,Inputs!$B$4="Chapter Hunt"),CHOOSE(ArtifactsInput!$N$27+1,20,24,28,32,36,40),0)/100)))))/Skills!H10,1)))/Inputs!$B$43),G3131*Q3131)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3131*(1-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3131*(1-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1">
        <f>IF(C3131,(H3131*N3131*IF(AND(Inputs!$B$38&lt;&gt;"pvp",Inputs!$B$43&gt;0),((Skills!G10*((R3131-1)*IF(Skills!H10&gt;0,Skills!I10/Skills!H10,1)+IF(Skills!H10&gt;0,MIN(Skills!I10,MAX(0,MAX(0,Inputs!$B$43-B3159)-((R3131-1)*(IF(Inputs!$B$38="pvp",15,MAX(0.1,Skills!D10-IF(Skills!E10=TRUE,4.0,0)))*(1-IF(AND(ArtifactsInput!$M$27,Inputs!$B$4="Chapter Hunt"),CHOOSE(ArtifactsInput!$N$27+1,20,24,28,32,36,40),0)/100)))))/Skills!H10,1)))/Inputs!$B$43),G3131*Q3131))*IF(Inputs!$B$38="pvp",1,(1+(Inputs!$B$21+Skills!Q10+(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2">
      <c r="A3132">
        <f>Skills!A11</f>
        <v/>
      </c>
      <c r="B3132">
        <f>Skills!B11</f>
        <v/>
      </c>
      <c r="C3132">
        <f>Inputs!$B$3&gt;=107</f>
        <v/>
      </c>
      <c r="D3132">
        <f>IF(Skills!C11=1,60+Inputs!$B$25+Inputs!$B$29,IF(Skills!C11=2,90+Inputs!$B$26+Inputs!$B$29,IF(Skills!C11=3,120+Inputs!$B$27+Inputs!$B$29,MAX(0,(Inputs!$B$3-100)*3)+Inputs!$B$28+Inputs!$B$29)))</f>
        <v/>
      </c>
      <c r="E3132">
        <f>INDEX(FactorTable!$B$2:$Y$301, MATCH(ROUND(MIN(300,MAX(1,D3132)),0), FactorTable!$A$2:$A$301,0), Skills!M11+1)</f>
        <v/>
      </c>
      <c r="F3132">
        <f>IF(Skills!N11=TRUE,(Skills!L11/10)*(E3132/1000),Skills!L11/10)+Skills!O11</f>
        <v/>
      </c>
      <c r="G3132">
        <f>Skills!G11*IF(Skills!H11&gt;0,Skills!I11/Skills!H11,1)</f>
        <v/>
      </c>
      <c r="H3132">
        <f>1-(1-Skills!J11/100)^Skills!K11</f>
        <v/>
      </c>
      <c r="I3132" t="inlineStr">
        <is>
          <t>1</t>
        </is>
      </c>
      <c r="J3132">
        <f>((Inputs!$B$6*(1+Inputs!$B$7/100))+(((Inputs!$B$12*(1+Inputs!$B$13/100))-(Inputs!$B$12*(1+Inputs!$B$13/100)))+0.25*(Inputs!$B$14-Inputs!$B$14))*(1+Inputs!$B$7/100))*(F3132/100)</f>
        <v/>
      </c>
      <c r="K3132">
        <f>J3132*(1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3132)</f>
        <v/>
      </c>
      <c r="L3132">
        <f>K3132*(MIN(Inputs!$B$22+((C3143=TRUE)*(F3143-Calc!F22)),(Inputs!$B$23+0+(IF(ArtifactsInput!$M$15,CHOOSE(ArtifactsInput!$N$15+1,25,30,35,40,45,50)/100*(Inputs!$B$11-Inputs!$B$11),0))))/100+(Inputs!$B$23+0+(IF(ArtifactsInput!$M$15,CHOOSE(ArtifactsInput!$N$15+1,25,30,35,40,45,50)/100*(Inputs!$B$11-Inputs!$B$11),0)))/100)/2</f>
        <v/>
      </c>
      <c r="M3132">
        <f>L3132*(1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2">
        <f>L3132*(1-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3132*(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2">
        <f>(1-Summary!$B$11)*T3132+Summary!$B$11*V3132</f>
        <v/>
      </c>
      <c r="P3132">
        <f>IF(B3162=0,0,O3132/B3162)</f>
        <v/>
      </c>
      <c r="Q3132">
        <f>IFERROR(1/(IF(Inputs!$B$38="pvp",15,MAX(0.1,Skills!D11-IF(Skills!E11=TRUE,4.0,0)))*(1-IF(AND(ArtifactsInput!$M$27,Inputs!$B$4="Chapter Hunt"),CHOOSE(ArtifactsInput!$N$27+1,20,24,28,32,36,40),0)/100)),0)</f>
        <v/>
      </c>
      <c r="R3132">
        <f>IF(AND(Inputs!$B$38&lt;&gt;"pvp",Inputs!$B$43&gt;0),IF(MAX(0,Inputs!$B$43-B3159)&lt;=0,0,(INT(MAX(0,Inputs!$B$43-B3159)/(IF(Inputs!$B$38="pvp",15,MAX(0.1,Skills!D11-IF(Skills!E11=TRUE,4.0,0)))*(1-IF(AND(ArtifactsInput!$M$27,Inputs!$B$4="Chapter Hunt"),CHOOSE(ArtifactsInput!$N$27+1,20,24,28,32,36,40),0)/100)))+1)),0)</f>
        <v/>
      </c>
      <c r="S3132">
        <f>IFERROR(O3132/N3132,0)</f>
        <v/>
      </c>
      <c r="T3132">
        <f>IF(C3132,(H3132*N3132*IF(AND(Inputs!$B$38&lt;&gt;"pvp",Inputs!$B$43&gt;0),((Skills!G11*((R3132-1)*IF(Skills!H11&gt;0,Skills!I11/Skills!H11,1)+IF(Skills!H11&gt;0,MIN(Skills!I11,MAX(0,MAX(0,Inputs!$B$43-B3159)-((R3132-1)*(IF(Inputs!$B$38="pvp",15,MAX(0.1,Skills!D11-IF(Skills!E11=TRUE,4.0,0)))*(1-IF(AND(ArtifactsInput!$M$27,Inputs!$B$4="Chapter Hunt"),CHOOSE(ArtifactsInput!$N$27+1,20,24,28,32,36,40),0)/100)))))/Skills!H11,1)))/Inputs!$B$43),G3132*Q3132)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3132*(1-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3132*(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3132*(1-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3132*(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2">
        <f>IF(C3132,(H3132*N3132*IF(AND(Inputs!$B$38&lt;&gt;"pvp",Inputs!$B$43&gt;0),((Skills!G11*((R3132-1)*IF(Skills!H11&gt;0,Skills!I11/Skills!H11,1)+IF(Skills!H11&gt;0,MIN(Skills!I11,MAX(0,MAX(0,Inputs!$B$43-B3159)-((R3132-1)*(IF(Inputs!$B$38="pvp",15,MAX(0.1,Skills!D11-IF(Skills!E11=TRUE,4.0,0)))*(1-IF(AND(ArtifactsInput!$M$27,Inputs!$B$4="Chapter Hunt"),CHOOSE(ArtifactsInput!$N$27+1,20,24,28,32,36,40),0)/100)))))/Skills!H11,1)))/Inputs!$B$43),G3132*Q3132))*IF(Inputs!$B$38="pvp",1,(1+(Inputs!$B$21+Skills!Q11+(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3">
      <c r="A3133">
        <f>Skills!A12</f>
        <v/>
      </c>
      <c r="B3133">
        <f>Skills!B12</f>
        <v/>
      </c>
      <c r="C3133">
        <f>Inputs!$B$3&gt;=110</f>
        <v/>
      </c>
      <c r="D3133">
        <f>IF(Skills!C12=1,60+Inputs!$B$25+Inputs!$B$29,IF(Skills!C12=2,90+Inputs!$B$26+Inputs!$B$29,IF(Skills!C12=3,120+Inputs!$B$27+Inputs!$B$29,MAX(0,(Inputs!$B$3-100)*3)+Inputs!$B$28+Inputs!$B$29)))</f>
        <v/>
      </c>
      <c r="E3133">
        <f>INDEX(FactorTable!$B$2:$Y$301, MATCH(ROUND(MIN(300,MAX(1,D3133)),0), FactorTable!$A$2:$A$301,0), Skills!M12+1)</f>
        <v/>
      </c>
      <c r="F3133">
        <f>IF(Skills!N12=TRUE,(Skills!L12/10)*(E3133/1000),Skills!L12/10)+Skills!O12</f>
        <v/>
      </c>
      <c r="G3133">
        <f>Skills!G12*IF(Skills!H12&gt;0,Skills!I12/Skills!H12,1)</f>
        <v/>
      </c>
      <c r="H3133">
        <f>1-(1-Skills!J12/100)^Skills!K12</f>
        <v/>
      </c>
      <c r="I3133" t="inlineStr">
        <is>
          <t>1</t>
        </is>
      </c>
      <c r="J3133">
        <f>((Inputs!$B$6*(1+Inputs!$B$7/100))+(((Inputs!$B$12*(1+Inputs!$B$13/100))-(Inputs!$B$12*(1+Inputs!$B$13/100)))+0.25*(Inputs!$B$14-Inputs!$B$14))*(1+Inputs!$B$7/100))*(F3133/100)</f>
        <v/>
      </c>
      <c r="K3133">
        <f>J3133*(1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3133)</f>
        <v/>
      </c>
      <c r="L3133">
        <f>K3133*(MIN(Inputs!$B$22+((C3143=TRUE)*(F3143-Calc!F22)),(Inputs!$B$23+0+(IF(ArtifactsInput!$M$15,CHOOSE(ArtifactsInput!$N$15+1,25,30,35,40,45,50)/100*(Inputs!$B$11-Inputs!$B$11),0))))/100+(Inputs!$B$23+0+(IF(ArtifactsInput!$M$15,CHOOSE(ArtifactsInput!$N$15+1,25,30,35,40,45,50)/100*(Inputs!$B$11-Inputs!$B$11),0)))/100)/2</f>
        <v/>
      </c>
      <c r="M3133">
        <f>L3133*(1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3">
        <f>L3133*(1-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3133*(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3">
        <f>(1-Summary!$B$11)*T3133+Summary!$B$11*V3133</f>
        <v/>
      </c>
      <c r="P3133">
        <f>IF(B3162=0,0,O3133/B3162)</f>
        <v/>
      </c>
      <c r="Q3133">
        <f>IFERROR(1/(IF(Inputs!$B$38="pvp",15,MAX(0.1,Skills!D12-IF(Skills!E12=TRUE,4.0,0)))*(1-IF(AND(ArtifactsInput!$M$27,Inputs!$B$4="Chapter Hunt"),CHOOSE(ArtifactsInput!$N$27+1,20,24,28,32,36,40),0)/100)),0)</f>
        <v/>
      </c>
      <c r="R3133">
        <f>IF(AND(Inputs!$B$38&lt;&gt;"pvp",Inputs!$B$43&gt;0),IF(MAX(0,Inputs!$B$43-B3159)&lt;=0,0,(INT(MAX(0,Inputs!$B$43-B3159)/(IF(Inputs!$B$38="pvp",15,MAX(0.1,Skills!D12-IF(Skills!E12=TRUE,4.0,0)))*(1-IF(AND(ArtifactsInput!$M$27,Inputs!$B$4="Chapter Hunt"),CHOOSE(ArtifactsInput!$N$27+1,20,24,28,32,36,40),0)/100)))+1)),0)</f>
        <v/>
      </c>
      <c r="S3133">
        <f>IFERROR(O3133/N3133,0)</f>
        <v/>
      </c>
      <c r="T3133">
        <f>IF(C3133,(H3133*N3133*IF(AND(Inputs!$B$38&lt;&gt;"pvp",Inputs!$B$43&gt;0),((Skills!G12*((R3133-1)*IF(Skills!H12&gt;0,Skills!I12/Skills!H12,1)+IF(Skills!H12&gt;0,MIN(Skills!I12,MAX(0,MAX(0,Inputs!$B$43-B3159)-((R3133-1)*(IF(Inputs!$B$38="pvp",15,MAX(0.1,Skills!D12-IF(Skills!E12=TRUE,4.0,0)))*(1-IF(AND(ArtifactsInput!$M$27,Inputs!$B$4="Chapter Hunt"),CHOOSE(ArtifactsInput!$N$27+1,20,24,28,32,36,40),0)/100)))))/Skills!H12,1)))/Inputs!$B$43),G3133*Q3133)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3133*(1-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3133*(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3133*(1-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3133*(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3">
        <f>IF(C3133,(H3133*N3133*IF(AND(Inputs!$B$38&lt;&gt;"pvp",Inputs!$B$43&gt;0),((Skills!G12*((R3133-1)*IF(Skills!H12&gt;0,Skills!I12/Skills!H12,1)+IF(Skills!H12&gt;0,MIN(Skills!I12,MAX(0,MAX(0,Inputs!$B$43-B3159)-((R3133-1)*(IF(Inputs!$B$38="pvp",15,MAX(0.1,Skills!D12-IF(Skills!E12=TRUE,4.0,0)))*(1-IF(AND(ArtifactsInput!$M$27,Inputs!$B$4="Chapter Hunt"),CHOOSE(ArtifactsInput!$N$27+1,20,24,28,32,36,40),0)/100)))))/Skills!H12,1)))/Inputs!$B$43),G3133*Q3133))*IF(Inputs!$B$38="pvp",1,(1+(Inputs!$B$21+Skills!Q12+(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4">
      <c r="A3134">
        <f>Skills!A13</f>
        <v/>
      </c>
      <c r="B3134">
        <f>Skills!B13</f>
        <v/>
      </c>
      <c r="C3134">
        <f>Inputs!$B$3&gt;=110</f>
        <v/>
      </c>
      <c r="D3134">
        <f>IF(Skills!C13=1,60+Inputs!$B$25+Inputs!$B$29,IF(Skills!C13=2,90+Inputs!$B$26+Inputs!$B$29,IF(Skills!C13=3,120+Inputs!$B$27+Inputs!$B$29,MAX(0,(Inputs!$B$3-100)*3)+Inputs!$B$28+Inputs!$B$29)))</f>
        <v/>
      </c>
      <c r="E3134">
        <f>INDEX(FactorTable!$B$2:$Y$301, MATCH(ROUND(MIN(300,MAX(1,D3134)),0), FactorTable!$A$2:$A$301,0), Skills!M13+1)</f>
        <v/>
      </c>
      <c r="F3134">
        <f>IF(Skills!N13=TRUE,(Skills!L13/10)*(E3134/1000),Skills!L13/10)+Skills!O13</f>
        <v/>
      </c>
      <c r="G3134">
        <f>Skills!G13*IF(Skills!H13&gt;0,Skills!I13/Skills!H13,1)</f>
        <v/>
      </c>
      <c r="H3134">
        <f>1-(1-Skills!J13/100)^Skills!K13</f>
        <v/>
      </c>
      <c r="I3134" t="inlineStr">
        <is>
          <t>1</t>
        </is>
      </c>
      <c r="J3134">
        <f>((Inputs!$B$6*(1+Inputs!$B$7/100))+(((Inputs!$B$12*(1+Inputs!$B$13/100))-(Inputs!$B$12*(1+Inputs!$B$13/100)))+0.25*(Inputs!$B$14-Inputs!$B$14))*(1+Inputs!$B$7/100))*(F3134/100)</f>
        <v/>
      </c>
      <c r="K3134">
        <f>J3134*(1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3134)</f>
        <v/>
      </c>
      <c r="L3134">
        <f>K3134*(MIN(Inputs!$B$22+((C3143=TRUE)*(F3143-Calc!F22)),(Inputs!$B$23+0+(IF(ArtifactsInput!$M$15,CHOOSE(ArtifactsInput!$N$15+1,25,30,35,40,45,50)/100*(Inputs!$B$11-Inputs!$B$11),0))))/100+(Inputs!$B$23+0+(IF(ArtifactsInput!$M$15,CHOOSE(ArtifactsInput!$N$15+1,25,30,35,40,45,50)/100*(Inputs!$B$11-Inputs!$B$11),0)))/100)/2</f>
        <v/>
      </c>
      <c r="M3134">
        <f>L3134*(1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4">
        <f>L3134*(1-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3134*(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4">
        <f>(1-Summary!$B$11)*T3134+Summary!$B$11*V3134</f>
        <v/>
      </c>
      <c r="P3134">
        <f>IF(B3162=0,0,O3134/B3162)</f>
        <v/>
      </c>
      <c r="Q3134">
        <f>IFERROR(1/(IF(Inputs!$B$38="pvp",15,MAX(0.1,Skills!D13-IF(Skills!E13=TRUE,4.0,0)))*(1-IF(AND(ArtifactsInput!$M$27,Inputs!$B$4="Chapter Hunt"),CHOOSE(ArtifactsInput!$N$27+1,20,24,28,32,36,40),0)/100)),0)</f>
        <v/>
      </c>
      <c r="R3134">
        <f>IF(AND(Inputs!$B$38&lt;&gt;"pvp",Inputs!$B$43&gt;0),IF(MAX(0,Inputs!$B$43-B3159)&lt;=0,0,(INT(MAX(0,Inputs!$B$43-B3159)/(IF(Inputs!$B$38="pvp",15,MAX(0.1,Skills!D13-IF(Skills!E13=TRUE,4.0,0)))*(1-IF(AND(ArtifactsInput!$M$27,Inputs!$B$4="Chapter Hunt"),CHOOSE(ArtifactsInput!$N$27+1,20,24,28,32,36,40),0)/100)))+1)),0)</f>
        <v/>
      </c>
      <c r="S3134">
        <f>IFERROR(O3134/N3134,0)</f>
        <v/>
      </c>
      <c r="T3134">
        <f>IF(C3134,(H3134*N3134*IF(AND(Inputs!$B$38&lt;&gt;"pvp",Inputs!$B$43&gt;0),((Skills!G13*((R3134-1)*IF(Skills!H13&gt;0,Skills!I13/Skills!H13,1)+IF(Skills!H13&gt;0,MIN(Skills!I13,MAX(0,MAX(0,Inputs!$B$43-B3159)-((R3134-1)*(IF(Inputs!$B$38="pvp",15,MAX(0.1,Skills!D13-IF(Skills!E13=TRUE,4.0,0)))*(1-IF(AND(ArtifactsInput!$M$27,Inputs!$B$4="Chapter Hunt"),CHOOSE(ArtifactsInput!$N$27+1,20,24,28,32,36,40),0)/100)))))/Skills!H13,1)))/Inputs!$B$43),G3134*Q3134)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3134*(1-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3134*(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3134*(1-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3134*(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4">
        <f>IF(C3134,(H3134*N3134*IF(AND(Inputs!$B$38&lt;&gt;"pvp",Inputs!$B$43&gt;0),((Skills!G13*((R3134-1)*IF(Skills!H13&gt;0,Skills!I13/Skills!H13,1)+IF(Skills!H13&gt;0,MIN(Skills!I13,MAX(0,MAX(0,Inputs!$B$43-B3159)-((R3134-1)*(IF(Inputs!$B$38="pvp",15,MAX(0.1,Skills!D13-IF(Skills!E13=TRUE,4.0,0)))*(1-IF(AND(ArtifactsInput!$M$27,Inputs!$B$4="Chapter Hunt"),CHOOSE(ArtifactsInput!$N$27+1,20,24,28,32,36,40),0)/100)))))/Skills!H13,1)))/Inputs!$B$43),G3134*Q3134))*IF(Inputs!$B$38="pvp",1,(1+(Inputs!$B$21+Skills!Q13+(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5">
      <c r="A3135">
        <f>Skills!A14</f>
        <v/>
      </c>
      <c r="B3135">
        <f>Skills!B14</f>
        <v/>
      </c>
      <c r="C3135">
        <f>Inputs!$B$3&gt;=125</f>
        <v/>
      </c>
      <c r="D3135">
        <f>IF(Skills!C14=1,60+Inputs!$B$25+Inputs!$B$29,IF(Skills!C14=2,90+Inputs!$B$26+Inputs!$B$29,IF(Skills!C14=3,120+Inputs!$B$27+Inputs!$B$29,MAX(0,(Inputs!$B$3-100)*3)+Inputs!$B$28+Inputs!$B$29)))</f>
        <v/>
      </c>
      <c r="E3135">
        <f>INDEX(FactorTable!$B$2:$Y$301, MATCH(ROUND(MIN(300,MAX(1,D3135)),0), FactorTable!$A$2:$A$301,0), Skills!M14+1)</f>
        <v/>
      </c>
      <c r="F3135">
        <f>IF(Skills!N14=TRUE,(Skills!L14/10)*(E3135/1000),Skills!L14/10)+Skills!O14</f>
        <v/>
      </c>
      <c r="G3135">
        <f>Skills!G14*IF(Skills!H14&gt;0,Skills!I14/Skills!H14,1)</f>
        <v/>
      </c>
      <c r="H3135">
        <f>1-(1-Skills!J14/100)^Skills!K14</f>
        <v/>
      </c>
      <c r="I3135" t="inlineStr">
        <is>
          <t>1</t>
        </is>
      </c>
      <c r="J3135">
        <f>((Inputs!$B$6*(1+Inputs!$B$7/100))+(((Inputs!$B$12*(1+Inputs!$B$13/100))-(Inputs!$B$12*(1+Inputs!$B$13/100)))+0.25*(Inputs!$B$14-Inputs!$B$14))*(1+Inputs!$B$7/100))*(F3135/100)</f>
        <v/>
      </c>
      <c r="K3135">
        <f>J3135*(1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3135)</f>
        <v/>
      </c>
      <c r="L3135">
        <f>K3135*(MIN(Inputs!$B$22+((C3143=TRUE)*(F3143-Calc!F22)),(Inputs!$B$23+0+(IF(ArtifactsInput!$M$15,CHOOSE(ArtifactsInput!$N$15+1,25,30,35,40,45,50)/100*(Inputs!$B$11-Inputs!$B$11),0))))/100+(Inputs!$B$23+0+(IF(ArtifactsInput!$M$15,CHOOSE(ArtifactsInput!$N$15+1,25,30,35,40,45,50)/100*(Inputs!$B$11-Inputs!$B$11),0)))/100)/2</f>
        <v/>
      </c>
      <c r="M3135">
        <f>L3135*(1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5">
        <f>L3135*(1-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3135*(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5">
        <f>(1-Summary!$B$11)*T3135+Summary!$B$11*V3135</f>
        <v/>
      </c>
      <c r="P3135">
        <f>IF(B3162=0,0,O3135/B3162)</f>
        <v/>
      </c>
      <c r="Q3135" t="n">
        <v>0</v>
      </c>
      <c r="R3135" t="n">
        <v>0</v>
      </c>
      <c r="S3135">
        <f>IFERROR(O3135/N3135,0)</f>
        <v/>
      </c>
      <c r="T3135">
        <f>IF(C3135,(H3135*N3135*(B3156+IF(AND(Inputs!$B$38&lt;&gt;"pvp",Inputs!$B$43&gt;0),((Skills!G8*((R3129-1)*IF(Skills!H8&gt;0,Skills!I8/Skills!H8,1)+IF(Skills!H8&gt;0,MIN(Skills!I8,MAX(0,MAX(0,Inputs!$B$43-B3159)-((R3129-1)*(IF(Inputs!$B$38="pvp",15,MAX(0.1,Skills!D8-IF(Skills!E8=TRUE,4.0,0)))*(1-IF(AND(ArtifactsInput!$M$27,Inputs!$B$4="Chapter Hunt"),CHOOSE(ArtifactsInput!$N$27+1,20,24,28,32,36,40),0)/100)))))/Skills!H8,1)))/Inputs!$B$43),G3129*Q3129)+IF(AND(Inputs!$B$38&lt;&gt;"pvp",Inputs!$B$43&gt;0),((Skills!G11*((R3132-1)*IF(Skills!H11&gt;0,Skills!I11/Skills!H11,1)+IF(Skills!H11&gt;0,MIN(Skills!I11,MAX(0,MAX(0,Inputs!$B$43-B3159)-((R3132-1)*(IF(Inputs!$B$38="pvp",15,MAX(0.1,Skills!D11-IF(Skills!E11=TRUE,4.0,0)))*(1-IF(AND(ArtifactsInput!$M$27,Inputs!$B$4="Chapter Hunt"),CHOOSE(ArtifactsInput!$N$27+1,20,24,28,32,36,40),0)/100)))))/Skills!H11,1)))/Inputs!$B$43),G3132*Q3132)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3135*(1-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3135*(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3135*(1-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3135*(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5">
        <f>IF(C3135,(H3135*N3135*(B3156+IF(AND(Inputs!$B$38&lt;&gt;"pvp",Inputs!$B$43&gt;0),((Skills!G8*((R3129-1)*IF(Skills!H8&gt;0,Skills!I8/Skills!H8,1)+IF(Skills!H8&gt;0,MIN(Skills!I8,MAX(0,MAX(0,Inputs!$B$43-B3159)-((R3129-1)*(IF(Inputs!$B$38="pvp",15,MAX(0.1,Skills!D8-IF(Skills!E8=TRUE,4.0,0)))*(1-IF(AND(ArtifactsInput!$M$27,Inputs!$B$4="Chapter Hunt"),CHOOSE(ArtifactsInput!$N$27+1,20,24,28,32,36,40),0)/100)))))/Skills!H8,1)))/Inputs!$B$43),G3129*Q3129)+IF(AND(Inputs!$B$38&lt;&gt;"pvp",Inputs!$B$43&gt;0),((Skills!G11*((R3132-1)*IF(Skills!H11&gt;0,Skills!I11/Skills!H11,1)+IF(Skills!H11&gt;0,MIN(Skills!I11,MAX(0,MAX(0,Inputs!$B$43-B3159)-((R3132-1)*(IF(Inputs!$B$38="pvp",15,MAX(0.1,Skills!D11-IF(Skills!E11=TRUE,4.0,0)))*(1-IF(AND(ArtifactsInput!$M$27,Inputs!$B$4="Chapter Hunt"),CHOOSE(ArtifactsInput!$N$27+1,20,24,28,32,36,40),0)/100)))))/Skills!H11,1)))/Inputs!$B$43),G3132*Q3132)))*IF(Inputs!$B$38="pvp",1,(1+(Inputs!$B$21+Skills!Q14+(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6">
      <c r="A3136">
        <f>Skills!A15</f>
        <v/>
      </c>
      <c r="B3136">
        <f>Skills!B15</f>
        <v/>
      </c>
      <c r="C3136">
        <f>Inputs!$B$3&gt;=100</f>
        <v/>
      </c>
      <c r="D3136">
        <f>IF(Skills!C15=1,60+Inputs!$B$25+Inputs!$B$29,IF(Skills!C15=2,90+Inputs!$B$26+Inputs!$B$29,IF(Skills!C15=3,120+Inputs!$B$27+Inputs!$B$29,MAX(0,(Inputs!$B$3-100)*3)+Inputs!$B$28+Inputs!$B$29)))</f>
        <v/>
      </c>
      <c r="E3136">
        <f>INDEX(FactorTable!$B$2:$Y$301, MATCH(ROUND(MIN(300,MAX(1,D3136)),0), FactorTable!$A$2:$A$301,0), Skills!M15+1)</f>
        <v/>
      </c>
      <c r="F3136">
        <f>IF(Skills!N15=TRUE,(Skills!L15/10)*(E3136/1000),Skills!L15/10)+Skills!O15</f>
        <v/>
      </c>
      <c r="G3136" t="inlineStr"/>
      <c r="H3136" t="inlineStr"/>
      <c r="I3136" t="inlineStr">
        <is>
          <t>1</t>
        </is>
      </c>
      <c r="J3136" t="inlineStr"/>
      <c r="K3136" t="inlineStr"/>
      <c r="L3136" t="inlineStr"/>
      <c r="M3136" t="inlineStr"/>
      <c r="N3136" t="inlineStr"/>
      <c r="O3136" t="inlineStr"/>
      <c r="P3136" t="inlineStr"/>
      <c r="Q3136" t="inlineStr"/>
      <c r="R3136" t="inlineStr"/>
      <c r="S3136" t="inlineStr"/>
    </row>
    <row r="3137">
      <c r="A3137">
        <f>Skills!A16</f>
        <v/>
      </c>
      <c r="B3137">
        <f>Skills!B16</f>
        <v/>
      </c>
      <c r="C3137">
        <f>Inputs!$B$3&gt;=120</f>
        <v/>
      </c>
      <c r="D3137">
        <f>IF(Skills!C16=1,60+Inputs!$B$25+Inputs!$B$29,IF(Skills!C16=2,90+Inputs!$B$26+Inputs!$B$29,IF(Skills!C16=3,120+Inputs!$B$27+Inputs!$B$29,MAX(0,(Inputs!$B$3-100)*3)+Inputs!$B$28+Inputs!$B$29)))</f>
        <v/>
      </c>
      <c r="E3137">
        <f>INDEX(FactorTable!$B$2:$Y$301, MATCH(ROUND(MIN(300,MAX(1,D3137)),0), FactorTable!$A$2:$A$301,0), Skills!M16+1)</f>
        <v/>
      </c>
      <c r="F3137">
        <f>IF(Skills!N16=TRUE,(Skills!L16/10)*(E3137/1000),Skills!L16/10)+Skills!O16</f>
        <v/>
      </c>
      <c r="G3137" t="inlineStr"/>
      <c r="H3137" t="inlineStr"/>
      <c r="I3137" t="inlineStr">
        <is>
          <t>1</t>
        </is>
      </c>
      <c r="J3137" t="inlineStr"/>
      <c r="K3137" t="inlineStr"/>
      <c r="L3137" t="inlineStr"/>
      <c r="M3137" t="inlineStr"/>
      <c r="N3137" t="inlineStr"/>
      <c r="O3137" t="inlineStr"/>
      <c r="P3137" t="inlineStr"/>
      <c r="Q3137" t="inlineStr"/>
      <c r="R3137" t="inlineStr"/>
      <c r="S3137" t="inlineStr"/>
    </row>
    <row r="3138">
      <c r="A3138">
        <f>Skills!A17</f>
        <v/>
      </c>
      <c r="B3138">
        <f>Skills!B17</f>
        <v/>
      </c>
      <c r="C3138">
        <f>Inputs!$B$3&gt;=66</f>
        <v/>
      </c>
      <c r="D3138">
        <f>IF(Skills!C17=1,60+Inputs!$B$25+Inputs!$B$29,IF(Skills!C17=2,90+Inputs!$B$26+Inputs!$B$29,IF(Skills!C17=3,120+Inputs!$B$27+Inputs!$B$29,MAX(0,(Inputs!$B$3-100)*3)+Inputs!$B$28+Inputs!$B$29)))</f>
        <v/>
      </c>
      <c r="E3138">
        <f>INDEX(FactorTable!$B$2:$Y$301, MATCH(ROUND(MIN(300,MAX(1,D3138)),0), FactorTable!$A$2:$A$301,0), Skills!M17+1)</f>
        <v/>
      </c>
      <c r="F3138">
        <f>IF(Skills!N17=TRUE,(Skills!L17/10)*(E3138/1000),Skills!L17/10)+Skills!O17</f>
        <v/>
      </c>
      <c r="G3138">
        <f>Skills!G17*IF(Skills!H17&gt;0,Skills!I17/Skills!H17,1)</f>
        <v/>
      </c>
      <c r="H3138">
        <f>1-(1-Skills!J17/100)^Skills!K17</f>
        <v/>
      </c>
      <c r="I3138" t="inlineStr">
        <is>
          <t>1</t>
        </is>
      </c>
      <c r="J3138" t="inlineStr"/>
      <c r="K3138" t="inlineStr"/>
      <c r="L3138" t="inlineStr"/>
      <c r="M3138" t="inlineStr"/>
      <c r="N3138" t="inlineStr"/>
      <c r="O3138">
        <f>(1-Summary!$B$11)*T3138+Summary!$B$11*V3138</f>
        <v/>
      </c>
      <c r="P3138">
        <f>IF(B3162=0,0,O3138/B3162)</f>
        <v/>
      </c>
      <c r="Q3138" t="n">
        <v>0</v>
      </c>
      <c r="R3138" t="n">
        <v>0</v>
      </c>
      <c r="S3138">
        <f>IFERROR(O3138/N3138,0)</f>
        <v/>
      </c>
      <c r="T3138" t="n">
        <v>0</v>
      </c>
      <c r="V3138" t="n">
        <v>0</v>
      </c>
    </row>
    <row r="3139">
      <c r="A3139">
        <f>Skills!A18</f>
        <v/>
      </c>
      <c r="B3139">
        <f>Skills!B18</f>
        <v/>
      </c>
      <c r="C3139">
        <f>Inputs!$B$3&gt;=115</f>
        <v/>
      </c>
      <c r="D3139">
        <f>IF(Skills!C18=1,60+Inputs!$B$25+Inputs!$B$29,IF(Skills!C18=2,90+Inputs!$B$26+Inputs!$B$29,IF(Skills!C18=3,120+Inputs!$B$27+Inputs!$B$29,MAX(0,(Inputs!$B$3-100)*3)+Inputs!$B$28+Inputs!$B$29)))</f>
        <v/>
      </c>
      <c r="E3139">
        <f>INDEX(FactorTable!$B$2:$Y$301, MATCH(ROUND(MIN(300,MAX(1,D3139)),0), FactorTable!$A$2:$A$301,0), Skills!M18+1)</f>
        <v/>
      </c>
      <c r="F3139">
        <f>IF(Skills!N18=TRUE,(Skills!L18/10)*(E3139/1000),Skills!L18/10)+Skills!O18</f>
        <v/>
      </c>
      <c r="G3139">
        <f>Skills!G18*IF(Skills!H18&gt;0,Skills!I18/Skills!H18,1)</f>
        <v/>
      </c>
      <c r="H3139">
        <f>1-(1-Skills!J18/100)^Skills!K18</f>
        <v/>
      </c>
      <c r="I3139" t="inlineStr">
        <is>
          <t>1</t>
        </is>
      </c>
      <c r="J3139" t="inlineStr"/>
      <c r="K3139" t="inlineStr"/>
      <c r="L3139" t="inlineStr"/>
      <c r="M3139" t="inlineStr"/>
      <c r="N3139" t="inlineStr"/>
      <c r="O3139">
        <f>(1-Summary!$B$11)*T3139+Summary!$B$11*V3139</f>
        <v/>
      </c>
      <c r="P3139">
        <f>IF(B3162=0,0,O3139/B3162)</f>
        <v/>
      </c>
      <c r="Q3139">
        <f>IFERROR(1/(IF(Inputs!$B$38="pvp",15,MAX(0.1,Skills!D18-IF(Skills!E18=TRUE,4.0,0)))*(1-IF(AND(ArtifactsInput!$M$27,Inputs!$B$4="Chapter Hunt"),CHOOSE(ArtifactsInput!$N$27+1,20,24,28,32,36,40),0)/100)),0)</f>
        <v/>
      </c>
      <c r="R3139">
        <f>IF(AND(Inputs!$B$38&lt;&gt;"pvp",Inputs!$B$43&gt;0),IF(Inputs!$B$43&lt;=0,0,(INT(Inputs!$B$43/(IF(Inputs!$B$38="pvp",15,MAX(0.1,Skills!D18-IF(Skills!E18=TRUE,4.0,0)))*(1-IF(AND(ArtifactsInput!$M$27,Inputs!$B$4="Chapter Hunt"),CHOOSE(ArtifactsInput!$N$27+1,20,24,28,32,36,40),0)/100)))+1)),0)</f>
        <v/>
      </c>
      <c r="S3139">
        <f>IFERROR(O3139/N3139,0)</f>
        <v/>
      </c>
      <c r="T3139" t="n">
        <v>0</v>
      </c>
      <c r="V3139" t="n">
        <v>0</v>
      </c>
    </row>
    <row r="3140">
      <c r="A3140">
        <f>Skills!A19</f>
        <v/>
      </c>
      <c r="B3140">
        <f>Skills!B19</f>
        <v/>
      </c>
      <c r="C3140">
        <f>Inputs!$B$3&gt;=15</f>
        <v/>
      </c>
      <c r="D3140">
        <f>IF(Skills!C19=1,60+Inputs!$B$25+Inputs!$B$29,IF(Skills!C19=2,90+Inputs!$B$26+Inputs!$B$29,IF(Skills!C19=3,120+Inputs!$B$27+Inputs!$B$29,MAX(0,(Inputs!$B$3-100)*3)+Inputs!$B$28+Inputs!$B$29)))</f>
        <v/>
      </c>
      <c r="E3140">
        <f>INDEX(FactorTable!$B$2:$Y$301, MATCH(ROUND(MIN(300,MAX(1,D3140)),0), FactorTable!$A$2:$A$301,0), Skills!M19+1)</f>
        <v/>
      </c>
      <c r="F3140">
        <f>IF(Skills!N19=TRUE,(Skills!L19/10)*(E3140/1000),Skills!L19/10)+Skills!O19</f>
        <v/>
      </c>
      <c r="G3140">
        <f>Skills!G19*IF(Skills!H19&gt;0,Skills!I19/Skills!H19,1)</f>
        <v/>
      </c>
      <c r="H3140">
        <f>1-(1-Skills!J19/100)^Skills!K19</f>
        <v/>
      </c>
      <c r="I3140" t="inlineStr">
        <is>
          <t>1</t>
        </is>
      </c>
      <c r="J3140" t="inlineStr"/>
      <c r="K3140" t="inlineStr"/>
      <c r="L3140" t="inlineStr"/>
      <c r="M3140" t="inlineStr"/>
      <c r="N3140" t="inlineStr"/>
      <c r="O3140">
        <f>(1-Summary!$B$11)*T3140+Summary!$B$11*V3140</f>
        <v/>
      </c>
      <c r="P3140">
        <f>IF(B3162=0,0,O3140/B3162)</f>
        <v/>
      </c>
      <c r="Q3140" t="n">
        <v>0</v>
      </c>
      <c r="R3140" t="n">
        <v>0</v>
      </c>
      <c r="S3140">
        <f>IFERROR(O3140/N3140,0)</f>
        <v/>
      </c>
      <c r="T3140" t="n">
        <v>0</v>
      </c>
      <c r="V3140" t="n">
        <v>0</v>
      </c>
    </row>
    <row r="3141">
      <c r="A3141">
        <f>Skills!A20</f>
        <v/>
      </c>
      <c r="B3141">
        <f>Skills!B20</f>
        <v/>
      </c>
      <c r="C3141">
        <f>Inputs!$B$3&gt;=10</f>
        <v/>
      </c>
      <c r="D3141">
        <f>IF(Skills!C20=1,60+Inputs!$B$25+Inputs!$B$29,IF(Skills!C20=2,90+Inputs!$B$26+Inputs!$B$29,IF(Skills!C20=3,120+Inputs!$B$27+Inputs!$B$29,MAX(0,(Inputs!$B$3-100)*3)+Inputs!$B$28+Inputs!$B$29)))</f>
        <v/>
      </c>
      <c r="E3141">
        <f>INDEX(FactorTable!$B$2:$Y$301, MATCH(ROUND(MIN(300,MAX(1,D3141)),0), FactorTable!$A$2:$A$301,0), Skills!M20+1)</f>
        <v/>
      </c>
      <c r="F3141">
        <f>IF(Skills!N20=TRUE,(Skills!L20/10)*(E3141/1000),Skills!L20/10)+Skills!O20</f>
        <v/>
      </c>
      <c r="G3141">
        <f>Skills!G20*IF(Skills!H20&gt;0,Skills!I20/Skills!H20,1)</f>
        <v/>
      </c>
      <c r="H3141">
        <f>1-(1-Skills!J20/100)^Skills!K20</f>
        <v/>
      </c>
      <c r="I3141" t="inlineStr">
        <is>
          <t>1</t>
        </is>
      </c>
      <c r="J3141" t="inlineStr"/>
      <c r="K3141" t="inlineStr"/>
      <c r="L3141" t="inlineStr"/>
      <c r="M3141" t="inlineStr"/>
      <c r="N3141" t="inlineStr"/>
      <c r="O3141">
        <f>(1-Summary!$B$11)*T3141+Summary!$B$11*V3141</f>
        <v/>
      </c>
      <c r="P3141">
        <f>IF(B3162=0,0,O3141/B3162)</f>
        <v/>
      </c>
      <c r="Q3141" t="n">
        <v>0</v>
      </c>
      <c r="R3141" t="n">
        <v>0</v>
      </c>
      <c r="S3141">
        <f>IFERROR(O3141/N3141,0)</f>
        <v/>
      </c>
      <c r="T3141" t="n">
        <v>0</v>
      </c>
      <c r="V3141" t="n">
        <v>0</v>
      </c>
    </row>
    <row r="3142">
      <c r="A3142">
        <f>Skills!A21</f>
        <v/>
      </c>
      <c r="B3142">
        <f>Skills!B21</f>
        <v/>
      </c>
      <c r="C3142">
        <f>Inputs!$B$3&gt;=33</f>
        <v/>
      </c>
      <c r="D3142">
        <f>IF(Skills!C21=1,60+Inputs!$B$25+Inputs!$B$29,IF(Skills!C21=2,90+Inputs!$B$26+Inputs!$B$29,IF(Skills!C21=3,120+Inputs!$B$27+Inputs!$B$29,MAX(0,(Inputs!$B$3-100)*3)+Inputs!$B$28+Inputs!$B$29)))</f>
        <v/>
      </c>
      <c r="E3142">
        <f>INDEX(FactorTable!$B$2:$Y$301, MATCH(ROUND(MIN(300,MAX(1,D3142)),0), FactorTable!$A$2:$A$301,0), Skills!M21+1)</f>
        <v/>
      </c>
      <c r="F3142">
        <f>IF(Skills!N21=TRUE,(Skills!L21/10)*(E3142/1000),Skills!L21/10)+Skills!O21</f>
        <v/>
      </c>
      <c r="G3142">
        <f>Skills!G21*IF(Skills!H21&gt;0,Skills!I21/Skills!H21,1)</f>
        <v/>
      </c>
      <c r="H3142">
        <f>1-(1-Skills!J21/100)^Skills!K21</f>
        <v/>
      </c>
      <c r="I3142" t="inlineStr">
        <is>
          <t>1</t>
        </is>
      </c>
      <c r="J3142" t="inlineStr"/>
      <c r="K3142" t="inlineStr"/>
      <c r="L3142" t="inlineStr"/>
      <c r="M3142" t="inlineStr"/>
      <c r="N3142" t="inlineStr"/>
      <c r="O3142">
        <f>(1-Summary!$B$11)*T3142+Summary!$B$11*V3142</f>
        <v/>
      </c>
      <c r="P3142">
        <f>IF(B3162=0,0,O3142/B3162)</f>
        <v/>
      </c>
      <c r="Q3142" t="n">
        <v>0</v>
      </c>
      <c r="R3142" t="n">
        <v>0</v>
      </c>
      <c r="S3142">
        <f>IFERROR(O3142/N3142,0)</f>
        <v/>
      </c>
      <c r="T3142" t="n">
        <v>0</v>
      </c>
      <c r="V3142" t="n">
        <v>0</v>
      </c>
    </row>
    <row r="3143">
      <c r="A3143">
        <f>Skills!A22</f>
        <v/>
      </c>
      <c r="B3143">
        <f>Skills!B22</f>
        <v/>
      </c>
      <c r="C3143">
        <f>Inputs!$B$3&gt;=43</f>
        <v/>
      </c>
      <c r="D3143">
        <f>IF(Skills!C22=1,60+Inputs!$B$25+Inputs!$B$29,IF(Skills!C22=2,90+Inputs!$B$26+Inputs!$B$29,IF(Skills!C22=3,120+Inputs!$B$27+Inputs!$B$29,MAX(0,(Inputs!$B$3-100)*3)+Inputs!$B$28+Inputs!$B$29)))</f>
        <v/>
      </c>
      <c r="E3143">
        <f>INDEX(FactorTable!$B$2:$Y$301, MATCH(ROUND(MIN(300,MAX(1,D3143)),0), FactorTable!$A$2:$A$301,0), Skills!M22+1)</f>
        <v/>
      </c>
      <c r="F3143">
        <f>IF(Skills!N22=TRUE,(Skills!L22/10)*(E3143/1000),Skills!L22/10)+Skills!O22</f>
        <v/>
      </c>
      <c r="G3143">
        <f>Skills!G22*IF(Skills!H22&gt;0,Skills!I22/Skills!H22,1)</f>
        <v/>
      </c>
      <c r="H3143">
        <f>1-(1-Skills!J22/100)^Skills!K22</f>
        <v/>
      </c>
      <c r="I3143" t="inlineStr">
        <is>
          <t>1</t>
        </is>
      </c>
      <c r="J3143" t="inlineStr"/>
      <c r="K3143" t="inlineStr"/>
      <c r="L3143" t="inlineStr"/>
      <c r="M3143" t="inlineStr"/>
      <c r="N3143" t="inlineStr"/>
      <c r="O3143">
        <f>(1-Summary!$B$11)*T3143+Summary!$B$11*V3143</f>
        <v/>
      </c>
      <c r="P3143">
        <f>IF(B3162=0,0,O3143/B3162)</f>
        <v/>
      </c>
      <c r="Q3143" t="n">
        <v>0</v>
      </c>
      <c r="R3143" t="n">
        <v>0</v>
      </c>
      <c r="S3143">
        <f>IFERROR(O3143/N3143,0)</f>
        <v/>
      </c>
      <c r="T3143" t="n">
        <v>0</v>
      </c>
      <c r="V3143" t="n">
        <v>0</v>
      </c>
    </row>
    <row r="3144">
      <c r="A3144">
        <f>Skills!A23</f>
        <v/>
      </c>
      <c r="B3144">
        <f>Skills!B23</f>
        <v/>
      </c>
      <c r="C3144">
        <f>Inputs!$B$3&gt;=38</f>
        <v/>
      </c>
      <c r="D3144">
        <f>IF(Skills!C23=1,60+Inputs!$B$25+Inputs!$B$29,IF(Skills!C23=2,90+Inputs!$B$26+Inputs!$B$29,IF(Skills!C23=3,120+Inputs!$B$27+Inputs!$B$29,MAX(0,(Inputs!$B$3-100)*3)+Inputs!$B$28+Inputs!$B$29)))</f>
        <v/>
      </c>
      <c r="E3144">
        <f>INDEX(FactorTable!$B$2:$Y$301, MATCH(ROUND(MIN(300,MAX(1,D3144)),0), FactorTable!$A$2:$A$301,0), Skills!M23+1)</f>
        <v/>
      </c>
      <c r="F3144">
        <f>IF(Skills!N23=TRUE,(Skills!L23/10)*(E3144/1000),Skills!L23/10)+Skills!O23</f>
        <v/>
      </c>
      <c r="G3144">
        <f>Skills!G23*IF(Skills!H23&gt;0,Skills!I23/Skills!H23,1)</f>
        <v/>
      </c>
      <c r="H3144">
        <f>1-(1-Skills!J23/100)^Skills!K23</f>
        <v/>
      </c>
      <c r="I3144" t="inlineStr">
        <is>
          <t>1</t>
        </is>
      </c>
      <c r="J3144" t="inlineStr"/>
      <c r="K3144" t="inlineStr"/>
      <c r="L3144" t="inlineStr"/>
      <c r="M3144" t="inlineStr"/>
      <c r="N3144" t="inlineStr"/>
      <c r="O3144">
        <f>(1-Summary!$B$11)*T3144+Summary!$B$11*V3144</f>
        <v/>
      </c>
      <c r="P3144">
        <f>IF(B3162=0,0,O3144/B3162)</f>
        <v/>
      </c>
      <c r="Q3144" t="n">
        <v>0</v>
      </c>
      <c r="R3144" t="n">
        <v>0</v>
      </c>
      <c r="S3144">
        <f>IFERROR(O3144/N3144,0)</f>
        <v/>
      </c>
      <c r="T3144" t="n">
        <v>0</v>
      </c>
      <c r="V3144" t="n">
        <v>0</v>
      </c>
    </row>
    <row r="3145">
      <c r="A3145">
        <f>Skills!A24</f>
        <v/>
      </c>
      <c r="B3145">
        <f>Skills!B24</f>
        <v/>
      </c>
      <c r="C3145">
        <f>Inputs!$B$3&gt;=40</f>
        <v/>
      </c>
      <c r="D3145">
        <f>IF(Skills!C24=1,60+Inputs!$B$25+Inputs!$B$29,IF(Skills!C24=2,90+Inputs!$B$26+Inputs!$B$29,IF(Skills!C24=3,120+Inputs!$B$27+Inputs!$B$29,MAX(0,(Inputs!$B$3-100)*3)+Inputs!$B$28+Inputs!$B$29)))</f>
        <v/>
      </c>
      <c r="E3145">
        <f>INDEX(FactorTable!$B$2:$Y$301, MATCH(ROUND(MIN(300,MAX(1,D3145)),0), FactorTable!$A$2:$A$301,0), Skills!M24+1)</f>
        <v/>
      </c>
      <c r="F3145">
        <f>IF(Skills!N24=TRUE,(Skills!L24/10)*(E3145/1000),Skills!L24/10)+Skills!O24</f>
        <v/>
      </c>
      <c r="G3145">
        <f>Skills!G24*IF(Skills!H24&gt;0,Skills!I24/Skills!H24,1)</f>
        <v/>
      </c>
      <c r="H3145">
        <f>1-(1-Skills!J24/100)^Skills!K24</f>
        <v/>
      </c>
      <c r="I3145" t="inlineStr">
        <is>
          <t>1</t>
        </is>
      </c>
      <c r="J3145" t="inlineStr"/>
      <c r="K3145" t="inlineStr"/>
      <c r="L3145" t="inlineStr"/>
      <c r="M3145" t="inlineStr"/>
      <c r="N3145" t="inlineStr"/>
      <c r="O3145">
        <f>(1-Summary!$B$11)*T3145+Summary!$B$11*V3145</f>
        <v/>
      </c>
      <c r="P3145">
        <f>IF(B3162=0,0,O3145/B3162)</f>
        <v/>
      </c>
      <c r="Q3145" t="n">
        <v>0</v>
      </c>
      <c r="R3145" t="n">
        <v>0</v>
      </c>
      <c r="S3145">
        <f>IFERROR(O3145/N3145,0)</f>
        <v/>
      </c>
      <c r="T3145" t="n">
        <v>0</v>
      </c>
      <c r="V3145" t="n">
        <v>0</v>
      </c>
    </row>
    <row r="3146">
      <c r="A3146">
        <f>Skills!A25</f>
        <v/>
      </c>
      <c r="B3146">
        <f>Skills!B25</f>
        <v/>
      </c>
      <c r="C3146">
        <f>Inputs!$B$3&gt;=72</f>
        <v/>
      </c>
      <c r="D3146">
        <f>IF(Skills!C25=1,60+Inputs!$B$25+Inputs!$B$29,IF(Skills!C25=2,90+Inputs!$B$26+Inputs!$B$29,IF(Skills!C25=3,120+Inputs!$B$27+Inputs!$B$29,MAX(0,(Inputs!$B$3-100)*3)+Inputs!$B$28+Inputs!$B$29)))</f>
        <v/>
      </c>
      <c r="E3146">
        <f>INDEX(FactorTable!$B$2:$Y$301, MATCH(ROUND(MIN(300,MAX(1,D3146)),0), FactorTable!$A$2:$A$301,0), Skills!M25+1)</f>
        <v/>
      </c>
      <c r="F3146">
        <f>IF(Skills!N25=TRUE,(Skills!L25/10)*(E3146/1000),Skills!L25/10)+Skills!O25</f>
        <v/>
      </c>
      <c r="G3146">
        <f>Skills!G25*IF(Skills!H25&gt;0,Skills!I25/Skills!H25,1)</f>
        <v/>
      </c>
      <c r="H3146">
        <f>1-(1-Skills!J25/100)^Skills!K25</f>
        <v/>
      </c>
      <c r="I3146" t="inlineStr">
        <is>
          <t>1</t>
        </is>
      </c>
      <c r="J3146" t="inlineStr"/>
      <c r="K3146" t="inlineStr"/>
      <c r="L3146" t="inlineStr"/>
      <c r="M3146" t="inlineStr"/>
      <c r="N3146" t="inlineStr"/>
      <c r="O3146">
        <f>(1-Summary!$B$11)*T3146+Summary!$B$11*V3146</f>
        <v/>
      </c>
      <c r="P3146">
        <f>IF(B3162=0,0,O3146/B3162)</f>
        <v/>
      </c>
      <c r="Q3146" t="n">
        <v>0</v>
      </c>
      <c r="R3146" t="n">
        <v>0</v>
      </c>
      <c r="S3146">
        <f>IFERROR(O3146/N3146,0)</f>
        <v/>
      </c>
      <c r="T3146" t="n">
        <v>0</v>
      </c>
      <c r="V3146" t="n">
        <v>0</v>
      </c>
    </row>
    <row r="3147">
      <c r="A3147">
        <f>Skills!A26</f>
        <v/>
      </c>
      <c r="B3147">
        <f>Skills!B26</f>
        <v/>
      </c>
      <c r="C3147">
        <f>Inputs!$B$3&gt;=75</f>
        <v/>
      </c>
      <c r="D3147">
        <f>IF(Skills!C26=1,60+Inputs!$B$25+Inputs!$B$29,IF(Skills!C26=2,90+Inputs!$B$26+Inputs!$B$29,IF(Skills!C26=3,120+Inputs!$B$27+Inputs!$B$29,MAX(0,(Inputs!$B$3-100)*3)+Inputs!$B$28+Inputs!$B$29)))</f>
        <v/>
      </c>
      <c r="E3147">
        <f>INDEX(FactorTable!$B$2:$Y$301, MATCH(ROUND(MIN(300,MAX(1,D3147)),0), FactorTable!$A$2:$A$301,0), Skills!M26+1)</f>
        <v/>
      </c>
      <c r="F3147">
        <f>IF(Skills!N26=TRUE,(Skills!L26/10)*(E3147/1000),Skills!L26/10)+Skills!O26</f>
        <v/>
      </c>
      <c r="G3147">
        <f>Skills!G26*IF(Skills!H26&gt;0,Skills!I26/Skills!H26,1)</f>
        <v/>
      </c>
      <c r="H3147">
        <f>1-(1-Skills!J26/100)^Skills!K26</f>
        <v/>
      </c>
      <c r="I3147" t="inlineStr">
        <is>
          <t>1</t>
        </is>
      </c>
      <c r="J3147" t="inlineStr"/>
      <c r="K3147" t="inlineStr"/>
      <c r="L3147" t="inlineStr"/>
      <c r="M3147" t="inlineStr"/>
      <c r="N3147" t="inlineStr"/>
      <c r="O3147">
        <f>(1-Summary!$B$11)*T3147+Summary!$B$11*V3147</f>
        <v/>
      </c>
      <c r="P3147">
        <f>IF(B3162=0,0,O3147/B3162)</f>
        <v/>
      </c>
      <c r="Q3147" t="n">
        <v>0</v>
      </c>
      <c r="R3147" t="n">
        <v>0</v>
      </c>
      <c r="S3147">
        <f>IFERROR(O3147/N3147,0)</f>
        <v/>
      </c>
      <c r="T3147" t="n">
        <v>0</v>
      </c>
      <c r="V3147" t="n">
        <v>0</v>
      </c>
    </row>
    <row r="3148">
      <c r="A3148">
        <f>Skills!A27</f>
        <v/>
      </c>
      <c r="B3148">
        <f>Skills!B27</f>
        <v/>
      </c>
      <c r="C3148">
        <f>Inputs!$B$3&gt;=117</f>
        <v/>
      </c>
      <c r="D3148">
        <f>IF(Skills!C27=1,60+Inputs!$B$25+Inputs!$B$29,IF(Skills!C27=2,90+Inputs!$B$26+Inputs!$B$29,IF(Skills!C27=3,120+Inputs!$B$27+Inputs!$B$29,MAX(0,(Inputs!$B$3-100)*3)+Inputs!$B$28+Inputs!$B$29)))</f>
        <v/>
      </c>
      <c r="E3148">
        <f>INDEX(FactorTable!$B$2:$Y$301, MATCH(ROUND(MIN(300,MAX(1,D3148)),0), FactorTable!$A$2:$A$301,0), Skills!M27+1)</f>
        <v/>
      </c>
      <c r="F3148">
        <f>IF(Skills!N27=TRUE,(Skills!L27/10)*(E3148/1000),Skills!L27/10)+Skills!O27</f>
        <v/>
      </c>
      <c r="G3148">
        <f>Skills!G27*IF(Skills!H27&gt;0,Skills!I27/Skills!H27,1)</f>
        <v/>
      </c>
      <c r="H3148">
        <f>1-(1-Skills!J27/100)^Skills!K27</f>
        <v/>
      </c>
      <c r="I3148" t="inlineStr">
        <is>
          <t>1</t>
        </is>
      </c>
      <c r="J3148" t="inlineStr"/>
      <c r="K3148" t="inlineStr"/>
      <c r="L3148" t="inlineStr"/>
      <c r="M3148" t="inlineStr"/>
      <c r="N3148" t="inlineStr"/>
      <c r="O3148">
        <f>(1-Summary!$B$11)*T3148+Summary!$B$11*V3148</f>
        <v/>
      </c>
      <c r="P3148">
        <f>IF(B3162=0,0,O3148/B3162)</f>
        <v/>
      </c>
      <c r="Q3148" t="n">
        <v>0</v>
      </c>
      <c r="R3148" t="n">
        <v>0</v>
      </c>
      <c r="S3148">
        <f>IFERROR(O3148/N3148,0)</f>
        <v/>
      </c>
      <c r="T3148" t="n">
        <v>0</v>
      </c>
      <c r="V3148" t="n">
        <v>0</v>
      </c>
    </row>
    <row r="3149">
      <c r="A3149">
        <f>Skills!A28</f>
        <v/>
      </c>
      <c r="B3149">
        <f>Skills!B28</f>
        <v/>
      </c>
      <c r="C3149">
        <f>TRUE</f>
        <v/>
      </c>
      <c r="D3149">
        <f>IF(Skills!C28=1,60+Inputs!$B$25+Inputs!$B$29,IF(Skills!C28=2,90+Inputs!$B$26+Inputs!$B$29,IF(Skills!C28=3,120+Inputs!$B$27+Inputs!$B$29,MAX(0,(Inputs!$B$3-100)*3)+Inputs!$B$28+Inputs!$B$29)))</f>
        <v/>
      </c>
      <c r="E3149">
        <f>INDEX(FactorTable!$B$2:$Y$301, MATCH(ROUND(MIN(300,MAX(1,D3149)),0), FactorTable!$A$2:$A$301,0), Skills!M28+1)</f>
        <v/>
      </c>
      <c r="F3149">
        <f>IF(Skills!N28=TRUE,(Skills!L28/10)*(E3149/1000),Skills!L28/10)+Skills!O28</f>
        <v/>
      </c>
      <c r="G3149">
        <f>Skills!G28*IF(Skills!H28&gt;0,Skills!I28/Skills!H28,1)</f>
        <v/>
      </c>
      <c r="H3149">
        <f>1-(1-Skills!J28/100)^Skills!K28</f>
        <v/>
      </c>
      <c r="I3149" t="inlineStr">
        <is>
          <t>1</t>
        </is>
      </c>
      <c r="J3149" t="inlineStr"/>
      <c r="K3149" t="inlineStr"/>
      <c r="L3149" t="inlineStr"/>
      <c r="M3149" t="inlineStr"/>
      <c r="N3149" t="inlineStr"/>
      <c r="O3149">
        <f>(1-Summary!$B$11)*T3149+Summary!$B$11*V3149</f>
        <v/>
      </c>
      <c r="P3149">
        <f>IF(B3162=0,0,O3149/B3162)</f>
        <v/>
      </c>
      <c r="Q3149">
        <f>IFERROR(1/(IF(Inputs!$B$38="pvp",15,MAX(0.1,Skills!D28-IF(Skills!E28=TRUE,4.0,0)))*(1-IF(AND(ArtifactsInput!$M$27,Inputs!$B$4="Chapter Hunt"),CHOOSE(ArtifactsInput!$N$27+1,20,24,28,32,36,40),0)/100)),0)</f>
        <v/>
      </c>
      <c r="R3149">
        <f>IF(AND(Inputs!$B$38&lt;&gt;"pvp",Inputs!$B$43&gt;0),IF(Inputs!$B$43&lt;=0,0,(INT(Inputs!$B$43/(IF(Inputs!$B$38="pvp",15,MAX(0.1,Skills!D28-IF(Skills!E28=TRUE,4.0,0)))*(1-IF(AND(ArtifactsInput!$M$27,Inputs!$B$4="Chapter Hunt"),CHOOSE(ArtifactsInput!$N$27+1,20,24,28,32,36,40),0)/100)))+1)),0)</f>
        <v/>
      </c>
      <c r="S3149">
        <f>IFERROR(O3149/N3149,0)</f>
        <v/>
      </c>
      <c r="T3149" t="n">
        <v>0</v>
      </c>
      <c r="V3149" t="n">
        <v>0</v>
      </c>
    </row>
    <row r="3151">
      <c r="A3151" t="inlineStr">
        <is>
          <t>Attack% Bucket Multiplier</t>
        </is>
      </c>
      <c r="B3151">
        <f>(1+(((C3138=TRUE)*F3138*5/7)+((C3145=TRUE)*(F3145-Calc!F24))+(IF(ArtifactsInput!$M$21,CHOOSE(ArtifactsInput!$N$21+1,25,30,35,40,45,50)*(IF(OR(Inputs!$B$4="Chapter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52">
      <c r="A3152" t="inlineStr">
        <is>
          <t>Global Crit Rate Bonus %</t>
        </is>
      </c>
      <c r="B3152" t="n">
        <v>0</v>
      </c>
    </row>
    <row r="3153">
      <c r="A3153" t="inlineStr">
        <is>
          <t>Attack Speed Buff Bonus % (Nimble Feet, duty-cycle averaged)</t>
        </is>
      </c>
      <c r="B3153">
        <f>((C3149=TRUE)*F3149*IF(AND(Inputs!$B$38&lt;&gt;"pvp",Inputs!$B$43&gt;0),(((R3149-1)*(Skills!T28*(1+Inputs!$B$34/100))+MIN((Skills!T28*(1+Inputs!$B$34/100)),MAX(0,Inputs!$B$43-((R3149-1)*Skills!D28))))/Inputs!$B$43),IF(Inputs!$B$38="pvp",MIN((Skills!T28*(1+Inputs!$B$34/100)),15)/15,(Skills!T28*(1+Inputs!$B$34/100))/Skills!D28)))</f>
        <v/>
      </c>
    </row>
    <row r="3154">
      <c r="A3154" t="inlineStr">
        <is>
          <t>Actions Per Second</t>
        </is>
      </c>
      <c r="B3154">
        <f>1+MIN(150,150*(1-(1-(Inputs!$B$11+((C3141=TRUE)*(F3141-Calc!F20))+((C3142=TRUE)*(F3142-Calc!F21)))/150)*(1-B3153/150)))/100</f>
        <v/>
      </c>
    </row>
    <row r="3155">
      <c r="A3155" t="inlineStr">
        <is>
          <t>Skill + Buff Cast Rate</t>
        </is>
      </c>
      <c r="B3155">
        <f>IF(AND(Inputs!$B$38&lt;&gt;"pvp",Inputs!$B$43&gt;0),SUMPRODUCT((Skills!E2:E28=TRUE)*(C3123:C3149=TRUE)*R3123:R3149*Skills!F2:F28)/Inputs!$B$43,SUMPRODUCT((Skills!E2:E28=TRUE)*(C3123:C3149=TRUE)*Q3123:Q3149*Skills!F2:F28))</f>
        <v/>
      </c>
    </row>
    <row r="3156">
      <c r="A3156" t="inlineStr">
        <is>
          <t>Eight-Legs Easton Casts Per Second</t>
        </is>
      </c>
      <c r="B3156">
        <f>MAX(0,B3154-B3155)</f>
        <v/>
      </c>
    </row>
    <row r="3157">
      <c r="A3157" t="inlineStr">
        <is>
          <t>Global Critical Damage Bonus % (unused)</t>
        </is>
      </c>
      <c r="B3157" t="n">
        <v>0</v>
      </c>
    </row>
    <row r="3158">
      <c r="A3158" t="inlineStr">
        <is>
          <t>Global Final Damage Bonus % (Jolly Roger + Ahoy Mateys - Final Damage proc)</t>
        </is>
      </c>
      <c r="B3158">
        <f>((C3139=TRUE)*F3139*IF(AND(Inputs!$B$38&lt;&gt;"pvp",Inputs!$B$43&gt;0),(((R3139-1)*(Skills!T18*(1+Inputs!$B$34/100))+MIN((Skills!T18*(1+Inputs!$B$34/100)),MAX(0,Inputs!$B$43-((R3139-1)*Skills!D18))))/Inputs!$B$43),IF(Inputs!$B$38="pvp",MIN((Skills!T18*(1+Inputs!$B$34/100)),15)/15,(Skills!T18*(1+Inputs!$B$34/100))/Skills!D18)))+IF(Inputs!$B$3&gt;=122,20*IF(Inputs!$B$38="pvp",MIN((20*(1+Inputs!$B$34/100)),15)/15,(20*(1+Inputs!$B$34/100))/Skills!D4),0)</f>
        <v/>
      </c>
    </row>
    <row r="3159">
      <c r="A3159" t="inlineStr">
        <is>
          <t>Buff-Casting Startup Delay (s, fixed-duration only)</t>
        </is>
      </c>
      <c r="B3159">
        <f>IF(AND(Inputs!$B$38&lt;&gt;"pvp",Inputs!$B$43&gt;0),SUMPRODUCT((Skills!T2:T28&gt;0)*(Skills!E2:E28=TRUE)*(C3123:C3149=TRUE))/B3154,0)</f>
        <v/>
      </c>
    </row>
    <row r="3160">
      <c r="A3160" t="inlineStr">
        <is>
          <t>Boss-Only Total DPS (this block's swept value)</t>
        </is>
      </c>
      <c r="B3160">
        <f>SUM(T3123:T3149)</f>
        <v/>
      </c>
    </row>
    <row r="3161">
      <c r="A3161" t="inlineStr">
        <is>
          <t>Normal-Only Total DPS (this block's swept value)</t>
        </is>
      </c>
      <c r="B3161">
        <f>SUM(V3123:V3149)</f>
        <v/>
      </c>
    </row>
    <row r="3162">
      <c r="A3162" s="6" t="inlineStr">
        <is>
          <t>TOTAL DPS</t>
        </is>
      </c>
      <c r="B3162" s="6">
        <f>SUM(O3123:O3149)</f>
        <v/>
      </c>
    </row>
    <row r="3165">
      <c r="A3165" s="6" t="inlineStr">
        <is>
          <t>Stat: CDR = 4.5s</t>
        </is>
      </c>
    </row>
    <row r="3166">
      <c r="A3166" s="5" t="inlineStr">
        <is>
          <t>Key</t>
        </is>
      </c>
      <c r="B3166" s="5" t="inlineStr">
        <is>
          <t>Name</t>
        </is>
      </c>
      <c r="C3166" s="5" t="inlineStr">
        <is>
          <t>Unlocked</t>
        </is>
      </c>
      <c r="D3166" s="5" t="inlineStr">
        <is>
          <t>InputLevel</t>
        </is>
      </c>
      <c r="E3166" s="5" t="inlineStr">
        <is>
          <t>Factor</t>
        </is>
      </c>
      <c r="F3166" s="5" t="inlineStr">
        <is>
          <t>CoefficientPercent</t>
        </is>
      </c>
      <c r="G3166" s="5" t="inlineStr">
        <is>
          <t>EffectiveHits</t>
        </is>
      </c>
      <c r="H3166" s="5" t="inlineStr">
        <is>
          <t>ProcProbability</t>
        </is>
      </c>
      <c r="I3166" s="5" t="inlineStr">
        <is>
          <t>MapleHeroMultiplier</t>
        </is>
      </c>
      <c r="J3166" s="5" t="inlineStr">
        <is>
          <t>BaseDamage</t>
        </is>
      </c>
      <c r="K3166" s="5" t="inlineStr">
        <is>
          <t>BaseHitDamage</t>
        </is>
      </c>
      <c r="L3166" s="5" t="inlineStr">
        <is>
          <t>NonCritAvg</t>
        </is>
      </c>
      <c r="M3166" s="5" t="inlineStr">
        <is>
          <t>CritAvg</t>
        </is>
      </c>
      <c r="N3166" s="5" t="inlineStr">
        <is>
          <t>ExpectedDamage(perHit)</t>
        </is>
      </c>
      <c r="O3166" s="5" t="inlineStr">
        <is>
          <t>DPS</t>
        </is>
      </c>
      <c r="P3166" s="5" t="inlineStr">
        <is>
          <t>% of Total</t>
        </is>
      </c>
      <c r="Q3166" s="5" t="inlineStr">
        <is>
          <t>InvCooldown</t>
        </is>
      </c>
      <c r="R3166" s="5" t="inlineStr">
        <is>
          <t>CastsInFight</t>
        </is>
      </c>
      <c r="S3166" s="5" t="inlineStr">
        <is>
          <t>HitRate(perSec)</t>
        </is>
      </c>
      <c r="U3166" t="inlineStr">
        <is>
          <t>helpers</t>
        </is>
      </c>
    </row>
    <row r="3167">
      <c r="A3167">
        <f>Skills!A2</f>
        <v/>
      </c>
      <c r="B3167">
        <f>Skills!B2</f>
        <v/>
      </c>
      <c r="C3167">
        <f>Inputs!$B$3&gt;=100</f>
        <v/>
      </c>
      <c r="D3167" t="inlineStr"/>
      <c r="E3167" t="inlineStr"/>
      <c r="F3167">
        <f>U3169+Skills!O2</f>
        <v/>
      </c>
      <c r="G3167">
        <f>Skills!G2*IF(Skills!H2&gt;0,Skills!I2/Skills!H2,1)</f>
        <v/>
      </c>
      <c r="H3167">
        <f>1-(1-Skills!J2/100)^Skills!K2</f>
        <v/>
      </c>
      <c r="I3167" t="inlineStr">
        <is>
          <t>1</t>
        </is>
      </c>
      <c r="J3167">
        <f>((Inputs!$B$6*(1+Inputs!$B$7/100))+(((Inputs!$B$12*(1+Inputs!$B$13/100))-(Inputs!$B$12*(1+Inputs!$B$13/100)))+0.25*(Inputs!$B$14-Inputs!$B$14))*(1+Inputs!$B$7/100))*(F3167/100)</f>
        <v/>
      </c>
      <c r="K3167">
        <f>J3167*(1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3167)</f>
        <v/>
      </c>
      <c r="L3167">
        <f>K3167*(MIN(Inputs!$B$22+((C3187=TRUE)*(F3187-Calc!F22)),(Inputs!$B$23+0+(IF(ArtifactsInput!$M$15,CHOOSE(ArtifactsInput!$N$15+1,25,30,35,40,45,50)/100*(Inputs!$B$11-Inputs!$B$11),0))))/100+(Inputs!$B$23+0+(IF(ArtifactsInput!$M$15,CHOOSE(ArtifactsInput!$N$15+1,25,30,35,40,45,50)/100*(Inputs!$B$11-Inputs!$B$11),0)))/100)/2</f>
        <v/>
      </c>
      <c r="M3167">
        <f>L3167*(1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7">
        <f>L3167*(1-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3167*(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7">
        <f>(1-Summary!$B$11)*T3167+Summary!$B$11*V3167</f>
        <v/>
      </c>
      <c r="P3167">
        <f>IF(B3206=0,0,O3167/B3206)</f>
        <v/>
      </c>
      <c r="Q3167" t="n">
        <v>0</v>
      </c>
      <c r="R3167" t="n">
        <v>0</v>
      </c>
      <c r="S3167">
        <f>IFERROR(O3167/N3167,0)</f>
        <v/>
      </c>
      <c r="T3167">
        <f>IF(C3167,(Skills!G2*N3167*B3200)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3167*(1-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3167*(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3167*(1-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3167*(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67">
        <f>MAX(0,(Inputs!$B$3-100)*3)+Inputs!$B$28+Inputs!$B$29</f>
        <v/>
      </c>
      <c r="V3167">
        <f>IF(C3167,(Skills!G2*N3167*B3200)*IF(Inputs!$B$38="pvp",1,(1+(Inputs!$B$21+Skills!Q2+(IF(ArtifactsInput!$M$33,CHOOSE(ArtifactsInput!$N$33+1,30,36,42,48,54,60),0))+(IF(AND(ArtifactsInput!$M$35,Inputs!$B$4&lt;&gt;"Chapter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8">
      <c r="A3168">
        <f>Skills!A3</f>
        <v/>
      </c>
      <c r="B3168">
        <f>Skills!B3</f>
        <v/>
      </c>
      <c r="C3168">
        <f>Inputs!$B$3&gt;=35</f>
        <v/>
      </c>
      <c r="D3168">
        <f>IF(Skills!C3=1,60+Inputs!$B$25+Inputs!$B$29,IF(Skills!C3=2,90+Inputs!$B$26+Inputs!$B$29,IF(Skills!C3=3,120+Inputs!$B$27+Inputs!$B$29,MAX(0,(Inputs!$B$3-100)*3)+Inputs!$B$28+Inputs!$B$29)))</f>
        <v/>
      </c>
      <c r="E3168">
        <f>INDEX(FactorTable!$B$2:$Y$301, MATCH(ROUND(MIN(300,MAX(1,D3168)),0), FactorTable!$A$2:$A$301,0), Skills!M3+1)</f>
        <v/>
      </c>
      <c r="F3168">
        <f>IF(Skills!N3=TRUE,(Skills!L3/10)*(E3168/1000),Skills!L3/10)+Skills!O3</f>
        <v/>
      </c>
      <c r="G3168">
        <f>Skills!G3*IF(Skills!H3&gt;0,Skills!I3/Skills!H3,1)</f>
        <v/>
      </c>
      <c r="H3168">
        <f>1-(1-Skills!J3/100)^Skills!K3</f>
        <v/>
      </c>
      <c r="I3168" t="inlineStr">
        <is>
          <t>1</t>
        </is>
      </c>
      <c r="J3168">
        <f>((Inputs!$B$6*(1+Inputs!$B$7/100))+(((Inputs!$B$12*(1+Inputs!$B$13/100))-(Inputs!$B$12*(1+Inputs!$B$13/100)))+0.25*(Inputs!$B$14-Inputs!$B$14))*(1+Inputs!$B$7/100))*(F3168/100)</f>
        <v/>
      </c>
      <c r="K3168">
        <f>J3168*(1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3180=TRUE,F3180,0)/100)*(1+(IF(Skills!A3="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3168)</f>
        <v/>
      </c>
      <c r="L3168">
        <f>K3168*(MIN(Inputs!$B$22+((C3187=TRUE)*(F3187-Calc!F22)),(Inputs!$B$23+0+(IF(ArtifactsInput!$M$15,CHOOSE(ArtifactsInput!$N$15+1,25,30,35,40,45,50)/100*(Inputs!$B$11-Inputs!$B$11),0))))/100+(Inputs!$B$23+0+(IF(ArtifactsInput!$M$15,CHOOSE(ArtifactsInput!$N$15+1,25,30,35,40,45,50)/100*(Inputs!$B$11-Inputs!$B$11),0)))/100)/2</f>
        <v/>
      </c>
      <c r="M3168">
        <f>L3168*(1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8">
        <f>L3168*(1-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3168*(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8">
        <f>(1-Summary!$B$11)*T3168+Summary!$B$11*V3168</f>
        <v/>
      </c>
      <c r="P3168">
        <f>IF(B3206=0,0,O3168/B3206)</f>
        <v/>
      </c>
      <c r="Q3168">
        <f>IFERROR(1/(IF(Inputs!$B$38="pvp",15,MAX(0.1,Skills!D3-IF(Skills!E3=TRUE,4.5,0)))*(1-IF(AND(ArtifactsInput!$M$27,Inputs!$B$4="Chapter Hunt"),CHOOSE(ArtifactsInput!$N$27+1,20,24,28,32,36,40),0)/100)),0)</f>
        <v/>
      </c>
      <c r="R3168">
        <f>IF(AND(Inputs!$B$38&lt;&gt;"pvp",Inputs!$B$43&gt;0),IF(MAX(0,Inputs!$B$43-B3203)&lt;=0,0,(INT(MAX(0,Inputs!$B$43-B3203)/(IF(Inputs!$B$38="pvp",15,MAX(0.1,Skills!D3-IF(Skills!E3=TRUE,4.5,0)))*(1-IF(AND(ArtifactsInput!$M$27,Inputs!$B$4="Chapter Hunt"),CHOOSE(ArtifactsInput!$N$27+1,20,24,28,32,36,40),0)/100)))+1)),0)</f>
        <v/>
      </c>
      <c r="S3168">
        <f>IFERROR(O3168/N3168,0)</f>
        <v/>
      </c>
      <c r="T3168">
        <f>IF(C3168,(H3168*N3168*IF(AND(Inputs!$B$38&lt;&gt;"pvp",Inputs!$B$43&gt;0),((Skills!G3*((R3168-1)*IF(Skills!H3&gt;0,Skills!I3/Skills!H3,1)+IF(Skills!H3&gt;0,MIN(Skills!I3,MAX(0,MAX(0,Inputs!$B$43-B3203)-((R3168-1)*(IF(Inputs!$B$38="pvp",15,MAX(0.1,Skills!D3-IF(Skills!E3=TRUE,4.5,0)))*(1-IF(AND(ArtifactsInput!$M$27,Inputs!$B$4="Chapter Hunt"),CHOOSE(ArtifactsInput!$N$27+1,20,24,28,32,36,40),0)/100)))))/Skills!H3,1)))/Inputs!$B$43),G3168*Q3168)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3168*(1-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3168*(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3168*(1-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3168*(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68">
        <f>INDEX(FactorTable!$B$2:$Y$301, MATCH(ROUND(MIN(300,MAX(1,U3167)),0), FactorTable!$A$2:$A$301,0), 22)</f>
        <v/>
      </c>
      <c r="V3168">
        <f>IF(C3168,(H3168*N3168*IF(AND(Inputs!$B$38&lt;&gt;"pvp",Inputs!$B$43&gt;0),((Skills!G3*((R3168-1)*IF(Skills!H3&gt;0,Skills!I3/Skills!H3,1)+IF(Skills!H3&gt;0,MIN(Skills!I3,MAX(0,MAX(0,Inputs!$B$43-B3203)-((R3168-1)*(IF(Inputs!$B$38="pvp",15,MAX(0.1,Skills!D3-IF(Skills!E3=TRUE,4.5,0)))*(1-IF(AND(ArtifactsInput!$M$27,Inputs!$B$4="Chapter Hunt"),CHOOSE(ArtifactsInput!$N$27+1,20,24,28,32,36,40),0)/100)))))/Skills!H3,1)))/Inputs!$B$43),G3168*Q3168))*IF(Inputs!$B$38="pvp",1,(1+(Inputs!$B$21+Skills!Q3+(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9">
      <c r="A3169">
        <f>Skills!A4</f>
        <v/>
      </c>
      <c r="B3169">
        <f>Skills!B4</f>
        <v/>
      </c>
      <c r="C3169">
        <f>Inputs!$B$3&gt;=40</f>
        <v/>
      </c>
      <c r="D3169">
        <f>IF(Skills!C4=1,60+Inputs!$B$25+Inputs!$B$29,IF(Skills!C4=2,90+Inputs!$B$26+Inputs!$B$29,IF(Skills!C4=3,120+Inputs!$B$27+Inputs!$B$29,MAX(0,(Inputs!$B$3-100)*3)+Inputs!$B$28+Inputs!$B$29)))</f>
        <v/>
      </c>
      <c r="E3169">
        <f>INDEX(FactorTable!$B$2:$Y$301, MATCH(ROUND(MIN(300,MAX(1,D3169)),0), FactorTable!$A$2:$A$301,0), Skills!M4+1)</f>
        <v/>
      </c>
      <c r="F3169">
        <f>IF(Skills!N4=TRUE,(Skills!L4/10)*(E3169/1000),Skills!L4/10)+Skills!O4</f>
        <v/>
      </c>
      <c r="G3169">
        <f>Skills!G4*IF(Skills!H4&gt;0,Skills!I4/Skills!H4,1)</f>
        <v/>
      </c>
      <c r="H3169">
        <f>1-(1-Skills!J4/100)^Skills!K4</f>
        <v/>
      </c>
      <c r="I3169" t="inlineStr">
        <is>
          <t>1</t>
        </is>
      </c>
      <c r="J3169">
        <f>((Inputs!$B$6*(1+Inputs!$B$7/100))+(((Inputs!$B$12*(1+Inputs!$B$13/100))-(Inputs!$B$12*(1+Inputs!$B$13/100)))+0.25*(Inputs!$B$14-Inputs!$B$14))*(1+Inputs!$B$7/100))*(F3169/100)</f>
        <v/>
      </c>
      <c r="K3169">
        <f>J3169*(1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3181=TRUE,F3181,0)/100)*(1+(IF(Skills!A4="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3169)</f>
        <v/>
      </c>
      <c r="L3169">
        <f>K3169*(MIN(Inputs!$B$22+((C3187=TRUE)*(F3187-Calc!F22)),(Inputs!$B$23+0+(IF(ArtifactsInput!$M$15,CHOOSE(ArtifactsInput!$N$15+1,25,30,35,40,45,50)/100*(Inputs!$B$11-Inputs!$B$11),0))))/100+(Inputs!$B$23+0+(IF(ArtifactsInput!$M$15,CHOOSE(ArtifactsInput!$N$15+1,25,30,35,40,45,50)/100*(Inputs!$B$11-Inputs!$B$11),0)))/100)/2</f>
        <v/>
      </c>
      <c r="M3169">
        <f>L3169*(1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9">
        <f>L3169*(1-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3169*(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9">
        <f>(1-Summary!$B$11)*T3169+Summary!$B$11*V3169</f>
        <v/>
      </c>
      <c r="P3169">
        <f>IF(B3206=0,0,O3169/B3206)</f>
        <v/>
      </c>
      <c r="Q3169">
        <f>IFERROR(1/(IF(Inputs!$B$38="pvp",15,MAX(0.1,Skills!D4-IF(Skills!E4=TRUE,4.5,0)))*(1-IF(AND(ArtifactsInput!$M$27,Inputs!$B$4="Chapter Hunt"),CHOOSE(ArtifactsInput!$N$27+1,20,24,28,32,36,40),0)/100)),0)</f>
        <v/>
      </c>
      <c r="R3169">
        <f>IF(AND(Inputs!$B$38&lt;&gt;"pvp",Inputs!$B$43&gt;0),IF(MAX(0,Inputs!$B$43-B3203)&lt;=0,0,(INT(MAX(0,Inputs!$B$43-B3203)/(IF(Inputs!$B$38="pvp",15,MAX(0.1,Skills!D4-IF(Skills!E4=TRUE,4.5,0)))*(1-IF(AND(ArtifactsInput!$M$27,Inputs!$B$4="Chapter Hunt"),CHOOSE(ArtifactsInput!$N$27+1,20,24,28,32,36,40),0)/100)))+1)),0)</f>
        <v/>
      </c>
      <c r="S3169">
        <f>IFERROR(O3169/N3169,0)</f>
        <v/>
      </c>
      <c r="T3169">
        <f>IF(C3169,(H3169*N3169*IF(AND(Inputs!$B$38&lt;&gt;"pvp",Inputs!$B$43&gt;0),((Skills!G4*((R3169-1)*IF(Skills!H4&gt;0,Skills!I4/Skills!H4,1)+IF(Skills!H4&gt;0,MIN(Skills!I4,MAX(0,MAX(0,Inputs!$B$43-B3203)-((R3169-1)*(IF(Inputs!$B$38="pvp",15,MAX(0.1,Skills!D4-IF(Skills!E4=TRUE,4.5,0)))*(1-IF(AND(ArtifactsInput!$M$27,Inputs!$B$4="Chapter Hunt"),CHOOSE(ArtifactsInput!$N$27+1,20,24,28,32,36,40),0)/100)))))/Skills!H4,1)))/Inputs!$B$43),G3169*Q3169)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3169*(1-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3169*(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3169*(1-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3169*(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69">
        <f>290*U3168/1000</f>
        <v/>
      </c>
      <c r="V3169">
        <f>IF(C3169,(H3169*N3169*IF(AND(Inputs!$B$38&lt;&gt;"pvp",Inputs!$B$43&gt;0),((Skills!G4*((R3169-1)*IF(Skills!H4&gt;0,Skills!I4/Skills!H4,1)+IF(Skills!H4&gt;0,MIN(Skills!I4,MAX(0,MAX(0,Inputs!$B$43-B3203)-((R3169-1)*(IF(Inputs!$B$38="pvp",15,MAX(0.1,Skills!D4-IF(Skills!E4=TRUE,4.5,0)))*(1-IF(AND(ArtifactsInput!$M$27,Inputs!$B$4="Chapter Hunt"),CHOOSE(ArtifactsInput!$N$27+1,20,24,28,32,36,40),0)/100)))))/Skills!H4,1)))/Inputs!$B$43),G3169*Q3169))*IF(Inputs!$B$38="pvp",1,(1+(Inputs!$B$21+Skills!Q4+(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0">
      <c r="A3170">
        <f>Skills!A5</f>
        <v/>
      </c>
      <c r="B3170">
        <f>Skills!B5</f>
        <v/>
      </c>
      <c r="C3170">
        <f>Inputs!$B$3&gt;=45</f>
        <v/>
      </c>
      <c r="D3170">
        <f>IF(Skills!C5=1,60+Inputs!$B$25+Inputs!$B$29,IF(Skills!C5=2,90+Inputs!$B$26+Inputs!$B$29,IF(Skills!C5=3,120+Inputs!$B$27+Inputs!$B$29,MAX(0,(Inputs!$B$3-100)*3)+Inputs!$B$28+Inputs!$B$29)))</f>
        <v/>
      </c>
      <c r="E3170">
        <f>INDEX(FactorTable!$B$2:$Y$301, MATCH(ROUND(MIN(300,MAX(1,D3170)),0), FactorTable!$A$2:$A$301,0), Skills!M5+1)</f>
        <v/>
      </c>
      <c r="F3170">
        <f>IF(Skills!N5=TRUE,(Skills!L5/10)*(E3170/1000),Skills!L5/10)+Skills!O5</f>
        <v/>
      </c>
      <c r="G3170">
        <f>Skills!G5*IF(Skills!H5&gt;0,Skills!I5/Skills!H5,1)</f>
        <v/>
      </c>
      <c r="H3170">
        <f>1-(1-Skills!J5/100)^Skills!K5</f>
        <v/>
      </c>
      <c r="I3170" t="inlineStr">
        <is>
          <t>1</t>
        </is>
      </c>
      <c r="J3170">
        <f>((Inputs!$B$6*(1+Inputs!$B$7/100))+(((Inputs!$B$12*(1+Inputs!$B$13/100))-(Inputs!$B$12*(1+Inputs!$B$13/100)))+0.25*(Inputs!$B$14-Inputs!$B$14))*(1+Inputs!$B$7/100))*(F3170/100)</f>
        <v/>
      </c>
      <c r="K3170">
        <f>J3170*(1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3181=TRUE,F3181,0)/100)*(1+(IF(Skills!A5="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3170)</f>
        <v/>
      </c>
      <c r="L3170">
        <f>K3170*(MIN(Inputs!$B$22+((C3187=TRUE)*(F3187-Calc!F22)),(Inputs!$B$23+0+(IF(ArtifactsInput!$M$15,CHOOSE(ArtifactsInput!$N$15+1,25,30,35,40,45,50)/100*(Inputs!$B$11-Inputs!$B$11),0))))/100+(Inputs!$B$23+0+(IF(ArtifactsInput!$M$15,CHOOSE(ArtifactsInput!$N$15+1,25,30,35,40,45,50)/100*(Inputs!$B$11-Inputs!$B$11),0)))/100)/2</f>
        <v/>
      </c>
      <c r="M3170">
        <f>L3170*(1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0">
        <f>L3170*(1-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3170*(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0">
        <f>(1-Summary!$B$11)*T3170+Summary!$B$11*V3170</f>
        <v/>
      </c>
      <c r="P3170">
        <f>IF(B3206=0,0,O3170/B3206)</f>
        <v/>
      </c>
      <c r="Q3170">
        <f>IFERROR(1/(IF(Inputs!$B$38="pvp",15,MAX(0.1,Skills!D5-IF(Skills!E5=TRUE,4.5,0)))*(1-IF(AND(ArtifactsInput!$M$27,Inputs!$B$4="Chapter Hunt"),CHOOSE(ArtifactsInput!$N$27+1,20,24,28,32,36,40),0)/100)),0)</f>
        <v/>
      </c>
      <c r="R3170">
        <f>IF(AND(Inputs!$B$38&lt;&gt;"pvp",Inputs!$B$43&gt;0),IF(MAX(0,Inputs!$B$43-B3203)&lt;=0,0,(INT(MAX(0,Inputs!$B$43-B3203)/(IF(Inputs!$B$38="pvp",15,MAX(0.1,Skills!D5-IF(Skills!E5=TRUE,4.5,0)))*(1-IF(AND(ArtifactsInput!$M$27,Inputs!$B$4="Chapter Hunt"),CHOOSE(ArtifactsInput!$N$27+1,20,24,28,32,36,40),0)/100)))+1)),0)</f>
        <v/>
      </c>
      <c r="S3170">
        <f>IFERROR(O3170/N3170,0)</f>
        <v/>
      </c>
      <c r="T3170">
        <f>IF(C3170,(H3170*N3170*IF(AND(Inputs!$B$38&lt;&gt;"pvp",Inputs!$B$43&gt;0),((Skills!G5*((R3170-1)*IF(Skills!H5&gt;0,Skills!I5/Skills!H5,1)+IF(Skills!H5&gt;0,MIN(Skills!I5,MAX(0,MAX(0,Inputs!$B$43-B3203)-((R3170-1)*(IF(Inputs!$B$38="pvp",15,MAX(0.1,Skills!D5-IF(Skills!E5=TRUE,4.5,0)))*(1-IF(AND(ArtifactsInput!$M$27,Inputs!$B$4="Chapter Hunt"),CHOOSE(ArtifactsInput!$N$27+1,20,24,28,32,36,40),0)/100)))))/Skills!H5,1)))/Inputs!$B$43),G3170*Q3170)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3170*(1-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3170*(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3170*(1-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3170*(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0">
        <f>IF(C3170,(H3170*N3170*IF(AND(Inputs!$B$38&lt;&gt;"pvp",Inputs!$B$43&gt;0),((Skills!G5*((R3170-1)*IF(Skills!H5&gt;0,Skills!I5/Skills!H5,1)+IF(Skills!H5&gt;0,MIN(Skills!I5,MAX(0,MAX(0,Inputs!$B$43-B3203)-((R3170-1)*(IF(Inputs!$B$38="pvp",15,MAX(0.1,Skills!D5-IF(Skills!E5=TRUE,4.5,0)))*(1-IF(AND(ArtifactsInput!$M$27,Inputs!$B$4="Chapter Hunt"),CHOOSE(ArtifactsInput!$N$27+1,20,24,28,32,36,40),0)/100)))))/Skills!H5,1)))/Inputs!$B$43),G3170*Q3170))*IF(Inputs!$B$38="pvp",1,(1+(Inputs!$B$21+Skills!Q5+(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1">
      <c r="A3171">
        <f>Skills!A6</f>
        <v/>
      </c>
      <c r="B3171">
        <f>Skills!B6</f>
        <v/>
      </c>
      <c r="C3171">
        <f>Inputs!$B$3&gt;=63</f>
        <v/>
      </c>
      <c r="D3171">
        <f>IF(Skills!C6=1,60+Inputs!$B$25+Inputs!$B$29,IF(Skills!C6=2,90+Inputs!$B$26+Inputs!$B$29,IF(Skills!C6=3,120+Inputs!$B$27+Inputs!$B$29,MAX(0,(Inputs!$B$3-100)*3)+Inputs!$B$28+Inputs!$B$29)))</f>
        <v/>
      </c>
      <c r="E3171">
        <f>INDEX(FactorTable!$B$2:$Y$301, MATCH(ROUND(MIN(300,MAX(1,D3171)),0), FactorTable!$A$2:$A$301,0), Skills!M6+1)</f>
        <v/>
      </c>
      <c r="F3171">
        <f>IF(Skills!N6=TRUE,(Skills!L6/10)*(E3171/1000),Skills!L6/10)+Skills!O6</f>
        <v/>
      </c>
      <c r="G3171">
        <f>Skills!G6*IF(Skills!H6&gt;0,Skills!I6/Skills!H6,1)</f>
        <v/>
      </c>
      <c r="H3171">
        <f>1-(1-Skills!J6/100)^Skills!K6</f>
        <v/>
      </c>
      <c r="I3171" t="inlineStr">
        <is>
          <t>1</t>
        </is>
      </c>
      <c r="J3171">
        <f>((Inputs!$B$6*(1+Inputs!$B$7/100))+(((Inputs!$B$12*(1+Inputs!$B$13/100))-(Inputs!$B$12*(1+Inputs!$B$13/100)))+0.25*(Inputs!$B$14-Inputs!$B$14))*(1+Inputs!$B$7/100))*(F3171/100)</f>
        <v/>
      </c>
      <c r="K3171">
        <f>J3171*(1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3180=TRUE,F3180,0)/100)*(1+(IF(Skills!A6="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3171)</f>
        <v/>
      </c>
      <c r="L3171">
        <f>K3171*(MIN(Inputs!$B$22+((C3187=TRUE)*(F3187-Calc!F22)),(Inputs!$B$23+0+(IF(ArtifactsInput!$M$15,CHOOSE(ArtifactsInput!$N$15+1,25,30,35,40,45,50)/100*(Inputs!$B$11-Inputs!$B$11),0))))/100+(Inputs!$B$23+0+(IF(ArtifactsInput!$M$15,CHOOSE(ArtifactsInput!$N$15+1,25,30,35,40,45,50)/100*(Inputs!$B$11-Inputs!$B$11),0)))/100)/2</f>
        <v/>
      </c>
      <c r="M3171">
        <f>L3171*(1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1">
        <f>L3171*(1-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1">
        <f>(1-Summary!$B$11)*T3171+Summary!$B$11*V3171</f>
        <v/>
      </c>
      <c r="P3171">
        <f>IF(B3206=0,0,O3171/B3206)</f>
        <v/>
      </c>
      <c r="Q3171">
        <f>IFERROR(1/(IF(Inputs!$B$38="pvp",15,MAX(0.1,Skills!D6-IF(Skills!E6=TRUE,4.5,0)))*(1-IF(AND(ArtifactsInput!$M$27,Inputs!$B$4="Chapter Hunt"),CHOOSE(ArtifactsInput!$N$27+1,20,24,28,32,36,40),0)/100)),0)</f>
        <v/>
      </c>
      <c r="R3171">
        <f>IF(AND(Inputs!$B$38&lt;&gt;"pvp",Inputs!$B$43&gt;0),IF(MAX(0,Inputs!$B$43-B3203)&lt;=0,0,(INT(MAX(0,Inputs!$B$43-B3203)/(IF(Inputs!$B$38="pvp",15,MAX(0.1,Skills!D6-IF(Skills!E6=TRUE,4.5,0)))*(1-IF(AND(ArtifactsInput!$M$27,Inputs!$B$4="Chapter Hunt"),CHOOSE(ArtifactsInput!$N$27+1,20,24,28,32,36,40),0)/100)))+1)),0)</f>
        <v/>
      </c>
      <c r="S3171">
        <f>IFERROR(O3171/N3171,0)</f>
        <v/>
      </c>
      <c r="T3171">
        <f>IF(C3171,(H3171*N3171*IF(AND(Inputs!$B$38&lt;&gt;"pvp",Inputs!$B$43&gt;0),((Skills!G6*((R3171-1)*IF(Skills!H6&gt;0,Skills!I6/Skills!H6,1)+IF(Skills!H6&gt;0,MIN(Skills!I6,MAX(0,MAX(0,Inputs!$B$43-B3203)-((R3171-1)*(IF(Inputs!$B$38="pvp",15,MAX(0.1,Skills!D6-IF(Skills!E6=TRUE,4.5,0)))*(1-IF(AND(ArtifactsInput!$M$27,Inputs!$B$4="Chapter Hunt"),CHOOSE(ArtifactsInput!$N$27+1,20,24,28,32,36,40),0)/100)))))/Skills!H6,1)))/Inputs!$B$43),G3171*Q3171)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3171*(1-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3171*(1-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1">
        <f>IF(C3171,(H3171*N3171*IF(AND(Inputs!$B$38&lt;&gt;"pvp",Inputs!$B$43&gt;0),((Skills!G6*((R3171-1)*IF(Skills!H6&gt;0,Skills!I6/Skills!H6,1)+IF(Skills!H6&gt;0,MIN(Skills!I6,MAX(0,MAX(0,Inputs!$B$43-B3203)-((R3171-1)*(IF(Inputs!$B$38="pvp",15,MAX(0.1,Skills!D6-IF(Skills!E6=TRUE,4.5,0)))*(1-IF(AND(ArtifactsInput!$M$27,Inputs!$B$4="Chapter Hunt"),CHOOSE(ArtifactsInput!$N$27+1,20,24,28,32,36,40),0)/100)))))/Skills!H6,1)))/Inputs!$B$43),G3171*Q3171))*IF(Inputs!$B$38="pvp",1,(1+(Inputs!$B$21+Skills!Q6+(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2">
      <c r="A3172">
        <f>Skills!A7</f>
        <v/>
      </c>
      <c r="B3172">
        <f>Skills!B7</f>
        <v/>
      </c>
      <c r="C3172">
        <f>Inputs!$B$3&gt;=66</f>
        <v/>
      </c>
      <c r="D3172">
        <f>IF(Skills!C7=1,60+Inputs!$B$25+Inputs!$B$29,IF(Skills!C7=2,90+Inputs!$B$26+Inputs!$B$29,IF(Skills!C7=3,120+Inputs!$B$27+Inputs!$B$29,MAX(0,(Inputs!$B$3-100)*3)+Inputs!$B$28+Inputs!$B$29)))</f>
        <v/>
      </c>
      <c r="E3172">
        <f>INDEX(FactorTable!$B$2:$Y$301, MATCH(ROUND(MIN(300,MAX(1,D3172)),0), FactorTable!$A$2:$A$301,0), Skills!M7+1)</f>
        <v/>
      </c>
      <c r="F3172">
        <f>IF(Skills!N7=TRUE,(Skills!L7/10)*(E3172/1000),Skills!L7/10)+Skills!O7</f>
        <v/>
      </c>
      <c r="G3172">
        <f>Skills!G7*IF(Skills!H7&gt;0,Skills!I7/Skills!H7,1)</f>
        <v/>
      </c>
      <c r="H3172">
        <f>1-(1-Skills!J7/100)^Skills!K7</f>
        <v/>
      </c>
      <c r="I3172" t="inlineStr">
        <is>
          <t>1</t>
        </is>
      </c>
      <c r="J3172">
        <f>((Inputs!$B$6*(1+Inputs!$B$7/100))+(((Inputs!$B$12*(1+Inputs!$B$13/100))-(Inputs!$B$12*(1+Inputs!$B$13/100)))+0.25*(Inputs!$B$14-Inputs!$B$14))*(1+Inputs!$B$7/100))*(F3172/100)</f>
        <v/>
      </c>
      <c r="K3172">
        <f>J3172*(1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3180=TRUE,F3180,0)/100)*(1+(IF(Skills!A7="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3172)</f>
        <v/>
      </c>
      <c r="L3172">
        <f>K3172*(MIN(Inputs!$B$22+((C3187=TRUE)*(F3187-Calc!F22)),(Inputs!$B$23+0+(IF(ArtifactsInput!$M$15,CHOOSE(ArtifactsInput!$N$15+1,25,30,35,40,45,50)/100*(Inputs!$B$11-Inputs!$B$11),0))))/100+(Inputs!$B$23+0+(IF(ArtifactsInput!$M$15,CHOOSE(ArtifactsInput!$N$15+1,25,30,35,40,45,50)/100*(Inputs!$B$11-Inputs!$B$11),0)))/100)/2</f>
        <v/>
      </c>
      <c r="M3172">
        <f>L3172*(1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2">
        <f>L3172*(1-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3172*(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2">
        <f>(1-Summary!$B$11)*T3172+Summary!$B$11*V3172</f>
        <v/>
      </c>
      <c r="P3172">
        <f>IF(B3206=0,0,O3172/B3206)</f>
        <v/>
      </c>
      <c r="Q3172">
        <f>IFERROR(1/(IF(Inputs!$B$38="pvp",15,MAX(0.1,Skills!D7-IF(Skills!E7=TRUE,4.5,0)))*(1-IF(AND(ArtifactsInput!$M$27,Inputs!$B$4="Chapter Hunt"),CHOOSE(ArtifactsInput!$N$27+1,20,24,28,32,36,40),0)/100)),0)</f>
        <v/>
      </c>
      <c r="R3172">
        <f>IF(AND(Inputs!$B$38&lt;&gt;"pvp",Inputs!$B$43&gt;0),IF(MAX(0,Inputs!$B$43-B3203)&lt;=0,0,(INT(MAX(0,Inputs!$B$43-B3203)/(IF(Inputs!$B$38="pvp",15,MAX(0.1,Skills!D7-IF(Skills!E7=TRUE,4.5,0)))*(1-IF(AND(ArtifactsInput!$M$27,Inputs!$B$4="Chapter Hunt"),CHOOSE(ArtifactsInput!$N$27+1,20,24,28,32,36,40),0)/100)))+1)),0)</f>
        <v/>
      </c>
      <c r="S3172">
        <f>IFERROR(O3172/N3172,0)</f>
        <v/>
      </c>
      <c r="T3172">
        <f>IF(C3172,(H3172*N3172*IF(AND(Inputs!$B$38&lt;&gt;"pvp",Inputs!$B$43&gt;0),((Skills!G7*((R3172-1)*IF(Skills!H7&gt;0,Skills!I7/Skills!H7,1)+IF(Skills!H7&gt;0,MIN(Skills!I7,MAX(0,MAX(0,Inputs!$B$43-B3203)-((R3172-1)*(IF(Inputs!$B$38="pvp",15,MAX(0.1,Skills!D7-IF(Skills!E7=TRUE,4.5,0)))*(1-IF(AND(ArtifactsInput!$M$27,Inputs!$B$4="Chapter Hunt"),CHOOSE(ArtifactsInput!$N$27+1,20,24,28,32,36,40),0)/100)))))/Skills!H7,1)))/Inputs!$B$43),G3172*Q3172)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3172*(1-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3172*(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3172*(1-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3172*(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2">
        <f>IF(C3172,(H3172*N3172*IF(AND(Inputs!$B$38&lt;&gt;"pvp",Inputs!$B$43&gt;0),((Skills!G7*((R3172-1)*IF(Skills!H7&gt;0,Skills!I7/Skills!H7,1)+IF(Skills!H7&gt;0,MIN(Skills!I7,MAX(0,MAX(0,Inputs!$B$43-B3203)-((R3172-1)*(IF(Inputs!$B$38="pvp",15,MAX(0.1,Skills!D7-IF(Skills!E7=TRUE,4.5,0)))*(1-IF(AND(ArtifactsInput!$M$27,Inputs!$B$4="Chapter Hunt"),CHOOSE(ArtifactsInput!$N$27+1,20,24,28,32,36,40),0)/100)))))/Skills!H7,1)))/Inputs!$B$43),G3172*Q3172))*IF(Inputs!$B$38="pvp",1,(1+(Inputs!$B$21+Skills!Q7+(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3">
      <c r="A3173">
        <f>Skills!A8</f>
        <v/>
      </c>
      <c r="B3173">
        <f>Skills!B8</f>
        <v/>
      </c>
      <c r="C3173">
        <f>Inputs!$B$3&gt;=100</f>
        <v/>
      </c>
      <c r="D3173">
        <f>IF(Skills!C8=1,60+Inputs!$B$25+Inputs!$B$29,IF(Skills!C8=2,90+Inputs!$B$26+Inputs!$B$29,IF(Skills!C8=3,120+Inputs!$B$27+Inputs!$B$29,MAX(0,(Inputs!$B$3-100)*3)+Inputs!$B$28+Inputs!$B$29)))</f>
        <v/>
      </c>
      <c r="E3173">
        <f>INDEX(FactorTable!$B$2:$Y$301, MATCH(ROUND(MIN(300,MAX(1,D3173)),0), FactorTable!$A$2:$A$301,0), Skills!M8+1)</f>
        <v/>
      </c>
      <c r="F3173">
        <f>IF(Skills!N8=TRUE,(Skills!L8/10)*(E3173/1000),Skills!L8/10)+Skills!O8</f>
        <v/>
      </c>
      <c r="G3173">
        <f>Skills!G8*IF(Skills!H8&gt;0,Skills!I8/Skills!H8,1)</f>
        <v/>
      </c>
      <c r="H3173">
        <f>1-(1-Skills!J8/100)^Skills!K8</f>
        <v/>
      </c>
      <c r="I3173" t="inlineStr">
        <is>
          <t>1</t>
        </is>
      </c>
      <c r="J3173">
        <f>((Inputs!$B$6*(1+Inputs!$B$7/100))+(((Inputs!$B$12*(1+Inputs!$B$13/100))-(Inputs!$B$12*(1+Inputs!$B$13/100)))+0.25*(Inputs!$B$14-Inputs!$B$14))*(1+Inputs!$B$7/100))*(F3173/100)</f>
        <v/>
      </c>
      <c r="K3173">
        <f>J3173*(1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3173)</f>
        <v/>
      </c>
      <c r="L3173">
        <f>K3173*(MIN(Inputs!$B$22+((C3187=TRUE)*(F3187-Calc!F22)),(Inputs!$B$23+0+(IF(ArtifactsInput!$M$15,CHOOSE(ArtifactsInput!$N$15+1,25,30,35,40,45,50)/100*(Inputs!$B$11-Inputs!$B$11),0))))/100+(Inputs!$B$23+0+(IF(ArtifactsInput!$M$15,CHOOSE(ArtifactsInput!$N$15+1,25,30,35,40,45,50)/100*(Inputs!$B$11-Inputs!$B$11),0)))/100)/2</f>
        <v/>
      </c>
      <c r="M3173">
        <f>L3173*(1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3">
        <f>L3173*(1-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3173*(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3">
        <f>(1-Summary!$B$11)*T3173+Summary!$B$11*V3173</f>
        <v/>
      </c>
      <c r="P3173">
        <f>IF(B3206=0,0,O3173/B3206)</f>
        <v/>
      </c>
      <c r="Q3173">
        <f>IFERROR(1/(IF(Inputs!$B$38="pvp",15,MAX(0.1,Skills!D8-IF(Skills!E8=TRUE,4.5,0)))*(1-IF(AND(ArtifactsInput!$M$27,Inputs!$B$4="Chapter Hunt"),CHOOSE(ArtifactsInput!$N$27+1,20,24,28,32,36,40),0)/100)),0)</f>
        <v/>
      </c>
      <c r="R3173">
        <f>IF(AND(Inputs!$B$38&lt;&gt;"pvp",Inputs!$B$43&gt;0),IF(MAX(0,Inputs!$B$43-B3203)&lt;=0,0,(INT(MAX(0,Inputs!$B$43-B3203)/(IF(Inputs!$B$38="pvp",15,MAX(0.1,Skills!D8-IF(Skills!E8=TRUE,4.5,0)))*(1-IF(AND(ArtifactsInput!$M$27,Inputs!$B$4="Chapter Hunt"),CHOOSE(ArtifactsInput!$N$27+1,20,24,28,32,36,40),0)/100)))+1)),0)</f>
        <v/>
      </c>
      <c r="S3173">
        <f>IFERROR(O3173/N3173,0)</f>
        <v/>
      </c>
      <c r="T3173">
        <f>IF(C3173,(H3173*N3173*IF(AND(Inputs!$B$38&lt;&gt;"pvp",Inputs!$B$43&gt;0),((Skills!G8*((R3173-1)*IF(Skills!H8&gt;0,Skills!I8/Skills!H8,1)+IF(Skills!H8&gt;0,MIN(Skills!I8,MAX(0,MAX(0,Inputs!$B$43-B3203)-((R3173-1)*(IF(Inputs!$B$38="pvp",15,MAX(0.1,Skills!D8-IF(Skills!E8=TRUE,4.5,0)))*(1-IF(AND(ArtifactsInput!$M$27,Inputs!$B$4="Chapter Hunt"),CHOOSE(ArtifactsInput!$N$27+1,20,24,28,32,36,40),0)/100)))))/Skills!H8,1)))/Inputs!$B$43),G3173*Q3173)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3173*(1-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3173*(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3173*(1-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3173*(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3">
        <f>IF(C3173,(H3173*N3173*IF(AND(Inputs!$B$38&lt;&gt;"pvp",Inputs!$B$43&gt;0),((Skills!G8*((R3173-1)*IF(Skills!H8&gt;0,Skills!I8/Skills!H8,1)+IF(Skills!H8&gt;0,MIN(Skills!I8,MAX(0,MAX(0,Inputs!$B$43-B3203)-((R3173-1)*(IF(Inputs!$B$38="pvp",15,MAX(0.1,Skills!D8-IF(Skills!E8=TRUE,4.5,0)))*(1-IF(AND(ArtifactsInput!$M$27,Inputs!$B$4="Chapter Hunt"),CHOOSE(ArtifactsInput!$N$27+1,20,24,28,32,36,40),0)/100)))))/Skills!H8,1)))/Inputs!$B$43),G3173*Q3173))*IF(Inputs!$B$38="pvp",1,(1+(Inputs!$B$21+Skills!Q8+(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4">
      <c r="A3174">
        <f>Skills!A9</f>
        <v/>
      </c>
      <c r="B3174">
        <f>Skills!B9</f>
        <v/>
      </c>
      <c r="C3174">
        <f>Inputs!$B$3&gt;=103</f>
        <v/>
      </c>
      <c r="D3174">
        <f>IF(Skills!C9=1,60+Inputs!$B$25+Inputs!$B$29,IF(Skills!C9=2,90+Inputs!$B$26+Inputs!$B$29,IF(Skills!C9=3,120+Inputs!$B$27+Inputs!$B$29,MAX(0,(Inputs!$B$3-100)*3)+Inputs!$B$28+Inputs!$B$29)))</f>
        <v/>
      </c>
      <c r="E3174">
        <f>INDEX(FactorTable!$B$2:$Y$301, MATCH(ROUND(MIN(300,MAX(1,D3174)),0), FactorTable!$A$2:$A$301,0), Skills!M9+1)</f>
        <v/>
      </c>
      <c r="F3174">
        <f>IF(Skills!N9=TRUE,(Skills!L9/10)*(E3174/1000),Skills!L9/10)+Skills!O9</f>
        <v/>
      </c>
      <c r="G3174">
        <f>Skills!G9*IF(Skills!H9&gt;0,Skills!I9/Skills!H9,1)</f>
        <v/>
      </c>
      <c r="H3174">
        <f>1-(1-Skills!J9/100)^Skills!K9</f>
        <v/>
      </c>
      <c r="I3174" t="inlineStr">
        <is>
          <t>1</t>
        </is>
      </c>
      <c r="J3174">
        <f>((Inputs!$B$6*(1+Inputs!$B$7/100))+(((Inputs!$B$12*(1+Inputs!$B$13/100))-(Inputs!$B$12*(1+Inputs!$B$13/100)))+0.25*(Inputs!$B$14-Inputs!$B$14))*(1+Inputs!$B$7/100))*(F3174/100)</f>
        <v/>
      </c>
      <c r="K3174">
        <f>J3174*(1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3174)</f>
        <v/>
      </c>
      <c r="L3174">
        <f>K3174*(MIN(Inputs!$B$22+((C3187=TRUE)*(F3187-Calc!F22)),(Inputs!$B$23+0+(IF(ArtifactsInput!$M$15,CHOOSE(ArtifactsInput!$N$15+1,25,30,35,40,45,50)/100*(Inputs!$B$11-Inputs!$B$11),0))))/100+(Inputs!$B$23+0+(IF(ArtifactsInput!$M$15,CHOOSE(ArtifactsInput!$N$15+1,25,30,35,40,45,50)/100*(Inputs!$B$11-Inputs!$B$11),0)))/100)/2</f>
        <v/>
      </c>
      <c r="M3174">
        <f>L3174*(1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4">
        <f>L3174*(1-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3174*(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4">
        <f>(1-Summary!$B$11)*T3174+Summary!$B$11*V3174</f>
        <v/>
      </c>
      <c r="P3174">
        <f>IF(B3206=0,0,O3174/B3206)</f>
        <v/>
      </c>
      <c r="Q3174">
        <f>IFERROR(1/(IF(Inputs!$B$38="pvp",15,MAX(0.1,Skills!D9-IF(Skills!E9=TRUE,4.5,0)))*(1-IF(AND(ArtifactsInput!$M$27,Inputs!$B$4="Chapter Hunt"),CHOOSE(ArtifactsInput!$N$27+1,20,24,28,32,36,40),0)/100)),0)</f>
        <v/>
      </c>
      <c r="R3174">
        <f>IF(AND(Inputs!$B$38&lt;&gt;"pvp",Inputs!$B$43&gt;0),IF(MAX(0,Inputs!$B$43-B3203)&lt;=0,0,(INT(MAX(0,Inputs!$B$43-B3203)/(IF(Inputs!$B$38="pvp",15,MAX(0.1,Skills!D9-IF(Skills!E9=TRUE,4.5,0)))*(1-IF(AND(ArtifactsInput!$M$27,Inputs!$B$4="Chapter Hunt"),CHOOSE(ArtifactsInput!$N$27+1,20,24,28,32,36,40),0)/100)))+1)),0)</f>
        <v/>
      </c>
      <c r="S3174">
        <f>IFERROR(O3174/N3174,0)</f>
        <v/>
      </c>
      <c r="T3174">
        <f>IF(C3174,(H3174*N3174*IF(AND(Inputs!$B$38&lt;&gt;"pvp",Inputs!$B$43&gt;0),((Skills!G9*((R3174-1)*IF(Skills!H9&gt;0,Skills!I9/Skills!H9,1)+IF(Skills!H9&gt;0,MIN(Skills!I9,MAX(0,MAX(0,Inputs!$B$43-B3203)-((R3174-1)*(IF(Inputs!$B$38="pvp",15,MAX(0.1,Skills!D9-IF(Skills!E9=TRUE,4.5,0)))*(1-IF(AND(ArtifactsInput!$M$27,Inputs!$B$4="Chapter Hunt"),CHOOSE(ArtifactsInput!$N$27+1,20,24,28,32,36,40),0)/100)))))/Skills!H9,1)))/Inputs!$B$43),G3174*Q3174)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3174*(1-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3174*(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3174*(1-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3174*(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4">
        <f>IF(C3174,(H3174*N3174*IF(AND(Inputs!$B$38&lt;&gt;"pvp",Inputs!$B$43&gt;0),((Skills!G9*((R3174-1)*IF(Skills!H9&gt;0,Skills!I9/Skills!H9,1)+IF(Skills!H9&gt;0,MIN(Skills!I9,MAX(0,MAX(0,Inputs!$B$43-B3203)-((R3174-1)*(IF(Inputs!$B$38="pvp",15,MAX(0.1,Skills!D9-IF(Skills!E9=TRUE,4.5,0)))*(1-IF(AND(ArtifactsInput!$M$27,Inputs!$B$4="Chapter Hunt"),CHOOSE(ArtifactsInput!$N$27+1,20,24,28,32,36,40),0)/100)))))/Skills!H9,1)))/Inputs!$B$43),G3174*Q3174))*IF(Inputs!$B$38="pvp",1,(1+(Inputs!$B$21+Skills!Q9+(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5">
      <c r="A3175">
        <f>Skills!A10</f>
        <v/>
      </c>
      <c r="B3175">
        <f>Skills!B10</f>
        <v/>
      </c>
      <c r="C3175">
        <f>Inputs!$B$3&gt;=113</f>
        <v/>
      </c>
      <c r="D3175">
        <f>IF(Skills!C10=1,60+Inputs!$B$25+Inputs!$B$29,IF(Skills!C10=2,90+Inputs!$B$26+Inputs!$B$29,IF(Skills!C10=3,120+Inputs!$B$27+Inputs!$B$29,MAX(0,(Inputs!$B$3-100)*3)+Inputs!$B$28+Inputs!$B$29)))</f>
        <v/>
      </c>
      <c r="E3175">
        <f>INDEX(FactorTable!$B$2:$Y$301, MATCH(ROUND(MIN(300,MAX(1,D3175)),0), FactorTable!$A$2:$A$301,0), Skills!M10+1)</f>
        <v/>
      </c>
      <c r="F3175">
        <f>IF(Skills!N10=TRUE,(Skills!L10/10)*(E3175/1000),Skills!L10/10)+Skills!O10</f>
        <v/>
      </c>
      <c r="G3175">
        <f>Skills!G10*IF(Skills!H10&gt;0,Skills!I10/Skills!H10,1)</f>
        <v/>
      </c>
      <c r="H3175">
        <f>1-(1-Skills!J10/100)^Skills!K10</f>
        <v/>
      </c>
      <c r="I3175" t="inlineStr">
        <is>
          <t>1</t>
        </is>
      </c>
      <c r="J3175">
        <f>((Inputs!$B$6*(1+Inputs!$B$7/100))+(((Inputs!$B$12*(1+Inputs!$B$13/100))-(Inputs!$B$12*(1+Inputs!$B$13/100)))+0.25*(Inputs!$B$14-Inputs!$B$14))*(1+Inputs!$B$7/100))*(F3175/100)</f>
        <v/>
      </c>
      <c r="K3175">
        <f>J3175*(1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3175)</f>
        <v/>
      </c>
      <c r="L3175">
        <f>K3175*(MIN(Inputs!$B$22+((C3187=TRUE)*(F3187-Calc!F22)),(Inputs!$B$23+0+(IF(ArtifactsInput!$M$15,CHOOSE(ArtifactsInput!$N$15+1,25,30,35,40,45,50)/100*(Inputs!$B$11-Inputs!$B$11),0))))/100+(Inputs!$B$23+0+(IF(ArtifactsInput!$M$15,CHOOSE(ArtifactsInput!$N$15+1,25,30,35,40,45,50)/100*(Inputs!$B$11-Inputs!$B$11),0)))/100)/2</f>
        <v/>
      </c>
      <c r="M3175">
        <f>L3175*(1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5">
        <f>L3175*(1-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3175*(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5">
        <f>(1-Summary!$B$11)*T3175+Summary!$B$11*V3175</f>
        <v/>
      </c>
      <c r="P3175">
        <f>IF(B3206=0,0,O3175/B3206)</f>
        <v/>
      </c>
      <c r="Q3175">
        <f>IFERROR(1/(IF(Inputs!$B$38="pvp",15,MAX(0.1,Skills!D10-IF(Skills!E10=TRUE,4.5,0)))*(1-IF(AND(ArtifactsInput!$M$27,Inputs!$B$4="Chapter Hunt"),CHOOSE(ArtifactsInput!$N$27+1,20,24,28,32,36,40),0)/100)),0)</f>
        <v/>
      </c>
      <c r="R3175">
        <f>IF(AND(Inputs!$B$38&lt;&gt;"pvp",Inputs!$B$43&gt;0),IF(MAX(0,Inputs!$B$43-B3203)&lt;=0,0,(INT(MAX(0,Inputs!$B$43-B3203)/(IF(Inputs!$B$38="pvp",15,MAX(0.1,Skills!D10-IF(Skills!E10=TRUE,4.5,0)))*(1-IF(AND(ArtifactsInput!$M$27,Inputs!$B$4="Chapter Hunt"),CHOOSE(ArtifactsInput!$N$27+1,20,24,28,32,36,40),0)/100)))+1)),0)</f>
        <v/>
      </c>
      <c r="S3175">
        <f>IFERROR(O3175/N3175,0)</f>
        <v/>
      </c>
      <c r="T3175">
        <f>IF(C3175,(H3175*N3175*IF(AND(Inputs!$B$38&lt;&gt;"pvp",Inputs!$B$43&gt;0),((Skills!G10*((R3175-1)*IF(Skills!H10&gt;0,Skills!I10/Skills!H10,1)+IF(Skills!H10&gt;0,MIN(Skills!I10,MAX(0,MAX(0,Inputs!$B$43-B3203)-((R3175-1)*(IF(Inputs!$B$38="pvp",15,MAX(0.1,Skills!D10-IF(Skills!E10=TRUE,4.5,0)))*(1-IF(AND(ArtifactsInput!$M$27,Inputs!$B$4="Chapter Hunt"),CHOOSE(ArtifactsInput!$N$27+1,20,24,28,32,36,40),0)/100)))))/Skills!H10,1)))/Inputs!$B$43),G3175*Q3175)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3175*(1-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3175*(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3175*(1-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3175*(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5">
        <f>IF(C3175,(H3175*N3175*IF(AND(Inputs!$B$38&lt;&gt;"pvp",Inputs!$B$43&gt;0),((Skills!G10*((R3175-1)*IF(Skills!H10&gt;0,Skills!I10/Skills!H10,1)+IF(Skills!H10&gt;0,MIN(Skills!I10,MAX(0,MAX(0,Inputs!$B$43-B3203)-((R3175-1)*(IF(Inputs!$B$38="pvp",15,MAX(0.1,Skills!D10-IF(Skills!E10=TRUE,4.5,0)))*(1-IF(AND(ArtifactsInput!$M$27,Inputs!$B$4="Chapter Hunt"),CHOOSE(ArtifactsInput!$N$27+1,20,24,28,32,36,40),0)/100)))))/Skills!H10,1)))/Inputs!$B$43),G3175*Q3175))*IF(Inputs!$B$38="pvp",1,(1+(Inputs!$B$21+Skills!Q10+(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6">
      <c r="A3176">
        <f>Skills!A11</f>
        <v/>
      </c>
      <c r="B3176">
        <f>Skills!B11</f>
        <v/>
      </c>
      <c r="C3176">
        <f>Inputs!$B$3&gt;=107</f>
        <v/>
      </c>
      <c r="D3176">
        <f>IF(Skills!C11=1,60+Inputs!$B$25+Inputs!$B$29,IF(Skills!C11=2,90+Inputs!$B$26+Inputs!$B$29,IF(Skills!C11=3,120+Inputs!$B$27+Inputs!$B$29,MAX(0,(Inputs!$B$3-100)*3)+Inputs!$B$28+Inputs!$B$29)))</f>
        <v/>
      </c>
      <c r="E3176">
        <f>INDEX(FactorTable!$B$2:$Y$301, MATCH(ROUND(MIN(300,MAX(1,D3176)),0), FactorTable!$A$2:$A$301,0), Skills!M11+1)</f>
        <v/>
      </c>
      <c r="F3176">
        <f>IF(Skills!N11=TRUE,(Skills!L11/10)*(E3176/1000),Skills!L11/10)+Skills!O11</f>
        <v/>
      </c>
      <c r="G3176">
        <f>Skills!G11*IF(Skills!H11&gt;0,Skills!I11/Skills!H11,1)</f>
        <v/>
      </c>
      <c r="H3176">
        <f>1-(1-Skills!J11/100)^Skills!K11</f>
        <v/>
      </c>
      <c r="I3176" t="inlineStr">
        <is>
          <t>1</t>
        </is>
      </c>
      <c r="J3176">
        <f>((Inputs!$B$6*(1+Inputs!$B$7/100))+(((Inputs!$B$12*(1+Inputs!$B$13/100))-(Inputs!$B$12*(1+Inputs!$B$13/100)))+0.25*(Inputs!$B$14-Inputs!$B$14))*(1+Inputs!$B$7/100))*(F3176/100)</f>
        <v/>
      </c>
      <c r="K3176">
        <f>J3176*(1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3176)</f>
        <v/>
      </c>
      <c r="L3176">
        <f>K3176*(MIN(Inputs!$B$22+((C3187=TRUE)*(F3187-Calc!F22)),(Inputs!$B$23+0+(IF(ArtifactsInput!$M$15,CHOOSE(ArtifactsInput!$N$15+1,25,30,35,40,45,50)/100*(Inputs!$B$11-Inputs!$B$11),0))))/100+(Inputs!$B$23+0+(IF(ArtifactsInput!$M$15,CHOOSE(ArtifactsInput!$N$15+1,25,30,35,40,45,50)/100*(Inputs!$B$11-Inputs!$B$11),0)))/100)/2</f>
        <v/>
      </c>
      <c r="M3176">
        <f>L3176*(1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6">
        <f>L3176*(1-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3176*(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6">
        <f>(1-Summary!$B$11)*T3176+Summary!$B$11*V3176</f>
        <v/>
      </c>
      <c r="P3176">
        <f>IF(B3206=0,0,O3176/B3206)</f>
        <v/>
      </c>
      <c r="Q3176">
        <f>IFERROR(1/(IF(Inputs!$B$38="pvp",15,MAX(0.1,Skills!D11-IF(Skills!E11=TRUE,4.5,0)))*(1-IF(AND(ArtifactsInput!$M$27,Inputs!$B$4="Chapter Hunt"),CHOOSE(ArtifactsInput!$N$27+1,20,24,28,32,36,40),0)/100)),0)</f>
        <v/>
      </c>
      <c r="R3176">
        <f>IF(AND(Inputs!$B$38&lt;&gt;"pvp",Inputs!$B$43&gt;0),IF(MAX(0,Inputs!$B$43-B3203)&lt;=0,0,(INT(MAX(0,Inputs!$B$43-B3203)/(IF(Inputs!$B$38="pvp",15,MAX(0.1,Skills!D11-IF(Skills!E11=TRUE,4.5,0)))*(1-IF(AND(ArtifactsInput!$M$27,Inputs!$B$4="Chapter Hunt"),CHOOSE(ArtifactsInput!$N$27+1,20,24,28,32,36,40),0)/100)))+1)),0)</f>
        <v/>
      </c>
      <c r="S3176">
        <f>IFERROR(O3176/N3176,0)</f>
        <v/>
      </c>
      <c r="T3176">
        <f>IF(C3176,(H3176*N3176*IF(AND(Inputs!$B$38&lt;&gt;"pvp",Inputs!$B$43&gt;0),((Skills!G11*((R3176-1)*IF(Skills!H11&gt;0,Skills!I11/Skills!H11,1)+IF(Skills!H11&gt;0,MIN(Skills!I11,MAX(0,MAX(0,Inputs!$B$43-B3203)-((R3176-1)*(IF(Inputs!$B$38="pvp",15,MAX(0.1,Skills!D11-IF(Skills!E11=TRUE,4.5,0)))*(1-IF(AND(ArtifactsInput!$M$27,Inputs!$B$4="Chapter Hunt"),CHOOSE(ArtifactsInput!$N$27+1,20,24,28,32,36,40),0)/100)))))/Skills!H11,1)))/Inputs!$B$43),G3176*Q3176)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3176*(1-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3176*(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3176*(1-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3176*(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6">
        <f>IF(C3176,(H3176*N3176*IF(AND(Inputs!$B$38&lt;&gt;"pvp",Inputs!$B$43&gt;0),((Skills!G11*((R3176-1)*IF(Skills!H11&gt;0,Skills!I11/Skills!H11,1)+IF(Skills!H11&gt;0,MIN(Skills!I11,MAX(0,MAX(0,Inputs!$B$43-B3203)-((R3176-1)*(IF(Inputs!$B$38="pvp",15,MAX(0.1,Skills!D11-IF(Skills!E11=TRUE,4.5,0)))*(1-IF(AND(ArtifactsInput!$M$27,Inputs!$B$4="Chapter Hunt"),CHOOSE(ArtifactsInput!$N$27+1,20,24,28,32,36,40),0)/100)))))/Skills!H11,1)))/Inputs!$B$43),G3176*Q3176))*IF(Inputs!$B$38="pvp",1,(1+(Inputs!$B$21+Skills!Q11+(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7">
      <c r="A3177">
        <f>Skills!A12</f>
        <v/>
      </c>
      <c r="B3177">
        <f>Skills!B12</f>
        <v/>
      </c>
      <c r="C3177">
        <f>Inputs!$B$3&gt;=110</f>
        <v/>
      </c>
      <c r="D3177">
        <f>IF(Skills!C12=1,60+Inputs!$B$25+Inputs!$B$29,IF(Skills!C12=2,90+Inputs!$B$26+Inputs!$B$29,IF(Skills!C12=3,120+Inputs!$B$27+Inputs!$B$29,MAX(0,(Inputs!$B$3-100)*3)+Inputs!$B$28+Inputs!$B$29)))</f>
        <v/>
      </c>
      <c r="E3177">
        <f>INDEX(FactorTable!$B$2:$Y$301, MATCH(ROUND(MIN(300,MAX(1,D3177)),0), FactorTable!$A$2:$A$301,0), Skills!M12+1)</f>
        <v/>
      </c>
      <c r="F3177">
        <f>IF(Skills!N12=TRUE,(Skills!L12/10)*(E3177/1000),Skills!L12/10)+Skills!O12</f>
        <v/>
      </c>
      <c r="G3177">
        <f>Skills!G12*IF(Skills!H12&gt;0,Skills!I12/Skills!H12,1)</f>
        <v/>
      </c>
      <c r="H3177">
        <f>1-(1-Skills!J12/100)^Skills!K12</f>
        <v/>
      </c>
      <c r="I3177" t="inlineStr">
        <is>
          <t>1</t>
        </is>
      </c>
      <c r="J3177">
        <f>((Inputs!$B$6*(1+Inputs!$B$7/100))+(((Inputs!$B$12*(1+Inputs!$B$13/100))-(Inputs!$B$12*(1+Inputs!$B$13/100)))+0.25*(Inputs!$B$14-Inputs!$B$14))*(1+Inputs!$B$7/100))*(F3177/100)</f>
        <v/>
      </c>
      <c r="K3177">
        <f>J3177*(1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3177)</f>
        <v/>
      </c>
      <c r="L3177">
        <f>K3177*(MIN(Inputs!$B$22+((C3187=TRUE)*(F3187-Calc!F22)),(Inputs!$B$23+0+(IF(ArtifactsInput!$M$15,CHOOSE(ArtifactsInput!$N$15+1,25,30,35,40,45,50)/100*(Inputs!$B$11-Inputs!$B$11),0))))/100+(Inputs!$B$23+0+(IF(ArtifactsInput!$M$15,CHOOSE(ArtifactsInput!$N$15+1,25,30,35,40,45,50)/100*(Inputs!$B$11-Inputs!$B$11),0)))/100)/2</f>
        <v/>
      </c>
      <c r="M3177">
        <f>L3177*(1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7">
        <f>L3177*(1-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3177*(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7">
        <f>(1-Summary!$B$11)*T3177+Summary!$B$11*V3177</f>
        <v/>
      </c>
      <c r="P3177">
        <f>IF(B3206=0,0,O3177/B3206)</f>
        <v/>
      </c>
      <c r="Q3177">
        <f>IFERROR(1/(IF(Inputs!$B$38="pvp",15,MAX(0.1,Skills!D12-IF(Skills!E12=TRUE,4.5,0)))*(1-IF(AND(ArtifactsInput!$M$27,Inputs!$B$4="Chapter Hunt"),CHOOSE(ArtifactsInput!$N$27+1,20,24,28,32,36,40),0)/100)),0)</f>
        <v/>
      </c>
      <c r="R3177">
        <f>IF(AND(Inputs!$B$38&lt;&gt;"pvp",Inputs!$B$43&gt;0),IF(MAX(0,Inputs!$B$43-B3203)&lt;=0,0,(INT(MAX(0,Inputs!$B$43-B3203)/(IF(Inputs!$B$38="pvp",15,MAX(0.1,Skills!D12-IF(Skills!E12=TRUE,4.5,0)))*(1-IF(AND(ArtifactsInput!$M$27,Inputs!$B$4="Chapter Hunt"),CHOOSE(ArtifactsInput!$N$27+1,20,24,28,32,36,40),0)/100)))+1)),0)</f>
        <v/>
      </c>
      <c r="S3177">
        <f>IFERROR(O3177/N3177,0)</f>
        <v/>
      </c>
      <c r="T3177">
        <f>IF(C3177,(H3177*N3177*IF(AND(Inputs!$B$38&lt;&gt;"pvp",Inputs!$B$43&gt;0),((Skills!G12*((R3177-1)*IF(Skills!H12&gt;0,Skills!I12/Skills!H12,1)+IF(Skills!H12&gt;0,MIN(Skills!I12,MAX(0,MAX(0,Inputs!$B$43-B3203)-((R3177-1)*(IF(Inputs!$B$38="pvp",15,MAX(0.1,Skills!D12-IF(Skills!E12=TRUE,4.5,0)))*(1-IF(AND(ArtifactsInput!$M$27,Inputs!$B$4="Chapter Hunt"),CHOOSE(ArtifactsInput!$N$27+1,20,24,28,32,36,40),0)/100)))))/Skills!H12,1)))/Inputs!$B$43),G3177*Q3177)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3177*(1-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3177*(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3177*(1-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3177*(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7">
        <f>IF(C3177,(H3177*N3177*IF(AND(Inputs!$B$38&lt;&gt;"pvp",Inputs!$B$43&gt;0),((Skills!G12*((R3177-1)*IF(Skills!H12&gt;0,Skills!I12/Skills!H12,1)+IF(Skills!H12&gt;0,MIN(Skills!I12,MAX(0,MAX(0,Inputs!$B$43-B3203)-((R3177-1)*(IF(Inputs!$B$38="pvp",15,MAX(0.1,Skills!D12-IF(Skills!E12=TRUE,4.5,0)))*(1-IF(AND(ArtifactsInput!$M$27,Inputs!$B$4="Chapter Hunt"),CHOOSE(ArtifactsInput!$N$27+1,20,24,28,32,36,40),0)/100)))))/Skills!H12,1)))/Inputs!$B$43),G3177*Q3177))*IF(Inputs!$B$38="pvp",1,(1+(Inputs!$B$21+Skills!Q12+(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8">
      <c r="A3178">
        <f>Skills!A13</f>
        <v/>
      </c>
      <c r="B3178">
        <f>Skills!B13</f>
        <v/>
      </c>
      <c r="C3178">
        <f>Inputs!$B$3&gt;=110</f>
        <v/>
      </c>
      <c r="D3178">
        <f>IF(Skills!C13=1,60+Inputs!$B$25+Inputs!$B$29,IF(Skills!C13=2,90+Inputs!$B$26+Inputs!$B$29,IF(Skills!C13=3,120+Inputs!$B$27+Inputs!$B$29,MAX(0,(Inputs!$B$3-100)*3)+Inputs!$B$28+Inputs!$B$29)))</f>
        <v/>
      </c>
      <c r="E3178">
        <f>INDEX(FactorTable!$B$2:$Y$301, MATCH(ROUND(MIN(300,MAX(1,D3178)),0), FactorTable!$A$2:$A$301,0), Skills!M13+1)</f>
        <v/>
      </c>
      <c r="F3178">
        <f>IF(Skills!N13=TRUE,(Skills!L13/10)*(E3178/1000),Skills!L13/10)+Skills!O13</f>
        <v/>
      </c>
      <c r="G3178">
        <f>Skills!G13*IF(Skills!H13&gt;0,Skills!I13/Skills!H13,1)</f>
        <v/>
      </c>
      <c r="H3178">
        <f>1-(1-Skills!J13/100)^Skills!K13</f>
        <v/>
      </c>
      <c r="I3178" t="inlineStr">
        <is>
          <t>1</t>
        </is>
      </c>
      <c r="J3178">
        <f>((Inputs!$B$6*(1+Inputs!$B$7/100))+(((Inputs!$B$12*(1+Inputs!$B$13/100))-(Inputs!$B$12*(1+Inputs!$B$13/100)))+0.25*(Inputs!$B$14-Inputs!$B$14))*(1+Inputs!$B$7/100))*(F3178/100)</f>
        <v/>
      </c>
      <c r="K3178">
        <f>J3178*(1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3178)</f>
        <v/>
      </c>
      <c r="L3178">
        <f>K3178*(MIN(Inputs!$B$22+((C3187=TRUE)*(F3187-Calc!F22)),(Inputs!$B$23+0+(IF(ArtifactsInput!$M$15,CHOOSE(ArtifactsInput!$N$15+1,25,30,35,40,45,50)/100*(Inputs!$B$11-Inputs!$B$11),0))))/100+(Inputs!$B$23+0+(IF(ArtifactsInput!$M$15,CHOOSE(ArtifactsInput!$N$15+1,25,30,35,40,45,50)/100*(Inputs!$B$11-Inputs!$B$11),0)))/100)/2</f>
        <v/>
      </c>
      <c r="M3178">
        <f>L3178*(1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8">
        <f>L3178*(1-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3178*(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8">
        <f>(1-Summary!$B$11)*T3178+Summary!$B$11*V3178</f>
        <v/>
      </c>
      <c r="P3178">
        <f>IF(B3206=0,0,O3178/B3206)</f>
        <v/>
      </c>
      <c r="Q3178">
        <f>IFERROR(1/(IF(Inputs!$B$38="pvp",15,MAX(0.1,Skills!D13-IF(Skills!E13=TRUE,4.5,0)))*(1-IF(AND(ArtifactsInput!$M$27,Inputs!$B$4="Chapter Hunt"),CHOOSE(ArtifactsInput!$N$27+1,20,24,28,32,36,40),0)/100)),0)</f>
        <v/>
      </c>
      <c r="R3178">
        <f>IF(AND(Inputs!$B$38&lt;&gt;"pvp",Inputs!$B$43&gt;0),IF(MAX(0,Inputs!$B$43-B3203)&lt;=0,0,(INT(MAX(0,Inputs!$B$43-B3203)/(IF(Inputs!$B$38="pvp",15,MAX(0.1,Skills!D13-IF(Skills!E13=TRUE,4.5,0)))*(1-IF(AND(ArtifactsInput!$M$27,Inputs!$B$4="Chapter Hunt"),CHOOSE(ArtifactsInput!$N$27+1,20,24,28,32,36,40),0)/100)))+1)),0)</f>
        <v/>
      </c>
      <c r="S3178">
        <f>IFERROR(O3178/N3178,0)</f>
        <v/>
      </c>
      <c r="T3178">
        <f>IF(C3178,(H3178*N3178*IF(AND(Inputs!$B$38&lt;&gt;"pvp",Inputs!$B$43&gt;0),((Skills!G13*((R3178-1)*IF(Skills!H13&gt;0,Skills!I13/Skills!H13,1)+IF(Skills!H13&gt;0,MIN(Skills!I13,MAX(0,MAX(0,Inputs!$B$43-B3203)-((R3178-1)*(IF(Inputs!$B$38="pvp",15,MAX(0.1,Skills!D13-IF(Skills!E13=TRUE,4.5,0)))*(1-IF(AND(ArtifactsInput!$M$27,Inputs!$B$4="Chapter Hunt"),CHOOSE(ArtifactsInput!$N$27+1,20,24,28,32,36,40),0)/100)))))/Skills!H13,1)))/Inputs!$B$43),G3178*Q3178)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3178*(1-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3178*(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3178*(1-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3178*(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8">
        <f>IF(C3178,(H3178*N3178*IF(AND(Inputs!$B$38&lt;&gt;"pvp",Inputs!$B$43&gt;0),((Skills!G13*((R3178-1)*IF(Skills!H13&gt;0,Skills!I13/Skills!H13,1)+IF(Skills!H13&gt;0,MIN(Skills!I13,MAX(0,MAX(0,Inputs!$B$43-B3203)-((R3178-1)*(IF(Inputs!$B$38="pvp",15,MAX(0.1,Skills!D13-IF(Skills!E13=TRUE,4.5,0)))*(1-IF(AND(ArtifactsInput!$M$27,Inputs!$B$4="Chapter Hunt"),CHOOSE(ArtifactsInput!$N$27+1,20,24,28,32,36,40),0)/100)))))/Skills!H13,1)))/Inputs!$B$43),G3178*Q3178))*IF(Inputs!$B$38="pvp",1,(1+(Inputs!$B$21+Skills!Q13+(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9">
      <c r="A3179">
        <f>Skills!A14</f>
        <v/>
      </c>
      <c r="B3179">
        <f>Skills!B14</f>
        <v/>
      </c>
      <c r="C3179">
        <f>Inputs!$B$3&gt;=125</f>
        <v/>
      </c>
      <c r="D3179">
        <f>IF(Skills!C14=1,60+Inputs!$B$25+Inputs!$B$29,IF(Skills!C14=2,90+Inputs!$B$26+Inputs!$B$29,IF(Skills!C14=3,120+Inputs!$B$27+Inputs!$B$29,MAX(0,(Inputs!$B$3-100)*3)+Inputs!$B$28+Inputs!$B$29)))</f>
        <v/>
      </c>
      <c r="E3179">
        <f>INDEX(FactorTable!$B$2:$Y$301, MATCH(ROUND(MIN(300,MAX(1,D3179)),0), FactorTable!$A$2:$A$301,0), Skills!M14+1)</f>
        <v/>
      </c>
      <c r="F3179">
        <f>IF(Skills!N14=TRUE,(Skills!L14/10)*(E3179/1000),Skills!L14/10)+Skills!O14</f>
        <v/>
      </c>
      <c r="G3179">
        <f>Skills!G14*IF(Skills!H14&gt;0,Skills!I14/Skills!H14,1)</f>
        <v/>
      </c>
      <c r="H3179">
        <f>1-(1-Skills!J14/100)^Skills!K14</f>
        <v/>
      </c>
      <c r="I3179" t="inlineStr">
        <is>
          <t>1</t>
        </is>
      </c>
      <c r="J3179">
        <f>((Inputs!$B$6*(1+Inputs!$B$7/100))+(((Inputs!$B$12*(1+Inputs!$B$13/100))-(Inputs!$B$12*(1+Inputs!$B$13/100)))+0.25*(Inputs!$B$14-Inputs!$B$14))*(1+Inputs!$B$7/100))*(F3179/100)</f>
        <v/>
      </c>
      <c r="K3179">
        <f>J3179*(1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3179)</f>
        <v/>
      </c>
      <c r="L3179">
        <f>K3179*(MIN(Inputs!$B$22+((C3187=TRUE)*(F3187-Calc!F22)),(Inputs!$B$23+0+(IF(ArtifactsInput!$M$15,CHOOSE(ArtifactsInput!$N$15+1,25,30,35,40,45,50)/100*(Inputs!$B$11-Inputs!$B$11),0))))/100+(Inputs!$B$23+0+(IF(ArtifactsInput!$M$15,CHOOSE(ArtifactsInput!$N$15+1,25,30,35,40,45,50)/100*(Inputs!$B$11-Inputs!$B$11),0)))/100)/2</f>
        <v/>
      </c>
      <c r="M3179">
        <f>L3179*(1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9">
        <f>L3179*(1-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3179*(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9">
        <f>(1-Summary!$B$11)*T3179+Summary!$B$11*V3179</f>
        <v/>
      </c>
      <c r="P3179">
        <f>IF(B3206=0,0,O3179/B3206)</f>
        <v/>
      </c>
      <c r="Q3179" t="n">
        <v>0</v>
      </c>
      <c r="R3179" t="n">
        <v>0</v>
      </c>
      <c r="S3179">
        <f>IFERROR(O3179/N3179,0)</f>
        <v/>
      </c>
      <c r="T3179">
        <f>IF(C3179,(H3179*N3179*(B3200+IF(AND(Inputs!$B$38&lt;&gt;"pvp",Inputs!$B$43&gt;0),((Skills!G8*((R3173-1)*IF(Skills!H8&gt;0,Skills!I8/Skills!H8,1)+IF(Skills!H8&gt;0,MIN(Skills!I8,MAX(0,MAX(0,Inputs!$B$43-B3203)-((R3173-1)*(IF(Inputs!$B$38="pvp",15,MAX(0.1,Skills!D8-IF(Skills!E8=TRUE,4.5,0)))*(1-IF(AND(ArtifactsInput!$M$27,Inputs!$B$4="Chapter Hunt"),CHOOSE(ArtifactsInput!$N$27+1,20,24,28,32,36,40),0)/100)))))/Skills!H8,1)))/Inputs!$B$43),G3173*Q3173)+IF(AND(Inputs!$B$38&lt;&gt;"pvp",Inputs!$B$43&gt;0),((Skills!G11*((R3176-1)*IF(Skills!H11&gt;0,Skills!I11/Skills!H11,1)+IF(Skills!H11&gt;0,MIN(Skills!I11,MAX(0,MAX(0,Inputs!$B$43-B3203)-((R3176-1)*(IF(Inputs!$B$38="pvp",15,MAX(0.1,Skills!D11-IF(Skills!E11=TRUE,4.5,0)))*(1-IF(AND(ArtifactsInput!$M$27,Inputs!$B$4="Chapter Hunt"),CHOOSE(ArtifactsInput!$N$27+1,20,24,28,32,36,40),0)/100)))))/Skills!H11,1)))/Inputs!$B$43),G3176*Q3176)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3179*(1-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3179*(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3179*(1-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3179*(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9">
        <f>IF(C3179,(H3179*N3179*(B3200+IF(AND(Inputs!$B$38&lt;&gt;"pvp",Inputs!$B$43&gt;0),((Skills!G8*((R3173-1)*IF(Skills!H8&gt;0,Skills!I8/Skills!H8,1)+IF(Skills!H8&gt;0,MIN(Skills!I8,MAX(0,MAX(0,Inputs!$B$43-B3203)-((R3173-1)*(IF(Inputs!$B$38="pvp",15,MAX(0.1,Skills!D8-IF(Skills!E8=TRUE,4.5,0)))*(1-IF(AND(ArtifactsInput!$M$27,Inputs!$B$4="Chapter Hunt"),CHOOSE(ArtifactsInput!$N$27+1,20,24,28,32,36,40),0)/100)))))/Skills!H8,1)))/Inputs!$B$43),G3173*Q3173)+IF(AND(Inputs!$B$38&lt;&gt;"pvp",Inputs!$B$43&gt;0),((Skills!G11*((R3176-1)*IF(Skills!H11&gt;0,Skills!I11/Skills!H11,1)+IF(Skills!H11&gt;0,MIN(Skills!I11,MAX(0,MAX(0,Inputs!$B$43-B3203)-((R3176-1)*(IF(Inputs!$B$38="pvp",15,MAX(0.1,Skills!D11-IF(Skills!E11=TRUE,4.5,0)))*(1-IF(AND(ArtifactsInput!$M$27,Inputs!$B$4="Chapter Hunt"),CHOOSE(ArtifactsInput!$N$27+1,20,24,28,32,36,40),0)/100)))))/Skills!H11,1)))/Inputs!$B$43),G3176*Q3176)))*IF(Inputs!$B$38="pvp",1,(1+(Inputs!$B$21+Skills!Q14+(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80">
      <c r="A3180">
        <f>Skills!A15</f>
        <v/>
      </c>
      <c r="B3180">
        <f>Skills!B15</f>
        <v/>
      </c>
      <c r="C3180">
        <f>Inputs!$B$3&gt;=100</f>
        <v/>
      </c>
      <c r="D3180">
        <f>IF(Skills!C15=1,60+Inputs!$B$25+Inputs!$B$29,IF(Skills!C15=2,90+Inputs!$B$26+Inputs!$B$29,IF(Skills!C15=3,120+Inputs!$B$27+Inputs!$B$29,MAX(0,(Inputs!$B$3-100)*3)+Inputs!$B$28+Inputs!$B$29)))</f>
        <v/>
      </c>
      <c r="E3180">
        <f>INDEX(FactorTable!$B$2:$Y$301, MATCH(ROUND(MIN(300,MAX(1,D3180)),0), FactorTable!$A$2:$A$301,0), Skills!M15+1)</f>
        <v/>
      </c>
      <c r="F3180">
        <f>IF(Skills!N15=TRUE,(Skills!L15/10)*(E3180/1000),Skills!L15/10)+Skills!O15</f>
        <v/>
      </c>
      <c r="G3180" t="inlineStr"/>
      <c r="H3180" t="inlineStr"/>
      <c r="I3180" t="inlineStr">
        <is>
          <t>1</t>
        </is>
      </c>
      <c r="J3180" t="inlineStr"/>
      <c r="K3180" t="inlineStr"/>
      <c r="L3180" t="inlineStr"/>
      <c r="M3180" t="inlineStr"/>
      <c r="N3180" t="inlineStr"/>
      <c r="O3180" t="inlineStr"/>
      <c r="P3180" t="inlineStr"/>
      <c r="Q3180" t="inlineStr"/>
      <c r="R3180" t="inlineStr"/>
      <c r="S3180" t="inlineStr"/>
    </row>
    <row r="3181">
      <c r="A3181">
        <f>Skills!A16</f>
        <v/>
      </c>
      <c r="B3181">
        <f>Skills!B16</f>
        <v/>
      </c>
      <c r="C3181">
        <f>Inputs!$B$3&gt;=120</f>
        <v/>
      </c>
      <c r="D3181">
        <f>IF(Skills!C16=1,60+Inputs!$B$25+Inputs!$B$29,IF(Skills!C16=2,90+Inputs!$B$26+Inputs!$B$29,IF(Skills!C16=3,120+Inputs!$B$27+Inputs!$B$29,MAX(0,(Inputs!$B$3-100)*3)+Inputs!$B$28+Inputs!$B$29)))</f>
        <v/>
      </c>
      <c r="E3181">
        <f>INDEX(FactorTable!$B$2:$Y$301, MATCH(ROUND(MIN(300,MAX(1,D3181)),0), FactorTable!$A$2:$A$301,0), Skills!M16+1)</f>
        <v/>
      </c>
      <c r="F3181">
        <f>IF(Skills!N16=TRUE,(Skills!L16/10)*(E3181/1000),Skills!L16/10)+Skills!O16</f>
        <v/>
      </c>
      <c r="G3181" t="inlineStr"/>
      <c r="H3181" t="inlineStr"/>
      <c r="I3181" t="inlineStr">
        <is>
          <t>1</t>
        </is>
      </c>
      <c r="J3181" t="inlineStr"/>
      <c r="K3181" t="inlineStr"/>
      <c r="L3181" t="inlineStr"/>
      <c r="M3181" t="inlineStr"/>
      <c r="N3181" t="inlineStr"/>
      <c r="O3181" t="inlineStr"/>
      <c r="P3181" t="inlineStr"/>
      <c r="Q3181" t="inlineStr"/>
      <c r="R3181" t="inlineStr"/>
      <c r="S3181" t="inlineStr"/>
    </row>
    <row r="3182">
      <c r="A3182">
        <f>Skills!A17</f>
        <v/>
      </c>
      <c r="B3182">
        <f>Skills!B17</f>
        <v/>
      </c>
      <c r="C3182">
        <f>Inputs!$B$3&gt;=66</f>
        <v/>
      </c>
      <c r="D3182">
        <f>IF(Skills!C17=1,60+Inputs!$B$25+Inputs!$B$29,IF(Skills!C17=2,90+Inputs!$B$26+Inputs!$B$29,IF(Skills!C17=3,120+Inputs!$B$27+Inputs!$B$29,MAX(0,(Inputs!$B$3-100)*3)+Inputs!$B$28+Inputs!$B$29)))</f>
        <v/>
      </c>
      <c r="E3182">
        <f>INDEX(FactorTable!$B$2:$Y$301, MATCH(ROUND(MIN(300,MAX(1,D3182)),0), FactorTable!$A$2:$A$301,0), Skills!M17+1)</f>
        <v/>
      </c>
      <c r="F3182">
        <f>IF(Skills!N17=TRUE,(Skills!L17/10)*(E3182/1000),Skills!L17/10)+Skills!O17</f>
        <v/>
      </c>
      <c r="G3182">
        <f>Skills!G17*IF(Skills!H17&gt;0,Skills!I17/Skills!H17,1)</f>
        <v/>
      </c>
      <c r="H3182">
        <f>1-(1-Skills!J17/100)^Skills!K17</f>
        <v/>
      </c>
      <c r="I3182" t="inlineStr">
        <is>
          <t>1</t>
        </is>
      </c>
      <c r="J3182" t="inlineStr"/>
      <c r="K3182" t="inlineStr"/>
      <c r="L3182" t="inlineStr"/>
      <c r="M3182" t="inlineStr"/>
      <c r="N3182" t="inlineStr"/>
      <c r="O3182">
        <f>(1-Summary!$B$11)*T3182+Summary!$B$11*V3182</f>
        <v/>
      </c>
      <c r="P3182">
        <f>IF(B3206=0,0,O3182/B3206)</f>
        <v/>
      </c>
      <c r="Q3182" t="n">
        <v>0</v>
      </c>
      <c r="R3182" t="n">
        <v>0</v>
      </c>
      <c r="S3182">
        <f>IFERROR(O3182/N3182,0)</f>
        <v/>
      </c>
      <c r="T3182" t="n">
        <v>0</v>
      </c>
      <c r="V3182" t="n">
        <v>0</v>
      </c>
    </row>
    <row r="3183">
      <c r="A3183">
        <f>Skills!A18</f>
        <v/>
      </c>
      <c r="B3183">
        <f>Skills!B18</f>
        <v/>
      </c>
      <c r="C3183">
        <f>Inputs!$B$3&gt;=115</f>
        <v/>
      </c>
      <c r="D3183">
        <f>IF(Skills!C18=1,60+Inputs!$B$25+Inputs!$B$29,IF(Skills!C18=2,90+Inputs!$B$26+Inputs!$B$29,IF(Skills!C18=3,120+Inputs!$B$27+Inputs!$B$29,MAX(0,(Inputs!$B$3-100)*3)+Inputs!$B$28+Inputs!$B$29)))</f>
        <v/>
      </c>
      <c r="E3183">
        <f>INDEX(FactorTable!$B$2:$Y$301, MATCH(ROUND(MIN(300,MAX(1,D3183)),0), FactorTable!$A$2:$A$301,0), Skills!M18+1)</f>
        <v/>
      </c>
      <c r="F3183">
        <f>IF(Skills!N18=TRUE,(Skills!L18/10)*(E3183/1000),Skills!L18/10)+Skills!O18</f>
        <v/>
      </c>
      <c r="G3183">
        <f>Skills!G18*IF(Skills!H18&gt;0,Skills!I18/Skills!H18,1)</f>
        <v/>
      </c>
      <c r="H3183">
        <f>1-(1-Skills!J18/100)^Skills!K18</f>
        <v/>
      </c>
      <c r="I3183" t="inlineStr">
        <is>
          <t>1</t>
        </is>
      </c>
      <c r="J3183" t="inlineStr"/>
      <c r="K3183" t="inlineStr"/>
      <c r="L3183" t="inlineStr"/>
      <c r="M3183" t="inlineStr"/>
      <c r="N3183" t="inlineStr"/>
      <c r="O3183">
        <f>(1-Summary!$B$11)*T3183+Summary!$B$11*V3183</f>
        <v/>
      </c>
      <c r="P3183">
        <f>IF(B3206=0,0,O3183/B3206)</f>
        <v/>
      </c>
      <c r="Q3183">
        <f>IFERROR(1/(IF(Inputs!$B$38="pvp",15,MAX(0.1,Skills!D18-IF(Skills!E18=TRUE,4.5,0)))*(1-IF(AND(ArtifactsInput!$M$27,Inputs!$B$4="Chapter Hunt"),CHOOSE(ArtifactsInput!$N$27+1,20,24,28,32,36,40),0)/100)),0)</f>
        <v/>
      </c>
      <c r="R3183">
        <f>IF(AND(Inputs!$B$38&lt;&gt;"pvp",Inputs!$B$43&gt;0),IF(Inputs!$B$43&lt;=0,0,(INT(Inputs!$B$43/(IF(Inputs!$B$38="pvp",15,MAX(0.1,Skills!D18-IF(Skills!E18=TRUE,4.5,0)))*(1-IF(AND(ArtifactsInput!$M$27,Inputs!$B$4="Chapter Hunt"),CHOOSE(ArtifactsInput!$N$27+1,20,24,28,32,36,40),0)/100)))+1)),0)</f>
        <v/>
      </c>
      <c r="S3183">
        <f>IFERROR(O3183/N3183,0)</f>
        <v/>
      </c>
      <c r="T3183" t="n">
        <v>0</v>
      </c>
      <c r="V3183" t="n">
        <v>0</v>
      </c>
    </row>
    <row r="3184">
      <c r="A3184">
        <f>Skills!A19</f>
        <v/>
      </c>
      <c r="B3184">
        <f>Skills!B19</f>
        <v/>
      </c>
      <c r="C3184">
        <f>Inputs!$B$3&gt;=15</f>
        <v/>
      </c>
      <c r="D3184">
        <f>IF(Skills!C19=1,60+Inputs!$B$25+Inputs!$B$29,IF(Skills!C19=2,90+Inputs!$B$26+Inputs!$B$29,IF(Skills!C19=3,120+Inputs!$B$27+Inputs!$B$29,MAX(0,(Inputs!$B$3-100)*3)+Inputs!$B$28+Inputs!$B$29)))</f>
        <v/>
      </c>
      <c r="E3184">
        <f>INDEX(FactorTable!$B$2:$Y$301, MATCH(ROUND(MIN(300,MAX(1,D3184)),0), FactorTable!$A$2:$A$301,0), Skills!M19+1)</f>
        <v/>
      </c>
      <c r="F3184">
        <f>IF(Skills!N19=TRUE,(Skills!L19/10)*(E3184/1000),Skills!L19/10)+Skills!O19</f>
        <v/>
      </c>
      <c r="G3184">
        <f>Skills!G19*IF(Skills!H19&gt;0,Skills!I19/Skills!H19,1)</f>
        <v/>
      </c>
      <c r="H3184">
        <f>1-(1-Skills!J19/100)^Skills!K19</f>
        <v/>
      </c>
      <c r="I3184" t="inlineStr">
        <is>
          <t>1</t>
        </is>
      </c>
      <c r="J3184" t="inlineStr"/>
      <c r="K3184" t="inlineStr"/>
      <c r="L3184" t="inlineStr"/>
      <c r="M3184" t="inlineStr"/>
      <c r="N3184" t="inlineStr"/>
      <c r="O3184">
        <f>(1-Summary!$B$11)*T3184+Summary!$B$11*V3184</f>
        <v/>
      </c>
      <c r="P3184">
        <f>IF(B3206=0,0,O3184/B3206)</f>
        <v/>
      </c>
      <c r="Q3184" t="n">
        <v>0</v>
      </c>
      <c r="R3184" t="n">
        <v>0</v>
      </c>
      <c r="S3184">
        <f>IFERROR(O3184/N3184,0)</f>
        <v/>
      </c>
      <c r="T3184" t="n">
        <v>0</v>
      </c>
      <c r="V3184" t="n">
        <v>0</v>
      </c>
    </row>
    <row r="3185">
      <c r="A3185">
        <f>Skills!A20</f>
        <v/>
      </c>
      <c r="B3185">
        <f>Skills!B20</f>
        <v/>
      </c>
      <c r="C3185">
        <f>Inputs!$B$3&gt;=10</f>
        <v/>
      </c>
      <c r="D3185">
        <f>IF(Skills!C20=1,60+Inputs!$B$25+Inputs!$B$29,IF(Skills!C20=2,90+Inputs!$B$26+Inputs!$B$29,IF(Skills!C20=3,120+Inputs!$B$27+Inputs!$B$29,MAX(0,(Inputs!$B$3-100)*3)+Inputs!$B$28+Inputs!$B$29)))</f>
        <v/>
      </c>
      <c r="E3185">
        <f>INDEX(FactorTable!$B$2:$Y$301, MATCH(ROUND(MIN(300,MAX(1,D3185)),0), FactorTable!$A$2:$A$301,0), Skills!M20+1)</f>
        <v/>
      </c>
      <c r="F3185">
        <f>IF(Skills!N20=TRUE,(Skills!L20/10)*(E3185/1000),Skills!L20/10)+Skills!O20</f>
        <v/>
      </c>
      <c r="G3185">
        <f>Skills!G20*IF(Skills!H20&gt;0,Skills!I20/Skills!H20,1)</f>
        <v/>
      </c>
      <c r="H3185">
        <f>1-(1-Skills!J20/100)^Skills!K20</f>
        <v/>
      </c>
      <c r="I3185" t="inlineStr">
        <is>
          <t>1</t>
        </is>
      </c>
      <c r="J3185" t="inlineStr"/>
      <c r="K3185" t="inlineStr"/>
      <c r="L3185" t="inlineStr"/>
      <c r="M3185" t="inlineStr"/>
      <c r="N3185" t="inlineStr"/>
      <c r="O3185">
        <f>(1-Summary!$B$11)*T3185+Summary!$B$11*V3185</f>
        <v/>
      </c>
      <c r="P3185">
        <f>IF(B3206=0,0,O3185/B3206)</f>
        <v/>
      </c>
      <c r="Q3185" t="n">
        <v>0</v>
      </c>
      <c r="R3185" t="n">
        <v>0</v>
      </c>
      <c r="S3185">
        <f>IFERROR(O3185/N3185,0)</f>
        <v/>
      </c>
      <c r="T3185" t="n">
        <v>0</v>
      </c>
      <c r="V3185" t="n">
        <v>0</v>
      </c>
    </row>
    <row r="3186">
      <c r="A3186">
        <f>Skills!A21</f>
        <v/>
      </c>
      <c r="B3186">
        <f>Skills!B21</f>
        <v/>
      </c>
      <c r="C3186">
        <f>Inputs!$B$3&gt;=33</f>
        <v/>
      </c>
      <c r="D3186">
        <f>IF(Skills!C21=1,60+Inputs!$B$25+Inputs!$B$29,IF(Skills!C21=2,90+Inputs!$B$26+Inputs!$B$29,IF(Skills!C21=3,120+Inputs!$B$27+Inputs!$B$29,MAX(0,(Inputs!$B$3-100)*3)+Inputs!$B$28+Inputs!$B$29)))</f>
        <v/>
      </c>
      <c r="E3186">
        <f>INDEX(FactorTable!$B$2:$Y$301, MATCH(ROUND(MIN(300,MAX(1,D3186)),0), FactorTable!$A$2:$A$301,0), Skills!M21+1)</f>
        <v/>
      </c>
      <c r="F3186">
        <f>IF(Skills!N21=TRUE,(Skills!L21/10)*(E3186/1000),Skills!L21/10)+Skills!O21</f>
        <v/>
      </c>
      <c r="G3186">
        <f>Skills!G21*IF(Skills!H21&gt;0,Skills!I21/Skills!H21,1)</f>
        <v/>
      </c>
      <c r="H3186">
        <f>1-(1-Skills!J21/100)^Skills!K21</f>
        <v/>
      </c>
      <c r="I3186" t="inlineStr">
        <is>
          <t>1</t>
        </is>
      </c>
      <c r="J3186" t="inlineStr"/>
      <c r="K3186" t="inlineStr"/>
      <c r="L3186" t="inlineStr"/>
      <c r="M3186" t="inlineStr"/>
      <c r="N3186" t="inlineStr"/>
      <c r="O3186">
        <f>(1-Summary!$B$11)*T3186+Summary!$B$11*V3186</f>
        <v/>
      </c>
      <c r="P3186">
        <f>IF(B3206=0,0,O3186/B3206)</f>
        <v/>
      </c>
      <c r="Q3186" t="n">
        <v>0</v>
      </c>
      <c r="R3186" t="n">
        <v>0</v>
      </c>
      <c r="S3186">
        <f>IFERROR(O3186/N3186,0)</f>
        <v/>
      </c>
      <c r="T3186" t="n">
        <v>0</v>
      </c>
      <c r="V3186" t="n">
        <v>0</v>
      </c>
    </row>
    <row r="3187">
      <c r="A3187">
        <f>Skills!A22</f>
        <v/>
      </c>
      <c r="B3187">
        <f>Skills!B22</f>
        <v/>
      </c>
      <c r="C3187">
        <f>Inputs!$B$3&gt;=43</f>
        <v/>
      </c>
      <c r="D3187">
        <f>IF(Skills!C22=1,60+Inputs!$B$25+Inputs!$B$29,IF(Skills!C22=2,90+Inputs!$B$26+Inputs!$B$29,IF(Skills!C22=3,120+Inputs!$B$27+Inputs!$B$29,MAX(0,(Inputs!$B$3-100)*3)+Inputs!$B$28+Inputs!$B$29)))</f>
        <v/>
      </c>
      <c r="E3187">
        <f>INDEX(FactorTable!$B$2:$Y$301, MATCH(ROUND(MIN(300,MAX(1,D3187)),0), FactorTable!$A$2:$A$301,0), Skills!M22+1)</f>
        <v/>
      </c>
      <c r="F3187">
        <f>IF(Skills!N22=TRUE,(Skills!L22/10)*(E3187/1000),Skills!L22/10)+Skills!O22</f>
        <v/>
      </c>
      <c r="G3187">
        <f>Skills!G22*IF(Skills!H22&gt;0,Skills!I22/Skills!H22,1)</f>
        <v/>
      </c>
      <c r="H3187">
        <f>1-(1-Skills!J22/100)^Skills!K22</f>
        <v/>
      </c>
      <c r="I3187" t="inlineStr">
        <is>
          <t>1</t>
        </is>
      </c>
      <c r="J3187" t="inlineStr"/>
      <c r="K3187" t="inlineStr"/>
      <c r="L3187" t="inlineStr"/>
      <c r="M3187" t="inlineStr"/>
      <c r="N3187" t="inlineStr"/>
      <c r="O3187">
        <f>(1-Summary!$B$11)*T3187+Summary!$B$11*V3187</f>
        <v/>
      </c>
      <c r="P3187">
        <f>IF(B3206=0,0,O3187/B3206)</f>
        <v/>
      </c>
      <c r="Q3187" t="n">
        <v>0</v>
      </c>
      <c r="R3187" t="n">
        <v>0</v>
      </c>
      <c r="S3187">
        <f>IFERROR(O3187/N3187,0)</f>
        <v/>
      </c>
      <c r="T3187" t="n">
        <v>0</v>
      </c>
      <c r="V3187" t="n">
        <v>0</v>
      </c>
    </row>
    <row r="3188">
      <c r="A3188">
        <f>Skills!A23</f>
        <v/>
      </c>
      <c r="B3188">
        <f>Skills!B23</f>
        <v/>
      </c>
      <c r="C3188">
        <f>Inputs!$B$3&gt;=38</f>
        <v/>
      </c>
      <c r="D3188">
        <f>IF(Skills!C23=1,60+Inputs!$B$25+Inputs!$B$29,IF(Skills!C23=2,90+Inputs!$B$26+Inputs!$B$29,IF(Skills!C23=3,120+Inputs!$B$27+Inputs!$B$29,MAX(0,(Inputs!$B$3-100)*3)+Inputs!$B$28+Inputs!$B$29)))</f>
        <v/>
      </c>
      <c r="E3188">
        <f>INDEX(FactorTable!$B$2:$Y$301, MATCH(ROUND(MIN(300,MAX(1,D3188)),0), FactorTable!$A$2:$A$301,0), Skills!M23+1)</f>
        <v/>
      </c>
      <c r="F3188">
        <f>IF(Skills!N23=TRUE,(Skills!L23/10)*(E3188/1000),Skills!L23/10)+Skills!O23</f>
        <v/>
      </c>
      <c r="G3188">
        <f>Skills!G23*IF(Skills!H23&gt;0,Skills!I23/Skills!H23,1)</f>
        <v/>
      </c>
      <c r="H3188">
        <f>1-(1-Skills!J23/100)^Skills!K23</f>
        <v/>
      </c>
      <c r="I3188" t="inlineStr">
        <is>
          <t>1</t>
        </is>
      </c>
      <c r="J3188" t="inlineStr"/>
      <c r="K3188" t="inlineStr"/>
      <c r="L3188" t="inlineStr"/>
      <c r="M3188" t="inlineStr"/>
      <c r="N3188" t="inlineStr"/>
      <c r="O3188">
        <f>(1-Summary!$B$11)*T3188+Summary!$B$11*V3188</f>
        <v/>
      </c>
      <c r="P3188">
        <f>IF(B3206=0,0,O3188/B3206)</f>
        <v/>
      </c>
      <c r="Q3188" t="n">
        <v>0</v>
      </c>
      <c r="R3188" t="n">
        <v>0</v>
      </c>
      <c r="S3188">
        <f>IFERROR(O3188/N3188,0)</f>
        <v/>
      </c>
      <c r="T3188" t="n">
        <v>0</v>
      </c>
      <c r="V3188" t="n">
        <v>0</v>
      </c>
    </row>
    <row r="3189">
      <c r="A3189">
        <f>Skills!A24</f>
        <v/>
      </c>
      <c r="B3189">
        <f>Skills!B24</f>
        <v/>
      </c>
      <c r="C3189">
        <f>Inputs!$B$3&gt;=40</f>
        <v/>
      </c>
      <c r="D3189">
        <f>IF(Skills!C24=1,60+Inputs!$B$25+Inputs!$B$29,IF(Skills!C24=2,90+Inputs!$B$26+Inputs!$B$29,IF(Skills!C24=3,120+Inputs!$B$27+Inputs!$B$29,MAX(0,(Inputs!$B$3-100)*3)+Inputs!$B$28+Inputs!$B$29)))</f>
        <v/>
      </c>
      <c r="E3189">
        <f>INDEX(FactorTable!$B$2:$Y$301, MATCH(ROUND(MIN(300,MAX(1,D3189)),0), FactorTable!$A$2:$A$301,0), Skills!M24+1)</f>
        <v/>
      </c>
      <c r="F3189">
        <f>IF(Skills!N24=TRUE,(Skills!L24/10)*(E3189/1000),Skills!L24/10)+Skills!O24</f>
        <v/>
      </c>
      <c r="G3189">
        <f>Skills!G24*IF(Skills!H24&gt;0,Skills!I24/Skills!H24,1)</f>
        <v/>
      </c>
      <c r="H3189">
        <f>1-(1-Skills!J24/100)^Skills!K24</f>
        <v/>
      </c>
      <c r="I3189" t="inlineStr">
        <is>
          <t>1</t>
        </is>
      </c>
      <c r="J3189" t="inlineStr"/>
      <c r="K3189" t="inlineStr"/>
      <c r="L3189" t="inlineStr"/>
      <c r="M3189" t="inlineStr"/>
      <c r="N3189" t="inlineStr"/>
      <c r="O3189">
        <f>(1-Summary!$B$11)*T3189+Summary!$B$11*V3189</f>
        <v/>
      </c>
      <c r="P3189">
        <f>IF(B3206=0,0,O3189/B3206)</f>
        <v/>
      </c>
      <c r="Q3189" t="n">
        <v>0</v>
      </c>
      <c r="R3189" t="n">
        <v>0</v>
      </c>
      <c r="S3189">
        <f>IFERROR(O3189/N3189,0)</f>
        <v/>
      </c>
      <c r="T3189" t="n">
        <v>0</v>
      </c>
      <c r="V3189" t="n">
        <v>0</v>
      </c>
    </row>
    <row r="3190">
      <c r="A3190">
        <f>Skills!A25</f>
        <v/>
      </c>
      <c r="B3190">
        <f>Skills!B25</f>
        <v/>
      </c>
      <c r="C3190">
        <f>Inputs!$B$3&gt;=72</f>
        <v/>
      </c>
      <c r="D3190">
        <f>IF(Skills!C25=1,60+Inputs!$B$25+Inputs!$B$29,IF(Skills!C25=2,90+Inputs!$B$26+Inputs!$B$29,IF(Skills!C25=3,120+Inputs!$B$27+Inputs!$B$29,MAX(0,(Inputs!$B$3-100)*3)+Inputs!$B$28+Inputs!$B$29)))</f>
        <v/>
      </c>
      <c r="E3190">
        <f>INDEX(FactorTable!$B$2:$Y$301, MATCH(ROUND(MIN(300,MAX(1,D3190)),0), FactorTable!$A$2:$A$301,0), Skills!M25+1)</f>
        <v/>
      </c>
      <c r="F3190">
        <f>IF(Skills!N25=TRUE,(Skills!L25/10)*(E3190/1000),Skills!L25/10)+Skills!O25</f>
        <v/>
      </c>
      <c r="G3190">
        <f>Skills!G25*IF(Skills!H25&gt;0,Skills!I25/Skills!H25,1)</f>
        <v/>
      </c>
      <c r="H3190">
        <f>1-(1-Skills!J25/100)^Skills!K25</f>
        <v/>
      </c>
      <c r="I3190" t="inlineStr">
        <is>
          <t>1</t>
        </is>
      </c>
      <c r="J3190" t="inlineStr"/>
      <c r="K3190" t="inlineStr"/>
      <c r="L3190" t="inlineStr"/>
      <c r="M3190" t="inlineStr"/>
      <c r="N3190" t="inlineStr"/>
      <c r="O3190">
        <f>(1-Summary!$B$11)*T3190+Summary!$B$11*V3190</f>
        <v/>
      </c>
      <c r="P3190">
        <f>IF(B3206=0,0,O3190/B3206)</f>
        <v/>
      </c>
      <c r="Q3190" t="n">
        <v>0</v>
      </c>
      <c r="R3190" t="n">
        <v>0</v>
      </c>
      <c r="S3190">
        <f>IFERROR(O3190/N3190,0)</f>
        <v/>
      </c>
      <c r="T3190" t="n">
        <v>0</v>
      </c>
      <c r="V3190" t="n">
        <v>0</v>
      </c>
    </row>
    <row r="3191">
      <c r="A3191">
        <f>Skills!A26</f>
        <v/>
      </c>
      <c r="B3191">
        <f>Skills!B26</f>
        <v/>
      </c>
      <c r="C3191">
        <f>Inputs!$B$3&gt;=75</f>
        <v/>
      </c>
      <c r="D3191">
        <f>IF(Skills!C26=1,60+Inputs!$B$25+Inputs!$B$29,IF(Skills!C26=2,90+Inputs!$B$26+Inputs!$B$29,IF(Skills!C26=3,120+Inputs!$B$27+Inputs!$B$29,MAX(0,(Inputs!$B$3-100)*3)+Inputs!$B$28+Inputs!$B$29)))</f>
        <v/>
      </c>
      <c r="E3191">
        <f>INDEX(FactorTable!$B$2:$Y$301, MATCH(ROUND(MIN(300,MAX(1,D3191)),0), FactorTable!$A$2:$A$301,0), Skills!M26+1)</f>
        <v/>
      </c>
      <c r="F3191">
        <f>IF(Skills!N26=TRUE,(Skills!L26/10)*(E3191/1000),Skills!L26/10)+Skills!O26</f>
        <v/>
      </c>
      <c r="G3191">
        <f>Skills!G26*IF(Skills!H26&gt;0,Skills!I26/Skills!H26,1)</f>
        <v/>
      </c>
      <c r="H3191">
        <f>1-(1-Skills!J26/100)^Skills!K26</f>
        <v/>
      </c>
      <c r="I3191" t="inlineStr">
        <is>
          <t>1</t>
        </is>
      </c>
      <c r="J3191" t="inlineStr"/>
      <c r="K3191" t="inlineStr"/>
      <c r="L3191" t="inlineStr"/>
      <c r="M3191" t="inlineStr"/>
      <c r="N3191" t="inlineStr"/>
      <c r="O3191">
        <f>(1-Summary!$B$11)*T3191+Summary!$B$11*V3191</f>
        <v/>
      </c>
      <c r="P3191">
        <f>IF(B3206=0,0,O3191/B3206)</f>
        <v/>
      </c>
      <c r="Q3191" t="n">
        <v>0</v>
      </c>
      <c r="R3191" t="n">
        <v>0</v>
      </c>
      <c r="S3191">
        <f>IFERROR(O3191/N3191,0)</f>
        <v/>
      </c>
      <c r="T3191" t="n">
        <v>0</v>
      </c>
      <c r="V3191" t="n">
        <v>0</v>
      </c>
    </row>
    <row r="3192">
      <c r="A3192">
        <f>Skills!A27</f>
        <v/>
      </c>
      <c r="B3192">
        <f>Skills!B27</f>
        <v/>
      </c>
      <c r="C3192">
        <f>Inputs!$B$3&gt;=117</f>
        <v/>
      </c>
      <c r="D3192">
        <f>IF(Skills!C27=1,60+Inputs!$B$25+Inputs!$B$29,IF(Skills!C27=2,90+Inputs!$B$26+Inputs!$B$29,IF(Skills!C27=3,120+Inputs!$B$27+Inputs!$B$29,MAX(0,(Inputs!$B$3-100)*3)+Inputs!$B$28+Inputs!$B$29)))</f>
        <v/>
      </c>
      <c r="E3192">
        <f>INDEX(FactorTable!$B$2:$Y$301, MATCH(ROUND(MIN(300,MAX(1,D3192)),0), FactorTable!$A$2:$A$301,0), Skills!M27+1)</f>
        <v/>
      </c>
      <c r="F3192">
        <f>IF(Skills!N27=TRUE,(Skills!L27/10)*(E3192/1000),Skills!L27/10)+Skills!O27</f>
        <v/>
      </c>
      <c r="G3192">
        <f>Skills!G27*IF(Skills!H27&gt;0,Skills!I27/Skills!H27,1)</f>
        <v/>
      </c>
      <c r="H3192">
        <f>1-(1-Skills!J27/100)^Skills!K27</f>
        <v/>
      </c>
      <c r="I3192" t="inlineStr">
        <is>
          <t>1</t>
        </is>
      </c>
      <c r="J3192" t="inlineStr"/>
      <c r="K3192" t="inlineStr"/>
      <c r="L3192" t="inlineStr"/>
      <c r="M3192" t="inlineStr"/>
      <c r="N3192" t="inlineStr"/>
      <c r="O3192">
        <f>(1-Summary!$B$11)*T3192+Summary!$B$11*V3192</f>
        <v/>
      </c>
      <c r="P3192">
        <f>IF(B3206=0,0,O3192/B3206)</f>
        <v/>
      </c>
      <c r="Q3192" t="n">
        <v>0</v>
      </c>
      <c r="R3192" t="n">
        <v>0</v>
      </c>
      <c r="S3192">
        <f>IFERROR(O3192/N3192,0)</f>
        <v/>
      </c>
      <c r="T3192" t="n">
        <v>0</v>
      </c>
      <c r="V3192" t="n">
        <v>0</v>
      </c>
    </row>
    <row r="3193">
      <c r="A3193">
        <f>Skills!A28</f>
        <v/>
      </c>
      <c r="B3193">
        <f>Skills!B28</f>
        <v/>
      </c>
      <c r="C3193">
        <f>TRUE</f>
        <v/>
      </c>
      <c r="D3193">
        <f>IF(Skills!C28=1,60+Inputs!$B$25+Inputs!$B$29,IF(Skills!C28=2,90+Inputs!$B$26+Inputs!$B$29,IF(Skills!C28=3,120+Inputs!$B$27+Inputs!$B$29,MAX(0,(Inputs!$B$3-100)*3)+Inputs!$B$28+Inputs!$B$29)))</f>
        <v/>
      </c>
      <c r="E3193">
        <f>INDEX(FactorTable!$B$2:$Y$301, MATCH(ROUND(MIN(300,MAX(1,D3193)),0), FactorTable!$A$2:$A$301,0), Skills!M28+1)</f>
        <v/>
      </c>
      <c r="F3193">
        <f>IF(Skills!N28=TRUE,(Skills!L28/10)*(E3193/1000),Skills!L28/10)+Skills!O28</f>
        <v/>
      </c>
      <c r="G3193">
        <f>Skills!G28*IF(Skills!H28&gt;0,Skills!I28/Skills!H28,1)</f>
        <v/>
      </c>
      <c r="H3193">
        <f>1-(1-Skills!J28/100)^Skills!K28</f>
        <v/>
      </c>
      <c r="I3193" t="inlineStr">
        <is>
          <t>1</t>
        </is>
      </c>
      <c r="J3193" t="inlineStr"/>
      <c r="K3193" t="inlineStr"/>
      <c r="L3193" t="inlineStr"/>
      <c r="M3193" t="inlineStr"/>
      <c r="N3193" t="inlineStr"/>
      <c r="O3193">
        <f>(1-Summary!$B$11)*T3193+Summary!$B$11*V3193</f>
        <v/>
      </c>
      <c r="P3193">
        <f>IF(B3206=0,0,O3193/B3206)</f>
        <v/>
      </c>
      <c r="Q3193">
        <f>IFERROR(1/(IF(Inputs!$B$38="pvp",15,MAX(0.1,Skills!D28-IF(Skills!E28=TRUE,4.5,0)))*(1-IF(AND(ArtifactsInput!$M$27,Inputs!$B$4="Chapter Hunt"),CHOOSE(ArtifactsInput!$N$27+1,20,24,28,32,36,40),0)/100)),0)</f>
        <v/>
      </c>
      <c r="R3193">
        <f>IF(AND(Inputs!$B$38&lt;&gt;"pvp",Inputs!$B$43&gt;0),IF(Inputs!$B$43&lt;=0,0,(INT(Inputs!$B$43/(IF(Inputs!$B$38="pvp",15,MAX(0.1,Skills!D28-IF(Skills!E28=TRUE,4.5,0)))*(1-IF(AND(ArtifactsInput!$M$27,Inputs!$B$4="Chapter Hunt"),CHOOSE(ArtifactsInput!$N$27+1,20,24,28,32,36,40),0)/100)))+1)),0)</f>
        <v/>
      </c>
      <c r="S3193">
        <f>IFERROR(O3193/N3193,0)</f>
        <v/>
      </c>
      <c r="T3193" t="n">
        <v>0</v>
      </c>
      <c r="V3193" t="n">
        <v>0</v>
      </c>
    </row>
    <row r="3195">
      <c r="A3195" t="inlineStr">
        <is>
          <t>Attack% Bucket Multiplier</t>
        </is>
      </c>
      <c r="B3195">
        <f>(1+(((C3182=TRUE)*F3182*5/7)+((C3189=TRUE)*(F3189-Calc!F24))+(IF(ArtifactsInput!$M$21,CHOOSE(ArtifactsInput!$N$21+1,25,30,35,40,45,50)*(IF(OR(Inputs!$B$4="Chapter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96">
      <c r="A3196" t="inlineStr">
        <is>
          <t>Global Crit Rate Bonus %</t>
        </is>
      </c>
      <c r="B3196" t="n">
        <v>0</v>
      </c>
    </row>
    <row r="3197">
      <c r="A3197" t="inlineStr">
        <is>
          <t>Attack Speed Buff Bonus % (Nimble Feet, duty-cycle averaged)</t>
        </is>
      </c>
      <c r="B3197">
        <f>((C3193=TRUE)*F3193*IF(AND(Inputs!$B$38&lt;&gt;"pvp",Inputs!$B$43&gt;0),(((R3193-1)*(Skills!T28*(1+Inputs!$B$34/100))+MIN((Skills!T28*(1+Inputs!$B$34/100)),MAX(0,Inputs!$B$43-((R3193-1)*Skills!D28))))/Inputs!$B$43),IF(Inputs!$B$38="pvp",MIN((Skills!T28*(1+Inputs!$B$34/100)),15)/15,(Skills!T28*(1+Inputs!$B$34/100))/Skills!D28)))</f>
        <v/>
      </c>
    </row>
    <row r="3198">
      <c r="A3198" t="inlineStr">
        <is>
          <t>Actions Per Second</t>
        </is>
      </c>
      <c r="B3198">
        <f>1+MIN(150,150*(1-(1-(Inputs!$B$11+((C3185=TRUE)*(F3185-Calc!F20))+((C3186=TRUE)*(F3186-Calc!F21)))/150)*(1-B3197/150)))/100</f>
        <v/>
      </c>
    </row>
    <row r="3199">
      <c r="A3199" t="inlineStr">
        <is>
          <t>Skill + Buff Cast Rate</t>
        </is>
      </c>
      <c r="B3199">
        <f>IF(AND(Inputs!$B$38&lt;&gt;"pvp",Inputs!$B$43&gt;0),SUMPRODUCT((Skills!E2:E28=TRUE)*(C3167:C3193=TRUE)*R3167:R3193*Skills!F2:F28)/Inputs!$B$43,SUMPRODUCT((Skills!E2:E28=TRUE)*(C3167:C3193=TRUE)*Q3167:Q3193*Skills!F2:F28))</f>
        <v/>
      </c>
    </row>
    <row r="3200">
      <c r="A3200" t="inlineStr">
        <is>
          <t>Eight-Legs Easton Casts Per Second</t>
        </is>
      </c>
      <c r="B3200">
        <f>MAX(0,B3198-B3199)</f>
        <v/>
      </c>
    </row>
    <row r="3201">
      <c r="A3201" t="inlineStr">
        <is>
          <t>Global Critical Damage Bonus % (unused)</t>
        </is>
      </c>
      <c r="B3201" t="n">
        <v>0</v>
      </c>
    </row>
    <row r="3202">
      <c r="A3202" t="inlineStr">
        <is>
          <t>Global Final Damage Bonus % (Jolly Roger + Ahoy Mateys - Final Damage proc)</t>
        </is>
      </c>
      <c r="B3202">
        <f>((C3183=TRUE)*F3183*IF(AND(Inputs!$B$38&lt;&gt;"pvp",Inputs!$B$43&gt;0),(((R3183-1)*(Skills!T18*(1+Inputs!$B$34/100))+MIN((Skills!T18*(1+Inputs!$B$34/100)),MAX(0,Inputs!$B$43-((R3183-1)*Skills!D18))))/Inputs!$B$43),IF(Inputs!$B$38="pvp",MIN((Skills!T18*(1+Inputs!$B$34/100)),15)/15,(Skills!T18*(1+Inputs!$B$34/100))/Skills!D18)))+IF(Inputs!$B$3&gt;=122,20*IF(Inputs!$B$38="pvp",MIN((20*(1+Inputs!$B$34/100)),15)/15,(20*(1+Inputs!$B$34/100))/Skills!D4),0)</f>
        <v/>
      </c>
    </row>
    <row r="3203">
      <c r="A3203" t="inlineStr">
        <is>
          <t>Buff-Casting Startup Delay (s, fixed-duration only)</t>
        </is>
      </c>
      <c r="B3203">
        <f>IF(AND(Inputs!$B$38&lt;&gt;"pvp",Inputs!$B$43&gt;0),SUMPRODUCT((Skills!T2:T28&gt;0)*(Skills!E2:E28=TRUE)*(C3167:C3193=TRUE))/B3198,0)</f>
        <v/>
      </c>
    </row>
    <row r="3204">
      <c r="A3204" t="inlineStr">
        <is>
          <t>Boss-Only Total DPS (this block's swept value)</t>
        </is>
      </c>
      <c r="B3204">
        <f>SUM(T3167:T3193)</f>
        <v/>
      </c>
    </row>
    <row r="3205">
      <c r="A3205" t="inlineStr">
        <is>
          <t>Normal-Only Total DPS (this block's swept value)</t>
        </is>
      </c>
      <c r="B3205">
        <f>SUM(V3167:V3193)</f>
        <v/>
      </c>
    </row>
    <row r="3206">
      <c r="A3206" s="6" t="inlineStr">
        <is>
          <t>TOTAL DPS</t>
        </is>
      </c>
      <c r="B3206" s="6">
        <f>SUM(O3167:O3193)</f>
        <v/>
      </c>
    </row>
    <row r="3209">
      <c r="A3209" s="6" t="inlineStr">
        <is>
          <t>Stat: CDR = 5.0s</t>
        </is>
      </c>
    </row>
    <row r="3210">
      <c r="A3210" s="5" t="inlineStr">
        <is>
          <t>Key</t>
        </is>
      </c>
      <c r="B3210" s="5" t="inlineStr">
        <is>
          <t>Name</t>
        </is>
      </c>
      <c r="C3210" s="5" t="inlineStr">
        <is>
          <t>Unlocked</t>
        </is>
      </c>
      <c r="D3210" s="5" t="inlineStr">
        <is>
          <t>InputLevel</t>
        </is>
      </c>
      <c r="E3210" s="5" t="inlineStr">
        <is>
          <t>Factor</t>
        </is>
      </c>
      <c r="F3210" s="5" t="inlineStr">
        <is>
          <t>CoefficientPercent</t>
        </is>
      </c>
      <c r="G3210" s="5" t="inlineStr">
        <is>
          <t>EffectiveHits</t>
        </is>
      </c>
      <c r="H3210" s="5" t="inlineStr">
        <is>
          <t>ProcProbability</t>
        </is>
      </c>
      <c r="I3210" s="5" t="inlineStr">
        <is>
          <t>MapleHeroMultiplier</t>
        </is>
      </c>
      <c r="J3210" s="5" t="inlineStr">
        <is>
          <t>BaseDamage</t>
        </is>
      </c>
      <c r="K3210" s="5" t="inlineStr">
        <is>
          <t>BaseHitDamage</t>
        </is>
      </c>
      <c r="L3210" s="5" t="inlineStr">
        <is>
          <t>NonCritAvg</t>
        </is>
      </c>
      <c r="M3210" s="5" t="inlineStr">
        <is>
          <t>CritAvg</t>
        </is>
      </c>
      <c r="N3210" s="5" t="inlineStr">
        <is>
          <t>ExpectedDamage(perHit)</t>
        </is>
      </c>
      <c r="O3210" s="5" t="inlineStr">
        <is>
          <t>DPS</t>
        </is>
      </c>
      <c r="P3210" s="5" t="inlineStr">
        <is>
          <t>% of Total</t>
        </is>
      </c>
      <c r="Q3210" s="5" t="inlineStr">
        <is>
          <t>InvCooldown</t>
        </is>
      </c>
      <c r="R3210" s="5" t="inlineStr">
        <is>
          <t>CastsInFight</t>
        </is>
      </c>
      <c r="S3210" s="5" t="inlineStr">
        <is>
          <t>HitRate(perSec)</t>
        </is>
      </c>
      <c r="U3210" t="inlineStr">
        <is>
          <t>helpers</t>
        </is>
      </c>
    </row>
    <row r="3211">
      <c r="A3211">
        <f>Skills!A2</f>
        <v/>
      </c>
      <c r="B3211">
        <f>Skills!B2</f>
        <v/>
      </c>
      <c r="C3211">
        <f>Inputs!$B$3&gt;=100</f>
        <v/>
      </c>
      <c r="D3211" t="inlineStr"/>
      <c r="E3211" t="inlineStr"/>
      <c r="F3211">
        <f>U3213+Skills!O2</f>
        <v/>
      </c>
      <c r="G3211">
        <f>Skills!G2*IF(Skills!H2&gt;0,Skills!I2/Skills!H2,1)</f>
        <v/>
      </c>
      <c r="H3211">
        <f>1-(1-Skills!J2/100)^Skills!K2</f>
        <v/>
      </c>
      <c r="I3211" t="inlineStr">
        <is>
          <t>1</t>
        </is>
      </c>
      <c r="J3211">
        <f>((Inputs!$B$6*(1+Inputs!$B$7/100))+(((Inputs!$B$12*(1+Inputs!$B$13/100))-(Inputs!$B$12*(1+Inputs!$B$13/100)))+0.25*(Inputs!$B$14-Inputs!$B$14))*(1+Inputs!$B$7/100))*(F3211/100)</f>
        <v/>
      </c>
      <c r="K3211">
        <f>J3211*(1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3211)</f>
        <v/>
      </c>
      <c r="L3211">
        <f>K3211*(MIN(Inputs!$B$22+((C3231=TRUE)*(F3231-Calc!F22)),(Inputs!$B$23+0+(IF(ArtifactsInput!$M$15,CHOOSE(ArtifactsInput!$N$15+1,25,30,35,40,45,50)/100*(Inputs!$B$11-Inputs!$B$11),0))))/100+(Inputs!$B$23+0+(IF(ArtifactsInput!$M$15,CHOOSE(ArtifactsInput!$N$15+1,25,30,35,40,45,50)/100*(Inputs!$B$11-Inputs!$B$11),0)))/100)/2</f>
        <v/>
      </c>
      <c r="M3211">
        <f>L3211*(1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1">
        <f>L3211*(1-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1">
        <f>(1-Summary!$B$11)*T3211+Summary!$B$11*V3211</f>
        <v/>
      </c>
      <c r="P3211">
        <f>IF(B3250=0,0,O3211/B3250)</f>
        <v/>
      </c>
      <c r="Q3211" t="n">
        <v>0</v>
      </c>
      <c r="R3211" t="n">
        <v>0</v>
      </c>
      <c r="S3211">
        <f>IFERROR(O3211/N3211,0)</f>
        <v/>
      </c>
      <c r="T3211">
        <f>IF(C3211,(Skills!G2*N3211*B3244)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3211*(1-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3211*(1-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11">
        <f>MAX(0,(Inputs!$B$3-100)*3)+Inputs!$B$28+Inputs!$B$29</f>
        <v/>
      </c>
      <c r="V3211">
        <f>IF(C3211,(Skills!G2*N3211*B3244)*IF(Inputs!$B$38="pvp",1,(1+(Inputs!$B$21+Skills!Q2+(IF(ArtifactsInput!$M$33,CHOOSE(ArtifactsInput!$N$33+1,30,36,42,48,54,60),0))+(IF(AND(ArtifactsInput!$M$35,Inputs!$B$4&lt;&gt;"Chapter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2">
      <c r="A3212">
        <f>Skills!A3</f>
        <v/>
      </c>
      <c r="B3212">
        <f>Skills!B3</f>
        <v/>
      </c>
      <c r="C3212">
        <f>Inputs!$B$3&gt;=35</f>
        <v/>
      </c>
      <c r="D3212">
        <f>IF(Skills!C3=1,60+Inputs!$B$25+Inputs!$B$29,IF(Skills!C3=2,90+Inputs!$B$26+Inputs!$B$29,IF(Skills!C3=3,120+Inputs!$B$27+Inputs!$B$29,MAX(0,(Inputs!$B$3-100)*3)+Inputs!$B$28+Inputs!$B$29)))</f>
        <v/>
      </c>
      <c r="E3212">
        <f>INDEX(FactorTable!$B$2:$Y$301, MATCH(ROUND(MIN(300,MAX(1,D3212)),0), FactorTable!$A$2:$A$301,0), Skills!M3+1)</f>
        <v/>
      </c>
      <c r="F3212">
        <f>IF(Skills!N3=TRUE,(Skills!L3/10)*(E3212/1000),Skills!L3/10)+Skills!O3</f>
        <v/>
      </c>
      <c r="G3212">
        <f>Skills!G3*IF(Skills!H3&gt;0,Skills!I3/Skills!H3,1)</f>
        <v/>
      </c>
      <c r="H3212">
        <f>1-(1-Skills!J3/100)^Skills!K3</f>
        <v/>
      </c>
      <c r="I3212" t="inlineStr">
        <is>
          <t>1</t>
        </is>
      </c>
      <c r="J3212">
        <f>((Inputs!$B$6*(1+Inputs!$B$7/100))+(((Inputs!$B$12*(1+Inputs!$B$13/100))-(Inputs!$B$12*(1+Inputs!$B$13/100)))+0.25*(Inputs!$B$14-Inputs!$B$14))*(1+Inputs!$B$7/100))*(F3212/100)</f>
        <v/>
      </c>
      <c r="K3212">
        <f>J3212*(1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3224=TRUE,F3224,0)/100)*(1+(IF(Skills!A3="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3212)</f>
        <v/>
      </c>
      <c r="L3212">
        <f>K3212*(MIN(Inputs!$B$22+((C3231=TRUE)*(F3231-Calc!F22)),(Inputs!$B$23+0+(IF(ArtifactsInput!$M$15,CHOOSE(ArtifactsInput!$N$15+1,25,30,35,40,45,50)/100*(Inputs!$B$11-Inputs!$B$11),0))))/100+(Inputs!$B$23+0+(IF(ArtifactsInput!$M$15,CHOOSE(ArtifactsInput!$N$15+1,25,30,35,40,45,50)/100*(Inputs!$B$11-Inputs!$B$11),0)))/100)/2</f>
        <v/>
      </c>
      <c r="M3212">
        <f>L3212*(1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2">
        <f>L3212*(1-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3212*(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2">
        <f>(1-Summary!$B$11)*T3212+Summary!$B$11*V3212</f>
        <v/>
      </c>
      <c r="P3212">
        <f>IF(B3250=0,0,O3212/B3250)</f>
        <v/>
      </c>
      <c r="Q3212">
        <f>IFERROR(1/(IF(Inputs!$B$38="pvp",15,MAX(0.1,Skills!D3-IF(Skills!E3=TRUE,5.0,0)))*(1-IF(AND(ArtifactsInput!$M$27,Inputs!$B$4="Chapter Hunt"),CHOOSE(ArtifactsInput!$N$27+1,20,24,28,32,36,40),0)/100)),0)</f>
        <v/>
      </c>
      <c r="R3212">
        <f>IF(AND(Inputs!$B$38&lt;&gt;"pvp",Inputs!$B$43&gt;0),IF(MAX(0,Inputs!$B$43-B3247)&lt;=0,0,(INT(MAX(0,Inputs!$B$43-B3247)/(IF(Inputs!$B$38="pvp",15,MAX(0.1,Skills!D3-IF(Skills!E3=TRUE,5.0,0)))*(1-IF(AND(ArtifactsInput!$M$27,Inputs!$B$4="Chapter Hunt"),CHOOSE(ArtifactsInput!$N$27+1,20,24,28,32,36,40),0)/100)))+1)),0)</f>
        <v/>
      </c>
      <c r="S3212">
        <f>IFERROR(O3212/N3212,0)</f>
        <v/>
      </c>
      <c r="T3212">
        <f>IF(C3212,(H3212*N3212*IF(AND(Inputs!$B$38&lt;&gt;"pvp",Inputs!$B$43&gt;0),((Skills!G3*((R3212-1)*IF(Skills!H3&gt;0,Skills!I3/Skills!H3,1)+IF(Skills!H3&gt;0,MIN(Skills!I3,MAX(0,MAX(0,Inputs!$B$43-B3247)-((R3212-1)*(IF(Inputs!$B$38="pvp",15,MAX(0.1,Skills!D3-IF(Skills!E3=TRUE,5.0,0)))*(1-IF(AND(ArtifactsInput!$M$27,Inputs!$B$4="Chapter Hunt"),CHOOSE(ArtifactsInput!$N$27+1,20,24,28,32,36,40),0)/100)))))/Skills!H3,1)))/Inputs!$B$43),G3212*Q3212)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3212*(1-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3212*(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3212*(1-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3212*(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12">
        <f>INDEX(FactorTable!$B$2:$Y$301, MATCH(ROUND(MIN(300,MAX(1,U3211)),0), FactorTable!$A$2:$A$301,0), 22)</f>
        <v/>
      </c>
      <c r="V3212">
        <f>IF(C3212,(H3212*N3212*IF(AND(Inputs!$B$38&lt;&gt;"pvp",Inputs!$B$43&gt;0),((Skills!G3*((R3212-1)*IF(Skills!H3&gt;0,Skills!I3/Skills!H3,1)+IF(Skills!H3&gt;0,MIN(Skills!I3,MAX(0,MAX(0,Inputs!$B$43-B3247)-((R3212-1)*(IF(Inputs!$B$38="pvp",15,MAX(0.1,Skills!D3-IF(Skills!E3=TRUE,5.0,0)))*(1-IF(AND(ArtifactsInput!$M$27,Inputs!$B$4="Chapter Hunt"),CHOOSE(ArtifactsInput!$N$27+1,20,24,28,32,36,40),0)/100)))))/Skills!H3,1)))/Inputs!$B$43),G3212*Q3212))*IF(Inputs!$B$38="pvp",1,(1+(Inputs!$B$21+Skills!Q3+(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3">
      <c r="A3213">
        <f>Skills!A4</f>
        <v/>
      </c>
      <c r="B3213">
        <f>Skills!B4</f>
        <v/>
      </c>
      <c r="C3213">
        <f>Inputs!$B$3&gt;=40</f>
        <v/>
      </c>
      <c r="D3213">
        <f>IF(Skills!C4=1,60+Inputs!$B$25+Inputs!$B$29,IF(Skills!C4=2,90+Inputs!$B$26+Inputs!$B$29,IF(Skills!C4=3,120+Inputs!$B$27+Inputs!$B$29,MAX(0,(Inputs!$B$3-100)*3)+Inputs!$B$28+Inputs!$B$29)))</f>
        <v/>
      </c>
      <c r="E3213">
        <f>INDEX(FactorTable!$B$2:$Y$301, MATCH(ROUND(MIN(300,MAX(1,D3213)),0), FactorTable!$A$2:$A$301,0), Skills!M4+1)</f>
        <v/>
      </c>
      <c r="F3213">
        <f>IF(Skills!N4=TRUE,(Skills!L4/10)*(E3213/1000),Skills!L4/10)+Skills!O4</f>
        <v/>
      </c>
      <c r="G3213">
        <f>Skills!G4*IF(Skills!H4&gt;0,Skills!I4/Skills!H4,1)</f>
        <v/>
      </c>
      <c r="H3213">
        <f>1-(1-Skills!J4/100)^Skills!K4</f>
        <v/>
      </c>
      <c r="I3213" t="inlineStr">
        <is>
          <t>1</t>
        </is>
      </c>
      <c r="J3213">
        <f>((Inputs!$B$6*(1+Inputs!$B$7/100))+(((Inputs!$B$12*(1+Inputs!$B$13/100))-(Inputs!$B$12*(1+Inputs!$B$13/100)))+0.25*(Inputs!$B$14-Inputs!$B$14))*(1+Inputs!$B$7/100))*(F3213/100)</f>
        <v/>
      </c>
      <c r="K3213">
        <f>J3213*(1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3225=TRUE,F3225,0)/100)*(1+(IF(Skills!A4="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3213)</f>
        <v/>
      </c>
      <c r="L3213">
        <f>K3213*(MIN(Inputs!$B$22+((C3231=TRUE)*(F3231-Calc!F22)),(Inputs!$B$23+0+(IF(ArtifactsInput!$M$15,CHOOSE(ArtifactsInput!$N$15+1,25,30,35,40,45,50)/100*(Inputs!$B$11-Inputs!$B$11),0))))/100+(Inputs!$B$23+0+(IF(ArtifactsInput!$M$15,CHOOSE(ArtifactsInput!$N$15+1,25,30,35,40,45,50)/100*(Inputs!$B$11-Inputs!$B$11),0)))/100)/2</f>
        <v/>
      </c>
      <c r="M3213">
        <f>L3213*(1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3">
        <f>L3213*(1-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3213*(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3">
        <f>(1-Summary!$B$11)*T3213+Summary!$B$11*V3213</f>
        <v/>
      </c>
      <c r="P3213">
        <f>IF(B3250=0,0,O3213/B3250)</f>
        <v/>
      </c>
      <c r="Q3213">
        <f>IFERROR(1/(IF(Inputs!$B$38="pvp",15,MAX(0.1,Skills!D4-IF(Skills!E4=TRUE,5.0,0)))*(1-IF(AND(ArtifactsInput!$M$27,Inputs!$B$4="Chapter Hunt"),CHOOSE(ArtifactsInput!$N$27+1,20,24,28,32,36,40),0)/100)),0)</f>
        <v/>
      </c>
      <c r="R3213">
        <f>IF(AND(Inputs!$B$38&lt;&gt;"pvp",Inputs!$B$43&gt;0),IF(MAX(0,Inputs!$B$43-B3247)&lt;=0,0,(INT(MAX(0,Inputs!$B$43-B3247)/(IF(Inputs!$B$38="pvp",15,MAX(0.1,Skills!D4-IF(Skills!E4=TRUE,5.0,0)))*(1-IF(AND(ArtifactsInput!$M$27,Inputs!$B$4="Chapter Hunt"),CHOOSE(ArtifactsInput!$N$27+1,20,24,28,32,36,40),0)/100)))+1)),0)</f>
        <v/>
      </c>
      <c r="S3213">
        <f>IFERROR(O3213/N3213,0)</f>
        <v/>
      </c>
      <c r="T3213">
        <f>IF(C3213,(H3213*N3213*IF(AND(Inputs!$B$38&lt;&gt;"pvp",Inputs!$B$43&gt;0),((Skills!G4*((R3213-1)*IF(Skills!H4&gt;0,Skills!I4/Skills!H4,1)+IF(Skills!H4&gt;0,MIN(Skills!I4,MAX(0,MAX(0,Inputs!$B$43-B3247)-((R3213-1)*(IF(Inputs!$B$38="pvp",15,MAX(0.1,Skills!D4-IF(Skills!E4=TRUE,5.0,0)))*(1-IF(AND(ArtifactsInput!$M$27,Inputs!$B$4="Chapter Hunt"),CHOOSE(ArtifactsInput!$N$27+1,20,24,28,32,36,40),0)/100)))))/Skills!H4,1)))/Inputs!$B$43),G3213*Q3213)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3213*(1-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3213*(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3213*(1-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3213*(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13">
        <f>290*U3212/1000</f>
        <v/>
      </c>
      <c r="V3213">
        <f>IF(C3213,(H3213*N3213*IF(AND(Inputs!$B$38&lt;&gt;"pvp",Inputs!$B$43&gt;0),((Skills!G4*((R3213-1)*IF(Skills!H4&gt;0,Skills!I4/Skills!H4,1)+IF(Skills!H4&gt;0,MIN(Skills!I4,MAX(0,MAX(0,Inputs!$B$43-B3247)-((R3213-1)*(IF(Inputs!$B$38="pvp",15,MAX(0.1,Skills!D4-IF(Skills!E4=TRUE,5.0,0)))*(1-IF(AND(ArtifactsInput!$M$27,Inputs!$B$4="Chapter Hunt"),CHOOSE(ArtifactsInput!$N$27+1,20,24,28,32,36,40),0)/100)))))/Skills!H4,1)))/Inputs!$B$43),G3213*Q3213))*IF(Inputs!$B$38="pvp",1,(1+(Inputs!$B$21+Skills!Q4+(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4">
      <c r="A3214">
        <f>Skills!A5</f>
        <v/>
      </c>
      <c r="B3214">
        <f>Skills!B5</f>
        <v/>
      </c>
      <c r="C3214">
        <f>Inputs!$B$3&gt;=45</f>
        <v/>
      </c>
      <c r="D3214">
        <f>IF(Skills!C5=1,60+Inputs!$B$25+Inputs!$B$29,IF(Skills!C5=2,90+Inputs!$B$26+Inputs!$B$29,IF(Skills!C5=3,120+Inputs!$B$27+Inputs!$B$29,MAX(0,(Inputs!$B$3-100)*3)+Inputs!$B$28+Inputs!$B$29)))</f>
        <v/>
      </c>
      <c r="E3214">
        <f>INDEX(FactorTable!$B$2:$Y$301, MATCH(ROUND(MIN(300,MAX(1,D3214)),0), FactorTable!$A$2:$A$301,0), Skills!M5+1)</f>
        <v/>
      </c>
      <c r="F3214">
        <f>IF(Skills!N5=TRUE,(Skills!L5/10)*(E3214/1000),Skills!L5/10)+Skills!O5</f>
        <v/>
      </c>
      <c r="G3214">
        <f>Skills!G5*IF(Skills!H5&gt;0,Skills!I5/Skills!H5,1)</f>
        <v/>
      </c>
      <c r="H3214">
        <f>1-(1-Skills!J5/100)^Skills!K5</f>
        <v/>
      </c>
      <c r="I3214" t="inlineStr">
        <is>
          <t>1</t>
        </is>
      </c>
      <c r="J3214">
        <f>((Inputs!$B$6*(1+Inputs!$B$7/100))+(((Inputs!$B$12*(1+Inputs!$B$13/100))-(Inputs!$B$12*(1+Inputs!$B$13/100)))+0.25*(Inputs!$B$14-Inputs!$B$14))*(1+Inputs!$B$7/100))*(F3214/100)</f>
        <v/>
      </c>
      <c r="K3214">
        <f>J3214*(1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3225=TRUE,F3225,0)/100)*(1+(IF(Skills!A5="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3214)</f>
        <v/>
      </c>
      <c r="L3214">
        <f>K3214*(MIN(Inputs!$B$22+((C3231=TRUE)*(F3231-Calc!F22)),(Inputs!$B$23+0+(IF(ArtifactsInput!$M$15,CHOOSE(ArtifactsInput!$N$15+1,25,30,35,40,45,50)/100*(Inputs!$B$11-Inputs!$B$11),0))))/100+(Inputs!$B$23+0+(IF(ArtifactsInput!$M$15,CHOOSE(ArtifactsInput!$N$15+1,25,30,35,40,45,50)/100*(Inputs!$B$11-Inputs!$B$11),0)))/100)/2</f>
        <v/>
      </c>
      <c r="M3214">
        <f>L3214*(1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4">
        <f>L3214*(1-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3214*(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4">
        <f>(1-Summary!$B$11)*T3214+Summary!$B$11*V3214</f>
        <v/>
      </c>
      <c r="P3214">
        <f>IF(B3250=0,0,O3214/B3250)</f>
        <v/>
      </c>
      <c r="Q3214">
        <f>IFERROR(1/(IF(Inputs!$B$38="pvp",15,MAX(0.1,Skills!D5-IF(Skills!E5=TRUE,5.0,0)))*(1-IF(AND(ArtifactsInput!$M$27,Inputs!$B$4="Chapter Hunt"),CHOOSE(ArtifactsInput!$N$27+1,20,24,28,32,36,40),0)/100)),0)</f>
        <v/>
      </c>
      <c r="R3214">
        <f>IF(AND(Inputs!$B$38&lt;&gt;"pvp",Inputs!$B$43&gt;0),IF(MAX(0,Inputs!$B$43-B3247)&lt;=0,0,(INT(MAX(0,Inputs!$B$43-B3247)/(IF(Inputs!$B$38="pvp",15,MAX(0.1,Skills!D5-IF(Skills!E5=TRUE,5.0,0)))*(1-IF(AND(ArtifactsInput!$M$27,Inputs!$B$4="Chapter Hunt"),CHOOSE(ArtifactsInput!$N$27+1,20,24,28,32,36,40),0)/100)))+1)),0)</f>
        <v/>
      </c>
      <c r="S3214">
        <f>IFERROR(O3214/N3214,0)</f>
        <v/>
      </c>
      <c r="T3214">
        <f>IF(C3214,(H3214*N3214*IF(AND(Inputs!$B$38&lt;&gt;"pvp",Inputs!$B$43&gt;0),((Skills!G5*((R3214-1)*IF(Skills!H5&gt;0,Skills!I5/Skills!H5,1)+IF(Skills!H5&gt;0,MIN(Skills!I5,MAX(0,MAX(0,Inputs!$B$43-B3247)-((R3214-1)*(IF(Inputs!$B$38="pvp",15,MAX(0.1,Skills!D5-IF(Skills!E5=TRUE,5.0,0)))*(1-IF(AND(ArtifactsInput!$M$27,Inputs!$B$4="Chapter Hunt"),CHOOSE(ArtifactsInput!$N$27+1,20,24,28,32,36,40),0)/100)))))/Skills!H5,1)))/Inputs!$B$43),G3214*Q3214)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3214*(1-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3214*(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3214*(1-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3214*(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4">
        <f>IF(C3214,(H3214*N3214*IF(AND(Inputs!$B$38&lt;&gt;"pvp",Inputs!$B$43&gt;0),((Skills!G5*((R3214-1)*IF(Skills!H5&gt;0,Skills!I5/Skills!H5,1)+IF(Skills!H5&gt;0,MIN(Skills!I5,MAX(0,MAX(0,Inputs!$B$43-B3247)-((R3214-1)*(IF(Inputs!$B$38="pvp",15,MAX(0.1,Skills!D5-IF(Skills!E5=TRUE,5.0,0)))*(1-IF(AND(ArtifactsInput!$M$27,Inputs!$B$4="Chapter Hunt"),CHOOSE(ArtifactsInput!$N$27+1,20,24,28,32,36,40),0)/100)))))/Skills!H5,1)))/Inputs!$B$43),G3214*Q3214))*IF(Inputs!$B$38="pvp",1,(1+(Inputs!$B$21+Skills!Q5+(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5">
      <c r="A3215">
        <f>Skills!A6</f>
        <v/>
      </c>
      <c r="B3215">
        <f>Skills!B6</f>
        <v/>
      </c>
      <c r="C3215">
        <f>Inputs!$B$3&gt;=63</f>
        <v/>
      </c>
      <c r="D3215">
        <f>IF(Skills!C6=1,60+Inputs!$B$25+Inputs!$B$29,IF(Skills!C6=2,90+Inputs!$B$26+Inputs!$B$29,IF(Skills!C6=3,120+Inputs!$B$27+Inputs!$B$29,MAX(0,(Inputs!$B$3-100)*3)+Inputs!$B$28+Inputs!$B$29)))</f>
        <v/>
      </c>
      <c r="E3215">
        <f>INDEX(FactorTable!$B$2:$Y$301, MATCH(ROUND(MIN(300,MAX(1,D3215)),0), FactorTable!$A$2:$A$301,0), Skills!M6+1)</f>
        <v/>
      </c>
      <c r="F3215">
        <f>IF(Skills!N6=TRUE,(Skills!L6/10)*(E3215/1000),Skills!L6/10)+Skills!O6</f>
        <v/>
      </c>
      <c r="G3215">
        <f>Skills!G6*IF(Skills!H6&gt;0,Skills!I6/Skills!H6,1)</f>
        <v/>
      </c>
      <c r="H3215">
        <f>1-(1-Skills!J6/100)^Skills!K6</f>
        <v/>
      </c>
      <c r="I3215" t="inlineStr">
        <is>
          <t>1</t>
        </is>
      </c>
      <c r="J3215">
        <f>((Inputs!$B$6*(1+Inputs!$B$7/100))+(((Inputs!$B$12*(1+Inputs!$B$13/100))-(Inputs!$B$12*(1+Inputs!$B$13/100)))+0.25*(Inputs!$B$14-Inputs!$B$14))*(1+Inputs!$B$7/100))*(F3215/100)</f>
        <v/>
      </c>
      <c r="K3215">
        <f>J3215*(1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3224=TRUE,F3224,0)/100)*(1+(IF(Skills!A6="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3215)</f>
        <v/>
      </c>
      <c r="L3215">
        <f>K3215*(MIN(Inputs!$B$22+((C3231=TRUE)*(F3231-Calc!F22)),(Inputs!$B$23+0+(IF(ArtifactsInput!$M$15,CHOOSE(ArtifactsInput!$N$15+1,25,30,35,40,45,50)/100*(Inputs!$B$11-Inputs!$B$11),0))))/100+(Inputs!$B$23+0+(IF(ArtifactsInput!$M$15,CHOOSE(ArtifactsInput!$N$15+1,25,30,35,40,45,50)/100*(Inputs!$B$11-Inputs!$B$11),0)))/100)/2</f>
        <v/>
      </c>
      <c r="M3215">
        <f>L3215*(1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5">
        <f>L3215*(1-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3215*(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5">
        <f>(1-Summary!$B$11)*T3215+Summary!$B$11*V3215</f>
        <v/>
      </c>
      <c r="P3215">
        <f>IF(B3250=0,0,O3215/B3250)</f>
        <v/>
      </c>
      <c r="Q3215">
        <f>IFERROR(1/(IF(Inputs!$B$38="pvp",15,MAX(0.1,Skills!D6-IF(Skills!E6=TRUE,5.0,0)))*(1-IF(AND(ArtifactsInput!$M$27,Inputs!$B$4="Chapter Hunt"),CHOOSE(ArtifactsInput!$N$27+1,20,24,28,32,36,40),0)/100)),0)</f>
        <v/>
      </c>
      <c r="R3215">
        <f>IF(AND(Inputs!$B$38&lt;&gt;"pvp",Inputs!$B$43&gt;0),IF(MAX(0,Inputs!$B$43-B3247)&lt;=0,0,(INT(MAX(0,Inputs!$B$43-B3247)/(IF(Inputs!$B$38="pvp",15,MAX(0.1,Skills!D6-IF(Skills!E6=TRUE,5.0,0)))*(1-IF(AND(ArtifactsInput!$M$27,Inputs!$B$4="Chapter Hunt"),CHOOSE(ArtifactsInput!$N$27+1,20,24,28,32,36,40),0)/100)))+1)),0)</f>
        <v/>
      </c>
      <c r="S3215">
        <f>IFERROR(O3215/N3215,0)</f>
        <v/>
      </c>
      <c r="T3215">
        <f>IF(C3215,(H3215*N3215*IF(AND(Inputs!$B$38&lt;&gt;"pvp",Inputs!$B$43&gt;0),((Skills!G6*((R3215-1)*IF(Skills!H6&gt;0,Skills!I6/Skills!H6,1)+IF(Skills!H6&gt;0,MIN(Skills!I6,MAX(0,MAX(0,Inputs!$B$43-B3247)-((R3215-1)*(IF(Inputs!$B$38="pvp",15,MAX(0.1,Skills!D6-IF(Skills!E6=TRUE,5.0,0)))*(1-IF(AND(ArtifactsInput!$M$27,Inputs!$B$4="Chapter Hunt"),CHOOSE(ArtifactsInput!$N$27+1,20,24,28,32,36,40),0)/100)))))/Skills!H6,1)))/Inputs!$B$43),G3215*Q3215)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3215*(1-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3215*(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3215*(1-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3215*(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5">
        <f>IF(C3215,(H3215*N3215*IF(AND(Inputs!$B$38&lt;&gt;"pvp",Inputs!$B$43&gt;0),((Skills!G6*((R3215-1)*IF(Skills!H6&gt;0,Skills!I6/Skills!H6,1)+IF(Skills!H6&gt;0,MIN(Skills!I6,MAX(0,MAX(0,Inputs!$B$43-B3247)-((R3215-1)*(IF(Inputs!$B$38="pvp",15,MAX(0.1,Skills!D6-IF(Skills!E6=TRUE,5.0,0)))*(1-IF(AND(ArtifactsInput!$M$27,Inputs!$B$4="Chapter Hunt"),CHOOSE(ArtifactsInput!$N$27+1,20,24,28,32,36,40),0)/100)))))/Skills!H6,1)))/Inputs!$B$43),G3215*Q3215))*IF(Inputs!$B$38="pvp",1,(1+(Inputs!$B$21+Skills!Q6+(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6">
      <c r="A3216">
        <f>Skills!A7</f>
        <v/>
      </c>
      <c r="B3216">
        <f>Skills!B7</f>
        <v/>
      </c>
      <c r="C3216">
        <f>Inputs!$B$3&gt;=66</f>
        <v/>
      </c>
      <c r="D3216">
        <f>IF(Skills!C7=1,60+Inputs!$B$25+Inputs!$B$29,IF(Skills!C7=2,90+Inputs!$B$26+Inputs!$B$29,IF(Skills!C7=3,120+Inputs!$B$27+Inputs!$B$29,MAX(0,(Inputs!$B$3-100)*3)+Inputs!$B$28+Inputs!$B$29)))</f>
        <v/>
      </c>
      <c r="E3216">
        <f>INDEX(FactorTable!$B$2:$Y$301, MATCH(ROUND(MIN(300,MAX(1,D3216)),0), FactorTable!$A$2:$A$301,0), Skills!M7+1)</f>
        <v/>
      </c>
      <c r="F3216">
        <f>IF(Skills!N7=TRUE,(Skills!L7/10)*(E3216/1000),Skills!L7/10)+Skills!O7</f>
        <v/>
      </c>
      <c r="G3216">
        <f>Skills!G7*IF(Skills!H7&gt;0,Skills!I7/Skills!H7,1)</f>
        <v/>
      </c>
      <c r="H3216">
        <f>1-(1-Skills!J7/100)^Skills!K7</f>
        <v/>
      </c>
      <c r="I3216" t="inlineStr">
        <is>
          <t>1</t>
        </is>
      </c>
      <c r="J3216">
        <f>((Inputs!$B$6*(1+Inputs!$B$7/100))+(((Inputs!$B$12*(1+Inputs!$B$13/100))-(Inputs!$B$12*(1+Inputs!$B$13/100)))+0.25*(Inputs!$B$14-Inputs!$B$14))*(1+Inputs!$B$7/100))*(F3216/100)</f>
        <v/>
      </c>
      <c r="K3216">
        <f>J3216*(1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3224=TRUE,F3224,0)/100)*(1+(IF(Skills!A7="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3216)</f>
        <v/>
      </c>
      <c r="L3216">
        <f>K3216*(MIN(Inputs!$B$22+((C3231=TRUE)*(F3231-Calc!F22)),(Inputs!$B$23+0+(IF(ArtifactsInput!$M$15,CHOOSE(ArtifactsInput!$N$15+1,25,30,35,40,45,50)/100*(Inputs!$B$11-Inputs!$B$11),0))))/100+(Inputs!$B$23+0+(IF(ArtifactsInput!$M$15,CHOOSE(ArtifactsInput!$N$15+1,25,30,35,40,45,50)/100*(Inputs!$B$11-Inputs!$B$11),0)))/100)/2</f>
        <v/>
      </c>
      <c r="M3216">
        <f>L3216*(1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6">
        <f>L3216*(1-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3216*(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6">
        <f>(1-Summary!$B$11)*T3216+Summary!$B$11*V3216</f>
        <v/>
      </c>
      <c r="P3216">
        <f>IF(B3250=0,0,O3216/B3250)</f>
        <v/>
      </c>
      <c r="Q3216">
        <f>IFERROR(1/(IF(Inputs!$B$38="pvp",15,MAX(0.1,Skills!D7-IF(Skills!E7=TRUE,5.0,0)))*(1-IF(AND(ArtifactsInput!$M$27,Inputs!$B$4="Chapter Hunt"),CHOOSE(ArtifactsInput!$N$27+1,20,24,28,32,36,40),0)/100)),0)</f>
        <v/>
      </c>
      <c r="R3216">
        <f>IF(AND(Inputs!$B$38&lt;&gt;"pvp",Inputs!$B$43&gt;0),IF(MAX(0,Inputs!$B$43-B3247)&lt;=0,0,(INT(MAX(0,Inputs!$B$43-B3247)/(IF(Inputs!$B$38="pvp",15,MAX(0.1,Skills!D7-IF(Skills!E7=TRUE,5.0,0)))*(1-IF(AND(ArtifactsInput!$M$27,Inputs!$B$4="Chapter Hunt"),CHOOSE(ArtifactsInput!$N$27+1,20,24,28,32,36,40),0)/100)))+1)),0)</f>
        <v/>
      </c>
      <c r="S3216">
        <f>IFERROR(O3216/N3216,0)</f>
        <v/>
      </c>
      <c r="T3216">
        <f>IF(C3216,(H3216*N3216*IF(AND(Inputs!$B$38&lt;&gt;"pvp",Inputs!$B$43&gt;0),((Skills!G7*((R3216-1)*IF(Skills!H7&gt;0,Skills!I7/Skills!H7,1)+IF(Skills!H7&gt;0,MIN(Skills!I7,MAX(0,MAX(0,Inputs!$B$43-B3247)-((R3216-1)*(IF(Inputs!$B$38="pvp",15,MAX(0.1,Skills!D7-IF(Skills!E7=TRUE,5.0,0)))*(1-IF(AND(ArtifactsInput!$M$27,Inputs!$B$4="Chapter Hunt"),CHOOSE(ArtifactsInput!$N$27+1,20,24,28,32,36,40),0)/100)))))/Skills!H7,1)))/Inputs!$B$43),G3216*Q3216)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3216*(1-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3216*(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3216*(1-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3216*(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6">
        <f>IF(C3216,(H3216*N3216*IF(AND(Inputs!$B$38&lt;&gt;"pvp",Inputs!$B$43&gt;0),((Skills!G7*((R3216-1)*IF(Skills!H7&gt;0,Skills!I7/Skills!H7,1)+IF(Skills!H7&gt;0,MIN(Skills!I7,MAX(0,MAX(0,Inputs!$B$43-B3247)-((R3216-1)*(IF(Inputs!$B$38="pvp",15,MAX(0.1,Skills!D7-IF(Skills!E7=TRUE,5.0,0)))*(1-IF(AND(ArtifactsInput!$M$27,Inputs!$B$4="Chapter Hunt"),CHOOSE(ArtifactsInput!$N$27+1,20,24,28,32,36,40),0)/100)))))/Skills!H7,1)))/Inputs!$B$43),G3216*Q3216))*IF(Inputs!$B$38="pvp",1,(1+(Inputs!$B$21+Skills!Q7+(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7">
      <c r="A3217">
        <f>Skills!A8</f>
        <v/>
      </c>
      <c r="B3217">
        <f>Skills!B8</f>
        <v/>
      </c>
      <c r="C3217">
        <f>Inputs!$B$3&gt;=100</f>
        <v/>
      </c>
      <c r="D3217">
        <f>IF(Skills!C8=1,60+Inputs!$B$25+Inputs!$B$29,IF(Skills!C8=2,90+Inputs!$B$26+Inputs!$B$29,IF(Skills!C8=3,120+Inputs!$B$27+Inputs!$B$29,MAX(0,(Inputs!$B$3-100)*3)+Inputs!$B$28+Inputs!$B$29)))</f>
        <v/>
      </c>
      <c r="E3217">
        <f>INDEX(FactorTable!$B$2:$Y$301, MATCH(ROUND(MIN(300,MAX(1,D3217)),0), FactorTable!$A$2:$A$301,0), Skills!M8+1)</f>
        <v/>
      </c>
      <c r="F3217">
        <f>IF(Skills!N8=TRUE,(Skills!L8/10)*(E3217/1000),Skills!L8/10)+Skills!O8</f>
        <v/>
      </c>
      <c r="G3217">
        <f>Skills!G8*IF(Skills!H8&gt;0,Skills!I8/Skills!H8,1)</f>
        <v/>
      </c>
      <c r="H3217">
        <f>1-(1-Skills!J8/100)^Skills!K8</f>
        <v/>
      </c>
      <c r="I3217" t="inlineStr">
        <is>
          <t>1</t>
        </is>
      </c>
      <c r="J3217">
        <f>((Inputs!$B$6*(1+Inputs!$B$7/100))+(((Inputs!$B$12*(1+Inputs!$B$13/100))-(Inputs!$B$12*(1+Inputs!$B$13/100)))+0.25*(Inputs!$B$14-Inputs!$B$14))*(1+Inputs!$B$7/100))*(F3217/100)</f>
        <v/>
      </c>
      <c r="K3217">
        <f>J3217*(1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3217)</f>
        <v/>
      </c>
      <c r="L3217">
        <f>K3217*(MIN(Inputs!$B$22+((C3231=TRUE)*(F3231-Calc!F22)),(Inputs!$B$23+0+(IF(ArtifactsInput!$M$15,CHOOSE(ArtifactsInput!$N$15+1,25,30,35,40,45,50)/100*(Inputs!$B$11-Inputs!$B$11),0))))/100+(Inputs!$B$23+0+(IF(ArtifactsInput!$M$15,CHOOSE(ArtifactsInput!$N$15+1,25,30,35,40,45,50)/100*(Inputs!$B$11-Inputs!$B$11),0)))/100)/2</f>
        <v/>
      </c>
      <c r="M3217">
        <f>L3217*(1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7">
        <f>L3217*(1-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3217*(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7">
        <f>(1-Summary!$B$11)*T3217+Summary!$B$11*V3217</f>
        <v/>
      </c>
      <c r="P3217">
        <f>IF(B3250=0,0,O3217/B3250)</f>
        <v/>
      </c>
      <c r="Q3217">
        <f>IFERROR(1/(IF(Inputs!$B$38="pvp",15,MAX(0.1,Skills!D8-IF(Skills!E8=TRUE,5.0,0)))*(1-IF(AND(ArtifactsInput!$M$27,Inputs!$B$4="Chapter Hunt"),CHOOSE(ArtifactsInput!$N$27+1,20,24,28,32,36,40),0)/100)),0)</f>
        <v/>
      </c>
      <c r="R3217">
        <f>IF(AND(Inputs!$B$38&lt;&gt;"pvp",Inputs!$B$43&gt;0),IF(MAX(0,Inputs!$B$43-B3247)&lt;=0,0,(INT(MAX(0,Inputs!$B$43-B3247)/(IF(Inputs!$B$38="pvp",15,MAX(0.1,Skills!D8-IF(Skills!E8=TRUE,5.0,0)))*(1-IF(AND(ArtifactsInput!$M$27,Inputs!$B$4="Chapter Hunt"),CHOOSE(ArtifactsInput!$N$27+1,20,24,28,32,36,40),0)/100)))+1)),0)</f>
        <v/>
      </c>
      <c r="S3217">
        <f>IFERROR(O3217/N3217,0)</f>
        <v/>
      </c>
      <c r="T3217">
        <f>IF(C3217,(H3217*N3217*IF(AND(Inputs!$B$38&lt;&gt;"pvp",Inputs!$B$43&gt;0),((Skills!G8*((R3217-1)*IF(Skills!H8&gt;0,Skills!I8/Skills!H8,1)+IF(Skills!H8&gt;0,MIN(Skills!I8,MAX(0,MAX(0,Inputs!$B$43-B3247)-((R3217-1)*(IF(Inputs!$B$38="pvp",15,MAX(0.1,Skills!D8-IF(Skills!E8=TRUE,5.0,0)))*(1-IF(AND(ArtifactsInput!$M$27,Inputs!$B$4="Chapter Hunt"),CHOOSE(ArtifactsInput!$N$27+1,20,24,28,32,36,40),0)/100)))))/Skills!H8,1)))/Inputs!$B$43),G3217*Q3217)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3217*(1-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3217*(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3217*(1-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3217*(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7">
        <f>IF(C3217,(H3217*N3217*IF(AND(Inputs!$B$38&lt;&gt;"pvp",Inputs!$B$43&gt;0),((Skills!G8*((R3217-1)*IF(Skills!H8&gt;0,Skills!I8/Skills!H8,1)+IF(Skills!H8&gt;0,MIN(Skills!I8,MAX(0,MAX(0,Inputs!$B$43-B3247)-((R3217-1)*(IF(Inputs!$B$38="pvp",15,MAX(0.1,Skills!D8-IF(Skills!E8=TRUE,5.0,0)))*(1-IF(AND(ArtifactsInput!$M$27,Inputs!$B$4="Chapter Hunt"),CHOOSE(ArtifactsInput!$N$27+1,20,24,28,32,36,40),0)/100)))))/Skills!H8,1)))/Inputs!$B$43),G3217*Q3217))*IF(Inputs!$B$38="pvp",1,(1+(Inputs!$B$21+Skills!Q8+(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8">
      <c r="A3218">
        <f>Skills!A9</f>
        <v/>
      </c>
      <c r="B3218">
        <f>Skills!B9</f>
        <v/>
      </c>
      <c r="C3218">
        <f>Inputs!$B$3&gt;=103</f>
        <v/>
      </c>
      <c r="D3218">
        <f>IF(Skills!C9=1,60+Inputs!$B$25+Inputs!$B$29,IF(Skills!C9=2,90+Inputs!$B$26+Inputs!$B$29,IF(Skills!C9=3,120+Inputs!$B$27+Inputs!$B$29,MAX(0,(Inputs!$B$3-100)*3)+Inputs!$B$28+Inputs!$B$29)))</f>
        <v/>
      </c>
      <c r="E3218">
        <f>INDEX(FactorTable!$B$2:$Y$301, MATCH(ROUND(MIN(300,MAX(1,D3218)),0), FactorTable!$A$2:$A$301,0), Skills!M9+1)</f>
        <v/>
      </c>
      <c r="F3218">
        <f>IF(Skills!N9=TRUE,(Skills!L9/10)*(E3218/1000),Skills!L9/10)+Skills!O9</f>
        <v/>
      </c>
      <c r="G3218">
        <f>Skills!G9*IF(Skills!H9&gt;0,Skills!I9/Skills!H9,1)</f>
        <v/>
      </c>
      <c r="H3218">
        <f>1-(1-Skills!J9/100)^Skills!K9</f>
        <v/>
      </c>
      <c r="I3218" t="inlineStr">
        <is>
          <t>1</t>
        </is>
      </c>
      <c r="J3218">
        <f>((Inputs!$B$6*(1+Inputs!$B$7/100))+(((Inputs!$B$12*(1+Inputs!$B$13/100))-(Inputs!$B$12*(1+Inputs!$B$13/100)))+0.25*(Inputs!$B$14-Inputs!$B$14))*(1+Inputs!$B$7/100))*(F3218/100)</f>
        <v/>
      </c>
      <c r="K3218">
        <f>J3218*(1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3218)</f>
        <v/>
      </c>
      <c r="L3218">
        <f>K3218*(MIN(Inputs!$B$22+((C3231=TRUE)*(F3231-Calc!F22)),(Inputs!$B$23+0+(IF(ArtifactsInput!$M$15,CHOOSE(ArtifactsInput!$N$15+1,25,30,35,40,45,50)/100*(Inputs!$B$11-Inputs!$B$11),0))))/100+(Inputs!$B$23+0+(IF(ArtifactsInput!$M$15,CHOOSE(ArtifactsInput!$N$15+1,25,30,35,40,45,50)/100*(Inputs!$B$11-Inputs!$B$11),0)))/100)/2</f>
        <v/>
      </c>
      <c r="M3218">
        <f>L3218*(1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8">
        <f>L3218*(1-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3218*(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8">
        <f>(1-Summary!$B$11)*T3218+Summary!$B$11*V3218</f>
        <v/>
      </c>
      <c r="P3218">
        <f>IF(B3250=0,0,O3218/B3250)</f>
        <v/>
      </c>
      <c r="Q3218">
        <f>IFERROR(1/(IF(Inputs!$B$38="pvp",15,MAX(0.1,Skills!D9-IF(Skills!E9=TRUE,5.0,0)))*(1-IF(AND(ArtifactsInput!$M$27,Inputs!$B$4="Chapter Hunt"),CHOOSE(ArtifactsInput!$N$27+1,20,24,28,32,36,40),0)/100)),0)</f>
        <v/>
      </c>
      <c r="R3218">
        <f>IF(AND(Inputs!$B$38&lt;&gt;"pvp",Inputs!$B$43&gt;0),IF(MAX(0,Inputs!$B$43-B3247)&lt;=0,0,(INT(MAX(0,Inputs!$B$43-B3247)/(IF(Inputs!$B$38="pvp",15,MAX(0.1,Skills!D9-IF(Skills!E9=TRUE,5.0,0)))*(1-IF(AND(ArtifactsInput!$M$27,Inputs!$B$4="Chapter Hunt"),CHOOSE(ArtifactsInput!$N$27+1,20,24,28,32,36,40),0)/100)))+1)),0)</f>
        <v/>
      </c>
      <c r="S3218">
        <f>IFERROR(O3218/N3218,0)</f>
        <v/>
      </c>
      <c r="T3218">
        <f>IF(C3218,(H3218*N3218*IF(AND(Inputs!$B$38&lt;&gt;"pvp",Inputs!$B$43&gt;0),((Skills!G9*((R3218-1)*IF(Skills!H9&gt;0,Skills!I9/Skills!H9,1)+IF(Skills!H9&gt;0,MIN(Skills!I9,MAX(0,MAX(0,Inputs!$B$43-B3247)-((R3218-1)*(IF(Inputs!$B$38="pvp",15,MAX(0.1,Skills!D9-IF(Skills!E9=TRUE,5.0,0)))*(1-IF(AND(ArtifactsInput!$M$27,Inputs!$B$4="Chapter Hunt"),CHOOSE(ArtifactsInput!$N$27+1,20,24,28,32,36,40),0)/100)))))/Skills!H9,1)))/Inputs!$B$43),G3218*Q3218)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3218*(1-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3218*(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3218*(1-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3218*(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8">
        <f>IF(C3218,(H3218*N3218*IF(AND(Inputs!$B$38&lt;&gt;"pvp",Inputs!$B$43&gt;0),((Skills!G9*((R3218-1)*IF(Skills!H9&gt;0,Skills!I9/Skills!H9,1)+IF(Skills!H9&gt;0,MIN(Skills!I9,MAX(0,MAX(0,Inputs!$B$43-B3247)-((R3218-1)*(IF(Inputs!$B$38="pvp",15,MAX(0.1,Skills!D9-IF(Skills!E9=TRUE,5.0,0)))*(1-IF(AND(ArtifactsInput!$M$27,Inputs!$B$4="Chapter Hunt"),CHOOSE(ArtifactsInput!$N$27+1,20,24,28,32,36,40),0)/100)))))/Skills!H9,1)))/Inputs!$B$43),G3218*Q3218))*IF(Inputs!$B$38="pvp",1,(1+(Inputs!$B$21+Skills!Q9+(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9">
      <c r="A3219">
        <f>Skills!A10</f>
        <v/>
      </c>
      <c r="B3219">
        <f>Skills!B10</f>
        <v/>
      </c>
      <c r="C3219">
        <f>Inputs!$B$3&gt;=113</f>
        <v/>
      </c>
      <c r="D3219">
        <f>IF(Skills!C10=1,60+Inputs!$B$25+Inputs!$B$29,IF(Skills!C10=2,90+Inputs!$B$26+Inputs!$B$29,IF(Skills!C10=3,120+Inputs!$B$27+Inputs!$B$29,MAX(0,(Inputs!$B$3-100)*3)+Inputs!$B$28+Inputs!$B$29)))</f>
        <v/>
      </c>
      <c r="E3219">
        <f>INDEX(FactorTable!$B$2:$Y$301, MATCH(ROUND(MIN(300,MAX(1,D3219)),0), FactorTable!$A$2:$A$301,0), Skills!M10+1)</f>
        <v/>
      </c>
      <c r="F3219">
        <f>IF(Skills!N10=TRUE,(Skills!L10/10)*(E3219/1000),Skills!L10/10)+Skills!O10</f>
        <v/>
      </c>
      <c r="G3219">
        <f>Skills!G10*IF(Skills!H10&gt;0,Skills!I10/Skills!H10,1)</f>
        <v/>
      </c>
      <c r="H3219">
        <f>1-(1-Skills!J10/100)^Skills!K10</f>
        <v/>
      </c>
      <c r="I3219" t="inlineStr">
        <is>
          <t>1</t>
        </is>
      </c>
      <c r="J3219">
        <f>((Inputs!$B$6*(1+Inputs!$B$7/100))+(((Inputs!$B$12*(1+Inputs!$B$13/100))-(Inputs!$B$12*(1+Inputs!$B$13/100)))+0.25*(Inputs!$B$14-Inputs!$B$14))*(1+Inputs!$B$7/100))*(F3219/100)</f>
        <v/>
      </c>
      <c r="K3219">
        <f>J3219*(1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3219)</f>
        <v/>
      </c>
      <c r="L3219">
        <f>K3219*(MIN(Inputs!$B$22+((C3231=TRUE)*(F3231-Calc!F22)),(Inputs!$B$23+0+(IF(ArtifactsInput!$M$15,CHOOSE(ArtifactsInput!$N$15+1,25,30,35,40,45,50)/100*(Inputs!$B$11-Inputs!$B$11),0))))/100+(Inputs!$B$23+0+(IF(ArtifactsInput!$M$15,CHOOSE(ArtifactsInput!$N$15+1,25,30,35,40,45,50)/100*(Inputs!$B$11-Inputs!$B$11),0)))/100)/2</f>
        <v/>
      </c>
      <c r="M3219">
        <f>L3219*(1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9">
        <f>L3219*(1-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3219*(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9">
        <f>(1-Summary!$B$11)*T3219+Summary!$B$11*V3219</f>
        <v/>
      </c>
      <c r="P3219">
        <f>IF(B3250=0,0,O3219/B3250)</f>
        <v/>
      </c>
      <c r="Q3219">
        <f>IFERROR(1/(IF(Inputs!$B$38="pvp",15,MAX(0.1,Skills!D10-IF(Skills!E10=TRUE,5.0,0)))*(1-IF(AND(ArtifactsInput!$M$27,Inputs!$B$4="Chapter Hunt"),CHOOSE(ArtifactsInput!$N$27+1,20,24,28,32,36,40),0)/100)),0)</f>
        <v/>
      </c>
      <c r="R3219">
        <f>IF(AND(Inputs!$B$38&lt;&gt;"pvp",Inputs!$B$43&gt;0),IF(MAX(0,Inputs!$B$43-B3247)&lt;=0,0,(INT(MAX(0,Inputs!$B$43-B3247)/(IF(Inputs!$B$38="pvp",15,MAX(0.1,Skills!D10-IF(Skills!E10=TRUE,5.0,0)))*(1-IF(AND(ArtifactsInput!$M$27,Inputs!$B$4="Chapter Hunt"),CHOOSE(ArtifactsInput!$N$27+1,20,24,28,32,36,40),0)/100)))+1)),0)</f>
        <v/>
      </c>
      <c r="S3219">
        <f>IFERROR(O3219/N3219,0)</f>
        <v/>
      </c>
      <c r="T3219">
        <f>IF(C3219,(H3219*N3219*IF(AND(Inputs!$B$38&lt;&gt;"pvp",Inputs!$B$43&gt;0),((Skills!G10*((R3219-1)*IF(Skills!H10&gt;0,Skills!I10/Skills!H10,1)+IF(Skills!H10&gt;0,MIN(Skills!I10,MAX(0,MAX(0,Inputs!$B$43-B3247)-((R3219-1)*(IF(Inputs!$B$38="pvp",15,MAX(0.1,Skills!D10-IF(Skills!E10=TRUE,5.0,0)))*(1-IF(AND(ArtifactsInput!$M$27,Inputs!$B$4="Chapter Hunt"),CHOOSE(ArtifactsInput!$N$27+1,20,24,28,32,36,40),0)/100)))))/Skills!H10,1)))/Inputs!$B$43),G3219*Q3219)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3219*(1-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3219*(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3219*(1-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3219*(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9">
        <f>IF(C3219,(H3219*N3219*IF(AND(Inputs!$B$38&lt;&gt;"pvp",Inputs!$B$43&gt;0),((Skills!G10*((R3219-1)*IF(Skills!H10&gt;0,Skills!I10/Skills!H10,1)+IF(Skills!H10&gt;0,MIN(Skills!I10,MAX(0,MAX(0,Inputs!$B$43-B3247)-((R3219-1)*(IF(Inputs!$B$38="pvp",15,MAX(0.1,Skills!D10-IF(Skills!E10=TRUE,5.0,0)))*(1-IF(AND(ArtifactsInput!$M$27,Inputs!$B$4="Chapter Hunt"),CHOOSE(ArtifactsInput!$N$27+1,20,24,28,32,36,40),0)/100)))))/Skills!H10,1)))/Inputs!$B$43),G3219*Q3219))*IF(Inputs!$B$38="pvp",1,(1+(Inputs!$B$21+Skills!Q10+(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0">
      <c r="A3220">
        <f>Skills!A11</f>
        <v/>
      </c>
      <c r="B3220">
        <f>Skills!B11</f>
        <v/>
      </c>
      <c r="C3220">
        <f>Inputs!$B$3&gt;=107</f>
        <v/>
      </c>
      <c r="D3220">
        <f>IF(Skills!C11=1,60+Inputs!$B$25+Inputs!$B$29,IF(Skills!C11=2,90+Inputs!$B$26+Inputs!$B$29,IF(Skills!C11=3,120+Inputs!$B$27+Inputs!$B$29,MAX(0,(Inputs!$B$3-100)*3)+Inputs!$B$28+Inputs!$B$29)))</f>
        <v/>
      </c>
      <c r="E3220">
        <f>INDEX(FactorTable!$B$2:$Y$301, MATCH(ROUND(MIN(300,MAX(1,D3220)),0), FactorTable!$A$2:$A$301,0), Skills!M11+1)</f>
        <v/>
      </c>
      <c r="F3220">
        <f>IF(Skills!N11=TRUE,(Skills!L11/10)*(E3220/1000),Skills!L11/10)+Skills!O11</f>
        <v/>
      </c>
      <c r="G3220">
        <f>Skills!G11*IF(Skills!H11&gt;0,Skills!I11/Skills!H11,1)</f>
        <v/>
      </c>
      <c r="H3220">
        <f>1-(1-Skills!J11/100)^Skills!K11</f>
        <v/>
      </c>
      <c r="I3220" t="inlineStr">
        <is>
          <t>1</t>
        </is>
      </c>
      <c r="J3220">
        <f>((Inputs!$B$6*(1+Inputs!$B$7/100))+(((Inputs!$B$12*(1+Inputs!$B$13/100))-(Inputs!$B$12*(1+Inputs!$B$13/100)))+0.25*(Inputs!$B$14-Inputs!$B$14))*(1+Inputs!$B$7/100))*(F3220/100)</f>
        <v/>
      </c>
      <c r="K3220">
        <f>J3220*(1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3220)</f>
        <v/>
      </c>
      <c r="L3220">
        <f>K3220*(MIN(Inputs!$B$22+((C3231=TRUE)*(F3231-Calc!F22)),(Inputs!$B$23+0+(IF(ArtifactsInput!$M$15,CHOOSE(ArtifactsInput!$N$15+1,25,30,35,40,45,50)/100*(Inputs!$B$11-Inputs!$B$11),0))))/100+(Inputs!$B$23+0+(IF(ArtifactsInput!$M$15,CHOOSE(ArtifactsInput!$N$15+1,25,30,35,40,45,50)/100*(Inputs!$B$11-Inputs!$B$11),0)))/100)/2</f>
        <v/>
      </c>
      <c r="M3220">
        <f>L3220*(1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0">
        <f>L3220*(1-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3220*(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0">
        <f>(1-Summary!$B$11)*T3220+Summary!$B$11*V3220</f>
        <v/>
      </c>
      <c r="P3220">
        <f>IF(B3250=0,0,O3220/B3250)</f>
        <v/>
      </c>
      <c r="Q3220">
        <f>IFERROR(1/(IF(Inputs!$B$38="pvp",15,MAX(0.1,Skills!D11-IF(Skills!E11=TRUE,5.0,0)))*(1-IF(AND(ArtifactsInput!$M$27,Inputs!$B$4="Chapter Hunt"),CHOOSE(ArtifactsInput!$N$27+1,20,24,28,32,36,40),0)/100)),0)</f>
        <v/>
      </c>
      <c r="R3220">
        <f>IF(AND(Inputs!$B$38&lt;&gt;"pvp",Inputs!$B$43&gt;0),IF(MAX(0,Inputs!$B$43-B3247)&lt;=0,0,(INT(MAX(0,Inputs!$B$43-B3247)/(IF(Inputs!$B$38="pvp",15,MAX(0.1,Skills!D11-IF(Skills!E11=TRUE,5.0,0)))*(1-IF(AND(ArtifactsInput!$M$27,Inputs!$B$4="Chapter Hunt"),CHOOSE(ArtifactsInput!$N$27+1,20,24,28,32,36,40),0)/100)))+1)),0)</f>
        <v/>
      </c>
      <c r="S3220">
        <f>IFERROR(O3220/N3220,0)</f>
        <v/>
      </c>
      <c r="T3220">
        <f>IF(C3220,(H3220*N3220*IF(AND(Inputs!$B$38&lt;&gt;"pvp",Inputs!$B$43&gt;0),((Skills!G11*((R3220-1)*IF(Skills!H11&gt;0,Skills!I11/Skills!H11,1)+IF(Skills!H11&gt;0,MIN(Skills!I11,MAX(0,MAX(0,Inputs!$B$43-B3247)-((R3220-1)*(IF(Inputs!$B$38="pvp",15,MAX(0.1,Skills!D11-IF(Skills!E11=TRUE,5.0,0)))*(1-IF(AND(ArtifactsInput!$M$27,Inputs!$B$4="Chapter Hunt"),CHOOSE(ArtifactsInput!$N$27+1,20,24,28,32,36,40),0)/100)))))/Skills!H11,1)))/Inputs!$B$43),G3220*Q3220)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3220*(1-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3220*(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3220*(1-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3220*(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0">
        <f>IF(C3220,(H3220*N3220*IF(AND(Inputs!$B$38&lt;&gt;"pvp",Inputs!$B$43&gt;0),((Skills!G11*((R3220-1)*IF(Skills!H11&gt;0,Skills!I11/Skills!H11,1)+IF(Skills!H11&gt;0,MIN(Skills!I11,MAX(0,MAX(0,Inputs!$B$43-B3247)-((R3220-1)*(IF(Inputs!$B$38="pvp",15,MAX(0.1,Skills!D11-IF(Skills!E11=TRUE,5.0,0)))*(1-IF(AND(ArtifactsInput!$M$27,Inputs!$B$4="Chapter Hunt"),CHOOSE(ArtifactsInput!$N$27+1,20,24,28,32,36,40),0)/100)))))/Skills!H11,1)))/Inputs!$B$43),G3220*Q3220))*IF(Inputs!$B$38="pvp",1,(1+(Inputs!$B$21+Skills!Q11+(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1">
      <c r="A3221">
        <f>Skills!A12</f>
        <v/>
      </c>
      <c r="B3221">
        <f>Skills!B12</f>
        <v/>
      </c>
      <c r="C3221">
        <f>Inputs!$B$3&gt;=110</f>
        <v/>
      </c>
      <c r="D3221">
        <f>IF(Skills!C12=1,60+Inputs!$B$25+Inputs!$B$29,IF(Skills!C12=2,90+Inputs!$B$26+Inputs!$B$29,IF(Skills!C12=3,120+Inputs!$B$27+Inputs!$B$29,MAX(0,(Inputs!$B$3-100)*3)+Inputs!$B$28+Inputs!$B$29)))</f>
        <v/>
      </c>
      <c r="E3221">
        <f>INDEX(FactorTable!$B$2:$Y$301, MATCH(ROUND(MIN(300,MAX(1,D3221)),0), FactorTable!$A$2:$A$301,0), Skills!M12+1)</f>
        <v/>
      </c>
      <c r="F3221">
        <f>IF(Skills!N12=TRUE,(Skills!L12/10)*(E3221/1000),Skills!L12/10)+Skills!O12</f>
        <v/>
      </c>
      <c r="G3221">
        <f>Skills!G12*IF(Skills!H12&gt;0,Skills!I12/Skills!H12,1)</f>
        <v/>
      </c>
      <c r="H3221">
        <f>1-(1-Skills!J12/100)^Skills!K12</f>
        <v/>
      </c>
      <c r="I3221" t="inlineStr">
        <is>
          <t>1</t>
        </is>
      </c>
      <c r="J3221">
        <f>((Inputs!$B$6*(1+Inputs!$B$7/100))+(((Inputs!$B$12*(1+Inputs!$B$13/100))-(Inputs!$B$12*(1+Inputs!$B$13/100)))+0.25*(Inputs!$B$14-Inputs!$B$14))*(1+Inputs!$B$7/100))*(F3221/100)</f>
        <v/>
      </c>
      <c r="K3221">
        <f>J3221*(1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3221)</f>
        <v/>
      </c>
      <c r="L3221">
        <f>K3221*(MIN(Inputs!$B$22+((C3231=TRUE)*(F3231-Calc!F22)),(Inputs!$B$23+0+(IF(ArtifactsInput!$M$15,CHOOSE(ArtifactsInput!$N$15+1,25,30,35,40,45,50)/100*(Inputs!$B$11-Inputs!$B$11),0))))/100+(Inputs!$B$23+0+(IF(ArtifactsInput!$M$15,CHOOSE(ArtifactsInput!$N$15+1,25,30,35,40,45,50)/100*(Inputs!$B$11-Inputs!$B$11),0)))/100)/2</f>
        <v/>
      </c>
      <c r="M3221">
        <f>L3221*(1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1">
        <f>L3221*(1-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1">
        <f>(1-Summary!$B$11)*T3221+Summary!$B$11*V3221</f>
        <v/>
      </c>
      <c r="P3221">
        <f>IF(B3250=0,0,O3221/B3250)</f>
        <v/>
      </c>
      <c r="Q3221">
        <f>IFERROR(1/(IF(Inputs!$B$38="pvp",15,MAX(0.1,Skills!D12-IF(Skills!E12=TRUE,5.0,0)))*(1-IF(AND(ArtifactsInput!$M$27,Inputs!$B$4="Chapter Hunt"),CHOOSE(ArtifactsInput!$N$27+1,20,24,28,32,36,40),0)/100)),0)</f>
        <v/>
      </c>
      <c r="R3221">
        <f>IF(AND(Inputs!$B$38&lt;&gt;"pvp",Inputs!$B$43&gt;0),IF(MAX(0,Inputs!$B$43-B3247)&lt;=0,0,(INT(MAX(0,Inputs!$B$43-B3247)/(IF(Inputs!$B$38="pvp",15,MAX(0.1,Skills!D12-IF(Skills!E12=TRUE,5.0,0)))*(1-IF(AND(ArtifactsInput!$M$27,Inputs!$B$4="Chapter Hunt"),CHOOSE(ArtifactsInput!$N$27+1,20,24,28,32,36,40),0)/100)))+1)),0)</f>
        <v/>
      </c>
      <c r="S3221">
        <f>IFERROR(O3221/N3221,0)</f>
        <v/>
      </c>
      <c r="T3221">
        <f>IF(C3221,(H3221*N3221*IF(AND(Inputs!$B$38&lt;&gt;"pvp",Inputs!$B$43&gt;0),((Skills!G12*((R3221-1)*IF(Skills!H12&gt;0,Skills!I12/Skills!H12,1)+IF(Skills!H12&gt;0,MIN(Skills!I12,MAX(0,MAX(0,Inputs!$B$43-B3247)-((R3221-1)*(IF(Inputs!$B$38="pvp",15,MAX(0.1,Skills!D12-IF(Skills!E12=TRUE,5.0,0)))*(1-IF(AND(ArtifactsInput!$M$27,Inputs!$B$4="Chapter Hunt"),CHOOSE(ArtifactsInput!$N$27+1,20,24,28,32,36,40),0)/100)))))/Skills!H12,1)))/Inputs!$B$43),G3221*Q3221)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3221*(1-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3221*(1-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1">
        <f>IF(C3221,(H3221*N3221*IF(AND(Inputs!$B$38&lt;&gt;"pvp",Inputs!$B$43&gt;0),((Skills!G12*((R3221-1)*IF(Skills!H12&gt;0,Skills!I12/Skills!H12,1)+IF(Skills!H12&gt;0,MIN(Skills!I12,MAX(0,MAX(0,Inputs!$B$43-B3247)-((R3221-1)*(IF(Inputs!$B$38="pvp",15,MAX(0.1,Skills!D12-IF(Skills!E12=TRUE,5.0,0)))*(1-IF(AND(ArtifactsInput!$M$27,Inputs!$B$4="Chapter Hunt"),CHOOSE(ArtifactsInput!$N$27+1,20,24,28,32,36,40),0)/100)))))/Skills!H12,1)))/Inputs!$B$43),G3221*Q3221))*IF(Inputs!$B$38="pvp",1,(1+(Inputs!$B$21+Skills!Q12+(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2">
      <c r="A3222">
        <f>Skills!A13</f>
        <v/>
      </c>
      <c r="B3222">
        <f>Skills!B13</f>
        <v/>
      </c>
      <c r="C3222">
        <f>Inputs!$B$3&gt;=110</f>
        <v/>
      </c>
      <c r="D3222">
        <f>IF(Skills!C13=1,60+Inputs!$B$25+Inputs!$B$29,IF(Skills!C13=2,90+Inputs!$B$26+Inputs!$B$29,IF(Skills!C13=3,120+Inputs!$B$27+Inputs!$B$29,MAX(0,(Inputs!$B$3-100)*3)+Inputs!$B$28+Inputs!$B$29)))</f>
        <v/>
      </c>
      <c r="E3222">
        <f>INDEX(FactorTable!$B$2:$Y$301, MATCH(ROUND(MIN(300,MAX(1,D3222)),0), FactorTable!$A$2:$A$301,0), Skills!M13+1)</f>
        <v/>
      </c>
      <c r="F3222">
        <f>IF(Skills!N13=TRUE,(Skills!L13/10)*(E3222/1000),Skills!L13/10)+Skills!O13</f>
        <v/>
      </c>
      <c r="G3222">
        <f>Skills!G13*IF(Skills!H13&gt;0,Skills!I13/Skills!H13,1)</f>
        <v/>
      </c>
      <c r="H3222">
        <f>1-(1-Skills!J13/100)^Skills!K13</f>
        <v/>
      </c>
      <c r="I3222" t="inlineStr">
        <is>
          <t>1</t>
        </is>
      </c>
      <c r="J3222">
        <f>((Inputs!$B$6*(1+Inputs!$B$7/100))+(((Inputs!$B$12*(1+Inputs!$B$13/100))-(Inputs!$B$12*(1+Inputs!$B$13/100)))+0.25*(Inputs!$B$14-Inputs!$B$14))*(1+Inputs!$B$7/100))*(F3222/100)</f>
        <v/>
      </c>
      <c r="K3222">
        <f>J3222*(1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3222)</f>
        <v/>
      </c>
      <c r="L3222">
        <f>K3222*(MIN(Inputs!$B$22+((C3231=TRUE)*(F3231-Calc!F22)),(Inputs!$B$23+0+(IF(ArtifactsInput!$M$15,CHOOSE(ArtifactsInput!$N$15+1,25,30,35,40,45,50)/100*(Inputs!$B$11-Inputs!$B$11),0))))/100+(Inputs!$B$23+0+(IF(ArtifactsInput!$M$15,CHOOSE(ArtifactsInput!$N$15+1,25,30,35,40,45,50)/100*(Inputs!$B$11-Inputs!$B$11),0)))/100)/2</f>
        <v/>
      </c>
      <c r="M3222">
        <f>L3222*(1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2">
        <f>L3222*(1-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3222*(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2">
        <f>(1-Summary!$B$11)*T3222+Summary!$B$11*V3222</f>
        <v/>
      </c>
      <c r="P3222">
        <f>IF(B3250=0,0,O3222/B3250)</f>
        <v/>
      </c>
      <c r="Q3222">
        <f>IFERROR(1/(IF(Inputs!$B$38="pvp",15,MAX(0.1,Skills!D13-IF(Skills!E13=TRUE,5.0,0)))*(1-IF(AND(ArtifactsInput!$M$27,Inputs!$B$4="Chapter Hunt"),CHOOSE(ArtifactsInput!$N$27+1,20,24,28,32,36,40),0)/100)),0)</f>
        <v/>
      </c>
      <c r="R3222">
        <f>IF(AND(Inputs!$B$38&lt;&gt;"pvp",Inputs!$B$43&gt;0),IF(MAX(0,Inputs!$B$43-B3247)&lt;=0,0,(INT(MAX(0,Inputs!$B$43-B3247)/(IF(Inputs!$B$38="pvp",15,MAX(0.1,Skills!D13-IF(Skills!E13=TRUE,5.0,0)))*(1-IF(AND(ArtifactsInput!$M$27,Inputs!$B$4="Chapter Hunt"),CHOOSE(ArtifactsInput!$N$27+1,20,24,28,32,36,40),0)/100)))+1)),0)</f>
        <v/>
      </c>
      <c r="S3222">
        <f>IFERROR(O3222/N3222,0)</f>
        <v/>
      </c>
      <c r="T3222">
        <f>IF(C3222,(H3222*N3222*IF(AND(Inputs!$B$38&lt;&gt;"pvp",Inputs!$B$43&gt;0),((Skills!G13*((R3222-1)*IF(Skills!H13&gt;0,Skills!I13/Skills!H13,1)+IF(Skills!H13&gt;0,MIN(Skills!I13,MAX(0,MAX(0,Inputs!$B$43-B3247)-((R3222-1)*(IF(Inputs!$B$38="pvp",15,MAX(0.1,Skills!D13-IF(Skills!E13=TRUE,5.0,0)))*(1-IF(AND(ArtifactsInput!$M$27,Inputs!$B$4="Chapter Hunt"),CHOOSE(ArtifactsInput!$N$27+1,20,24,28,32,36,40),0)/100)))))/Skills!H13,1)))/Inputs!$B$43),G3222*Q3222)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3222*(1-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3222*(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3222*(1-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3222*(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2">
        <f>IF(C3222,(H3222*N3222*IF(AND(Inputs!$B$38&lt;&gt;"pvp",Inputs!$B$43&gt;0),((Skills!G13*((R3222-1)*IF(Skills!H13&gt;0,Skills!I13/Skills!H13,1)+IF(Skills!H13&gt;0,MIN(Skills!I13,MAX(0,MAX(0,Inputs!$B$43-B3247)-((R3222-1)*(IF(Inputs!$B$38="pvp",15,MAX(0.1,Skills!D13-IF(Skills!E13=TRUE,5.0,0)))*(1-IF(AND(ArtifactsInput!$M$27,Inputs!$B$4="Chapter Hunt"),CHOOSE(ArtifactsInput!$N$27+1,20,24,28,32,36,40),0)/100)))))/Skills!H13,1)))/Inputs!$B$43),G3222*Q3222))*IF(Inputs!$B$38="pvp",1,(1+(Inputs!$B$21+Skills!Q13+(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3">
      <c r="A3223">
        <f>Skills!A14</f>
        <v/>
      </c>
      <c r="B3223">
        <f>Skills!B14</f>
        <v/>
      </c>
      <c r="C3223">
        <f>Inputs!$B$3&gt;=125</f>
        <v/>
      </c>
      <c r="D3223">
        <f>IF(Skills!C14=1,60+Inputs!$B$25+Inputs!$B$29,IF(Skills!C14=2,90+Inputs!$B$26+Inputs!$B$29,IF(Skills!C14=3,120+Inputs!$B$27+Inputs!$B$29,MAX(0,(Inputs!$B$3-100)*3)+Inputs!$B$28+Inputs!$B$29)))</f>
        <v/>
      </c>
      <c r="E3223">
        <f>INDEX(FactorTable!$B$2:$Y$301, MATCH(ROUND(MIN(300,MAX(1,D3223)),0), FactorTable!$A$2:$A$301,0), Skills!M14+1)</f>
        <v/>
      </c>
      <c r="F3223">
        <f>IF(Skills!N14=TRUE,(Skills!L14/10)*(E3223/1000),Skills!L14/10)+Skills!O14</f>
        <v/>
      </c>
      <c r="G3223">
        <f>Skills!G14*IF(Skills!H14&gt;0,Skills!I14/Skills!H14,1)</f>
        <v/>
      </c>
      <c r="H3223">
        <f>1-(1-Skills!J14/100)^Skills!K14</f>
        <v/>
      </c>
      <c r="I3223" t="inlineStr">
        <is>
          <t>1</t>
        </is>
      </c>
      <c r="J3223">
        <f>((Inputs!$B$6*(1+Inputs!$B$7/100))+(((Inputs!$B$12*(1+Inputs!$B$13/100))-(Inputs!$B$12*(1+Inputs!$B$13/100)))+0.25*(Inputs!$B$14-Inputs!$B$14))*(1+Inputs!$B$7/100))*(F3223/100)</f>
        <v/>
      </c>
      <c r="K3223">
        <f>J3223*(1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3223)</f>
        <v/>
      </c>
      <c r="L3223">
        <f>K3223*(MIN(Inputs!$B$22+((C3231=TRUE)*(F3231-Calc!F22)),(Inputs!$B$23+0+(IF(ArtifactsInput!$M$15,CHOOSE(ArtifactsInput!$N$15+1,25,30,35,40,45,50)/100*(Inputs!$B$11-Inputs!$B$11),0))))/100+(Inputs!$B$23+0+(IF(ArtifactsInput!$M$15,CHOOSE(ArtifactsInput!$N$15+1,25,30,35,40,45,50)/100*(Inputs!$B$11-Inputs!$B$11),0)))/100)/2</f>
        <v/>
      </c>
      <c r="M3223">
        <f>L3223*(1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3">
        <f>L3223*(1-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3223*(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3">
        <f>(1-Summary!$B$11)*T3223+Summary!$B$11*V3223</f>
        <v/>
      </c>
      <c r="P3223">
        <f>IF(B3250=0,0,O3223/B3250)</f>
        <v/>
      </c>
      <c r="Q3223" t="n">
        <v>0</v>
      </c>
      <c r="R3223" t="n">
        <v>0</v>
      </c>
      <c r="S3223">
        <f>IFERROR(O3223/N3223,0)</f>
        <v/>
      </c>
      <c r="T3223">
        <f>IF(C3223,(H3223*N3223*(B3244+IF(AND(Inputs!$B$38&lt;&gt;"pvp",Inputs!$B$43&gt;0),((Skills!G8*((R3217-1)*IF(Skills!H8&gt;0,Skills!I8/Skills!H8,1)+IF(Skills!H8&gt;0,MIN(Skills!I8,MAX(0,MAX(0,Inputs!$B$43-B3247)-((R3217-1)*(IF(Inputs!$B$38="pvp",15,MAX(0.1,Skills!D8-IF(Skills!E8=TRUE,5.0,0)))*(1-IF(AND(ArtifactsInput!$M$27,Inputs!$B$4="Chapter Hunt"),CHOOSE(ArtifactsInput!$N$27+1,20,24,28,32,36,40),0)/100)))))/Skills!H8,1)))/Inputs!$B$43),G3217*Q3217)+IF(AND(Inputs!$B$38&lt;&gt;"pvp",Inputs!$B$43&gt;0),((Skills!G11*((R3220-1)*IF(Skills!H11&gt;0,Skills!I11/Skills!H11,1)+IF(Skills!H11&gt;0,MIN(Skills!I11,MAX(0,MAX(0,Inputs!$B$43-B3247)-((R3220-1)*(IF(Inputs!$B$38="pvp",15,MAX(0.1,Skills!D11-IF(Skills!E11=TRUE,5.0,0)))*(1-IF(AND(ArtifactsInput!$M$27,Inputs!$B$4="Chapter Hunt"),CHOOSE(ArtifactsInput!$N$27+1,20,24,28,32,36,40),0)/100)))))/Skills!H11,1)))/Inputs!$B$43),G3220*Q3220)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3223*(1-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3223*(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3223*(1-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3223*(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3">
        <f>IF(C3223,(H3223*N3223*(B3244+IF(AND(Inputs!$B$38&lt;&gt;"pvp",Inputs!$B$43&gt;0),((Skills!G8*((R3217-1)*IF(Skills!H8&gt;0,Skills!I8/Skills!H8,1)+IF(Skills!H8&gt;0,MIN(Skills!I8,MAX(0,MAX(0,Inputs!$B$43-B3247)-((R3217-1)*(IF(Inputs!$B$38="pvp",15,MAX(0.1,Skills!D8-IF(Skills!E8=TRUE,5.0,0)))*(1-IF(AND(ArtifactsInput!$M$27,Inputs!$B$4="Chapter Hunt"),CHOOSE(ArtifactsInput!$N$27+1,20,24,28,32,36,40),0)/100)))))/Skills!H8,1)))/Inputs!$B$43),G3217*Q3217)+IF(AND(Inputs!$B$38&lt;&gt;"pvp",Inputs!$B$43&gt;0),((Skills!G11*((R3220-1)*IF(Skills!H11&gt;0,Skills!I11/Skills!H11,1)+IF(Skills!H11&gt;0,MIN(Skills!I11,MAX(0,MAX(0,Inputs!$B$43-B3247)-((R3220-1)*(IF(Inputs!$B$38="pvp",15,MAX(0.1,Skills!D11-IF(Skills!E11=TRUE,5.0,0)))*(1-IF(AND(ArtifactsInput!$M$27,Inputs!$B$4="Chapter Hunt"),CHOOSE(ArtifactsInput!$N$27+1,20,24,28,32,36,40),0)/100)))))/Skills!H11,1)))/Inputs!$B$43),G3220*Q3220)))*IF(Inputs!$B$38="pvp",1,(1+(Inputs!$B$21+Skills!Q14+(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4">
      <c r="A3224">
        <f>Skills!A15</f>
        <v/>
      </c>
      <c r="B3224">
        <f>Skills!B15</f>
        <v/>
      </c>
      <c r="C3224">
        <f>Inputs!$B$3&gt;=100</f>
        <v/>
      </c>
      <c r="D3224">
        <f>IF(Skills!C15=1,60+Inputs!$B$25+Inputs!$B$29,IF(Skills!C15=2,90+Inputs!$B$26+Inputs!$B$29,IF(Skills!C15=3,120+Inputs!$B$27+Inputs!$B$29,MAX(0,(Inputs!$B$3-100)*3)+Inputs!$B$28+Inputs!$B$29)))</f>
        <v/>
      </c>
      <c r="E3224">
        <f>INDEX(FactorTable!$B$2:$Y$301, MATCH(ROUND(MIN(300,MAX(1,D3224)),0), FactorTable!$A$2:$A$301,0), Skills!M15+1)</f>
        <v/>
      </c>
      <c r="F3224">
        <f>IF(Skills!N15=TRUE,(Skills!L15/10)*(E3224/1000),Skills!L15/10)+Skills!O15</f>
        <v/>
      </c>
      <c r="G3224" t="inlineStr"/>
      <c r="H3224" t="inlineStr"/>
      <c r="I3224" t="inlineStr">
        <is>
          <t>1</t>
        </is>
      </c>
      <c r="J3224" t="inlineStr"/>
      <c r="K3224" t="inlineStr"/>
      <c r="L3224" t="inlineStr"/>
      <c r="M3224" t="inlineStr"/>
      <c r="N3224" t="inlineStr"/>
      <c r="O3224" t="inlineStr"/>
      <c r="P3224" t="inlineStr"/>
      <c r="Q3224" t="inlineStr"/>
      <c r="R3224" t="inlineStr"/>
      <c r="S3224" t="inlineStr"/>
    </row>
    <row r="3225">
      <c r="A3225">
        <f>Skills!A16</f>
        <v/>
      </c>
      <c r="B3225">
        <f>Skills!B16</f>
        <v/>
      </c>
      <c r="C3225">
        <f>Inputs!$B$3&gt;=120</f>
        <v/>
      </c>
      <c r="D3225">
        <f>IF(Skills!C16=1,60+Inputs!$B$25+Inputs!$B$29,IF(Skills!C16=2,90+Inputs!$B$26+Inputs!$B$29,IF(Skills!C16=3,120+Inputs!$B$27+Inputs!$B$29,MAX(0,(Inputs!$B$3-100)*3)+Inputs!$B$28+Inputs!$B$29)))</f>
        <v/>
      </c>
      <c r="E3225">
        <f>INDEX(FactorTable!$B$2:$Y$301, MATCH(ROUND(MIN(300,MAX(1,D3225)),0), FactorTable!$A$2:$A$301,0), Skills!M16+1)</f>
        <v/>
      </c>
      <c r="F3225">
        <f>IF(Skills!N16=TRUE,(Skills!L16/10)*(E3225/1000),Skills!L16/10)+Skills!O16</f>
        <v/>
      </c>
      <c r="G3225" t="inlineStr"/>
      <c r="H3225" t="inlineStr"/>
      <c r="I3225" t="inlineStr">
        <is>
          <t>1</t>
        </is>
      </c>
      <c r="J3225" t="inlineStr"/>
      <c r="K3225" t="inlineStr"/>
      <c r="L3225" t="inlineStr"/>
      <c r="M3225" t="inlineStr"/>
      <c r="N3225" t="inlineStr"/>
      <c r="O3225" t="inlineStr"/>
      <c r="P3225" t="inlineStr"/>
      <c r="Q3225" t="inlineStr"/>
      <c r="R3225" t="inlineStr"/>
      <c r="S3225" t="inlineStr"/>
    </row>
    <row r="3226">
      <c r="A3226">
        <f>Skills!A17</f>
        <v/>
      </c>
      <c r="B3226">
        <f>Skills!B17</f>
        <v/>
      </c>
      <c r="C3226">
        <f>Inputs!$B$3&gt;=66</f>
        <v/>
      </c>
      <c r="D3226">
        <f>IF(Skills!C17=1,60+Inputs!$B$25+Inputs!$B$29,IF(Skills!C17=2,90+Inputs!$B$26+Inputs!$B$29,IF(Skills!C17=3,120+Inputs!$B$27+Inputs!$B$29,MAX(0,(Inputs!$B$3-100)*3)+Inputs!$B$28+Inputs!$B$29)))</f>
        <v/>
      </c>
      <c r="E3226">
        <f>INDEX(FactorTable!$B$2:$Y$301, MATCH(ROUND(MIN(300,MAX(1,D3226)),0), FactorTable!$A$2:$A$301,0), Skills!M17+1)</f>
        <v/>
      </c>
      <c r="F3226">
        <f>IF(Skills!N17=TRUE,(Skills!L17/10)*(E3226/1000),Skills!L17/10)+Skills!O17</f>
        <v/>
      </c>
      <c r="G3226">
        <f>Skills!G17*IF(Skills!H17&gt;0,Skills!I17/Skills!H17,1)</f>
        <v/>
      </c>
      <c r="H3226">
        <f>1-(1-Skills!J17/100)^Skills!K17</f>
        <v/>
      </c>
      <c r="I3226" t="inlineStr">
        <is>
          <t>1</t>
        </is>
      </c>
      <c r="J3226" t="inlineStr"/>
      <c r="K3226" t="inlineStr"/>
      <c r="L3226" t="inlineStr"/>
      <c r="M3226" t="inlineStr"/>
      <c r="N3226" t="inlineStr"/>
      <c r="O3226">
        <f>(1-Summary!$B$11)*T3226+Summary!$B$11*V3226</f>
        <v/>
      </c>
      <c r="P3226">
        <f>IF(B3250=0,0,O3226/B3250)</f>
        <v/>
      </c>
      <c r="Q3226" t="n">
        <v>0</v>
      </c>
      <c r="R3226" t="n">
        <v>0</v>
      </c>
      <c r="S3226">
        <f>IFERROR(O3226/N3226,0)</f>
        <v/>
      </c>
      <c r="T3226" t="n">
        <v>0</v>
      </c>
      <c r="V3226" t="n">
        <v>0</v>
      </c>
    </row>
    <row r="3227">
      <c r="A3227">
        <f>Skills!A18</f>
        <v/>
      </c>
      <c r="B3227">
        <f>Skills!B18</f>
        <v/>
      </c>
      <c r="C3227">
        <f>Inputs!$B$3&gt;=115</f>
        <v/>
      </c>
      <c r="D3227">
        <f>IF(Skills!C18=1,60+Inputs!$B$25+Inputs!$B$29,IF(Skills!C18=2,90+Inputs!$B$26+Inputs!$B$29,IF(Skills!C18=3,120+Inputs!$B$27+Inputs!$B$29,MAX(0,(Inputs!$B$3-100)*3)+Inputs!$B$28+Inputs!$B$29)))</f>
        <v/>
      </c>
      <c r="E3227">
        <f>INDEX(FactorTable!$B$2:$Y$301, MATCH(ROUND(MIN(300,MAX(1,D3227)),0), FactorTable!$A$2:$A$301,0), Skills!M18+1)</f>
        <v/>
      </c>
      <c r="F3227">
        <f>IF(Skills!N18=TRUE,(Skills!L18/10)*(E3227/1000),Skills!L18/10)+Skills!O18</f>
        <v/>
      </c>
      <c r="G3227">
        <f>Skills!G18*IF(Skills!H18&gt;0,Skills!I18/Skills!H18,1)</f>
        <v/>
      </c>
      <c r="H3227">
        <f>1-(1-Skills!J18/100)^Skills!K18</f>
        <v/>
      </c>
      <c r="I3227" t="inlineStr">
        <is>
          <t>1</t>
        </is>
      </c>
      <c r="J3227" t="inlineStr"/>
      <c r="K3227" t="inlineStr"/>
      <c r="L3227" t="inlineStr"/>
      <c r="M3227" t="inlineStr"/>
      <c r="N3227" t="inlineStr"/>
      <c r="O3227">
        <f>(1-Summary!$B$11)*T3227+Summary!$B$11*V3227</f>
        <v/>
      </c>
      <c r="P3227">
        <f>IF(B3250=0,0,O3227/B3250)</f>
        <v/>
      </c>
      <c r="Q3227">
        <f>IFERROR(1/(IF(Inputs!$B$38="pvp",15,MAX(0.1,Skills!D18-IF(Skills!E18=TRUE,5.0,0)))*(1-IF(AND(ArtifactsInput!$M$27,Inputs!$B$4="Chapter Hunt"),CHOOSE(ArtifactsInput!$N$27+1,20,24,28,32,36,40),0)/100)),0)</f>
        <v/>
      </c>
      <c r="R3227">
        <f>IF(AND(Inputs!$B$38&lt;&gt;"pvp",Inputs!$B$43&gt;0),IF(Inputs!$B$43&lt;=0,0,(INT(Inputs!$B$43/(IF(Inputs!$B$38="pvp",15,MAX(0.1,Skills!D18-IF(Skills!E18=TRUE,5.0,0)))*(1-IF(AND(ArtifactsInput!$M$27,Inputs!$B$4="Chapter Hunt"),CHOOSE(ArtifactsInput!$N$27+1,20,24,28,32,36,40),0)/100)))+1)),0)</f>
        <v/>
      </c>
      <c r="S3227">
        <f>IFERROR(O3227/N3227,0)</f>
        <v/>
      </c>
      <c r="T3227" t="n">
        <v>0</v>
      </c>
      <c r="V3227" t="n">
        <v>0</v>
      </c>
    </row>
    <row r="3228">
      <c r="A3228">
        <f>Skills!A19</f>
        <v/>
      </c>
      <c r="B3228">
        <f>Skills!B19</f>
        <v/>
      </c>
      <c r="C3228">
        <f>Inputs!$B$3&gt;=15</f>
        <v/>
      </c>
      <c r="D3228">
        <f>IF(Skills!C19=1,60+Inputs!$B$25+Inputs!$B$29,IF(Skills!C19=2,90+Inputs!$B$26+Inputs!$B$29,IF(Skills!C19=3,120+Inputs!$B$27+Inputs!$B$29,MAX(0,(Inputs!$B$3-100)*3)+Inputs!$B$28+Inputs!$B$29)))</f>
        <v/>
      </c>
      <c r="E3228">
        <f>INDEX(FactorTable!$B$2:$Y$301, MATCH(ROUND(MIN(300,MAX(1,D3228)),0), FactorTable!$A$2:$A$301,0), Skills!M19+1)</f>
        <v/>
      </c>
      <c r="F3228">
        <f>IF(Skills!N19=TRUE,(Skills!L19/10)*(E3228/1000),Skills!L19/10)+Skills!O19</f>
        <v/>
      </c>
      <c r="G3228">
        <f>Skills!G19*IF(Skills!H19&gt;0,Skills!I19/Skills!H19,1)</f>
        <v/>
      </c>
      <c r="H3228">
        <f>1-(1-Skills!J19/100)^Skills!K19</f>
        <v/>
      </c>
      <c r="I3228" t="inlineStr">
        <is>
          <t>1</t>
        </is>
      </c>
      <c r="J3228" t="inlineStr"/>
      <c r="K3228" t="inlineStr"/>
      <c r="L3228" t="inlineStr"/>
      <c r="M3228" t="inlineStr"/>
      <c r="N3228" t="inlineStr"/>
      <c r="O3228">
        <f>(1-Summary!$B$11)*T3228+Summary!$B$11*V3228</f>
        <v/>
      </c>
      <c r="P3228">
        <f>IF(B3250=0,0,O3228/B3250)</f>
        <v/>
      </c>
      <c r="Q3228" t="n">
        <v>0</v>
      </c>
      <c r="R3228" t="n">
        <v>0</v>
      </c>
      <c r="S3228">
        <f>IFERROR(O3228/N3228,0)</f>
        <v/>
      </c>
      <c r="T3228" t="n">
        <v>0</v>
      </c>
      <c r="V3228" t="n">
        <v>0</v>
      </c>
    </row>
    <row r="3229">
      <c r="A3229">
        <f>Skills!A20</f>
        <v/>
      </c>
      <c r="B3229">
        <f>Skills!B20</f>
        <v/>
      </c>
      <c r="C3229">
        <f>Inputs!$B$3&gt;=10</f>
        <v/>
      </c>
      <c r="D3229">
        <f>IF(Skills!C20=1,60+Inputs!$B$25+Inputs!$B$29,IF(Skills!C20=2,90+Inputs!$B$26+Inputs!$B$29,IF(Skills!C20=3,120+Inputs!$B$27+Inputs!$B$29,MAX(0,(Inputs!$B$3-100)*3)+Inputs!$B$28+Inputs!$B$29)))</f>
        <v/>
      </c>
      <c r="E3229">
        <f>INDEX(FactorTable!$B$2:$Y$301, MATCH(ROUND(MIN(300,MAX(1,D3229)),0), FactorTable!$A$2:$A$301,0), Skills!M20+1)</f>
        <v/>
      </c>
      <c r="F3229">
        <f>IF(Skills!N20=TRUE,(Skills!L20/10)*(E3229/1000),Skills!L20/10)+Skills!O20</f>
        <v/>
      </c>
      <c r="G3229">
        <f>Skills!G20*IF(Skills!H20&gt;0,Skills!I20/Skills!H20,1)</f>
        <v/>
      </c>
      <c r="H3229">
        <f>1-(1-Skills!J20/100)^Skills!K20</f>
        <v/>
      </c>
      <c r="I3229" t="inlineStr">
        <is>
          <t>1</t>
        </is>
      </c>
      <c r="J3229" t="inlineStr"/>
      <c r="K3229" t="inlineStr"/>
      <c r="L3229" t="inlineStr"/>
      <c r="M3229" t="inlineStr"/>
      <c r="N3229" t="inlineStr"/>
      <c r="O3229">
        <f>(1-Summary!$B$11)*T3229+Summary!$B$11*V3229</f>
        <v/>
      </c>
      <c r="P3229">
        <f>IF(B3250=0,0,O3229/B3250)</f>
        <v/>
      </c>
      <c r="Q3229" t="n">
        <v>0</v>
      </c>
      <c r="R3229" t="n">
        <v>0</v>
      </c>
      <c r="S3229">
        <f>IFERROR(O3229/N3229,0)</f>
        <v/>
      </c>
      <c r="T3229" t="n">
        <v>0</v>
      </c>
      <c r="V3229" t="n">
        <v>0</v>
      </c>
    </row>
    <row r="3230">
      <c r="A3230">
        <f>Skills!A21</f>
        <v/>
      </c>
      <c r="B3230">
        <f>Skills!B21</f>
        <v/>
      </c>
      <c r="C3230">
        <f>Inputs!$B$3&gt;=33</f>
        <v/>
      </c>
      <c r="D3230">
        <f>IF(Skills!C21=1,60+Inputs!$B$25+Inputs!$B$29,IF(Skills!C21=2,90+Inputs!$B$26+Inputs!$B$29,IF(Skills!C21=3,120+Inputs!$B$27+Inputs!$B$29,MAX(0,(Inputs!$B$3-100)*3)+Inputs!$B$28+Inputs!$B$29)))</f>
        <v/>
      </c>
      <c r="E3230">
        <f>INDEX(FactorTable!$B$2:$Y$301, MATCH(ROUND(MIN(300,MAX(1,D3230)),0), FactorTable!$A$2:$A$301,0), Skills!M21+1)</f>
        <v/>
      </c>
      <c r="F3230">
        <f>IF(Skills!N21=TRUE,(Skills!L21/10)*(E3230/1000),Skills!L21/10)+Skills!O21</f>
        <v/>
      </c>
      <c r="G3230">
        <f>Skills!G21*IF(Skills!H21&gt;0,Skills!I21/Skills!H21,1)</f>
        <v/>
      </c>
      <c r="H3230">
        <f>1-(1-Skills!J21/100)^Skills!K21</f>
        <v/>
      </c>
      <c r="I3230" t="inlineStr">
        <is>
          <t>1</t>
        </is>
      </c>
      <c r="J3230" t="inlineStr"/>
      <c r="K3230" t="inlineStr"/>
      <c r="L3230" t="inlineStr"/>
      <c r="M3230" t="inlineStr"/>
      <c r="N3230" t="inlineStr"/>
      <c r="O3230">
        <f>(1-Summary!$B$11)*T3230+Summary!$B$11*V3230</f>
        <v/>
      </c>
      <c r="P3230">
        <f>IF(B3250=0,0,O3230/B3250)</f>
        <v/>
      </c>
      <c r="Q3230" t="n">
        <v>0</v>
      </c>
      <c r="R3230" t="n">
        <v>0</v>
      </c>
      <c r="S3230">
        <f>IFERROR(O3230/N3230,0)</f>
        <v/>
      </c>
      <c r="T3230" t="n">
        <v>0</v>
      </c>
      <c r="V3230" t="n">
        <v>0</v>
      </c>
    </row>
    <row r="3231">
      <c r="A3231">
        <f>Skills!A22</f>
        <v/>
      </c>
      <c r="B3231">
        <f>Skills!B22</f>
        <v/>
      </c>
      <c r="C3231">
        <f>Inputs!$B$3&gt;=43</f>
        <v/>
      </c>
      <c r="D3231">
        <f>IF(Skills!C22=1,60+Inputs!$B$25+Inputs!$B$29,IF(Skills!C22=2,90+Inputs!$B$26+Inputs!$B$29,IF(Skills!C22=3,120+Inputs!$B$27+Inputs!$B$29,MAX(0,(Inputs!$B$3-100)*3)+Inputs!$B$28+Inputs!$B$29)))</f>
        <v/>
      </c>
      <c r="E3231">
        <f>INDEX(FactorTable!$B$2:$Y$301, MATCH(ROUND(MIN(300,MAX(1,D3231)),0), FactorTable!$A$2:$A$301,0), Skills!M22+1)</f>
        <v/>
      </c>
      <c r="F3231">
        <f>IF(Skills!N22=TRUE,(Skills!L22/10)*(E3231/1000),Skills!L22/10)+Skills!O22</f>
        <v/>
      </c>
      <c r="G3231">
        <f>Skills!G22*IF(Skills!H22&gt;0,Skills!I22/Skills!H22,1)</f>
        <v/>
      </c>
      <c r="H3231">
        <f>1-(1-Skills!J22/100)^Skills!K22</f>
        <v/>
      </c>
      <c r="I3231" t="inlineStr">
        <is>
          <t>1</t>
        </is>
      </c>
      <c r="J3231" t="inlineStr"/>
      <c r="K3231" t="inlineStr"/>
      <c r="L3231" t="inlineStr"/>
      <c r="M3231" t="inlineStr"/>
      <c r="N3231" t="inlineStr"/>
      <c r="O3231">
        <f>(1-Summary!$B$11)*T3231+Summary!$B$11*V3231</f>
        <v/>
      </c>
      <c r="P3231">
        <f>IF(B3250=0,0,O3231/B3250)</f>
        <v/>
      </c>
      <c r="Q3231" t="n">
        <v>0</v>
      </c>
      <c r="R3231" t="n">
        <v>0</v>
      </c>
      <c r="S3231">
        <f>IFERROR(O3231/N3231,0)</f>
        <v/>
      </c>
      <c r="T3231" t="n">
        <v>0</v>
      </c>
      <c r="V3231" t="n">
        <v>0</v>
      </c>
    </row>
    <row r="3232">
      <c r="A3232">
        <f>Skills!A23</f>
        <v/>
      </c>
      <c r="B3232">
        <f>Skills!B23</f>
        <v/>
      </c>
      <c r="C3232">
        <f>Inputs!$B$3&gt;=38</f>
        <v/>
      </c>
      <c r="D3232">
        <f>IF(Skills!C23=1,60+Inputs!$B$25+Inputs!$B$29,IF(Skills!C23=2,90+Inputs!$B$26+Inputs!$B$29,IF(Skills!C23=3,120+Inputs!$B$27+Inputs!$B$29,MAX(0,(Inputs!$B$3-100)*3)+Inputs!$B$28+Inputs!$B$29)))</f>
        <v/>
      </c>
      <c r="E3232">
        <f>INDEX(FactorTable!$B$2:$Y$301, MATCH(ROUND(MIN(300,MAX(1,D3232)),0), FactorTable!$A$2:$A$301,0), Skills!M23+1)</f>
        <v/>
      </c>
      <c r="F3232">
        <f>IF(Skills!N23=TRUE,(Skills!L23/10)*(E3232/1000),Skills!L23/10)+Skills!O23</f>
        <v/>
      </c>
      <c r="G3232">
        <f>Skills!G23*IF(Skills!H23&gt;0,Skills!I23/Skills!H23,1)</f>
        <v/>
      </c>
      <c r="H3232">
        <f>1-(1-Skills!J23/100)^Skills!K23</f>
        <v/>
      </c>
      <c r="I3232" t="inlineStr">
        <is>
          <t>1</t>
        </is>
      </c>
      <c r="J3232" t="inlineStr"/>
      <c r="K3232" t="inlineStr"/>
      <c r="L3232" t="inlineStr"/>
      <c r="M3232" t="inlineStr"/>
      <c r="N3232" t="inlineStr"/>
      <c r="O3232">
        <f>(1-Summary!$B$11)*T3232+Summary!$B$11*V3232</f>
        <v/>
      </c>
      <c r="P3232">
        <f>IF(B3250=0,0,O3232/B3250)</f>
        <v/>
      </c>
      <c r="Q3232" t="n">
        <v>0</v>
      </c>
      <c r="R3232" t="n">
        <v>0</v>
      </c>
      <c r="S3232">
        <f>IFERROR(O3232/N3232,0)</f>
        <v/>
      </c>
      <c r="T3232" t="n">
        <v>0</v>
      </c>
      <c r="V3232" t="n">
        <v>0</v>
      </c>
    </row>
    <row r="3233">
      <c r="A3233">
        <f>Skills!A24</f>
        <v/>
      </c>
      <c r="B3233">
        <f>Skills!B24</f>
        <v/>
      </c>
      <c r="C3233">
        <f>Inputs!$B$3&gt;=40</f>
        <v/>
      </c>
      <c r="D3233">
        <f>IF(Skills!C24=1,60+Inputs!$B$25+Inputs!$B$29,IF(Skills!C24=2,90+Inputs!$B$26+Inputs!$B$29,IF(Skills!C24=3,120+Inputs!$B$27+Inputs!$B$29,MAX(0,(Inputs!$B$3-100)*3)+Inputs!$B$28+Inputs!$B$29)))</f>
        <v/>
      </c>
      <c r="E3233">
        <f>INDEX(FactorTable!$B$2:$Y$301, MATCH(ROUND(MIN(300,MAX(1,D3233)),0), FactorTable!$A$2:$A$301,0), Skills!M24+1)</f>
        <v/>
      </c>
      <c r="F3233">
        <f>IF(Skills!N24=TRUE,(Skills!L24/10)*(E3233/1000),Skills!L24/10)+Skills!O24</f>
        <v/>
      </c>
      <c r="G3233">
        <f>Skills!G24*IF(Skills!H24&gt;0,Skills!I24/Skills!H24,1)</f>
        <v/>
      </c>
      <c r="H3233">
        <f>1-(1-Skills!J24/100)^Skills!K24</f>
        <v/>
      </c>
      <c r="I3233" t="inlineStr">
        <is>
          <t>1</t>
        </is>
      </c>
      <c r="J3233" t="inlineStr"/>
      <c r="K3233" t="inlineStr"/>
      <c r="L3233" t="inlineStr"/>
      <c r="M3233" t="inlineStr"/>
      <c r="N3233" t="inlineStr"/>
      <c r="O3233">
        <f>(1-Summary!$B$11)*T3233+Summary!$B$11*V3233</f>
        <v/>
      </c>
      <c r="P3233">
        <f>IF(B3250=0,0,O3233/B3250)</f>
        <v/>
      </c>
      <c r="Q3233" t="n">
        <v>0</v>
      </c>
      <c r="R3233" t="n">
        <v>0</v>
      </c>
      <c r="S3233">
        <f>IFERROR(O3233/N3233,0)</f>
        <v/>
      </c>
      <c r="T3233" t="n">
        <v>0</v>
      </c>
      <c r="V3233" t="n">
        <v>0</v>
      </c>
    </row>
    <row r="3234">
      <c r="A3234">
        <f>Skills!A25</f>
        <v/>
      </c>
      <c r="B3234">
        <f>Skills!B25</f>
        <v/>
      </c>
      <c r="C3234">
        <f>Inputs!$B$3&gt;=72</f>
        <v/>
      </c>
      <c r="D3234">
        <f>IF(Skills!C25=1,60+Inputs!$B$25+Inputs!$B$29,IF(Skills!C25=2,90+Inputs!$B$26+Inputs!$B$29,IF(Skills!C25=3,120+Inputs!$B$27+Inputs!$B$29,MAX(0,(Inputs!$B$3-100)*3)+Inputs!$B$28+Inputs!$B$29)))</f>
        <v/>
      </c>
      <c r="E3234">
        <f>INDEX(FactorTable!$B$2:$Y$301, MATCH(ROUND(MIN(300,MAX(1,D3234)),0), FactorTable!$A$2:$A$301,0), Skills!M25+1)</f>
        <v/>
      </c>
      <c r="F3234">
        <f>IF(Skills!N25=TRUE,(Skills!L25/10)*(E3234/1000),Skills!L25/10)+Skills!O25</f>
        <v/>
      </c>
      <c r="G3234">
        <f>Skills!G25*IF(Skills!H25&gt;0,Skills!I25/Skills!H25,1)</f>
        <v/>
      </c>
      <c r="H3234">
        <f>1-(1-Skills!J25/100)^Skills!K25</f>
        <v/>
      </c>
      <c r="I3234" t="inlineStr">
        <is>
          <t>1</t>
        </is>
      </c>
      <c r="J3234" t="inlineStr"/>
      <c r="K3234" t="inlineStr"/>
      <c r="L3234" t="inlineStr"/>
      <c r="M3234" t="inlineStr"/>
      <c r="N3234" t="inlineStr"/>
      <c r="O3234">
        <f>(1-Summary!$B$11)*T3234+Summary!$B$11*V3234</f>
        <v/>
      </c>
      <c r="P3234">
        <f>IF(B3250=0,0,O3234/B3250)</f>
        <v/>
      </c>
      <c r="Q3234" t="n">
        <v>0</v>
      </c>
      <c r="R3234" t="n">
        <v>0</v>
      </c>
      <c r="S3234">
        <f>IFERROR(O3234/N3234,0)</f>
        <v/>
      </c>
      <c r="T3234" t="n">
        <v>0</v>
      </c>
      <c r="V3234" t="n">
        <v>0</v>
      </c>
    </row>
    <row r="3235">
      <c r="A3235">
        <f>Skills!A26</f>
        <v/>
      </c>
      <c r="B3235">
        <f>Skills!B26</f>
        <v/>
      </c>
      <c r="C3235">
        <f>Inputs!$B$3&gt;=75</f>
        <v/>
      </c>
      <c r="D3235">
        <f>IF(Skills!C26=1,60+Inputs!$B$25+Inputs!$B$29,IF(Skills!C26=2,90+Inputs!$B$26+Inputs!$B$29,IF(Skills!C26=3,120+Inputs!$B$27+Inputs!$B$29,MAX(0,(Inputs!$B$3-100)*3)+Inputs!$B$28+Inputs!$B$29)))</f>
        <v/>
      </c>
      <c r="E3235">
        <f>INDEX(FactorTable!$B$2:$Y$301, MATCH(ROUND(MIN(300,MAX(1,D3235)),0), FactorTable!$A$2:$A$301,0), Skills!M26+1)</f>
        <v/>
      </c>
      <c r="F3235">
        <f>IF(Skills!N26=TRUE,(Skills!L26/10)*(E3235/1000),Skills!L26/10)+Skills!O26</f>
        <v/>
      </c>
      <c r="G3235">
        <f>Skills!G26*IF(Skills!H26&gt;0,Skills!I26/Skills!H26,1)</f>
        <v/>
      </c>
      <c r="H3235">
        <f>1-(1-Skills!J26/100)^Skills!K26</f>
        <v/>
      </c>
      <c r="I3235" t="inlineStr">
        <is>
          <t>1</t>
        </is>
      </c>
      <c r="J3235" t="inlineStr"/>
      <c r="K3235" t="inlineStr"/>
      <c r="L3235" t="inlineStr"/>
      <c r="M3235" t="inlineStr"/>
      <c r="N3235" t="inlineStr"/>
      <c r="O3235">
        <f>(1-Summary!$B$11)*T3235+Summary!$B$11*V3235</f>
        <v/>
      </c>
      <c r="P3235">
        <f>IF(B3250=0,0,O3235/B3250)</f>
        <v/>
      </c>
      <c r="Q3235" t="n">
        <v>0</v>
      </c>
      <c r="R3235" t="n">
        <v>0</v>
      </c>
      <c r="S3235">
        <f>IFERROR(O3235/N3235,0)</f>
        <v/>
      </c>
      <c r="T3235" t="n">
        <v>0</v>
      </c>
      <c r="V3235" t="n">
        <v>0</v>
      </c>
    </row>
    <row r="3236">
      <c r="A3236">
        <f>Skills!A27</f>
        <v/>
      </c>
      <c r="B3236">
        <f>Skills!B27</f>
        <v/>
      </c>
      <c r="C3236">
        <f>Inputs!$B$3&gt;=117</f>
        <v/>
      </c>
      <c r="D3236">
        <f>IF(Skills!C27=1,60+Inputs!$B$25+Inputs!$B$29,IF(Skills!C27=2,90+Inputs!$B$26+Inputs!$B$29,IF(Skills!C27=3,120+Inputs!$B$27+Inputs!$B$29,MAX(0,(Inputs!$B$3-100)*3)+Inputs!$B$28+Inputs!$B$29)))</f>
        <v/>
      </c>
      <c r="E3236">
        <f>INDEX(FactorTable!$B$2:$Y$301, MATCH(ROUND(MIN(300,MAX(1,D3236)),0), FactorTable!$A$2:$A$301,0), Skills!M27+1)</f>
        <v/>
      </c>
      <c r="F3236">
        <f>IF(Skills!N27=TRUE,(Skills!L27/10)*(E3236/1000),Skills!L27/10)+Skills!O27</f>
        <v/>
      </c>
      <c r="G3236">
        <f>Skills!G27*IF(Skills!H27&gt;0,Skills!I27/Skills!H27,1)</f>
        <v/>
      </c>
      <c r="H3236">
        <f>1-(1-Skills!J27/100)^Skills!K27</f>
        <v/>
      </c>
      <c r="I3236" t="inlineStr">
        <is>
          <t>1</t>
        </is>
      </c>
      <c r="J3236" t="inlineStr"/>
      <c r="K3236" t="inlineStr"/>
      <c r="L3236" t="inlineStr"/>
      <c r="M3236" t="inlineStr"/>
      <c r="N3236" t="inlineStr"/>
      <c r="O3236">
        <f>(1-Summary!$B$11)*T3236+Summary!$B$11*V3236</f>
        <v/>
      </c>
      <c r="P3236">
        <f>IF(B3250=0,0,O3236/B3250)</f>
        <v/>
      </c>
      <c r="Q3236" t="n">
        <v>0</v>
      </c>
      <c r="R3236" t="n">
        <v>0</v>
      </c>
      <c r="S3236">
        <f>IFERROR(O3236/N3236,0)</f>
        <v/>
      </c>
      <c r="T3236" t="n">
        <v>0</v>
      </c>
      <c r="V3236" t="n">
        <v>0</v>
      </c>
    </row>
    <row r="3237">
      <c r="A3237">
        <f>Skills!A28</f>
        <v/>
      </c>
      <c r="B3237">
        <f>Skills!B28</f>
        <v/>
      </c>
      <c r="C3237">
        <f>TRUE</f>
        <v/>
      </c>
      <c r="D3237">
        <f>IF(Skills!C28=1,60+Inputs!$B$25+Inputs!$B$29,IF(Skills!C28=2,90+Inputs!$B$26+Inputs!$B$29,IF(Skills!C28=3,120+Inputs!$B$27+Inputs!$B$29,MAX(0,(Inputs!$B$3-100)*3)+Inputs!$B$28+Inputs!$B$29)))</f>
        <v/>
      </c>
      <c r="E3237">
        <f>INDEX(FactorTable!$B$2:$Y$301, MATCH(ROUND(MIN(300,MAX(1,D3237)),0), FactorTable!$A$2:$A$301,0), Skills!M28+1)</f>
        <v/>
      </c>
      <c r="F3237">
        <f>IF(Skills!N28=TRUE,(Skills!L28/10)*(E3237/1000),Skills!L28/10)+Skills!O28</f>
        <v/>
      </c>
      <c r="G3237">
        <f>Skills!G28*IF(Skills!H28&gt;0,Skills!I28/Skills!H28,1)</f>
        <v/>
      </c>
      <c r="H3237">
        <f>1-(1-Skills!J28/100)^Skills!K28</f>
        <v/>
      </c>
      <c r="I3237" t="inlineStr">
        <is>
          <t>1</t>
        </is>
      </c>
      <c r="J3237" t="inlineStr"/>
      <c r="K3237" t="inlineStr"/>
      <c r="L3237" t="inlineStr"/>
      <c r="M3237" t="inlineStr"/>
      <c r="N3237" t="inlineStr"/>
      <c r="O3237">
        <f>(1-Summary!$B$11)*T3237+Summary!$B$11*V3237</f>
        <v/>
      </c>
      <c r="P3237">
        <f>IF(B3250=0,0,O3237/B3250)</f>
        <v/>
      </c>
      <c r="Q3237">
        <f>IFERROR(1/(IF(Inputs!$B$38="pvp",15,MAX(0.1,Skills!D28-IF(Skills!E28=TRUE,5.0,0)))*(1-IF(AND(ArtifactsInput!$M$27,Inputs!$B$4="Chapter Hunt"),CHOOSE(ArtifactsInput!$N$27+1,20,24,28,32,36,40),0)/100)),0)</f>
        <v/>
      </c>
      <c r="R3237">
        <f>IF(AND(Inputs!$B$38&lt;&gt;"pvp",Inputs!$B$43&gt;0),IF(Inputs!$B$43&lt;=0,0,(INT(Inputs!$B$43/(IF(Inputs!$B$38="pvp",15,MAX(0.1,Skills!D28-IF(Skills!E28=TRUE,5.0,0)))*(1-IF(AND(ArtifactsInput!$M$27,Inputs!$B$4="Chapter Hunt"),CHOOSE(ArtifactsInput!$N$27+1,20,24,28,32,36,40),0)/100)))+1)),0)</f>
        <v/>
      </c>
      <c r="S3237">
        <f>IFERROR(O3237/N3237,0)</f>
        <v/>
      </c>
      <c r="T3237" t="n">
        <v>0</v>
      </c>
      <c r="V3237" t="n">
        <v>0</v>
      </c>
    </row>
    <row r="3239">
      <c r="A3239" t="inlineStr">
        <is>
          <t>Attack% Bucket Multiplier</t>
        </is>
      </c>
      <c r="B3239">
        <f>(1+(((C3226=TRUE)*F3226*5/7)+((C3233=TRUE)*(F3233-Calc!F24))+(IF(ArtifactsInput!$M$21,CHOOSE(ArtifactsInput!$N$21+1,25,30,35,40,45,50)*(IF(OR(Inputs!$B$4="Chapter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40">
      <c r="A3240" t="inlineStr">
        <is>
          <t>Global Crit Rate Bonus %</t>
        </is>
      </c>
      <c r="B3240" t="n">
        <v>0</v>
      </c>
    </row>
    <row r="3241">
      <c r="A3241" t="inlineStr">
        <is>
          <t>Attack Speed Buff Bonus % (Nimble Feet, duty-cycle averaged)</t>
        </is>
      </c>
      <c r="B3241">
        <f>((C3237=TRUE)*F3237*IF(AND(Inputs!$B$38&lt;&gt;"pvp",Inputs!$B$43&gt;0),(((R3237-1)*(Skills!T28*(1+Inputs!$B$34/100))+MIN((Skills!T28*(1+Inputs!$B$34/100)),MAX(0,Inputs!$B$43-((R3237-1)*Skills!D28))))/Inputs!$B$43),IF(Inputs!$B$38="pvp",MIN((Skills!T28*(1+Inputs!$B$34/100)),15)/15,(Skills!T28*(1+Inputs!$B$34/100))/Skills!D28)))</f>
        <v/>
      </c>
    </row>
    <row r="3242">
      <c r="A3242" t="inlineStr">
        <is>
          <t>Actions Per Second</t>
        </is>
      </c>
      <c r="B3242">
        <f>1+MIN(150,150*(1-(1-(Inputs!$B$11+((C3229=TRUE)*(F3229-Calc!F20))+((C3230=TRUE)*(F3230-Calc!F21)))/150)*(1-B3241/150)))/100</f>
        <v/>
      </c>
    </row>
    <row r="3243">
      <c r="A3243" t="inlineStr">
        <is>
          <t>Skill + Buff Cast Rate</t>
        </is>
      </c>
      <c r="B3243">
        <f>IF(AND(Inputs!$B$38&lt;&gt;"pvp",Inputs!$B$43&gt;0),SUMPRODUCT((Skills!E2:E28=TRUE)*(C3211:C3237=TRUE)*R3211:R3237*Skills!F2:F28)/Inputs!$B$43,SUMPRODUCT((Skills!E2:E28=TRUE)*(C3211:C3237=TRUE)*Q3211:Q3237*Skills!F2:F28))</f>
        <v/>
      </c>
    </row>
    <row r="3244">
      <c r="A3244" t="inlineStr">
        <is>
          <t>Eight-Legs Easton Casts Per Second</t>
        </is>
      </c>
      <c r="B3244">
        <f>MAX(0,B3242-B3243)</f>
        <v/>
      </c>
    </row>
    <row r="3245">
      <c r="A3245" t="inlineStr">
        <is>
          <t>Global Critical Damage Bonus % (unused)</t>
        </is>
      </c>
      <c r="B3245" t="n">
        <v>0</v>
      </c>
    </row>
    <row r="3246">
      <c r="A3246" t="inlineStr">
        <is>
          <t>Global Final Damage Bonus % (Jolly Roger + Ahoy Mateys - Final Damage proc)</t>
        </is>
      </c>
      <c r="B3246">
        <f>((C3227=TRUE)*F3227*IF(AND(Inputs!$B$38&lt;&gt;"pvp",Inputs!$B$43&gt;0),(((R3227-1)*(Skills!T18*(1+Inputs!$B$34/100))+MIN((Skills!T18*(1+Inputs!$B$34/100)),MAX(0,Inputs!$B$43-((R3227-1)*Skills!D18))))/Inputs!$B$43),IF(Inputs!$B$38="pvp",MIN((Skills!T18*(1+Inputs!$B$34/100)),15)/15,(Skills!T18*(1+Inputs!$B$34/100))/Skills!D18)))+IF(Inputs!$B$3&gt;=122,20*IF(Inputs!$B$38="pvp",MIN((20*(1+Inputs!$B$34/100)),15)/15,(20*(1+Inputs!$B$34/100))/Skills!D4),0)</f>
        <v/>
      </c>
    </row>
    <row r="3247">
      <c r="A3247" t="inlineStr">
        <is>
          <t>Buff-Casting Startup Delay (s, fixed-duration only)</t>
        </is>
      </c>
      <c r="B3247">
        <f>IF(AND(Inputs!$B$38&lt;&gt;"pvp",Inputs!$B$43&gt;0),SUMPRODUCT((Skills!T2:T28&gt;0)*(Skills!E2:E28=TRUE)*(C3211:C3237=TRUE))/B3242,0)</f>
        <v/>
      </c>
    </row>
    <row r="3248">
      <c r="A3248" t="inlineStr">
        <is>
          <t>Boss-Only Total DPS (this block's swept value)</t>
        </is>
      </c>
      <c r="B3248">
        <f>SUM(T3211:T3237)</f>
        <v/>
      </c>
    </row>
    <row r="3249">
      <c r="A3249" t="inlineStr">
        <is>
          <t>Normal-Only Total DPS (this block's swept value)</t>
        </is>
      </c>
      <c r="B3249">
        <f>SUM(V3211:V3237)</f>
        <v/>
      </c>
    </row>
    <row r="3250">
      <c r="A3250" s="6" t="inlineStr">
        <is>
          <t>TOTAL DPS</t>
        </is>
      </c>
      <c r="B3250" s="6">
        <f>SUM(O3211:O3237)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Corsair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%",IF(Inputs!$B$9&gt;=100,Sensitivity!H16,Sensitivity!H15),IF(B6="Critical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%",IF(Inputs!$B$9&gt;=100,Sensitivity!H16,Sensitivity!H15),IF(I6="Critical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%",IF(Inputs!$B$9&gt;=100,Sensitivity!H16,Sensitivity!H15),IF(B7="Critical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%",IF(Inputs!$B$9&gt;=100,Sensitivity!H16,Sensitivity!H15),IF(I7="Critical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%",IF(Inputs!$B$9&gt;=100,Sensitivity!H16,Sensitivity!H15),IF(B8="Critical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%",IF(Inputs!$B$9&gt;=100,Sensitivity!H16,Sensitivity!H15),IF(I8="Critical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%",IF(Inputs!$B$9&gt;=100,Sensitivity!H16,Sensitivity!H15),IF(B9="Critical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%",IF(Inputs!$B$9&gt;=100,Sensitivity!H16,Sensitivity!H15),IF(I9="Critical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%",IF(Inputs!$B$9&gt;=100,Sensitivity!H16,Sensitivity!H15),IF(B10="Critical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%",IF(Inputs!$B$9&gt;=100,Sensitivity!H16,Sensitivity!H15),IF(I10="Critical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Sensitivity!H6</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Sensitivity!H5</f>
        <v/>
      </c>
      <c r="Q14" t="inlineStr">
        <is>
          <t>face</t>
        </is>
      </c>
    </row>
    <row r="15">
      <c r="A15" t="inlineStr">
        <is>
          <t>ALL</t>
        </is>
      </c>
      <c r="B15" t="inlineStr">
        <is>
          <t>normal</t>
        </is>
      </c>
      <c r="C15" t="n">
        <v>1</v>
      </c>
      <c r="D15" t="inlineStr">
        <is>
          <t>Dex</t>
        </is>
      </c>
      <c r="E15" t="n">
        <v>50</v>
      </c>
      <c r="F15" t="n">
        <v>9.5</v>
      </c>
      <c r="G15" t="b">
        <v>0</v>
      </c>
      <c r="H15">
        <f>Sensitivity!H5</f>
        <v/>
      </c>
      <c r="J15" t="inlineStr">
        <is>
          <t>Dex %</t>
        </is>
      </c>
      <c r="K15">
        <f>Sensitivity!H6</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Sensitivity!H6</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Sensitivity!H5</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Sensitivity!H6</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Sensitivity!H5</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Sensitivity!H6</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Sensitivity!H5</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IF(Inputs!$B$9&gt;=100,Sensitivity!H16,Sensitivity!H15)</f>
        <v/>
      </c>
    </row>
    <row r="67">
      <c r="A67" t="inlineStr">
        <is>
          <t>ALL</t>
        </is>
      </c>
      <c r="B67" t="inlineStr">
        <is>
          <t>rare</t>
        </is>
      </c>
      <c r="C67" t="n">
        <v>2</v>
      </c>
      <c r="D67" t="inlineStr">
        <is>
          <t>Critical Rate %</t>
        </is>
      </c>
      <c r="E67" t="n">
        <v>4.5</v>
      </c>
      <c r="F67" t="n">
        <v>0.6</v>
      </c>
      <c r="G67" t="b">
        <v>1</v>
      </c>
      <c r="H67">
        <f>IF(Inputs!$B$9&gt;=100,Sensitivity!H16,Sensitivity!H15)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Sensitivity!H6</f>
        <v/>
      </c>
    </row>
    <row r="79">
      <c r="A79" t="inlineStr">
        <is>
          <t>ALL</t>
        </is>
      </c>
      <c r="B79" t="inlineStr">
        <is>
          <t>rare</t>
        </is>
      </c>
      <c r="C79" t="n">
        <v>2</v>
      </c>
      <c r="D79" t="inlineStr">
        <is>
          <t>Dex %</t>
        </is>
      </c>
      <c r="E79" t="n">
        <v>4.5</v>
      </c>
      <c r="F79" t="n">
        <v>1.08</v>
      </c>
      <c r="G79" t="b">
        <v>1</v>
      </c>
      <c r="H79">
        <f>Sensitivity!H6</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Sensitivity!H5</f>
        <v/>
      </c>
    </row>
    <row r="93">
      <c r="A93" t="inlineStr">
        <is>
          <t>ALL</t>
        </is>
      </c>
      <c r="B93" t="inlineStr">
        <is>
          <t>rare</t>
        </is>
      </c>
      <c r="C93" t="n">
        <v>2</v>
      </c>
      <c r="D93" t="inlineStr">
        <is>
          <t>Dex</t>
        </is>
      </c>
      <c r="E93" t="n">
        <v>100</v>
      </c>
      <c r="F93" t="n">
        <v>2.28</v>
      </c>
      <c r="G93" t="b">
        <v>1</v>
      </c>
      <c r="H93">
        <f>Sensitivity!H5</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IF(Inputs!$B$9&gt;=100,Sensitivity!H16,Sensitivity!H15)</f>
        <v/>
      </c>
    </row>
    <row r="99">
      <c r="A99" t="inlineStr">
        <is>
          <t>ALL</t>
        </is>
      </c>
      <c r="B99" t="inlineStr">
        <is>
          <t>rare</t>
        </is>
      </c>
      <c r="C99" t="n">
        <v>3</v>
      </c>
      <c r="D99" t="inlineStr">
        <is>
          <t>Critical Rate %</t>
        </is>
      </c>
      <c r="E99" t="n">
        <v>4.5</v>
      </c>
      <c r="F99" t="n">
        <v>0.2</v>
      </c>
      <c r="G99" t="b">
        <v>1</v>
      </c>
      <c r="H99">
        <f>IF(Inputs!$B$9&gt;=100,Sensitivity!H16,Sensitivity!H15)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Sensitivity!H6</f>
        <v/>
      </c>
    </row>
    <row r="111">
      <c r="A111" t="inlineStr">
        <is>
          <t>ALL</t>
        </is>
      </c>
      <c r="B111" t="inlineStr">
        <is>
          <t>rare</t>
        </is>
      </c>
      <c r="C111" t="n">
        <v>3</v>
      </c>
      <c r="D111" t="inlineStr">
        <is>
          <t>Dex %</t>
        </is>
      </c>
      <c r="E111" t="n">
        <v>4.5</v>
      </c>
      <c r="F111" t="n">
        <v>0.36</v>
      </c>
      <c r="G111" t="b">
        <v>1</v>
      </c>
      <c r="H111">
        <f>Sensitivity!H6</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Sensitivity!H5</f>
        <v/>
      </c>
    </row>
    <row r="125">
      <c r="A125" t="inlineStr">
        <is>
          <t>ALL</t>
        </is>
      </c>
      <c r="B125" t="inlineStr">
        <is>
          <t>rare</t>
        </is>
      </c>
      <c r="C125" t="n">
        <v>3</v>
      </c>
      <c r="D125" t="inlineStr">
        <is>
          <t>Dex</t>
        </is>
      </c>
      <c r="E125" t="n">
        <v>100</v>
      </c>
      <c r="F125" t="n">
        <v>0.76</v>
      </c>
      <c r="G125" t="b">
        <v>1</v>
      </c>
      <c r="H125">
        <f>Sensitivity!H5</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Sensitivity!H6</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Sensitivity!H5</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IF(Inputs!$B$9&gt;=100,Sensitivity!H16,Sensitivity!H15)</f>
        <v/>
      </c>
    </row>
    <row r="147">
      <c r="A147" t="inlineStr">
        <is>
          <t>ALL</t>
        </is>
      </c>
      <c r="B147" t="inlineStr">
        <is>
          <t>epic</t>
        </is>
      </c>
      <c r="C147" t="n">
        <v>2</v>
      </c>
      <c r="D147" t="inlineStr">
        <is>
          <t>Critical Rate %</t>
        </is>
      </c>
      <c r="E147" t="n">
        <v>6</v>
      </c>
      <c r="F147" t="n">
        <v>0.6</v>
      </c>
      <c r="G147" t="b">
        <v>1</v>
      </c>
      <c r="H147">
        <f>IF(Inputs!$B$9&gt;=100,Sensitivity!H16,Sensitivity!H15)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Sensitivity!H6</f>
        <v/>
      </c>
    </row>
    <row r="159">
      <c r="A159" t="inlineStr">
        <is>
          <t>ALL</t>
        </is>
      </c>
      <c r="B159" t="inlineStr">
        <is>
          <t>epic</t>
        </is>
      </c>
      <c r="C159" t="n">
        <v>2</v>
      </c>
      <c r="D159" t="inlineStr">
        <is>
          <t>Dex %</t>
        </is>
      </c>
      <c r="E159" t="n">
        <v>6</v>
      </c>
      <c r="F159" t="n">
        <v>1.08</v>
      </c>
      <c r="G159" t="b">
        <v>1</v>
      </c>
      <c r="H159">
        <f>Sensitivity!H6</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Sensitivity!H5</f>
        <v/>
      </c>
    </row>
    <row r="173">
      <c r="A173" t="inlineStr">
        <is>
          <t>ALL</t>
        </is>
      </c>
      <c r="B173" t="inlineStr">
        <is>
          <t>epic</t>
        </is>
      </c>
      <c r="C173" t="n">
        <v>2</v>
      </c>
      <c r="D173" t="inlineStr">
        <is>
          <t>Dex</t>
        </is>
      </c>
      <c r="E173" t="n">
        <v>200</v>
      </c>
      <c r="F173" t="n">
        <v>2.22</v>
      </c>
      <c r="G173" t="b">
        <v>1</v>
      </c>
      <c r="H173">
        <f>Sensitivity!H5</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IF(Inputs!$B$9&gt;=100,Sensitivity!H16,Sensitivity!H15)</f>
        <v/>
      </c>
    </row>
    <row r="179">
      <c r="A179" t="inlineStr">
        <is>
          <t>ALL</t>
        </is>
      </c>
      <c r="B179" t="inlineStr">
        <is>
          <t>epic</t>
        </is>
      </c>
      <c r="C179" t="n">
        <v>3</v>
      </c>
      <c r="D179" t="inlineStr">
        <is>
          <t>Critical Rate %</t>
        </is>
      </c>
      <c r="E179" t="n">
        <v>6</v>
      </c>
      <c r="F179" t="n">
        <v>0.2</v>
      </c>
      <c r="G179" t="b">
        <v>1</v>
      </c>
      <c r="H179">
        <f>IF(Inputs!$B$9&gt;=100,Sensitivity!H16,Sensitivity!H15)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Sensitivity!H6</f>
        <v/>
      </c>
    </row>
    <row r="191">
      <c r="A191" t="inlineStr">
        <is>
          <t>ALL</t>
        </is>
      </c>
      <c r="B191" t="inlineStr">
        <is>
          <t>epic</t>
        </is>
      </c>
      <c r="C191" t="n">
        <v>3</v>
      </c>
      <c r="D191" t="inlineStr">
        <is>
          <t>Dex %</t>
        </is>
      </c>
      <c r="E191" t="n">
        <v>6</v>
      </c>
      <c r="F191" t="n">
        <v>0.36</v>
      </c>
      <c r="G191" t="b">
        <v>1</v>
      </c>
      <c r="H191">
        <f>Sensitivity!H6</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Sensitivity!H5</f>
        <v/>
      </c>
    </row>
    <row r="205">
      <c r="A205" t="inlineStr">
        <is>
          <t>ALL</t>
        </is>
      </c>
      <c r="B205" t="inlineStr">
        <is>
          <t>epic</t>
        </is>
      </c>
      <c r="C205" t="n">
        <v>3</v>
      </c>
      <c r="D205" t="inlineStr">
        <is>
          <t>Dex</t>
        </is>
      </c>
      <c r="E205" t="n">
        <v>200</v>
      </c>
      <c r="F205" t="n">
        <v>0.74</v>
      </c>
      <c r="G205" t="b">
        <v>1</v>
      </c>
      <c r="H205">
        <f>Sensitivity!H5</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Sensitivity!H6</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Sensitivity!H5</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IF(Inputs!$B$9&gt;=100,Sensitivity!H16,Sensitivity!H15)</f>
        <v/>
      </c>
    </row>
    <row r="227">
      <c r="A227" t="inlineStr">
        <is>
          <t>ALL</t>
        </is>
      </c>
      <c r="B227" t="inlineStr">
        <is>
          <t>unique</t>
        </is>
      </c>
      <c r="C227" t="n">
        <v>2</v>
      </c>
      <c r="D227" t="inlineStr">
        <is>
          <t>Critical Rate %</t>
        </is>
      </c>
      <c r="E227" t="n">
        <v>9</v>
      </c>
      <c r="F227" t="n">
        <v>0.6</v>
      </c>
      <c r="G227" t="b">
        <v>1</v>
      </c>
      <c r="H227">
        <f>IF(Inputs!$B$9&gt;=100,Sensitivity!H16,Sensitivity!H15)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Sensitivity!H6</f>
        <v/>
      </c>
    </row>
    <row r="239">
      <c r="A239" t="inlineStr">
        <is>
          <t>ALL</t>
        </is>
      </c>
      <c r="B239" t="inlineStr">
        <is>
          <t>unique</t>
        </is>
      </c>
      <c r="C239" t="n">
        <v>2</v>
      </c>
      <c r="D239" t="inlineStr">
        <is>
          <t>Dex %</t>
        </is>
      </c>
      <c r="E239" t="n">
        <v>9</v>
      </c>
      <c r="F239" t="n">
        <v>1.08</v>
      </c>
      <c r="G239" t="b">
        <v>1</v>
      </c>
      <c r="H239">
        <f>Sensitivity!H6</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Sensitivity!H5</f>
        <v/>
      </c>
    </row>
    <row r="253">
      <c r="A253" t="inlineStr">
        <is>
          <t>ALL</t>
        </is>
      </c>
      <c r="B253" t="inlineStr">
        <is>
          <t>unique</t>
        </is>
      </c>
      <c r="C253" t="n">
        <v>2</v>
      </c>
      <c r="D253" t="inlineStr">
        <is>
          <t>Dex</t>
        </is>
      </c>
      <c r="E253" t="n">
        <v>400</v>
      </c>
      <c r="F253" t="n">
        <v>2.22</v>
      </c>
      <c r="G253" t="b">
        <v>1</v>
      </c>
      <c r="H253">
        <f>Sensitivity!H5</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IF(Inputs!$B$9&gt;=100,Sensitivity!H16,Sensitivity!H15)</f>
        <v/>
      </c>
    </row>
    <row r="259">
      <c r="A259" t="inlineStr">
        <is>
          <t>ALL</t>
        </is>
      </c>
      <c r="B259" t="inlineStr">
        <is>
          <t>unique</t>
        </is>
      </c>
      <c r="C259" t="n">
        <v>3</v>
      </c>
      <c r="D259" t="inlineStr">
        <is>
          <t>Critical Rate %</t>
        </is>
      </c>
      <c r="E259" t="n">
        <v>9</v>
      </c>
      <c r="F259" t="n">
        <v>0.2</v>
      </c>
      <c r="G259" t="b">
        <v>1</v>
      </c>
      <c r="H259">
        <f>IF(Inputs!$B$9&gt;=100,Sensitivity!H16,Sensitivity!H15)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Sensitivity!H6</f>
        <v/>
      </c>
    </row>
    <row r="271">
      <c r="A271" t="inlineStr">
        <is>
          <t>ALL</t>
        </is>
      </c>
      <c r="B271" t="inlineStr">
        <is>
          <t>unique</t>
        </is>
      </c>
      <c r="C271" t="n">
        <v>3</v>
      </c>
      <c r="D271" t="inlineStr">
        <is>
          <t>Dex %</t>
        </is>
      </c>
      <c r="E271" t="n">
        <v>9</v>
      </c>
      <c r="F271" t="n">
        <v>0.36</v>
      </c>
      <c r="G271" t="b">
        <v>1</v>
      </c>
      <c r="H271">
        <f>Sensitivity!H6</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Sensitivity!H5</f>
        <v/>
      </c>
    </row>
    <row r="285">
      <c r="A285" t="inlineStr">
        <is>
          <t>ALL</t>
        </is>
      </c>
      <c r="B285" t="inlineStr">
        <is>
          <t>unique</t>
        </is>
      </c>
      <c r="C285" t="n">
        <v>3</v>
      </c>
      <c r="D285" t="inlineStr">
        <is>
          <t>Dex</t>
        </is>
      </c>
      <c r="E285" t="n">
        <v>400</v>
      </c>
      <c r="F285" t="n">
        <v>0.74</v>
      </c>
      <c r="G285" t="b">
        <v>1</v>
      </c>
      <c r="H285">
        <f>Sensitivity!H5</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Sensitivity!H6</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Sensitivity!H5</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IF(Inputs!$B$9&gt;=100,Sensitivity!H16,Sensitivity!H15)</f>
        <v/>
      </c>
    </row>
    <row r="307">
      <c r="A307" t="inlineStr">
        <is>
          <t>ALL</t>
        </is>
      </c>
      <c r="B307" t="inlineStr">
        <is>
          <t>legendary</t>
        </is>
      </c>
      <c r="C307" t="n">
        <v>2</v>
      </c>
      <c r="D307" t="inlineStr">
        <is>
          <t>Critical Rate %</t>
        </is>
      </c>
      <c r="E307" t="n">
        <v>12</v>
      </c>
      <c r="F307" t="n">
        <v>0.6</v>
      </c>
      <c r="G307" t="b">
        <v>1</v>
      </c>
      <c r="H307">
        <f>IF(Inputs!$B$9&gt;=100,Sensitivity!H16,Sensitivity!H15)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Sensitivity!H6</f>
        <v/>
      </c>
    </row>
    <row r="319">
      <c r="A319" t="inlineStr">
        <is>
          <t>ALL</t>
        </is>
      </c>
      <c r="B319" t="inlineStr">
        <is>
          <t>legendary</t>
        </is>
      </c>
      <c r="C319" t="n">
        <v>2</v>
      </c>
      <c r="D319" t="inlineStr">
        <is>
          <t>Dex %</t>
        </is>
      </c>
      <c r="E319" t="n">
        <v>12</v>
      </c>
      <c r="F319" t="n">
        <v>1.08</v>
      </c>
      <c r="G319" t="b">
        <v>1</v>
      </c>
      <c r="H319">
        <f>Sensitivity!H6</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Sensitivity!H5</f>
        <v/>
      </c>
    </row>
    <row r="333">
      <c r="A333" t="inlineStr">
        <is>
          <t>ALL</t>
        </is>
      </c>
      <c r="B333" t="inlineStr">
        <is>
          <t>legendary</t>
        </is>
      </c>
      <c r="C333" t="n">
        <v>2</v>
      </c>
      <c r="D333" t="inlineStr">
        <is>
          <t>Dex</t>
        </is>
      </c>
      <c r="E333" t="n">
        <v>600</v>
      </c>
      <c r="F333" t="n">
        <v>2.22</v>
      </c>
      <c r="G333" t="b">
        <v>1</v>
      </c>
      <c r="H333">
        <f>Sensitivity!H5</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IF(Inputs!$B$9&gt;=100,Sensitivity!H16,Sensitivity!H15)</f>
        <v/>
      </c>
    </row>
    <row r="339">
      <c r="A339" t="inlineStr">
        <is>
          <t>ALL</t>
        </is>
      </c>
      <c r="B339" t="inlineStr">
        <is>
          <t>legendary</t>
        </is>
      </c>
      <c r="C339" t="n">
        <v>3</v>
      </c>
      <c r="D339" t="inlineStr">
        <is>
          <t>Critical Rate %</t>
        </is>
      </c>
      <c r="E339" t="n">
        <v>12</v>
      </c>
      <c r="F339" t="n">
        <v>0.2</v>
      </c>
      <c r="G339" t="b">
        <v>1</v>
      </c>
      <c r="H339">
        <f>IF(Inputs!$B$9&gt;=100,Sensitivity!H16,Sensitivity!H15)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Sensitivity!H6</f>
        <v/>
      </c>
    </row>
    <row r="351">
      <c r="A351" t="inlineStr">
        <is>
          <t>ALL</t>
        </is>
      </c>
      <c r="B351" t="inlineStr">
        <is>
          <t>legendary</t>
        </is>
      </c>
      <c r="C351" t="n">
        <v>3</v>
      </c>
      <c r="D351" t="inlineStr">
        <is>
          <t>Dex %</t>
        </is>
      </c>
      <c r="E351" t="n">
        <v>12</v>
      </c>
      <c r="F351" t="n">
        <v>0.36</v>
      </c>
      <c r="G351" t="b">
        <v>1</v>
      </c>
      <c r="H351">
        <f>Sensitivity!H6</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Sensitivity!H5</f>
        <v/>
      </c>
    </row>
    <row r="365">
      <c r="A365" t="inlineStr">
        <is>
          <t>ALL</t>
        </is>
      </c>
      <c r="B365" t="inlineStr">
        <is>
          <t>legendary</t>
        </is>
      </c>
      <c r="C365" t="n">
        <v>3</v>
      </c>
      <c r="D365" t="inlineStr">
        <is>
          <t>Dex</t>
        </is>
      </c>
      <c r="E365" t="n">
        <v>600</v>
      </c>
      <c r="F365" t="n">
        <v>0.74</v>
      </c>
      <c r="G365" t="b">
        <v>1</v>
      </c>
      <c r="H365">
        <f>Sensitivity!H5</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Sensitivity!H6</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Sensitivity!H5</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IF(Inputs!$B$9&gt;=100,Sensitivity!H16,Sensitivity!H15)</f>
        <v/>
      </c>
    </row>
    <row r="387">
      <c r="A387" t="inlineStr">
        <is>
          <t>ALL</t>
        </is>
      </c>
      <c r="B387" t="inlineStr">
        <is>
          <t>mystic</t>
        </is>
      </c>
      <c r="C387" t="n">
        <v>2</v>
      </c>
      <c r="D387" t="inlineStr">
        <is>
          <t>Critical Rate %</t>
        </is>
      </c>
      <c r="E387" t="n">
        <v>15</v>
      </c>
      <c r="F387" t="n">
        <v>0.6</v>
      </c>
      <c r="G387" t="b">
        <v>1</v>
      </c>
      <c r="H387">
        <f>IF(Inputs!$B$9&gt;=100,Sensitivity!H16,Sensitivity!H15)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Sensitivity!H6</f>
        <v/>
      </c>
    </row>
    <row r="399">
      <c r="A399" t="inlineStr">
        <is>
          <t>ALL</t>
        </is>
      </c>
      <c r="B399" t="inlineStr">
        <is>
          <t>mystic</t>
        </is>
      </c>
      <c r="C399" t="n">
        <v>2</v>
      </c>
      <c r="D399" t="inlineStr">
        <is>
          <t>Dex %</t>
        </is>
      </c>
      <c r="E399" t="n">
        <v>15</v>
      </c>
      <c r="F399" t="n">
        <v>1.08</v>
      </c>
      <c r="G399" t="b">
        <v>1</v>
      </c>
      <c r="H399">
        <f>Sensitivity!H6</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Sensitivity!H5</f>
        <v/>
      </c>
    </row>
    <row r="413">
      <c r="A413" t="inlineStr">
        <is>
          <t>ALL</t>
        </is>
      </c>
      <c r="B413" t="inlineStr">
        <is>
          <t>mystic</t>
        </is>
      </c>
      <c r="C413" t="n">
        <v>2</v>
      </c>
      <c r="D413" t="inlineStr">
        <is>
          <t>Dex</t>
        </is>
      </c>
      <c r="E413" t="n">
        <v>1000</v>
      </c>
      <c r="F413" t="n">
        <v>2.22</v>
      </c>
      <c r="G413" t="b">
        <v>1</v>
      </c>
      <c r="H413">
        <f>Sensitivity!H5</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IF(Inputs!$B$9&gt;=100,Sensitivity!H16,Sensitivity!H15)</f>
        <v/>
      </c>
    </row>
    <row r="419">
      <c r="A419" t="inlineStr">
        <is>
          <t>ALL</t>
        </is>
      </c>
      <c r="B419" t="inlineStr">
        <is>
          <t>mystic</t>
        </is>
      </c>
      <c r="C419" t="n">
        <v>3</v>
      </c>
      <c r="D419" t="inlineStr">
        <is>
          <t>Critical Rate %</t>
        </is>
      </c>
      <c r="E419" t="n">
        <v>15</v>
      </c>
      <c r="F419" t="n">
        <v>0.2</v>
      </c>
      <c r="G419" t="b">
        <v>1</v>
      </c>
      <c r="H419">
        <f>IF(Inputs!$B$9&gt;=100,Sensitivity!H16,Sensitivity!H15)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Sensitivity!H6</f>
        <v/>
      </c>
    </row>
    <row r="431">
      <c r="A431" t="inlineStr">
        <is>
          <t>ALL</t>
        </is>
      </c>
      <c r="B431" t="inlineStr">
        <is>
          <t>mystic</t>
        </is>
      </c>
      <c r="C431" t="n">
        <v>3</v>
      </c>
      <c r="D431" t="inlineStr">
        <is>
          <t>Dex %</t>
        </is>
      </c>
      <c r="E431" t="n">
        <v>15</v>
      </c>
      <c r="F431" t="n">
        <v>0.36</v>
      </c>
      <c r="G431" t="b">
        <v>1</v>
      </c>
      <c r="H431">
        <f>Sensitivity!H6</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Sensitivity!H5</f>
        <v/>
      </c>
    </row>
    <row r="445">
      <c r="A445" t="inlineStr">
        <is>
          <t>ALL</t>
        </is>
      </c>
      <c r="B445" t="inlineStr">
        <is>
          <t>mystic</t>
        </is>
      </c>
      <c r="C445" t="n">
        <v>3</v>
      </c>
      <c r="D445" t="inlineStr">
        <is>
          <t>Dex</t>
        </is>
      </c>
      <c r="E445" t="n">
        <v>1000</v>
      </c>
      <c r="F445" t="n">
        <v>0.74</v>
      </c>
      <c r="G445" t="b">
        <v>1</v>
      </c>
      <c r="H445">
        <f>Sensitivity!H5</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Corsair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2026-09-27T09:46:13Z</dcterms:created>
  <dcterms:modified xsi:type="dcterms:W3CDTF">2026-09-27T09:46:14Z</dcterms:modified>
</cp:coreProperties>
</file>